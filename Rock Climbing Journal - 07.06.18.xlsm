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oger\OneDrive\Documents\"/>
    </mc:Choice>
  </mc:AlternateContent>
  <xr:revisionPtr revIDLastSave="39" documentId="8_{7959295A-178E-481E-B68B-79DCB63C03B7}" xr6:coauthVersionLast="40" xr6:coauthVersionMax="40" xr10:uidLastSave="{67D1D719-462F-4747-B278-FF09950438CD}"/>
  <bookViews>
    <workbookView minimized="1" xWindow="0" yWindow="0" windowWidth="10644" windowHeight="4992" firstSheet="2" activeTab="3" xr2:uid="{0C4FA204-8789-48A6-8653-576AA6932171}"/>
  </bookViews>
  <sheets>
    <sheet name="RC Progress Chart" sheetId="13" r:id="rId1"/>
    <sheet name="RC Team Chart" sheetId="12" r:id="rId2"/>
    <sheet name="Rock Climbing Reports" sheetId="6" r:id="rId3"/>
    <sheet name="Rock Climbing Log" sheetId="1" r:id="rId4"/>
    <sheet name="Sheet1" sheetId="15" r:id="rId5"/>
    <sheet name="RC Template" sheetId="3" r:id="rId6"/>
    <sheet name="RC Chart Data" sheetId="11" r:id="rId7"/>
    <sheet name="RC Lookup" sheetId="2" r:id="rId8"/>
    <sheet name="Rock Climbing JE" sheetId="14" r:id="rId9"/>
    <sheet name="Finance" sheetId="4" state="hidden" r:id="rId10"/>
  </sheets>
  <definedNames>
    <definedName name="_xlnm._FilterDatabase" localSheetId="8" hidden="1">'Rock Climbing JE'!$A$7:$BR$158</definedName>
    <definedName name="_xlnm._FilterDatabase" localSheetId="3" hidden="1">'Rock Climbing Log'!$A$7:$BR$157</definedName>
    <definedName name="_xlnm._FilterDatabase" localSheetId="2" hidden="1">'Rock Climbing Reports'!$A$7:$BP$60</definedName>
  </definedNames>
  <calcPr calcId="191029"/>
  <pivotCaches>
    <pivotCache cacheId="0" r:id="rId1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D66" i="1" l="1"/>
  <c r="BC54" i="1"/>
  <c r="BC58" i="1" s="1"/>
  <c r="BC45" i="1"/>
  <c r="BA45" i="1"/>
  <c r="BC39" i="1"/>
  <c r="BC41" i="1" s="1"/>
  <c r="BC43" i="1" s="1"/>
  <c r="BA39" i="1"/>
  <c r="BA41" i="1"/>
  <c r="BA43" i="1" s="1"/>
  <c r="BD3" i="1"/>
  <c r="BD96" i="1"/>
  <c r="BF96" i="1" s="1"/>
  <c r="BD95" i="1"/>
  <c r="BF95" i="1"/>
  <c r="BF94" i="1"/>
  <c r="BD97" i="1" l="1"/>
  <c r="BD98" i="1" s="1"/>
  <c r="BC56" i="1"/>
  <c r="BC60" i="1" s="1"/>
  <c r="BA47" i="1"/>
  <c r="BC47" i="1"/>
  <c r="BD49" i="1" s="1"/>
  <c r="BF98" i="1"/>
  <c r="BD99" i="1"/>
  <c r="BF97" i="1"/>
  <c r="BD100" i="1" l="1"/>
  <c r="BF99" i="1"/>
  <c r="BD101" i="1" l="1"/>
  <c r="BF100" i="1"/>
  <c r="BF101" i="1" l="1"/>
  <c r="BD102" i="1"/>
  <c r="BF102" i="1" l="1"/>
  <c r="BD103" i="1"/>
  <c r="BD104" i="1" l="1"/>
  <c r="BF103" i="1"/>
  <c r="BF104" i="1" l="1"/>
  <c r="BD105" i="1"/>
  <c r="BD106" i="1" l="1"/>
  <c r="BF105" i="1"/>
  <c r="BF106" i="1" l="1"/>
  <c r="BD107" i="1"/>
  <c r="BD108" i="1" l="1"/>
  <c r="BF107" i="1"/>
  <c r="BD109" i="1" l="1"/>
  <c r="BF108" i="1"/>
  <c r="BF109" i="1" l="1"/>
  <c r="BD110" i="1"/>
  <c r="BP34" i="14"/>
  <c r="A10" i="14"/>
  <c r="A11" i="14" s="1"/>
  <c r="A12" i="14" s="1"/>
  <c r="A13" i="14" s="1"/>
  <c r="A14" i="14" s="1"/>
  <c r="A15" i="14" s="1"/>
  <c r="A16" i="14" s="1"/>
  <c r="A17" i="14" s="1"/>
  <c r="A18" i="14" s="1"/>
  <c r="A19" i="14" s="1"/>
  <c r="A20" i="14" s="1"/>
  <c r="A21" i="14" s="1"/>
  <c r="A22" i="14" s="1"/>
  <c r="A23" i="14" s="1"/>
  <c r="A24" i="14" s="1"/>
  <c r="A25" i="14" s="1"/>
  <c r="A26" i="14" s="1"/>
  <c r="A27" i="14" s="1"/>
  <c r="A28" i="14" s="1"/>
  <c r="A29" i="14" s="1"/>
  <c r="A30" i="14" s="1"/>
  <c r="A31" i="14" s="1"/>
  <c r="A32" i="14" s="1"/>
  <c r="A33" i="14" s="1"/>
  <c r="A34" i="14" s="1"/>
  <c r="A35" i="14" s="1"/>
  <c r="A36" i="14" s="1"/>
  <c r="A37" i="14" s="1"/>
  <c r="A38" i="14" s="1"/>
  <c r="A39" i="14" s="1"/>
  <c r="A40" i="14" s="1"/>
  <c r="A41" i="14" s="1"/>
  <c r="A42" i="14" s="1"/>
  <c r="A43" i="14" s="1"/>
  <c r="A44" i="14" s="1"/>
  <c r="A45" i="14" s="1"/>
  <c r="A46" i="14" s="1"/>
  <c r="A47" i="14" s="1"/>
  <c r="A48" i="14" s="1"/>
  <c r="A49" i="14" s="1"/>
  <c r="A50" i="14" s="1"/>
  <c r="A51" i="14" s="1"/>
  <c r="A52" i="14" s="1"/>
  <c r="A53" i="14" s="1"/>
  <c r="A54" i="14" s="1"/>
  <c r="A55" i="14" s="1"/>
  <c r="A56" i="14" s="1"/>
  <c r="A57" i="14" s="1"/>
  <c r="A58" i="14" s="1"/>
  <c r="A59" i="14" s="1"/>
  <c r="A60" i="14" s="1"/>
  <c r="A61" i="14" s="1"/>
  <c r="A62" i="14" s="1"/>
  <c r="A63" i="14" s="1"/>
  <c r="A64" i="14" s="1"/>
  <c r="A65" i="14" s="1"/>
  <c r="A66" i="14" s="1"/>
  <c r="A67" i="14" s="1"/>
  <c r="A68" i="14" s="1"/>
  <c r="A69" i="14" s="1"/>
  <c r="A70" i="14" s="1"/>
  <c r="A71" i="14" s="1"/>
  <c r="A72" i="14" s="1"/>
  <c r="A73" i="14" s="1"/>
  <c r="A74" i="14" s="1"/>
  <c r="A75" i="14" s="1"/>
  <c r="A76" i="14" s="1"/>
  <c r="A77" i="14" s="1"/>
  <c r="A78" i="14" s="1"/>
  <c r="A79" i="14" s="1"/>
  <c r="A80" i="14" s="1"/>
  <c r="A81" i="14" s="1"/>
  <c r="A82" i="14" s="1"/>
  <c r="A83" i="14" s="1"/>
  <c r="A84" i="14" s="1"/>
  <c r="A85" i="14" s="1"/>
  <c r="A86" i="14" s="1"/>
  <c r="A87" i="14" s="1"/>
  <c r="A88" i="14" s="1"/>
  <c r="A89" i="14" s="1"/>
  <c r="A90" i="14" s="1"/>
  <c r="A91" i="14" s="1"/>
  <c r="A92" i="14" s="1"/>
  <c r="A93" i="14" s="1"/>
  <c r="A94" i="14" s="1"/>
  <c r="A95" i="14" s="1"/>
  <c r="A96" i="14" s="1"/>
  <c r="A97" i="14" s="1"/>
  <c r="A98" i="14" s="1"/>
  <c r="A99" i="14" s="1"/>
  <c r="A100" i="14" s="1"/>
  <c r="A101" i="14" s="1"/>
  <c r="A102" i="14" s="1"/>
  <c r="A103" i="14" s="1"/>
  <c r="A104" i="14" s="1"/>
  <c r="A105" i="14" s="1"/>
  <c r="A106" i="14" s="1"/>
  <c r="A107" i="14" s="1"/>
  <c r="A108" i="14" s="1"/>
  <c r="A109" i="14" s="1"/>
  <c r="A110" i="14" s="1"/>
  <c r="A111" i="14" s="1"/>
  <c r="A112" i="14" s="1"/>
  <c r="A113" i="14" s="1"/>
  <c r="A114" i="14" s="1"/>
  <c r="A115" i="14" s="1"/>
  <c r="A116" i="14" s="1"/>
  <c r="A117" i="14" s="1"/>
  <c r="A118" i="14" s="1"/>
  <c r="A119" i="14" s="1"/>
  <c r="A120" i="14" s="1"/>
  <c r="A121" i="14" s="1"/>
  <c r="A122" i="14" s="1"/>
  <c r="A123" i="14" s="1"/>
  <c r="A124" i="14" s="1"/>
  <c r="A125" i="14" s="1"/>
  <c r="A126" i="14" s="1"/>
  <c r="A127" i="14" s="1"/>
  <c r="A128" i="14" s="1"/>
  <c r="A129" i="14" s="1"/>
  <c r="A130" i="14" s="1"/>
  <c r="A131" i="14" s="1"/>
  <c r="A132" i="14" s="1"/>
  <c r="A133" i="14" s="1"/>
  <c r="A134" i="14" s="1"/>
  <c r="A135" i="14" s="1"/>
  <c r="A136" i="14" s="1"/>
  <c r="A137" i="14" s="1"/>
  <c r="A138" i="14" s="1"/>
  <c r="A139" i="14" s="1"/>
  <c r="A140" i="14" s="1"/>
  <c r="A141" i="14" s="1"/>
  <c r="A142" i="14" s="1"/>
  <c r="A143" i="14" s="1"/>
  <c r="A144" i="14" s="1"/>
  <c r="A145" i="14" s="1"/>
  <c r="A146" i="14" s="1"/>
  <c r="A147" i="14" s="1"/>
  <c r="A148" i="14" s="1"/>
  <c r="A149" i="14" s="1"/>
  <c r="A150" i="14" s="1"/>
  <c r="A151" i="14" s="1"/>
  <c r="A152" i="14" s="1"/>
  <c r="A153" i="14" s="1"/>
  <c r="A154" i="14" s="1"/>
  <c r="A155" i="14" s="1"/>
  <c r="A156" i="14" s="1"/>
  <c r="A157" i="14" s="1"/>
  <c r="A158" i="14" s="1"/>
  <c r="BF110" i="1" l="1"/>
  <c r="BD111" i="1"/>
  <c r="BI8" i="6"/>
  <c r="BD112" i="1" l="1"/>
  <c r="BF111" i="1"/>
  <c r="BD113" i="1" l="1"/>
  <c r="BF112" i="1"/>
  <c r="AY160" i="6"/>
  <c r="AX160" i="6"/>
  <c r="AW160" i="6"/>
  <c r="AV160" i="6"/>
  <c r="AU160" i="6"/>
  <c r="AT160" i="6"/>
  <c r="AS160" i="6"/>
  <c r="AR160" i="6"/>
  <c r="AQ160" i="6"/>
  <c r="AP160" i="6"/>
  <c r="AO160" i="6"/>
  <c r="AN160" i="6"/>
  <c r="AM160" i="6"/>
  <c r="AL160" i="6"/>
  <c r="AK160" i="6"/>
  <c r="AJ160" i="6"/>
  <c r="AI160" i="6"/>
  <c r="AH160" i="6"/>
  <c r="AG160" i="6"/>
  <c r="AF160" i="6"/>
  <c r="AE160" i="6"/>
  <c r="AD160" i="6"/>
  <c r="AC160" i="6"/>
  <c r="AB160" i="6"/>
  <c r="AA160" i="6"/>
  <c r="Z160" i="6"/>
  <c r="Y160" i="6"/>
  <c r="X160" i="6"/>
  <c r="W160" i="6"/>
  <c r="V160" i="6"/>
  <c r="U160" i="6"/>
  <c r="T160" i="6"/>
  <c r="S160" i="6"/>
  <c r="R160" i="6"/>
  <c r="Q160" i="6"/>
  <c r="P160" i="6"/>
  <c r="O160" i="6"/>
  <c r="N160" i="6"/>
  <c r="M160" i="6"/>
  <c r="L160" i="6"/>
  <c r="K160" i="6"/>
  <c r="J160" i="6"/>
  <c r="I160" i="6"/>
  <c r="H160" i="6"/>
  <c r="G160" i="6"/>
  <c r="F160" i="6"/>
  <c r="E160" i="6"/>
  <c r="D160" i="6"/>
  <c r="C160" i="6"/>
  <c r="B160" i="6"/>
  <c r="AY159" i="6"/>
  <c r="AX159" i="6"/>
  <c r="AW159" i="6"/>
  <c r="AV159" i="6"/>
  <c r="AU159" i="6"/>
  <c r="AT159" i="6"/>
  <c r="AS159" i="6"/>
  <c r="AR159" i="6"/>
  <c r="AQ159" i="6"/>
  <c r="AP159" i="6"/>
  <c r="AO159" i="6"/>
  <c r="AN159" i="6"/>
  <c r="AM159" i="6"/>
  <c r="AL159" i="6"/>
  <c r="AK159" i="6"/>
  <c r="AJ159" i="6"/>
  <c r="AI159" i="6"/>
  <c r="AH159" i="6"/>
  <c r="AG159" i="6"/>
  <c r="AF159" i="6"/>
  <c r="AE159" i="6"/>
  <c r="AD159" i="6"/>
  <c r="AC159" i="6"/>
  <c r="AB159" i="6"/>
  <c r="AA159" i="6"/>
  <c r="Z159" i="6"/>
  <c r="Y159" i="6"/>
  <c r="X159" i="6"/>
  <c r="W159" i="6"/>
  <c r="V159" i="6"/>
  <c r="U159" i="6"/>
  <c r="T159" i="6"/>
  <c r="S159" i="6"/>
  <c r="R159" i="6"/>
  <c r="Q159" i="6"/>
  <c r="P159" i="6"/>
  <c r="O159" i="6"/>
  <c r="N159" i="6"/>
  <c r="M159" i="6"/>
  <c r="L159" i="6"/>
  <c r="K159" i="6"/>
  <c r="J159" i="6"/>
  <c r="I159" i="6"/>
  <c r="H159" i="6"/>
  <c r="G159" i="6"/>
  <c r="F159" i="6"/>
  <c r="E159" i="6"/>
  <c r="D159" i="6"/>
  <c r="C159" i="6"/>
  <c r="B159" i="6"/>
  <c r="AY158" i="6"/>
  <c r="AX158" i="6"/>
  <c r="AW158" i="6"/>
  <c r="AV158" i="6"/>
  <c r="AU158" i="6"/>
  <c r="AT158" i="6"/>
  <c r="AS158" i="6"/>
  <c r="AR158" i="6"/>
  <c r="AQ158" i="6"/>
  <c r="AP158" i="6"/>
  <c r="AO158" i="6"/>
  <c r="AN158" i="6"/>
  <c r="AM158" i="6"/>
  <c r="AL158" i="6"/>
  <c r="AK158" i="6"/>
  <c r="AJ158" i="6"/>
  <c r="AI158" i="6"/>
  <c r="AH158" i="6"/>
  <c r="AG158" i="6"/>
  <c r="AF158" i="6"/>
  <c r="AE158" i="6"/>
  <c r="AD158" i="6"/>
  <c r="AC158" i="6"/>
  <c r="AB158" i="6"/>
  <c r="AA158" i="6"/>
  <c r="Z158" i="6"/>
  <c r="Y158" i="6"/>
  <c r="X158" i="6"/>
  <c r="W158" i="6"/>
  <c r="V158" i="6"/>
  <c r="U158" i="6"/>
  <c r="T158" i="6"/>
  <c r="S158" i="6"/>
  <c r="R158" i="6"/>
  <c r="Q158" i="6"/>
  <c r="P158" i="6"/>
  <c r="O158" i="6"/>
  <c r="N158" i="6"/>
  <c r="M158" i="6"/>
  <c r="L158" i="6"/>
  <c r="K158" i="6"/>
  <c r="J158" i="6"/>
  <c r="I158" i="6"/>
  <c r="H158" i="6"/>
  <c r="G158" i="6"/>
  <c r="F158" i="6"/>
  <c r="E158" i="6"/>
  <c r="D158" i="6"/>
  <c r="C158" i="6"/>
  <c r="B158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P18" i="6"/>
  <c r="Q18" i="6"/>
  <c r="R18" i="6"/>
  <c r="S18" i="6"/>
  <c r="T18" i="6"/>
  <c r="U18" i="6"/>
  <c r="V18" i="6"/>
  <c r="W18" i="6"/>
  <c r="X18" i="6"/>
  <c r="Y18" i="6"/>
  <c r="Z18" i="6"/>
  <c r="AA18" i="6"/>
  <c r="AB18" i="6"/>
  <c r="AC18" i="6"/>
  <c r="AD18" i="6"/>
  <c r="AE18" i="6"/>
  <c r="AF18" i="6"/>
  <c r="AG18" i="6"/>
  <c r="AH18" i="6"/>
  <c r="AI18" i="6"/>
  <c r="AJ18" i="6"/>
  <c r="AK18" i="6"/>
  <c r="AL18" i="6"/>
  <c r="AM18" i="6"/>
  <c r="AN18" i="6"/>
  <c r="AO18" i="6"/>
  <c r="AP18" i="6"/>
  <c r="AQ18" i="6"/>
  <c r="AR18" i="6"/>
  <c r="AS18" i="6"/>
  <c r="AT18" i="6"/>
  <c r="AU18" i="6"/>
  <c r="AV18" i="6"/>
  <c r="AY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P19" i="6"/>
  <c r="Q19" i="6"/>
  <c r="R19" i="6"/>
  <c r="S19" i="6"/>
  <c r="T19" i="6"/>
  <c r="U19" i="6"/>
  <c r="V19" i="6"/>
  <c r="W19" i="6"/>
  <c r="X19" i="6"/>
  <c r="Y19" i="6"/>
  <c r="Z19" i="6"/>
  <c r="AA19" i="6"/>
  <c r="AB19" i="6"/>
  <c r="AC19" i="6"/>
  <c r="AD19" i="6"/>
  <c r="AE19" i="6"/>
  <c r="AF19" i="6"/>
  <c r="AG19" i="6"/>
  <c r="AH19" i="6"/>
  <c r="AI19" i="6"/>
  <c r="AJ19" i="6"/>
  <c r="AK19" i="6"/>
  <c r="AL19" i="6"/>
  <c r="AM19" i="6"/>
  <c r="AN19" i="6"/>
  <c r="AO19" i="6"/>
  <c r="AP19" i="6"/>
  <c r="AQ19" i="6"/>
  <c r="AR19" i="6"/>
  <c r="AS19" i="6"/>
  <c r="AT19" i="6"/>
  <c r="AU19" i="6"/>
  <c r="AV19" i="6"/>
  <c r="AY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P20" i="6"/>
  <c r="Q20" i="6"/>
  <c r="R20" i="6"/>
  <c r="S20" i="6"/>
  <c r="T20" i="6"/>
  <c r="U20" i="6"/>
  <c r="V20" i="6"/>
  <c r="W20" i="6"/>
  <c r="X20" i="6"/>
  <c r="Y20" i="6"/>
  <c r="Z20" i="6"/>
  <c r="AA20" i="6"/>
  <c r="AB20" i="6"/>
  <c r="AC20" i="6"/>
  <c r="AD20" i="6"/>
  <c r="AE20" i="6"/>
  <c r="AF20" i="6"/>
  <c r="AG20" i="6"/>
  <c r="AH20" i="6"/>
  <c r="AI20" i="6"/>
  <c r="AJ20" i="6"/>
  <c r="AK20" i="6"/>
  <c r="AL20" i="6"/>
  <c r="AM20" i="6"/>
  <c r="AN20" i="6"/>
  <c r="AO20" i="6"/>
  <c r="AP20" i="6"/>
  <c r="AQ20" i="6"/>
  <c r="AR20" i="6"/>
  <c r="AS20" i="6"/>
  <c r="AT20" i="6"/>
  <c r="AU20" i="6"/>
  <c r="AV20" i="6"/>
  <c r="AY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P21" i="6"/>
  <c r="Q21" i="6"/>
  <c r="R21" i="6"/>
  <c r="S21" i="6"/>
  <c r="T21" i="6"/>
  <c r="U21" i="6"/>
  <c r="V21" i="6"/>
  <c r="W21" i="6"/>
  <c r="X21" i="6"/>
  <c r="Y21" i="6"/>
  <c r="Z21" i="6"/>
  <c r="AA21" i="6"/>
  <c r="AB21" i="6"/>
  <c r="AC21" i="6"/>
  <c r="AD21" i="6"/>
  <c r="AE21" i="6"/>
  <c r="AF21" i="6"/>
  <c r="AG21" i="6"/>
  <c r="AH21" i="6"/>
  <c r="AI21" i="6"/>
  <c r="AJ21" i="6"/>
  <c r="AK21" i="6"/>
  <c r="AL21" i="6"/>
  <c r="AM21" i="6"/>
  <c r="AN21" i="6"/>
  <c r="AO21" i="6"/>
  <c r="AP21" i="6"/>
  <c r="AQ21" i="6"/>
  <c r="AR21" i="6"/>
  <c r="AS21" i="6"/>
  <c r="AT21" i="6"/>
  <c r="AU21" i="6"/>
  <c r="AV21" i="6"/>
  <c r="AY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P22" i="6"/>
  <c r="Q22" i="6"/>
  <c r="R22" i="6"/>
  <c r="S22" i="6"/>
  <c r="T22" i="6"/>
  <c r="U22" i="6"/>
  <c r="V22" i="6"/>
  <c r="W22" i="6"/>
  <c r="X22" i="6"/>
  <c r="Y22" i="6"/>
  <c r="Z22" i="6"/>
  <c r="AA22" i="6"/>
  <c r="AB22" i="6"/>
  <c r="AC22" i="6"/>
  <c r="AD22" i="6"/>
  <c r="AE22" i="6"/>
  <c r="AF22" i="6"/>
  <c r="AG22" i="6"/>
  <c r="AH22" i="6"/>
  <c r="AI22" i="6"/>
  <c r="AJ22" i="6"/>
  <c r="AK22" i="6"/>
  <c r="AL22" i="6"/>
  <c r="AM22" i="6"/>
  <c r="AN22" i="6"/>
  <c r="AO22" i="6"/>
  <c r="AP22" i="6"/>
  <c r="AQ22" i="6"/>
  <c r="AR22" i="6"/>
  <c r="AS22" i="6"/>
  <c r="AT22" i="6"/>
  <c r="AU22" i="6"/>
  <c r="AV22" i="6"/>
  <c r="AY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P23" i="6"/>
  <c r="Q23" i="6"/>
  <c r="R23" i="6"/>
  <c r="S23" i="6"/>
  <c r="T23" i="6"/>
  <c r="U23" i="6"/>
  <c r="V23" i="6"/>
  <c r="W23" i="6"/>
  <c r="X23" i="6"/>
  <c r="Y23" i="6"/>
  <c r="Z23" i="6"/>
  <c r="AA23" i="6"/>
  <c r="AB23" i="6"/>
  <c r="AC23" i="6"/>
  <c r="AD23" i="6"/>
  <c r="AE23" i="6"/>
  <c r="AF23" i="6"/>
  <c r="AG23" i="6"/>
  <c r="AH23" i="6"/>
  <c r="AI23" i="6"/>
  <c r="AJ23" i="6"/>
  <c r="AK23" i="6"/>
  <c r="AL23" i="6"/>
  <c r="AM23" i="6"/>
  <c r="AN23" i="6"/>
  <c r="AO23" i="6"/>
  <c r="AP23" i="6"/>
  <c r="AQ23" i="6"/>
  <c r="AR23" i="6"/>
  <c r="AS23" i="6"/>
  <c r="AT23" i="6"/>
  <c r="AU23" i="6"/>
  <c r="AV23" i="6"/>
  <c r="AY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P24" i="6"/>
  <c r="Q24" i="6"/>
  <c r="R24" i="6"/>
  <c r="S24" i="6"/>
  <c r="T24" i="6"/>
  <c r="U24" i="6"/>
  <c r="V24" i="6"/>
  <c r="W24" i="6"/>
  <c r="X24" i="6"/>
  <c r="Y24" i="6"/>
  <c r="Z24" i="6"/>
  <c r="AA24" i="6"/>
  <c r="AB24" i="6"/>
  <c r="AC24" i="6"/>
  <c r="AD24" i="6"/>
  <c r="AE24" i="6"/>
  <c r="AF24" i="6"/>
  <c r="AG24" i="6"/>
  <c r="AH24" i="6"/>
  <c r="AI24" i="6"/>
  <c r="AJ24" i="6"/>
  <c r="AK24" i="6"/>
  <c r="AL24" i="6"/>
  <c r="AM24" i="6"/>
  <c r="AN24" i="6"/>
  <c r="AO24" i="6"/>
  <c r="AP24" i="6"/>
  <c r="AQ24" i="6"/>
  <c r="AR24" i="6"/>
  <c r="AS24" i="6"/>
  <c r="AT24" i="6"/>
  <c r="AU24" i="6"/>
  <c r="AV24" i="6"/>
  <c r="AY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P25" i="6"/>
  <c r="Q25" i="6"/>
  <c r="R25" i="6"/>
  <c r="S25" i="6"/>
  <c r="T25" i="6"/>
  <c r="U25" i="6"/>
  <c r="V25" i="6"/>
  <c r="W25" i="6"/>
  <c r="X25" i="6"/>
  <c r="Y25" i="6"/>
  <c r="Z25" i="6"/>
  <c r="AA25" i="6"/>
  <c r="AB25" i="6"/>
  <c r="AC25" i="6"/>
  <c r="AD25" i="6"/>
  <c r="AE25" i="6"/>
  <c r="AF25" i="6"/>
  <c r="AG25" i="6"/>
  <c r="AH25" i="6"/>
  <c r="AI25" i="6"/>
  <c r="AJ25" i="6"/>
  <c r="AK25" i="6"/>
  <c r="AL25" i="6"/>
  <c r="AM25" i="6"/>
  <c r="AN25" i="6"/>
  <c r="AO25" i="6"/>
  <c r="AP25" i="6"/>
  <c r="AQ25" i="6"/>
  <c r="AR25" i="6"/>
  <c r="AS25" i="6"/>
  <c r="AT25" i="6"/>
  <c r="AU25" i="6"/>
  <c r="AV25" i="6"/>
  <c r="AY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P26" i="6"/>
  <c r="Q26" i="6"/>
  <c r="R26" i="6"/>
  <c r="S26" i="6"/>
  <c r="T26" i="6"/>
  <c r="U26" i="6"/>
  <c r="V26" i="6"/>
  <c r="W26" i="6"/>
  <c r="X26" i="6"/>
  <c r="Y26" i="6"/>
  <c r="Z26" i="6"/>
  <c r="AA26" i="6"/>
  <c r="AB26" i="6"/>
  <c r="AC26" i="6"/>
  <c r="AD26" i="6"/>
  <c r="AE26" i="6"/>
  <c r="AF26" i="6"/>
  <c r="AG26" i="6"/>
  <c r="AH26" i="6"/>
  <c r="AI26" i="6"/>
  <c r="AJ26" i="6"/>
  <c r="AK26" i="6"/>
  <c r="AL26" i="6"/>
  <c r="AM26" i="6"/>
  <c r="AN26" i="6"/>
  <c r="AO26" i="6"/>
  <c r="AP26" i="6"/>
  <c r="AQ26" i="6"/>
  <c r="AR26" i="6"/>
  <c r="AS26" i="6"/>
  <c r="AT26" i="6"/>
  <c r="AU26" i="6"/>
  <c r="AV26" i="6"/>
  <c r="AY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P27" i="6"/>
  <c r="Q27" i="6"/>
  <c r="R27" i="6"/>
  <c r="S27" i="6"/>
  <c r="T27" i="6"/>
  <c r="U27" i="6"/>
  <c r="V27" i="6"/>
  <c r="W27" i="6"/>
  <c r="X27" i="6"/>
  <c r="Y27" i="6"/>
  <c r="Z27" i="6"/>
  <c r="AA27" i="6"/>
  <c r="AB27" i="6"/>
  <c r="AC27" i="6"/>
  <c r="AD27" i="6"/>
  <c r="AE27" i="6"/>
  <c r="AF27" i="6"/>
  <c r="AG27" i="6"/>
  <c r="AH27" i="6"/>
  <c r="AI27" i="6"/>
  <c r="AJ27" i="6"/>
  <c r="AK27" i="6"/>
  <c r="AL27" i="6"/>
  <c r="AM27" i="6"/>
  <c r="AN27" i="6"/>
  <c r="AO27" i="6"/>
  <c r="AP27" i="6"/>
  <c r="AQ27" i="6"/>
  <c r="AR27" i="6"/>
  <c r="AS27" i="6"/>
  <c r="AT27" i="6"/>
  <c r="AU27" i="6"/>
  <c r="AV27" i="6"/>
  <c r="AY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P28" i="6"/>
  <c r="Q28" i="6"/>
  <c r="R28" i="6"/>
  <c r="S28" i="6"/>
  <c r="T28" i="6"/>
  <c r="U28" i="6"/>
  <c r="V28" i="6"/>
  <c r="W28" i="6"/>
  <c r="X28" i="6"/>
  <c r="Y28" i="6"/>
  <c r="Z28" i="6"/>
  <c r="AA28" i="6"/>
  <c r="AB28" i="6"/>
  <c r="AC28" i="6"/>
  <c r="AD28" i="6"/>
  <c r="AE28" i="6"/>
  <c r="AF28" i="6"/>
  <c r="AG28" i="6"/>
  <c r="AH28" i="6"/>
  <c r="AI28" i="6"/>
  <c r="AJ28" i="6"/>
  <c r="AK28" i="6"/>
  <c r="AL28" i="6"/>
  <c r="AM28" i="6"/>
  <c r="AN28" i="6"/>
  <c r="AO28" i="6"/>
  <c r="AP28" i="6"/>
  <c r="AQ28" i="6"/>
  <c r="AR28" i="6"/>
  <c r="AS28" i="6"/>
  <c r="AT28" i="6"/>
  <c r="AU28" i="6"/>
  <c r="AV28" i="6"/>
  <c r="AY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P29" i="6"/>
  <c r="Q29" i="6"/>
  <c r="R29" i="6"/>
  <c r="S29" i="6"/>
  <c r="T29" i="6"/>
  <c r="U29" i="6"/>
  <c r="V29" i="6"/>
  <c r="W29" i="6"/>
  <c r="X29" i="6"/>
  <c r="Y29" i="6"/>
  <c r="Z29" i="6"/>
  <c r="AA29" i="6"/>
  <c r="AB29" i="6"/>
  <c r="AC29" i="6"/>
  <c r="AD29" i="6"/>
  <c r="AE29" i="6"/>
  <c r="AF29" i="6"/>
  <c r="AG29" i="6"/>
  <c r="AH29" i="6"/>
  <c r="AI29" i="6"/>
  <c r="AJ29" i="6"/>
  <c r="AK29" i="6"/>
  <c r="AL29" i="6"/>
  <c r="AM29" i="6"/>
  <c r="AN29" i="6"/>
  <c r="AO29" i="6"/>
  <c r="AP29" i="6"/>
  <c r="AQ29" i="6"/>
  <c r="AR29" i="6"/>
  <c r="AS29" i="6"/>
  <c r="AT29" i="6"/>
  <c r="AU29" i="6"/>
  <c r="AV29" i="6"/>
  <c r="AY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P30" i="6"/>
  <c r="Q30" i="6"/>
  <c r="R30" i="6"/>
  <c r="S30" i="6"/>
  <c r="T30" i="6"/>
  <c r="U30" i="6"/>
  <c r="V30" i="6"/>
  <c r="W30" i="6"/>
  <c r="X30" i="6"/>
  <c r="Y30" i="6"/>
  <c r="Z30" i="6"/>
  <c r="AA30" i="6"/>
  <c r="AB30" i="6"/>
  <c r="AC30" i="6"/>
  <c r="AD30" i="6"/>
  <c r="AE30" i="6"/>
  <c r="AF30" i="6"/>
  <c r="AG30" i="6"/>
  <c r="AH30" i="6"/>
  <c r="AI30" i="6"/>
  <c r="AJ30" i="6"/>
  <c r="AK30" i="6"/>
  <c r="AL30" i="6"/>
  <c r="AM30" i="6"/>
  <c r="AN30" i="6"/>
  <c r="AO30" i="6"/>
  <c r="AP30" i="6"/>
  <c r="AQ30" i="6"/>
  <c r="AR30" i="6"/>
  <c r="AS30" i="6"/>
  <c r="AT30" i="6"/>
  <c r="AU30" i="6"/>
  <c r="AV30" i="6"/>
  <c r="AY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P31" i="6"/>
  <c r="Q31" i="6"/>
  <c r="R31" i="6"/>
  <c r="S31" i="6"/>
  <c r="T31" i="6"/>
  <c r="U31" i="6"/>
  <c r="V31" i="6"/>
  <c r="W31" i="6"/>
  <c r="X31" i="6"/>
  <c r="Y31" i="6"/>
  <c r="Z31" i="6"/>
  <c r="AA31" i="6"/>
  <c r="AB31" i="6"/>
  <c r="AC31" i="6"/>
  <c r="AD31" i="6"/>
  <c r="AE31" i="6"/>
  <c r="AF31" i="6"/>
  <c r="AG31" i="6"/>
  <c r="AH31" i="6"/>
  <c r="AI31" i="6"/>
  <c r="AJ31" i="6"/>
  <c r="AK31" i="6"/>
  <c r="AL31" i="6"/>
  <c r="AM31" i="6"/>
  <c r="AN31" i="6"/>
  <c r="AO31" i="6"/>
  <c r="AP31" i="6"/>
  <c r="AQ31" i="6"/>
  <c r="AR31" i="6"/>
  <c r="AS31" i="6"/>
  <c r="AT31" i="6"/>
  <c r="AU31" i="6"/>
  <c r="AV31" i="6"/>
  <c r="AY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P32" i="6"/>
  <c r="Q32" i="6"/>
  <c r="R32" i="6"/>
  <c r="S32" i="6"/>
  <c r="T32" i="6"/>
  <c r="U32" i="6"/>
  <c r="V32" i="6"/>
  <c r="W32" i="6"/>
  <c r="X32" i="6"/>
  <c r="Y32" i="6"/>
  <c r="Z32" i="6"/>
  <c r="AA32" i="6"/>
  <c r="AB32" i="6"/>
  <c r="AC32" i="6"/>
  <c r="AD32" i="6"/>
  <c r="AE32" i="6"/>
  <c r="AF32" i="6"/>
  <c r="AG32" i="6"/>
  <c r="AH32" i="6"/>
  <c r="AI32" i="6"/>
  <c r="AJ32" i="6"/>
  <c r="AK32" i="6"/>
  <c r="AL32" i="6"/>
  <c r="AM32" i="6"/>
  <c r="AN32" i="6"/>
  <c r="AO32" i="6"/>
  <c r="AP32" i="6"/>
  <c r="AQ32" i="6"/>
  <c r="AR32" i="6"/>
  <c r="AS32" i="6"/>
  <c r="AT32" i="6"/>
  <c r="AU32" i="6"/>
  <c r="AV32" i="6"/>
  <c r="AY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P33" i="6"/>
  <c r="Q33" i="6"/>
  <c r="R33" i="6"/>
  <c r="S33" i="6"/>
  <c r="T33" i="6"/>
  <c r="U33" i="6"/>
  <c r="V33" i="6"/>
  <c r="W33" i="6"/>
  <c r="X33" i="6"/>
  <c r="Y33" i="6"/>
  <c r="Z33" i="6"/>
  <c r="AA33" i="6"/>
  <c r="AB33" i="6"/>
  <c r="AC33" i="6"/>
  <c r="AD33" i="6"/>
  <c r="AE33" i="6"/>
  <c r="AF33" i="6"/>
  <c r="AG33" i="6"/>
  <c r="AH33" i="6"/>
  <c r="AI33" i="6"/>
  <c r="AJ33" i="6"/>
  <c r="AK33" i="6"/>
  <c r="AL33" i="6"/>
  <c r="AM33" i="6"/>
  <c r="AN33" i="6"/>
  <c r="AO33" i="6"/>
  <c r="AP33" i="6"/>
  <c r="AQ33" i="6"/>
  <c r="AR33" i="6"/>
  <c r="AS33" i="6"/>
  <c r="AT33" i="6"/>
  <c r="AU33" i="6"/>
  <c r="AV33" i="6"/>
  <c r="AY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P34" i="6"/>
  <c r="Q34" i="6"/>
  <c r="R34" i="6"/>
  <c r="S34" i="6"/>
  <c r="T34" i="6"/>
  <c r="U34" i="6"/>
  <c r="V34" i="6"/>
  <c r="W34" i="6"/>
  <c r="X34" i="6"/>
  <c r="Y34" i="6"/>
  <c r="Z34" i="6"/>
  <c r="AA34" i="6"/>
  <c r="AB34" i="6"/>
  <c r="AC34" i="6"/>
  <c r="AD34" i="6"/>
  <c r="AE34" i="6"/>
  <c r="AF34" i="6"/>
  <c r="AG34" i="6"/>
  <c r="AH34" i="6"/>
  <c r="AI34" i="6"/>
  <c r="AJ34" i="6"/>
  <c r="AK34" i="6"/>
  <c r="AL34" i="6"/>
  <c r="AM34" i="6"/>
  <c r="AN34" i="6"/>
  <c r="AO34" i="6"/>
  <c r="AP34" i="6"/>
  <c r="AQ34" i="6"/>
  <c r="AR34" i="6"/>
  <c r="AS34" i="6"/>
  <c r="AT34" i="6"/>
  <c r="AU34" i="6"/>
  <c r="AV34" i="6"/>
  <c r="AY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P35" i="6"/>
  <c r="Q35" i="6"/>
  <c r="R35" i="6"/>
  <c r="S35" i="6"/>
  <c r="T35" i="6"/>
  <c r="U35" i="6"/>
  <c r="V35" i="6"/>
  <c r="W35" i="6"/>
  <c r="X35" i="6"/>
  <c r="Y35" i="6"/>
  <c r="Z35" i="6"/>
  <c r="AA35" i="6"/>
  <c r="AB35" i="6"/>
  <c r="AC35" i="6"/>
  <c r="AD35" i="6"/>
  <c r="AE35" i="6"/>
  <c r="AF35" i="6"/>
  <c r="AG35" i="6"/>
  <c r="AH35" i="6"/>
  <c r="AI35" i="6"/>
  <c r="AJ35" i="6"/>
  <c r="AK35" i="6"/>
  <c r="AL35" i="6"/>
  <c r="AM35" i="6"/>
  <c r="AN35" i="6"/>
  <c r="AO35" i="6"/>
  <c r="AP35" i="6"/>
  <c r="AQ35" i="6"/>
  <c r="AR35" i="6"/>
  <c r="AS35" i="6"/>
  <c r="AT35" i="6"/>
  <c r="AU35" i="6"/>
  <c r="AV35" i="6"/>
  <c r="AY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P36" i="6"/>
  <c r="Q36" i="6"/>
  <c r="R36" i="6"/>
  <c r="S36" i="6"/>
  <c r="T36" i="6"/>
  <c r="U36" i="6"/>
  <c r="V36" i="6"/>
  <c r="W36" i="6"/>
  <c r="X36" i="6"/>
  <c r="Y36" i="6"/>
  <c r="Z36" i="6"/>
  <c r="AA36" i="6"/>
  <c r="AB36" i="6"/>
  <c r="AC36" i="6"/>
  <c r="AD36" i="6"/>
  <c r="AE36" i="6"/>
  <c r="AF36" i="6"/>
  <c r="AG36" i="6"/>
  <c r="AH36" i="6"/>
  <c r="AI36" i="6"/>
  <c r="AJ36" i="6"/>
  <c r="AK36" i="6"/>
  <c r="AL36" i="6"/>
  <c r="AM36" i="6"/>
  <c r="AN36" i="6"/>
  <c r="AO36" i="6"/>
  <c r="AP36" i="6"/>
  <c r="AQ36" i="6"/>
  <c r="AR36" i="6"/>
  <c r="AS36" i="6"/>
  <c r="AT36" i="6"/>
  <c r="AU36" i="6"/>
  <c r="AV36" i="6"/>
  <c r="AY36" i="6"/>
  <c r="B37" i="6"/>
  <c r="C37" i="6"/>
  <c r="D37" i="6"/>
  <c r="E37" i="6"/>
  <c r="F37" i="6"/>
  <c r="G37" i="6"/>
  <c r="H37" i="6"/>
  <c r="I37" i="6"/>
  <c r="J37" i="6"/>
  <c r="K37" i="6"/>
  <c r="L37" i="6"/>
  <c r="M37" i="6"/>
  <c r="N37" i="6"/>
  <c r="O37" i="6"/>
  <c r="P37" i="6"/>
  <c r="Q37" i="6"/>
  <c r="R37" i="6"/>
  <c r="S37" i="6"/>
  <c r="T37" i="6"/>
  <c r="U37" i="6"/>
  <c r="V37" i="6"/>
  <c r="W37" i="6"/>
  <c r="X37" i="6"/>
  <c r="Y37" i="6"/>
  <c r="Z37" i="6"/>
  <c r="AA37" i="6"/>
  <c r="AB37" i="6"/>
  <c r="AC37" i="6"/>
  <c r="AD37" i="6"/>
  <c r="AE37" i="6"/>
  <c r="AF37" i="6"/>
  <c r="AG37" i="6"/>
  <c r="AH37" i="6"/>
  <c r="AI37" i="6"/>
  <c r="AJ37" i="6"/>
  <c r="AK37" i="6"/>
  <c r="AL37" i="6"/>
  <c r="AM37" i="6"/>
  <c r="AN37" i="6"/>
  <c r="AO37" i="6"/>
  <c r="AP37" i="6"/>
  <c r="AQ37" i="6"/>
  <c r="AR37" i="6"/>
  <c r="AS37" i="6"/>
  <c r="AT37" i="6"/>
  <c r="AU37" i="6"/>
  <c r="AV37" i="6"/>
  <c r="AY37" i="6"/>
  <c r="B38" i="6"/>
  <c r="C38" i="6"/>
  <c r="D38" i="6"/>
  <c r="E38" i="6"/>
  <c r="F38" i="6"/>
  <c r="G38" i="6"/>
  <c r="H38" i="6"/>
  <c r="I38" i="6"/>
  <c r="J38" i="6"/>
  <c r="K38" i="6"/>
  <c r="L38" i="6"/>
  <c r="M38" i="6"/>
  <c r="N38" i="6"/>
  <c r="O38" i="6"/>
  <c r="P38" i="6"/>
  <c r="Q38" i="6"/>
  <c r="R38" i="6"/>
  <c r="S38" i="6"/>
  <c r="T38" i="6"/>
  <c r="U38" i="6"/>
  <c r="V38" i="6"/>
  <c r="W38" i="6"/>
  <c r="X38" i="6"/>
  <c r="Y38" i="6"/>
  <c r="Z38" i="6"/>
  <c r="AA38" i="6"/>
  <c r="AB38" i="6"/>
  <c r="AC38" i="6"/>
  <c r="AD38" i="6"/>
  <c r="AE38" i="6"/>
  <c r="AF38" i="6"/>
  <c r="AG38" i="6"/>
  <c r="AH38" i="6"/>
  <c r="AI38" i="6"/>
  <c r="AJ38" i="6"/>
  <c r="AK38" i="6"/>
  <c r="AL38" i="6"/>
  <c r="AM38" i="6"/>
  <c r="AN38" i="6"/>
  <c r="AO38" i="6"/>
  <c r="AP38" i="6"/>
  <c r="AQ38" i="6"/>
  <c r="AR38" i="6"/>
  <c r="AS38" i="6"/>
  <c r="AT38" i="6"/>
  <c r="AU38" i="6"/>
  <c r="AV38" i="6"/>
  <c r="AY38" i="6"/>
  <c r="B39" i="6"/>
  <c r="C39" i="6"/>
  <c r="D39" i="6"/>
  <c r="E39" i="6"/>
  <c r="F39" i="6"/>
  <c r="G39" i="6"/>
  <c r="H39" i="6"/>
  <c r="I39" i="6"/>
  <c r="J39" i="6"/>
  <c r="K39" i="6"/>
  <c r="L39" i="6"/>
  <c r="M39" i="6"/>
  <c r="N39" i="6"/>
  <c r="O39" i="6"/>
  <c r="P39" i="6"/>
  <c r="Q39" i="6"/>
  <c r="R39" i="6"/>
  <c r="S39" i="6"/>
  <c r="T39" i="6"/>
  <c r="U39" i="6"/>
  <c r="V39" i="6"/>
  <c r="W39" i="6"/>
  <c r="X39" i="6"/>
  <c r="Y39" i="6"/>
  <c r="Z39" i="6"/>
  <c r="AA39" i="6"/>
  <c r="AB39" i="6"/>
  <c r="AC39" i="6"/>
  <c r="AD39" i="6"/>
  <c r="AE39" i="6"/>
  <c r="AF39" i="6"/>
  <c r="AG39" i="6"/>
  <c r="AH39" i="6"/>
  <c r="AI39" i="6"/>
  <c r="AJ39" i="6"/>
  <c r="AK39" i="6"/>
  <c r="AL39" i="6"/>
  <c r="AM39" i="6"/>
  <c r="AN39" i="6"/>
  <c r="AO39" i="6"/>
  <c r="AP39" i="6"/>
  <c r="AQ39" i="6"/>
  <c r="AR39" i="6"/>
  <c r="AS39" i="6"/>
  <c r="AT39" i="6"/>
  <c r="AU39" i="6"/>
  <c r="AV39" i="6"/>
  <c r="AY39" i="6"/>
  <c r="B40" i="6"/>
  <c r="C40" i="6"/>
  <c r="D40" i="6"/>
  <c r="E40" i="6"/>
  <c r="F40" i="6"/>
  <c r="G40" i="6"/>
  <c r="H40" i="6"/>
  <c r="I40" i="6"/>
  <c r="J40" i="6"/>
  <c r="K40" i="6"/>
  <c r="L40" i="6"/>
  <c r="M40" i="6"/>
  <c r="N40" i="6"/>
  <c r="O40" i="6"/>
  <c r="P40" i="6"/>
  <c r="Q40" i="6"/>
  <c r="R40" i="6"/>
  <c r="S40" i="6"/>
  <c r="T40" i="6"/>
  <c r="U40" i="6"/>
  <c r="V40" i="6"/>
  <c r="W40" i="6"/>
  <c r="X40" i="6"/>
  <c r="Y40" i="6"/>
  <c r="Z40" i="6"/>
  <c r="AA40" i="6"/>
  <c r="AB40" i="6"/>
  <c r="AC40" i="6"/>
  <c r="AD40" i="6"/>
  <c r="AE40" i="6"/>
  <c r="AF40" i="6"/>
  <c r="AG40" i="6"/>
  <c r="AH40" i="6"/>
  <c r="AI40" i="6"/>
  <c r="AJ40" i="6"/>
  <c r="AK40" i="6"/>
  <c r="AL40" i="6"/>
  <c r="AM40" i="6"/>
  <c r="AN40" i="6"/>
  <c r="AO40" i="6"/>
  <c r="AP40" i="6"/>
  <c r="AQ40" i="6"/>
  <c r="AR40" i="6"/>
  <c r="AS40" i="6"/>
  <c r="AT40" i="6"/>
  <c r="AU40" i="6"/>
  <c r="AV40" i="6"/>
  <c r="AY40" i="6"/>
  <c r="B41" i="6"/>
  <c r="C41" i="6"/>
  <c r="D41" i="6"/>
  <c r="E41" i="6"/>
  <c r="F41" i="6"/>
  <c r="G41" i="6"/>
  <c r="H41" i="6"/>
  <c r="I41" i="6"/>
  <c r="J41" i="6"/>
  <c r="K41" i="6"/>
  <c r="L41" i="6"/>
  <c r="M41" i="6"/>
  <c r="N41" i="6"/>
  <c r="O41" i="6"/>
  <c r="P41" i="6"/>
  <c r="Q41" i="6"/>
  <c r="R41" i="6"/>
  <c r="S41" i="6"/>
  <c r="T41" i="6"/>
  <c r="U41" i="6"/>
  <c r="V41" i="6"/>
  <c r="W41" i="6"/>
  <c r="X41" i="6"/>
  <c r="Y41" i="6"/>
  <c r="Z41" i="6"/>
  <c r="AA41" i="6"/>
  <c r="AB41" i="6"/>
  <c r="AC41" i="6"/>
  <c r="AD41" i="6"/>
  <c r="AE41" i="6"/>
  <c r="AF41" i="6"/>
  <c r="AG41" i="6"/>
  <c r="AH41" i="6"/>
  <c r="AI41" i="6"/>
  <c r="AJ41" i="6"/>
  <c r="AK41" i="6"/>
  <c r="AL41" i="6"/>
  <c r="AM41" i="6"/>
  <c r="AN41" i="6"/>
  <c r="AO41" i="6"/>
  <c r="AP41" i="6"/>
  <c r="AQ41" i="6"/>
  <c r="AR41" i="6"/>
  <c r="AS41" i="6"/>
  <c r="AT41" i="6"/>
  <c r="AU41" i="6"/>
  <c r="AV41" i="6"/>
  <c r="AY41" i="6"/>
  <c r="B42" i="6"/>
  <c r="C42" i="6"/>
  <c r="D42" i="6"/>
  <c r="E42" i="6"/>
  <c r="F42" i="6"/>
  <c r="G42" i="6"/>
  <c r="H42" i="6"/>
  <c r="I42" i="6"/>
  <c r="J42" i="6"/>
  <c r="K42" i="6"/>
  <c r="L42" i="6"/>
  <c r="M42" i="6"/>
  <c r="N42" i="6"/>
  <c r="O42" i="6"/>
  <c r="P42" i="6"/>
  <c r="Q42" i="6"/>
  <c r="R42" i="6"/>
  <c r="S42" i="6"/>
  <c r="T42" i="6"/>
  <c r="U42" i="6"/>
  <c r="V42" i="6"/>
  <c r="W42" i="6"/>
  <c r="X42" i="6"/>
  <c r="Y42" i="6"/>
  <c r="Z42" i="6"/>
  <c r="AA42" i="6"/>
  <c r="AB42" i="6"/>
  <c r="AC42" i="6"/>
  <c r="AD42" i="6"/>
  <c r="AE42" i="6"/>
  <c r="AF42" i="6"/>
  <c r="AG42" i="6"/>
  <c r="AH42" i="6"/>
  <c r="AI42" i="6"/>
  <c r="AJ42" i="6"/>
  <c r="AK42" i="6"/>
  <c r="AL42" i="6"/>
  <c r="AM42" i="6"/>
  <c r="AN42" i="6"/>
  <c r="AO42" i="6"/>
  <c r="AP42" i="6"/>
  <c r="AQ42" i="6"/>
  <c r="AR42" i="6"/>
  <c r="AS42" i="6"/>
  <c r="AT42" i="6"/>
  <c r="AU42" i="6"/>
  <c r="AV42" i="6"/>
  <c r="AY42" i="6"/>
  <c r="B43" i="6"/>
  <c r="C43" i="6"/>
  <c r="D43" i="6"/>
  <c r="E43" i="6"/>
  <c r="F43" i="6"/>
  <c r="G43" i="6"/>
  <c r="H43" i="6"/>
  <c r="I43" i="6"/>
  <c r="J43" i="6"/>
  <c r="K43" i="6"/>
  <c r="L43" i="6"/>
  <c r="M43" i="6"/>
  <c r="N43" i="6"/>
  <c r="O43" i="6"/>
  <c r="P43" i="6"/>
  <c r="Q43" i="6"/>
  <c r="R43" i="6"/>
  <c r="S43" i="6"/>
  <c r="T43" i="6"/>
  <c r="U43" i="6"/>
  <c r="V43" i="6"/>
  <c r="W43" i="6"/>
  <c r="X43" i="6"/>
  <c r="Y43" i="6"/>
  <c r="Z43" i="6"/>
  <c r="AA43" i="6"/>
  <c r="AB43" i="6"/>
  <c r="AC43" i="6"/>
  <c r="AD43" i="6"/>
  <c r="AE43" i="6"/>
  <c r="AF43" i="6"/>
  <c r="AG43" i="6"/>
  <c r="AH43" i="6"/>
  <c r="AI43" i="6"/>
  <c r="AJ43" i="6"/>
  <c r="AK43" i="6"/>
  <c r="AL43" i="6"/>
  <c r="AM43" i="6"/>
  <c r="AN43" i="6"/>
  <c r="AO43" i="6"/>
  <c r="AP43" i="6"/>
  <c r="AQ43" i="6"/>
  <c r="AR43" i="6"/>
  <c r="AS43" i="6"/>
  <c r="AT43" i="6"/>
  <c r="AU43" i="6"/>
  <c r="AV43" i="6"/>
  <c r="AY43" i="6"/>
  <c r="B44" i="6"/>
  <c r="C44" i="6"/>
  <c r="D44" i="6"/>
  <c r="E44" i="6"/>
  <c r="F44" i="6"/>
  <c r="G44" i="6"/>
  <c r="H44" i="6"/>
  <c r="I44" i="6"/>
  <c r="J44" i="6"/>
  <c r="K44" i="6"/>
  <c r="L44" i="6"/>
  <c r="M44" i="6"/>
  <c r="N44" i="6"/>
  <c r="O44" i="6"/>
  <c r="P44" i="6"/>
  <c r="Q44" i="6"/>
  <c r="R44" i="6"/>
  <c r="S44" i="6"/>
  <c r="T44" i="6"/>
  <c r="U44" i="6"/>
  <c r="V44" i="6"/>
  <c r="W44" i="6"/>
  <c r="X44" i="6"/>
  <c r="Y44" i="6"/>
  <c r="Z44" i="6"/>
  <c r="AA44" i="6"/>
  <c r="AB44" i="6"/>
  <c r="AC44" i="6"/>
  <c r="AD44" i="6"/>
  <c r="AE44" i="6"/>
  <c r="AF44" i="6"/>
  <c r="AG44" i="6"/>
  <c r="AH44" i="6"/>
  <c r="AI44" i="6"/>
  <c r="AJ44" i="6"/>
  <c r="AK44" i="6"/>
  <c r="AL44" i="6"/>
  <c r="AM44" i="6"/>
  <c r="AN44" i="6"/>
  <c r="AO44" i="6"/>
  <c r="AP44" i="6"/>
  <c r="AQ44" i="6"/>
  <c r="AR44" i="6"/>
  <c r="AS44" i="6"/>
  <c r="AT44" i="6"/>
  <c r="AU44" i="6"/>
  <c r="AV44" i="6"/>
  <c r="AY44" i="6"/>
  <c r="B45" i="6"/>
  <c r="C45" i="6"/>
  <c r="D45" i="6"/>
  <c r="E45" i="6"/>
  <c r="F45" i="6"/>
  <c r="G45" i="6"/>
  <c r="H45" i="6"/>
  <c r="I45" i="6"/>
  <c r="J45" i="6"/>
  <c r="K45" i="6"/>
  <c r="L45" i="6"/>
  <c r="M45" i="6"/>
  <c r="N45" i="6"/>
  <c r="O45" i="6"/>
  <c r="P45" i="6"/>
  <c r="Q45" i="6"/>
  <c r="R45" i="6"/>
  <c r="S45" i="6"/>
  <c r="T45" i="6"/>
  <c r="U45" i="6"/>
  <c r="V45" i="6"/>
  <c r="W45" i="6"/>
  <c r="X45" i="6"/>
  <c r="Y45" i="6"/>
  <c r="Z45" i="6"/>
  <c r="AA45" i="6"/>
  <c r="AB45" i="6"/>
  <c r="AC45" i="6"/>
  <c r="AD45" i="6"/>
  <c r="AE45" i="6"/>
  <c r="AF45" i="6"/>
  <c r="AG45" i="6"/>
  <c r="AH45" i="6"/>
  <c r="AI45" i="6"/>
  <c r="AJ45" i="6"/>
  <c r="AK45" i="6"/>
  <c r="AL45" i="6"/>
  <c r="AM45" i="6"/>
  <c r="AN45" i="6"/>
  <c r="AO45" i="6"/>
  <c r="AP45" i="6"/>
  <c r="AQ45" i="6"/>
  <c r="AR45" i="6"/>
  <c r="AS45" i="6"/>
  <c r="AT45" i="6"/>
  <c r="AU45" i="6"/>
  <c r="AV45" i="6"/>
  <c r="AY45" i="6"/>
  <c r="B46" i="6"/>
  <c r="C46" i="6"/>
  <c r="D46" i="6"/>
  <c r="E46" i="6"/>
  <c r="F46" i="6"/>
  <c r="G46" i="6"/>
  <c r="H46" i="6"/>
  <c r="I46" i="6"/>
  <c r="J46" i="6"/>
  <c r="K46" i="6"/>
  <c r="L46" i="6"/>
  <c r="M46" i="6"/>
  <c r="N46" i="6"/>
  <c r="O46" i="6"/>
  <c r="P46" i="6"/>
  <c r="Q46" i="6"/>
  <c r="R46" i="6"/>
  <c r="S46" i="6"/>
  <c r="T46" i="6"/>
  <c r="U46" i="6"/>
  <c r="V46" i="6"/>
  <c r="W46" i="6"/>
  <c r="X46" i="6"/>
  <c r="Y46" i="6"/>
  <c r="Z46" i="6"/>
  <c r="AA46" i="6"/>
  <c r="AB46" i="6"/>
  <c r="AC46" i="6"/>
  <c r="AD46" i="6"/>
  <c r="AE46" i="6"/>
  <c r="AF46" i="6"/>
  <c r="AG46" i="6"/>
  <c r="AH46" i="6"/>
  <c r="AI46" i="6"/>
  <c r="AJ46" i="6"/>
  <c r="AK46" i="6"/>
  <c r="AL46" i="6"/>
  <c r="AM46" i="6"/>
  <c r="AN46" i="6"/>
  <c r="AO46" i="6"/>
  <c r="AP46" i="6"/>
  <c r="AQ46" i="6"/>
  <c r="AR46" i="6"/>
  <c r="AS46" i="6"/>
  <c r="AT46" i="6"/>
  <c r="AU46" i="6"/>
  <c r="AV46" i="6"/>
  <c r="AY46" i="6"/>
  <c r="B47" i="6"/>
  <c r="C47" i="6"/>
  <c r="D47" i="6"/>
  <c r="E47" i="6"/>
  <c r="F47" i="6"/>
  <c r="G47" i="6"/>
  <c r="H47" i="6"/>
  <c r="I47" i="6"/>
  <c r="J47" i="6"/>
  <c r="K47" i="6"/>
  <c r="L47" i="6"/>
  <c r="M47" i="6"/>
  <c r="N47" i="6"/>
  <c r="O47" i="6"/>
  <c r="P47" i="6"/>
  <c r="Q47" i="6"/>
  <c r="R47" i="6"/>
  <c r="S47" i="6"/>
  <c r="T47" i="6"/>
  <c r="U47" i="6"/>
  <c r="V47" i="6"/>
  <c r="W47" i="6"/>
  <c r="X47" i="6"/>
  <c r="Y47" i="6"/>
  <c r="Z47" i="6"/>
  <c r="AA47" i="6"/>
  <c r="AB47" i="6"/>
  <c r="AC47" i="6"/>
  <c r="AD47" i="6"/>
  <c r="AE47" i="6"/>
  <c r="AF47" i="6"/>
  <c r="AG47" i="6"/>
  <c r="AH47" i="6"/>
  <c r="AI47" i="6"/>
  <c r="AJ47" i="6"/>
  <c r="AK47" i="6"/>
  <c r="AL47" i="6"/>
  <c r="AM47" i="6"/>
  <c r="AN47" i="6"/>
  <c r="AO47" i="6"/>
  <c r="AP47" i="6"/>
  <c r="AQ47" i="6"/>
  <c r="AR47" i="6"/>
  <c r="AS47" i="6"/>
  <c r="AT47" i="6"/>
  <c r="AU47" i="6"/>
  <c r="AV47" i="6"/>
  <c r="AY47" i="6"/>
  <c r="B48" i="6"/>
  <c r="C48" i="6"/>
  <c r="D48" i="6"/>
  <c r="E48" i="6"/>
  <c r="F48" i="6"/>
  <c r="G48" i="6"/>
  <c r="H48" i="6"/>
  <c r="I48" i="6"/>
  <c r="J48" i="6"/>
  <c r="K48" i="6"/>
  <c r="L48" i="6"/>
  <c r="M48" i="6"/>
  <c r="N48" i="6"/>
  <c r="O48" i="6"/>
  <c r="P48" i="6"/>
  <c r="Q48" i="6"/>
  <c r="R48" i="6"/>
  <c r="S48" i="6"/>
  <c r="T48" i="6"/>
  <c r="U48" i="6"/>
  <c r="V48" i="6"/>
  <c r="W48" i="6"/>
  <c r="X48" i="6"/>
  <c r="Y48" i="6"/>
  <c r="Z48" i="6"/>
  <c r="AA48" i="6"/>
  <c r="AB48" i="6"/>
  <c r="AC48" i="6"/>
  <c r="AD48" i="6"/>
  <c r="AE48" i="6"/>
  <c r="AF48" i="6"/>
  <c r="AG48" i="6"/>
  <c r="AH48" i="6"/>
  <c r="AI48" i="6"/>
  <c r="AJ48" i="6"/>
  <c r="AK48" i="6"/>
  <c r="AL48" i="6"/>
  <c r="AM48" i="6"/>
  <c r="AN48" i="6"/>
  <c r="AO48" i="6"/>
  <c r="AP48" i="6"/>
  <c r="AQ48" i="6"/>
  <c r="AR48" i="6"/>
  <c r="AS48" i="6"/>
  <c r="AT48" i="6"/>
  <c r="AU48" i="6"/>
  <c r="AV48" i="6"/>
  <c r="AY48" i="6"/>
  <c r="B49" i="6"/>
  <c r="C49" i="6"/>
  <c r="D49" i="6"/>
  <c r="E49" i="6"/>
  <c r="F49" i="6"/>
  <c r="G49" i="6"/>
  <c r="H49" i="6"/>
  <c r="I49" i="6"/>
  <c r="J49" i="6"/>
  <c r="K49" i="6"/>
  <c r="L49" i="6"/>
  <c r="M49" i="6"/>
  <c r="N49" i="6"/>
  <c r="O49" i="6"/>
  <c r="P49" i="6"/>
  <c r="Q49" i="6"/>
  <c r="R49" i="6"/>
  <c r="S49" i="6"/>
  <c r="T49" i="6"/>
  <c r="U49" i="6"/>
  <c r="V49" i="6"/>
  <c r="W49" i="6"/>
  <c r="X49" i="6"/>
  <c r="Y49" i="6"/>
  <c r="Z49" i="6"/>
  <c r="AA49" i="6"/>
  <c r="AB49" i="6"/>
  <c r="AC49" i="6"/>
  <c r="AD49" i="6"/>
  <c r="AE49" i="6"/>
  <c r="AF49" i="6"/>
  <c r="AG49" i="6"/>
  <c r="AH49" i="6"/>
  <c r="AI49" i="6"/>
  <c r="AJ49" i="6"/>
  <c r="AK49" i="6"/>
  <c r="AL49" i="6"/>
  <c r="AM49" i="6"/>
  <c r="AN49" i="6"/>
  <c r="AO49" i="6"/>
  <c r="AP49" i="6"/>
  <c r="AQ49" i="6"/>
  <c r="AR49" i="6"/>
  <c r="AS49" i="6"/>
  <c r="AT49" i="6"/>
  <c r="AU49" i="6"/>
  <c r="AV49" i="6"/>
  <c r="AY49" i="6"/>
  <c r="B50" i="6"/>
  <c r="C50" i="6"/>
  <c r="D50" i="6"/>
  <c r="E50" i="6"/>
  <c r="F50" i="6"/>
  <c r="G50" i="6"/>
  <c r="H50" i="6"/>
  <c r="I50" i="6"/>
  <c r="J50" i="6"/>
  <c r="K50" i="6"/>
  <c r="L50" i="6"/>
  <c r="M50" i="6"/>
  <c r="N50" i="6"/>
  <c r="O50" i="6"/>
  <c r="P50" i="6"/>
  <c r="Q50" i="6"/>
  <c r="R50" i="6"/>
  <c r="S50" i="6"/>
  <c r="T50" i="6"/>
  <c r="U50" i="6"/>
  <c r="V50" i="6"/>
  <c r="W50" i="6"/>
  <c r="X50" i="6"/>
  <c r="Y50" i="6"/>
  <c r="Z50" i="6"/>
  <c r="AA50" i="6"/>
  <c r="AB50" i="6"/>
  <c r="AC50" i="6"/>
  <c r="AD50" i="6"/>
  <c r="AE50" i="6"/>
  <c r="AF50" i="6"/>
  <c r="AG50" i="6"/>
  <c r="AH50" i="6"/>
  <c r="AI50" i="6"/>
  <c r="AJ50" i="6"/>
  <c r="AK50" i="6"/>
  <c r="AL50" i="6"/>
  <c r="AM50" i="6"/>
  <c r="AN50" i="6"/>
  <c r="AO50" i="6"/>
  <c r="AP50" i="6"/>
  <c r="AQ50" i="6"/>
  <c r="AR50" i="6"/>
  <c r="AS50" i="6"/>
  <c r="AT50" i="6"/>
  <c r="AU50" i="6"/>
  <c r="AV50" i="6"/>
  <c r="AY50" i="6"/>
  <c r="B51" i="6"/>
  <c r="C51" i="6"/>
  <c r="D51" i="6"/>
  <c r="E51" i="6"/>
  <c r="F51" i="6"/>
  <c r="G51" i="6"/>
  <c r="H51" i="6"/>
  <c r="I51" i="6"/>
  <c r="J51" i="6"/>
  <c r="K51" i="6"/>
  <c r="L51" i="6"/>
  <c r="M51" i="6"/>
  <c r="N51" i="6"/>
  <c r="O51" i="6"/>
  <c r="P51" i="6"/>
  <c r="Q51" i="6"/>
  <c r="R51" i="6"/>
  <c r="S51" i="6"/>
  <c r="T51" i="6"/>
  <c r="U51" i="6"/>
  <c r="V51" i="6"/>
  <c r="W51" i="6"/>
  <c r="X51" i="6"/>
  <c r="Y51" i="6"/>
  <c r="Z51" i="6"/>
  <c r="AA51" i="6"/>
  <c r="AB51" i="6"/>
  <c r="AC51" i="6"/>
  <c r="AD51" i="6"/>
  <c r="AE51" i="6"/>
  <c r="AF51" i="6"/>
  <c r="AG51" i="6"/>
  <c r="AH51" i="6"/>
  <c r="AI51" i="6"/>
  <c r="AJ51" i="6"/>
  <c r="AK51" i="6"/>
  <c r="AL51" i="6"/>
  <c r="AM51" i="6"/>
  <c r="AN51" i="6"/>
  <c r="AO51" i="6"/>
  <c r="AP51" i="6"/>
  <c r="AQ51" i="6"/>
  <c r="AR51" i="6"/>
  <c r="AS51" i="6"/>
  <c r="AT51" i="6"/>
  <c r="AU51" i="6"/>
  <c r="AV51" i="6"/>
  <c r="AY51" i="6"/>
  <c r="B52" i="6"/>
  <c r="C52" i="6"/>
  <c r="D52" i="6"/>
  <c r="E52" i="6"/>
  <c r="F52" i="6"/>
  <c r="G52" i="6"/>
  <c r="H52" i="6"/>
  <c r="I52" i="6"/>
  <c r="J52" i="6"/>
  <c r="K52" i="6"/>
  <c r="L52" i="6"/>
  <c r="M52" i="6"/>
  <c r="N52" i="6"/>
  <c r="O52" i="6"/>
  <c r="P52" i="6"/>
  <c r="Q52" i="6"/>
  <c r="R52" i="6"/>
  <c r="S52" i="6"/>
  <c r="T52" i="6"/>
  <c r="U52" i="6"/>
  <c r="V52" i="6"/>
  <c r="W52" i="6"/>
  <c r="X52" i="6"/>
  <c r="Y52" i="6"/>
  <c r="Z52" i="6"/>
  <c r="AA52" i="6"/>
  <c r="AB52" i="6"/>
  <c r="AC52" i="6"/>
  <c r="AD52" i="6"/>
  <c r="AE52" i="6"/>
  <c r="AF52" i="6"/>
  <c r="AG52" i="6"/>
  <c r="AH52" i="6"/>
  <c r="AI52" i="6"/>
  <c r="AJ52" i="6"/>
  <c r="AK52" i="6"/>
  <c r="AL52" i="6"/>
  <c r="AM52" i="6"/>
  <c r="AN52" i="6"/>
  <c r="AO52" i="6"/>
  <c r="AP52" i="6"/>
  <c r="AQ52" i="6"/>
  <c r="AR52" i="6"/>
  <c r="AS52" i="6"/>
  <c r="AT52" i="6"/>
  <c r="AU52" i="6"/>
  <c r="AV52" i="6"/>
  <c r="AY52" i="6"/>
  <c r="B53" i="6"/>
  <c r="C53" i="6"/>
  <c r="D53" i="6"/>
  <c r="E53" i="6"/>
  <c r="F53" i="6"/>
  <c r="G53" i="6"/>
  <c r="H53" i="6"/>
  <c r="I53" i="6"/>
  <c r="J53" i="6"/>
  <c r="K53" i="6"/>
  <c r="L53" i="6"/>
  <c r="M53" i="6"/>
  <c r="N53" i="6"/>
  <c r="O53" i="6"/>
  <c r="P53" i="6"/>
  <c r="Q53" i="6"/>
  <c r="R53" i="6"/>
  <c r="S53" i="6"/>
  <c r="T53" i="6"/>
  <c r="U53" i="6"/>
  <c r="V53" i="6"/>
  <c r="W53" i="6"/>
  <c r="X53" i="6"/>
  <c r="Y53" i="6"/>
  <c r="Z53" i="6"/>
  <c r="AA53" i="6"/>
  <c r="AB53" i="6"/>
  <c r="AC53" i="6"/>
  <c r="AD53" i="6"/>
  <c r="AE53" i="6"/>
  <c r="AF53" i="6"/>
  <c r="AG53" i="6"/>
  <c r="AH53" i="6"/>
  <c r="AI53" i="6"/>
  <c r="AJ53" i="6"/>
  <c r="AK53" i="6"/>
  <c r="AL53" i="6"/>
  <c r="AM53" i="6"/>
  <c r="AN53" i="6"/>
  <c r="AO53" i="6"/>
  <c r="AP53" i="6"/>
  <c r="AQ53" i="6"/>
  <c r="AR53" i="6"/>
  <c r="AS53" i="6"/>
  <c r="AT53" i="6"/>
  <c r="AU53" i="6"/>
  <c r="AV53" i="6"/>
  <c r="AY53" i="6"/>
  <c r="B54" i="6"/>
  <c r="C54" i="6"/>
  <c r="D54" i="6"/>
  <c r="E54" i="6"/>
  <c r="F54" i="6"/>
  <c r="G54" i="6"/>
  <c r="H54" i="6"/>
  <c r="I54" i="6"/>
  <c r="J54" i="6"/>
  <c r="K54" i="6"/>
  <c r="L54" i="6"/>
  <c r="M54" i="6"/>
  <c r="N54" i="6"/>
  <c r="O54" i="6"/>
  <c r="P54" i="6"/>
  <c r="Q54" i="6"/>
  <c r="R54" i="6"/>
  <c r="S54" i="6"/>
  <c r="T54" i="6"/>
  <c r="U54" i="6"/>
  <c r="V54" i="6"/>
  <c r="W54" i="6"/>
  <c r="X54" i="6"/>
  <c r="Y54" i="6"/>
  <c r="Z54" i="6"/>
  <c r="AA54" i="6"/>
  <c r="AB54" i="6"/>
  <c r="AC54" i="6"/>
  <c r="AD54" i="6"/>
  <c r="AE54" i="6"/>
  <c r="AF54" i="6"/>
  <c r="AG54" i="6"/>
  <c r="AH54" i="6"/>
  <c r="AI54" i="6"/>
  <c r="AJ54" i="6"/>
  <c r="AK54" i="6"/>
  <c r="AL54" i="6"/>
  <c r="AM54" i="6"/>
  <c r="AN54" i="6"/>
  <c r="AO54" i="6"/>
  <c r="AP54" i="6"/>
  <c r="AQ54" i="6"/>
  <c r="AR54" i="6"/>
  <c r="AS54" i="6"/>
  <c r="AT54" i="6"/>
  <c r="AU54" i="6"/>
  <c r="AV54" i="6"/>
  <c r="AY54" i="6"/>
  <c r="B55" i="6"/>
  <c r="C55" i="6"/>
  <c r="D55" i="6"/>
  <c r="E55" i="6"/>
  <c r="F55" i="6"/>
  <c r="G55" i="6"/>
  <c r="H55" i="6"/>
  <c r="I55" i="6"/>
  <c r="J55" i="6"/>
  <c r="K55" i="6"/>
  <c r="L55" i="6"/>
  <c r="M55" i="6"/>
  <c r="N55" i="6"/>
  <c r="O55" i="6"/>
  <c r="P55" i="6"/>
  <c r="Q55" i="6"/>
  <c r="R55" i="6"/>
  <c r="S55" i="6"/>
  <c r="T55" i="6"/>
  <c r="U55" i="6"/>
  <c r="V55" i="6"/>
  <c r="W55" i="6"/>
  <c r="X55" i="6"/>
  <c r="Y55" i="6"/>
  <c r="Z55" i="6"/>
  <c r="AA55" i="6"/>
  <c r="AB55" i="6"/>
  <c r="AC55" i="6"/>
  <c r="AD55" i="6"/>
  <c r="AE55" i="6"/>
  <c r="AF55" i="6"/>
  <c r="AG55" i="6"/>
  <c r="AH55" i="6"/>
  <c r="AI55" i="6"/>
  <c r="AJ55" i="6"/>
  <c r="AK55" i="6"/>
  <c r="AL55" i="6"/>
  <c r="AM55" i="6"/>
  <c r="AN55" i="6"/>
  <c r="AO55" i="6"/>
  <c r="AP55" i="6"/>
  <c r="AQ55" i="6"/>
  <c r="AR55" i="6"/>
  <c r="AS55" i="6"/>
  <c r="AT55" i="6"/>
  <c r="AU55" i="6"/>
  <c r="AV55" i="6"/>
  <c r="AY55" i="6"/>
  <c r="B56" i="6"/>
  <c r="C56" i="6"/>
  <c r="D56" i="6"/>
  <c r="E56" i="6"/>
  <c r="F56" i="6"/>
  <c r="G56" i="6"/>
  <c r="H56" i="6"/>
  <c r="I56" i="6"/>
  <c r="J56" i="6"/>
  <c r="K56" i="6"/>
  <c r="L56" i="6"/>
  <c r="M56" i="6"/>
  <c r="N56" i="6"/>
  <c r="O56" i="6"/>
  <c r="P56" i="6"/>
  <c r="Q56" i="6"/>
  <c r="R56" i="6"/>
  <c r="S56" i="6"/>
  <c r="T56" i="6"/>
  <c r="U56" i="6"/>
  <c r="V56" i="6"/>
  <c r="W56" i="6"/>
  <c r="X56" i="6"/>
  <c r="Y56" i="6"/>
  <c r="Z56" i="6"/>
  <c r="AA56" i="6"/>
  <c r="AB56" i="6"/>
  <c r="AC56" i="6"/>
  <c r="AD56" i="6"/>
  <c r="AE56" i="6"/>
  <c r="AF56" i="6"/>
  <c r="AG56" i="6"/>
  <c r="AH56" i="6"/>
  <c r="AI56" i="6"/>
  <c r="AJ56" i="6"/>
  <c r="AK56" i="6"/>
  <c r="AL56" i="6"/>
  <c r="AM56" i="6"/>
  <c r="AN56" i="6"/>
  <c r="AO56" i="6"/>
  <c r="AP56" i="6"/>
  <c r="AQ56" i="6"/>
  <c r="AR56" i="6"/>
  <c r="AS56" i="6"/>
  <c r="AT56" i="6"/>
  <c r="AU56" i="6"/>
  <c r="AV56" i="6"/>
  <c r="AY56" i="6"/>
  <c r="B57" i="6"/>
  <c r="C57" i="6"/>
  <c r="D57" i="6"/>
  <c r="E57" i="6"/>
  <c r="F57" i="6"/>
  <c r="G57" i="6"/>
  <c r="H57" i="6"/>
  <c r="I57" i="6"/>
  <c r="J57" i="6"/>
  <c r="K57" i="6"/>
  <c r="L57" i="6"/>
  <c r="M57" i="6"/>
  <c r="N57" i="6"/>
  <c r="O57" i="6"/>
  <c r="P57" i="6"/>
  <c r="Q57" i="6"/>
  <c r="R57" i="6"/>
  <c r="S57" i="6"/>
  <c r="T57" i="6"/>
  <c r="U57" i="6"/>
  <c r="V57" i="6"/>
  <c r="W57" i="6"/>
  <c r="X57" i="6"/>
  <c r="Y57" i="6"/>
  <c r="Z57" i="6"/>
  <c r="AA57" i="6"/>
  <c r="AB57" i="6"/>
  <c r="AC57" i="6"/>
  <c r="AD57" i="6"/>
  <c r="AE57" i="6"/>
  <c r="AF57" i="6"/>
  <c r="AG57" i="6"/>
  <c r="AH57" i="6"/>
  <c r="AI57" i="6"/>
  <c r="AJ57" i="6"/>
  <c r="AK57" i="6"/>
  <c r="AL57" i="6"/>
  <c r="AM57" i="6"/>
  <c r="AN57" i="6"/>
  <c r="AO57" i="6"/>
  <c r="AP57" i="6"/>
  <c r="AQ57" i="6"/>
  <c r="AR57" i="6"/>
  <c r="AS57" i="6"/>
  <c r="AT57" i="6"/>
  <c r="AU57" i="6"/>
  <c r="AV57" i="6"/>
  <c r="AY57" i="6"/>
  <c r="B58" i="6"/>
  <c r="C58" i="6"/>
  <c r="D58" i="6"/>
  <c r="E58" i="6"/>
  <c r="F58" i="6"/>
  <c r="G58" i="6"/>
  <c r="H58" i="6"/>
  <c r="I58" i="6"/>
  <c r="J58" i="6"/>
  <c r="K58" i="6"/>
  <c r="L58" i="6"/>
  <c r="M58" i="6"/>
  <c r="N58" i="6"/>
  <c r="O58" i="6"/>
  <c r="P58" i="6"/>
  <c r="Q58" i="6"/>
  <c r="R58" i="6"/>
  <c r="S58" i="6"/>
  <c r="T58" i="6"/>
  <c r="U58" i="6"/>
  <c r="V58" i="6"/>
  <c r="W58" i="6"/>
  <c r="X58" i="6"/>
  <c r="Y58" i="6"/>
  <c r="Z58" i="6"/>
  <c r="AA58" i="6"/>
  <c r="AB58" i="6"/>
  <c r="AC58" i="6"/>
  <c r="AD58" i="6"/>
  <c r="AE58" i="6"/>
  <c r="AF58" i="6"/>
  <c r="AG58" i="6"/>
  <c r="AH58" i="6"/>
  <c r="AI58" i="6"/>
  <c r="AJ58" i="6"/>
  <c r="AK58" i="6"/>
  <c r="AL58" i="6"/>
  <c r="AM58" i="6"/>
  <c r="AN58" i="6"/>
  <c r="AO58" i="6"/>
  <c r="AP58" i="6"/>
  <c r="AQ58" i="6"/>
  <c r="AR58" i="6"/>
  <c r="AS58" i="6"/>
  <c r="AT58" i="6"/>
  <c r="AU58" i="6"/>
  <c r="AV58" i="6"/>
  <c r="AY58" i="6"/>
  <c r="B59" i="6"/>
  <c r="C59" i="6"/>
  <c r="D59" i="6"/>
  <c r="E59" i="6"/>
  <c r="F59" i="6"/>
  <c r="G59" i="6"/>
  <c r="H59" i="6"/>
  <c r="I59" i="6"/>
  <c r="J59" i="6"/>
  <c r="K59" i="6"/>
  <c r="L59" i="6"/>
  <c r="M59" i="6"/>
  <c r="N59" i="6"/>
  <c r="O59" i="6"/>
  <c r="P59" i="6"/>
  <c r="Q59" i="6"/>
  <c r="R59" i="6"/>
  <c r="S59" i="6"/>
  <c r="T59" i="6"/>
  <c r="U59" i="6"/>
  <c r="V59" i="6"/>
  <c r="W59" i="6"/>
  <c r="X59" i="6"/>
  <c r="Y59" i="6"/>
  <c r="Z59" i="6"/>
  <c r="AA59" i="6"/>
  <c r="AB59" i="6"/>
  <c r="AC59" i="6"/>
  <c r="AD59" i="6"/>
  <c r="AE59" i="6"/>
  <c r="AF59" i="6"/>
  <c r="AG59" i="6"/>
  <c r="AH59" i="6"/>
  <c r="AI59" i="6"/>
  <c r="AJ59" i="6"/>
  <c r="AK59" i="6"/>
  <c r="AL59" i="6"/>
  <c r="AM59" i="6"/>
  <c r="AN59" i="6"/>
  <c r="AO59" i="6"/>
  <c r="AP59" i="6"/>
  <c r="AQ59" i="6"/>
  <c r="AR59" i="6"/>
  <c r="AS59" i="6"/>
  <c r="AT59" i="6"/>
  <c r="AU59" i="6"/>
  <c r="AV59" i="6"/>
  <c r="AY59" i="6"/>
  <c r="B60" i="6"/>
  <c r="C60" i="6"/>
  <c r="D60" i="6"/>
  <c r="E60" i="6"/>
  <c r="F60" i="6"/>
  <c r="G60" i="6"/>
  <c r="H60" i="6"/>
  <c r="I60" i="6"/>
  <c r="J60" i="6"/>
  <c r="K60" i="6"/>
  <c r="L60" i="6"/>
  <c r="M60" i="6"/>
  <c r="N60" i="6"/>
  <c r="O60" i="6"/>
  <c r="P60" i="6"/>
  <c r="Q60" i="6"/>
  <c r="R60" i="6"/>
  <c r="S60" i="6"/>
  <c r="T60" i="6"/>
  <c r="U60" i="6"/>
  <c r="V60" i="6"/>
  <c r="W60" i="6"/>
  <c r="X60" i="6"/>
  <c r="Y60" i="6"/>
  <c r="Z60" i="6"/>
  <c r="AA60" i="6"/>
  <c r="AB60" i="6"/>
  <c r="AC60" i="6"/>
  <c r="AD60" i="6"/>
  <c r="AE60" i="6"/>
  <c r="AF60" i="6"/>
  <c r="AG60" i="6"/>
  <c r="AH60" i="6"/>
  <c r="AI60" i="6"/>
  <c r="AJ60" i="6"/>
  <c r="AK60" i="6"/>
  <c r="AL60" i="6"/>
  <c r="AM60" i="6"/>
  <c r="AN60" i="6"/>
  <c r="AO60" i="6"/>
  <c r="AP60" i="6"/>
  <c r="AQ60" i="6"/>
  <c r="AR60" i="6"/>
  <c r="AS60" i="6"/>
  <c r="AT60" i="6"/>
  <c r="AU60" i="6"/>
  <c r="AV60" i="6"/>
  <c r="AY60" i="6"/>
  <c r="B61" i="6"/>
  <c r="C61" i="6"/>
  <c r="D61" i="6"/>
  <c r="E61" i="6"/>
  <c r="F61" i="6"/>
  <c r="G61" i="6"/>
  <c r="H61" i="6"/>
  <c r="I61" i="6"/>
  <c r="J61" i="6"/>
  <c r="K61" i="6"/>
  <c r="L61" i="6"/>
  <c r="M61" i="6"/>
  <c r="N61" i="6"/>
  <c r="O61" i="6"/>
  <c r="P61" i="6"/>
  <c r="Q61" i="6"/>
  <c r="R61" i="6"/>
  <c r="S61" i="6"/>
  <c r="T61" i="6"/>
  <c r="U61" i="6"/>
  <c r="V61" i="6"/>
  <c r="W61" i="6"/>
  <c r="X61" i="6"/>
  <c r="Y61" i="6"/>
  <c r="Z61" i="6"/>
  <c r="AA61" i="6"/>
  <c r="AB61" i="6"/>
  <c r="AC61" i="6"/>
  <c r="AD61" i="6"/>
  <c r="AE61" i="6"/>
  <c r="AF61" i="6"/>
  <c r="AG61" i="6"/>
  <c r="AH61" i="6"/>
  <c r="AI61" i="6"/>
  <c r="AJ61" i="6"/>
  <c r="AK61" i="6"/>
  <c r="AL61" i="6"/>
  <c r="AM61" i="6"/>
  <c r="AN61" i="6"/>
  <c r="AO61" i="6"/>
  <c r="AP61" i="6"/>
  <c r="AQ61" i="6"/>
  <c r="AR61" i="6"/>
  <c r="AS61" i="6"/>
  <c r="AT61" i="6"/>
  <c r="AU61" i="6"/>
  <c r="AV61" i="6"/>
  <c r="AY61" i="6"/>
  <c r="B62" i="6"/>
  <c r="C62" i="6"/>
  <c r="D62" i="6"/>
  <c r="E62" i="6"/>
  <c r="F62" i="6"/>
  <c r="G62" i="6"/>
  <c r="H62" i="6"/>
  <c r="I62" i="6"/>
  <c r="J62" i="6"/>
  <c r="K62" i="6"/>
  <c r="L62" i="6"/>
  <c r="M62" i="6"/>
  <c r="N62" i="6"/>
  <c r="O62" i="6"/>
  <c r="P62" i="6"/>
  <c r="Q62" i="6"/>
  <c r="R62" i="6"/>
  <c r="S62" i="6"/>
  <c r="T62" i="6"/>
  <c r="U62" i="6"/>
  <c r="V62" i="6"/>
  <c r="W62" i="6"/>
  <c r="X62" i="6"/>
  <c r="Y62" i="6"/>
  <c r="Z62" i="6"/>
  <c r="AA62" i="6"/>
  <c r="AB62" i="6"/>
  <c r="AC62" i="6"/>
  <c r="AD62" i="6"/>
  <c r="AE62" i="6"/>
  <c r="AF62" i="6"/>
  <c r="AG62" i="6"/>
  <c r="AH62" i="6"/>
  <c r="AI62" i="6"/>
  <c r="AJ62" i="6"/>
  <c r="AK62" i="6"/>
  <c r="AL62" i="6"/>
  <c r="AM62" i="6"/>
  <c r="AN62" i="6"/>
  <c r="AO62" i="6"/>
  <c r="AP62" i="6"/>
  <c r="AQ62" i="6"/>
  <c r="AR62" i="6"/>
  <c r="AS62" i="6"/>
  <c r="AT62" i="6"/>
  <c r="AU62" i="6"/>
  <c r="AV62" i="6"/>
  <c r="AY62" i="6"/>
  <c r="B63" i="6"/>
  <c r="C63" i="6"/>
  <c r="D63" i="6"/>
  <c r="E63" i="6"/>
  <c r="F63" i="6"/>
  <c r="G63" i="6"/>
  <c r="H63" i="6"/>
  <c r="I63" i="6"/>
  <c r="J63" i="6"/>
  <c r="K63" i="6"/>
  <c r="L63" i="6"/>
  <c r="M63" i="6"/>
  <c r="N63" i="6"/>
  <c r="O63" i="6"/>
  <c r="P63" i="6"/>
  <c r="Q63" i="6"/>
  <c r="R63" i="6"/>
  <c r="S63" i="6"/>
  <c r="T63" i="6"/>
  <c r="U63" i="6"/>
  <c r="V63" i="6"/>
  <c r="W63" i="6"/>
  <c r="X63" i="6"/>
  <c r="Y63" i="6"/>
  <c r="Z63" i="6"/>
  <c r="AA63" i="6"/>
  <c r="AB63" i="6"/>
  <c r="AC63" i="6"/>
  <c r="AD63" i="6"/>
  <c r="AE63" i="6"/>
  <c r="AF63" i="6"/>
  <c r="AG63" i="6"/>
  <c r="AH63" i="6"/>
  <c r="AI63" i="6"/>
  <c r="AJ63" i="6"/>
  <c r="AK63" i="6"/>
  <c r="AL63" i="6"/>
  <c r="AM63" i="6"/>
  <c r="AN63" i="6"/>
  <c r="AO63" i="6"/>
  <c r="AP63" i="6"/>
  <c r="AQ63" i="6"/>
  <c r="AR63" i="6"/>
  <c r="AS63" i="6"/>
  <c r="AT63" i="6"/>
  <c r="AU63" i="6"/>
  <c r="AV63" i="6"/>
  <c r="AY63" i="6"/>
  <c r="B64" i="6"/>
  <c r="C64" i="6"/>
  <c r="D64" i="6"/>
  <c r="E64" i="6"/>
  <c r="F64" i="6"/>
  <c r="G64" i="6"/>
  <c r="H64" i="6"/>
  <c r="I64" i="6"/>
  <c r="J64" i="6"/>
  <c r="K64" i="6"/>
  <c r="L64" i="6"/>
  <c r="M64" i="6"/>
  <c r="N64" i="6"/>
  <c r="O64" i="6"/>
  <c r="P64" i="6"/>
  <c r="Q64" i="6"/>
  <c r="R64" i="6"/>
  <c r="S64" i="6"/>
  <c r="T64" i="6"/>
  <c r="U64" i="6"/>
  <c r="V64" i="6"/>
  <c r="W64" i="6"/>
  <c r="X64" i="6"/>
  <c r="Y64" i="6"/>
  <c r="Z64" i="6"/>
  <c r="AA64" i="6"/>
  <c r="AB64" i="6"/>
  <c r="AC64" i="6"/>
  <c r="AD64" i="6"/>
  <c r="AE64" i="6"/>
  <c r="AF64" i="6"/>
  <c r="AG64" i="6"/>
  <c r="AH64" i="6"/>
  <c r="AI64" i="6"/>
  <c r="AJ64" i="6"/>
  <c r="AK64" i="6"/>
  <c r="AL64" i="6"/>
  <c r="AM64" i="6"/>
  <c r="AN64" i="6"/>
  <c r="AO64" i="6"/>
  <c r="AP64" i="6"/>
  <c r="AQ64" i="6"/>
  <c r="AR64" i="6"/>
  <c r="AS64" i="6"/>
  <c r="AT64" i="6"/>
  <c r="AU64" i="6"/>
  <c r="AV64" i="6"/>
  <c r="AY64" i="6"/>
  <c r="B65" i="6"/>
  <c r="C65" i="6"/>
  <c r="D65" i="6"/>
  <c r="E65" i="6"/>
  <c r="F65" i="6"/>
  <c r="G65" i="6"/>
  <c r="H65" i="6"/>
  <c r="I65" i="6"/>
  <c r="J65" i="6"/>
  <c r="K65" i="6"/>
  <c r="L65" i="6"/>
  <c r="M65" i="6"/>
  <c r="N65" i="6"/>
  <c r="O65" i="6"/>
  <c r="P65" i="6"/>
  <c r="Q65" i="6"/>
  <c r="R65" i="6"/>
  <c r="S65" i="6"/>
  <c r="T65" i="6"/>
  <c r="U65" i="6"/>
  <c r="V65" i="6"/>
  <c r="W65" i="6"/>
  <c r="X65" i="6"/>
  <c r="Y65" i="6"/>
  <c r="Z65" i="6"/>
  <c r="AA65" i="6"/>
  <c r="AB65" i="6"/>
  <c r="AC65" i="6"/>
  <c r="AD65" i="6"/>
  <c r="AE65" i="6"/>
  <c r="AF65" i="6"/>
  <c r="AG65" i="6"/>
  <c r="AH65" i="6"/>
  <c r="AI65" i="6"/>
  <c r="AJ65" i="6"/>
  <c r="AK65" i="6"/>
  <c r="AL65" i="6"/>
  <c r="AM65" i="6"/>
  <c r="AN65" i="6"/>
  <c r="AO65" i="6"/>
  <c r="AP65" i="6"/>
  <c r="AQ65" i="6"/>
  <c r="AR65" i="6"/>
  <c r="AS65" i="6"/>
  <c r="AT65" i="6"/>
  <c r="AU65" i="6"/>
  <c r="AV65" i="6"/>
  <c r="AY65" i="6"/>
  <c r="B66" i="6"/>
  <c r="C66" i="6"/>
  <c r="D66" i="6"/>
  <c r="E66" i="6"/>
  <c r="F66" i="6"/>
  <c r="G66" i="6"/>
  <c r="H66" i="6"/>
  <c r="I66" i="6"/>
  <c r="J66" i="6"/>
  <c r="K66" i="6"/>
  <c r="L66" i="6"/>
  <c r="M66" i="6"/>
  <c r="N66" i="6"/>
  <c r="O66" i="6"/>
  <c r="P66" i="6"/>
  <c r="Q66" i="6"/>
  <c r="R66" i="6"/>
  <c r="S66" i="6"/>
  <c r="T66" i="6"/>
  <c r="U66" i="6"/>
  <c r="V66" i="6"/>
  <c r="W66" i="6"/>
  <c r="X66" i="6"/>
  <c r="Y66" i="6"/>
  <c r="Z66" i="6"/>
  <c r="AA66" i="6"/>
  <c r="AB66" i="6"/>
  <c r="AC66" i="6"/>
  <c r="AD66" i="6"/>
  <c r="AE66" i="6"/>
  <c r="AF66" i="6"/>
  <c r="AG66" i="6"/>
  <c r="AH66" i="6"/>
  <c r="AI66" i="6"/>
  <c r="AJ66" i="6"/>
  <c r="AK66" i="6"/>
  <c r="AL66" i="6"/>
  <c r="AM66" i="6"/>
  <c r="AN66" i="6"/>
  <c r="AO66" i="6"/>
  <c r="AP66" i="6"/>
  <c r="AQ66" i="6"/>
  <c r="AR66" i="6"/>
  <c r="AS66" i="6"/>
  <c r="AT66" i="6"/>
  <c r="AU66" i="6"/>
  <c r="AV66" i="6"/>
  <c r="AY66" i="6"/>
  <c r="B67" i="6"/>
  <c r="C67" i="6"/>
  <c r="D67" i="6"/>
  <c r="E67" i="6"/>
  <c r="F67" i="6"/>
  <c r="G67" i="6"/>
  <c r="H67" i="6"/>
  <c r="I67" i="6"/>
  <c r="J67" i="6"/>
  <c r="K67" i="6"/>
  <c r="L67" i="6"/>
  <c r="M67" i="6"/>
  <c r="N67" i="6"/>
  <c r="O67" i="6"/>
  <c r="P67" i="6"/>
  <c r="Q67" i="6"/>
  <c r="R67" i="6"/>
  <c r="S67" i="6"/>
  <c r="T67" i="6"/>
  <c r="U67" i="6"/>
  <c r="V67" i="6"/>
  <c r="W67" i="6"/>
  <c r="X67" i="6"/>
  <c r="Y67" i="6"/>
  <c r="Z67" i="6"/>
  <c r="AA67" i="6"/>
  <c r="AB67" i="6"/>
  <c r="AC67" i="6"/>
  <c r="AD67" i="6"/>
  <c r="AE67" i="6"/>
  <c r="AF67" i="6"/>
  <c r="AG67" i="6"/>
  <c r="AH67" i="6"/>
  <c r="AI67" i="6"/>
  <c r="AJ67" i="6"/>
  <c r="AK67" i="6"/>
  <c r="AL67" i="6"/>
  <c r="AM67" i="6"/>
  <c r="AN67" i="6"/>
  <c r="AO67" i="6"/>
  <c r="AP67" i="6"/>
  <c r="AQ67" i="6"/>
  <c r="AR67" i="6"/>
  <c r="AS67" i="6"/>
  <c r="AT67" i="6"/>
  <c r="AU67" i="6"/>
  <c r="AV67" i="6"/>
  <c r="AY67" i="6"/>
  <c r="B68" i="6"/>
  <c r="C68" i="6"/>
  <c r="D68" i="6"/>
  <c r="E68" i="6"/>
  <c r="F68" i="6"/>
  <c r="G68" i="6"/>
  <c r="H68" i="6"/>
  <c r="I68" i="6"/>
  <c r="J68" i="6"/>
  <c r="K68" i="6"/>
  <c r="L68" i="6"/>
  <c r="M68" i="6"/>
  <c r="N68" i="6"/>
  <c r="O68" i="6"/>
  <c r="P68" i="6"/>
  <c r="Q68" i="6"/>
  <c r="R68" i="6"/>
  <c r="S68" i="6"/>
  <c r="T68" i="6"/>
  <c r="U68" i="6"/>
  <c r="V68" i="6"/>
  <c r="W68" i="6"/>
  <c r="X68" i="6"/>
  <c r="Y68" i="6"/>
  <c r="Z68" i="6"/>
  <c r="AA68" i="6"/>
  <c r="AB68" i="6"/>
  <c r="AC68" i="6"/>
  <c r="AD68" i="6"/>
  <c r="AE68" i="6"/>
  <c r="AF68" i="6"/>
  <c r="AG68" i="6"/>
  <c r="AH68" i="6"/>
  <c r="AI68" i="6"/>
  <c r="AJ68" i="6"/>
  <c r="AK68" i="6"/>
  <c r="AL68" i="6"/>
  <c r="AM68" i="6"/>
  <c r="AN68" i="6"/>
  <c r="AO68" i="6"/>
  <c r="AP68" i="6"/>
  <c r="AQ68" i="6"/>
  <c r="AR68" i="6"/>
  <c r="AS68" i="6"/>
  <c r="AT68" i="6"/>
  <c r="AU68" i="6"/>
  <c r="AV68" i="6"/>
  <c r="AY68" i="6"/>
  <c r="B69" i="6"/>
  <c r="C69" i="6"/>
  <c r="D69" i="6"/>
  <c r="E69" i="6"/>
  <c r="F69" i="6"/>
  <c r="G69" i="6"/>
  <c r="H69" i="6"/>
  <c r="I69" i="6"/>
  <c r="J69" i="6"/>
  <c r="K69" i="6"/>
  <c r="L69" i="6"/>
  <c r="M69" i="6"/>
  <c r="N69" i="6"/>
  <c r="O69" i="6"/>
  <c r="P69" i="6"/>
  <c r="Q69" i="6"/>
  <c r="R69" i="6"/>
  <c r="S69" i="6"/>
  <c r="T69" i="6"/>
  <c r="U69" i="6"/>
  <c r="V69" i="6"/>
  <c r="W69" i="6"/>
  <c r="X69" i="6"/>
  <c r="Y69" i="6"/>
  <c r="Z69" i="6"/>
  <c r="AA69" i="6"/>
  <c r="AB69" i="6"/>
  <c r="AC69" i="6"/>
  <c r="AD69" i="6"/>
  <c r="AE69" i="6"/>
  <c r="AF69" i="6"/>
  <c r="AG69" i="6"/>
  <c r="AH69" i="6"/>
  <c r="AI69" i="6"/>
  <c r="AJ69" i="6"/>
  <c r="AK69" i="6"/>
  <c r="AL69" i="6"/>
  <c r="AM69" i="6"/>
  <c r="AN69" i="6"/>
  <c r="AO69" i="6"/>
  <c r="AP69" i="6"/>
  <c r="AQ69" i="6"/>
  <c r="AR69" i="6"/>
  <c r="AS69" i="6"/>
  <c r="AT69" i="6"/>
  <c r="AU69" i="6"/>
  <c r="AV69" i="6"/>
  <c r="AY69" i="6"/>
  <c r="B70" i="6"/>
  <c r="C70" i="6"/>
  <c r="D70" i="6"/>
  <c r="E70" i="6"/>
  <c r="F70" i="6"/>
  <c r="G70" i="6"/>
  <c r="H70" i="6"/>
  <c r="I70" i="6"/>
  <c r="J70" i="6"/>
  <c r="K70" i="6"/>
  <c r="L70" i="6"/>
  <c r="M70" i="6"/>
  <c r="N70" i="6"/>
  <c r="O70" i="6"/>
  <c r="P70" i="6"/>
  <c r="Q70" i="6"/>
  <c r="R70" i="6"/>
  <c r="S70" i="6"/>
  <c r="T70" i="6"/>
  <c r="U70" i="6"/>
  <c r="V70" i="6"/>
  <c r="W70" i="6"/>
  <c r="X70" i="6"/>
  <c r="Y70" i="6"/>
  <c r="Z70" i="6"/>
  <c r="AA70" i="6"/>
  <c r="AB70" i="6"/>
  <c r="AC70" i="6"/>
  <c r="AD70" i="6"/>
  <c r="AE70" i="6"/>
  <c r="AF70" i="6"/>
  <c r="AG70" i="6"/>
  <c r="AH70" i="6"/>
  <c r="AI70" i="6"/>
  <c r="AJ70" i="6"/>
  <c r="AK70" i="6"/>
  <c r="AL70" i="6"/>
  <c r="AM70" i="6"/>
  <c r="AN70" i="6"/>
  <c r="AO70" i="6"/>
  <c r="AP70" i="6"/>
  <c r="AQ70" i="6"/>
  <c r="AR70" i="6"/>
  <c r="AS70" i="6"/>
  <c r="AT70" i="6"/>
  <c r="AU70" i="6"/>
  <c r="AV70" i="6"/>
  <c r="AY70" i="6"/>
  <c r="B71" i="6"/>
  <c r="C71" i="6"/>
  <c r="D71" i="6"/>
  <c r="E71" i="6"/>
  <c r="F71" i="6"/>
  <c r="G71" i="6"/>
  <c r="H71" i="6"/>
  <c r="I71" i="6"/>
  <c r="J71" i="6"/>
  <c r="K71" i="6"/>
  <c r="L71" i="6"/>
  <c r="M71" i="6"/>
  <c r="N71" i="6"/>
  <c r="O71" i="6"/>
  <c r="P71" i="6"/>
  <c r="Q71" i="6"/>
  <c r="R71" i="6"/>
  <c r="S71" i="6"/>
  <c r="T71" i="6"/>
  <c r="U71" i="6"/>
  <c r="V71" i="6"/>
  <c r="W71" i="6"/>
  <c r="X71" i="6"/>
  <c r="Y71" i="6"/>
  <c r="Z71" i="6"/>
  <c r="AA71" i="6"/>
  <c r="AB71" i="6"/>
  <c r="AC71" i="6"/>
  <c r="AD71" i="6"/>
  <c r="AE71" i="6"/>
  <c r="AF71" i="6"/>
  <c r="AG71" i="6"/>
  <c r="AH71" i="6"/>
  <c r="AI71" i="6"/>
  <c r="AJ71" i="6"/>
  <c r="AK71" i="6"/>
  <c r="AL71" i="6"/>
  <c r="AM71" i="6"/>
  <c r="AN71" i="6"/>
  <c r="AO71" i="6"/>
  <c r="AP71" i="6"/>
  <c r="AQ71" i="6"/>
  <c r="AR71" i="6"/>
  <c r="AS71" i="6"/>
  <c r="AT71" i="6"/>
  <c r="AU71" i="6"/>
  <c r="AV71" i="6"/>
  <c r="AY71" i="6"/>
  <c r="B72" i="6"/>
  <c r="C72" i="6"/>
  <c r="D72" i="6"/>
  <c r="E72" i="6"/>
  <c r="F72" i="6"/>
  <c r="G72" i="6"/>
  <c r="H72" i="6"/>
  <c r="I72" i="6"/>
  <c r="J72" i="6"/>
  <c r="K72" i="6"/>
  <c r="L72" i="6"/>
  <c r="M72" i="6"/>
  <c r="N72" i="6"/>
  <c r="O72" i="6"/>
  <c r="P72" i="6"/>
  <c r="Q72" i="6"/>
  <c r="R72" i="6"/>
  <c r="S72" i="6"/>
  <c r="T72" i="6"/>
  <c r="U72" i="6"/>
  <c r="V72" i="6"/>
  <c r="W72" i="6"/>
  <c r="X72" i="6"/>
  <c r="Y72" i="6"/>
  <c r="Z72" i="6"/>
  <c r="AA72" i="6"/>
  <c r="AB72" i="6"/>
  <c r="AC72" i="6"/>
  <c r="AD72" i="6"/>
  <c r="AE72" i="6"/>
  <c r="AF72" i="6"/>
  <c r="AG72" i="6"/>
  <c r="AH72" i="6"/>
  <c r="AI72" i="6"/>
  <c r="AJ72" i="6"/>
  <c r="AK72" i="6"/>
  <c r="AL72" i="6"/>
  <c r="AM72" i="6"/>
  <c r="AN72" i="6"/>
  <c r="AO72" i="6"/>
  <c r="AP72" i="6"/>
  <c r="AQ72" i="6"/>
  <c r="AR72" i="6"/>
  <c r="AS72" i="6"/>
  <c r="AT72" i="6"/>
  <c r="AU72" i="6"/>
  <c r="AV72" i="6"/>
  <c r="AY72" i="6"/>
  <c r="B73" i="6"/>
  <c r="C73" i="6"/>
  <c r="D73" i="6"/>
  <c r="E73" i="6"/>
  <c r="F73" i="6"/>
  <c r="G73" i="6"/>
  <c r="H73" i="6"/>
  <c r="I73" i="6"/>
  <c r="J73" i="6"/>
  <c r="K73" i="6"/>
  <c r="L73" i="6"/>
  <c r="M73" i="6"/>
  <c r="N73" i="6"/>
  <c r="O73" i="6"/>
  <c r="P73" i="6"/>
  <c r="Q73" i="6"/>
  <c r="R73" i="6"/>
  <c r="S73" i="6"/>
  <c r="T73" i="6"/>
  <c r="U73" i="6"/>
  <c r="V73" i="6"/>
  <c r="W73" i="6"/>
  <c r="X73" i="6"/>
  <c r="Y73" i="6"/>
  <c r="Z73" i="6"/>
  <c r="AA73" i="6"/>
  <c r="AB73" i="6"/>
  <c r="AC73" i="6"/>
  <c r="AD73" i="6"/>
  <c r="AE73" i="6"/>
  <c r="AF73" i="6"/>
  <c r="AG73" i="6"/>
  <c r="AH73" i="6"/>
  <c r="AI73" i="6"/>
  <c r="AJ73" i="6"/>
  <c r="AK73" i="6"/>
  <c r="AL73" i="6"/>
  <c r="AM73" i="6"/>
  <c r="AN73" i="6"/>
  <c r="AO73" i="6"/>
  <c r="AP73" i="6"/>
  <c r="AQ73" i="6"/>
  <c r="AR73" i="6"/>
  <c r="AS73" i="6"/>
  <c r="AT73" i="6"/>
  <c r="AU73" i="6"/>
  <c r="AV73" i="6"/>
  <c r="AY73" i="6"/>
  <c r="B74" i="6"/>
  <c r="C74" i="6"/>
  <c r="D74" i="6"/>
  <c r="E74" i="6"/>
  <c r="F74" i="6"/>
  <c r="G74" i="6"/>
  <c r="H74" i="6"/>
  <c r="I74" i="6"/>
  <c r="J74" i="6"/>
  <c r="K74" i="6"/>
  <c r="L74" i="6"/>
  <c r="M74" i="6"/>
  <c r="N74" i="6"/>
  <c r="O74" i="6"/>
  <c r="P74" i="6"/>
  <c r="Q74" i="6"/>
  <c r="R74" i="6"/>
  <c r="S74" i="6"/>
  <c r="T74" i="6"/>
  <c r="U74" i="6"/>
  <c r="V74" i="6"/>
  <c r="W74" i="6"/>
  <c r="X74" i="6"/>
  <c r="Y74" i="6"/>
  <c r="Z74" i="6"/>
  <c r="AA74" i="6"/>
  <c r="AB74" i="6"/>
  <c r="AC74" i="6"/>
  <c r="AD74" i="6"/>
  <c r="AE74" i="6"/>
  <c r="AF74" i="6"/>
  <c r="AG74" i="6"/>
  <c r="AH74" i="6"/>
  <c r="AI74" i="6"/>
  <c r="AJ74" i="6"/>
  <c r="AK74" i="6"/>
  <c r="AL74" i="6"/>
  <c r="AM74" i="6"/>
  <c r="AN74" i="6"/>
  <c r="AO74" i="6"/>
  <c r="AP74" i="6"/>
  <c r="AQ74" i="6"/>
  <c r="AR74" i="6"/>
  <c r="AS74" i="6"/>
  <c r="AT74" i="6"/>
  <c r="AU74" i="6"/>
  <c r="AV74" i="6"/>
  <c r="AY74" i="6"/>
  <c r="B75" i="6"/>
  <c r="C75" i="6"/>
  <c r="D75" i="6"/>
  <c r="E75" i="6"/>
  <c r="F75" i="6"/>
  <c r="G75" i="6"/>
  <c r="H75" i="6"/>
  <c r="I75" i="6"/>
  <c r="J75" i="6"/>
  <c r="K75" i="6"/>
  <c r="L75" i="6"/>
  <c r="M75" i="6"/>
  <c r="N75" i="6"/>
  <c r="O75" i="6"/>
  <c r="P75" i="6"/>
  <c r="Q75" i="6"/>
  <c r="R75" i="6"/>
  <c r="S75" i="6"/>
  <c r="T75" i="6"/>
  <c r="U75" i="6"/>
  <c r="V75" i="6"/>
  <c r="W75" i="6"/>
  <c r="X75" i="6"/>
  <c r="Y75" i="6"/>
  <c r="Z75" i="6"/>
  <c r="AA75" i="6"/>
  <c r="AB75" i="6"/>
  <c r="AC75" i="6"/>
  <c r="AD75" i="6"/>
  <c r="AE75" i="6"/>
  <c r="AF75" i="6"/>
  <c r="AG75" i="6"/>
  <c r="AH75" i="6"/>
  <c r="AI75" i="6"/>
  <c r="AJ75" i="6"/>
  <c r="AK75" i="6"/>
  <c r="AL75" i="6"/>
  <c r="AM75" i="6"/>
  <c r="AN75" i="6"/>
  <c r="AO75" i="6"/>
  <c r="AP75" i="6"/>
  <c r="AQ75" i="6"/>
  <c r="AR75" i="6"/>
  <c r="AS75" i="6"/>
  <c r="AT75" i="6"/>
  <c r="AU75" i="6"/>
  <c r="AV75" i="6"/>
  <c r="AY75" i="6"/>
  <c r="B76" i="6"/>
  <c r="C76" i="6"/>
  <c r="D76" i="6"/>
  <c r="E76" i="6"/>
  <c r="F76" i="6"/>
  <c r="G76" i="6"/>
  <c r="H76" i="6"/>
  <c r="I76" i="6"/>
  <c r="J76" i="6"/>
  <c r="K76" i="6"/>
  <c r="L76" i="6"/>
  <c r="M76" i="6"/>
  <c r="N76" i="6"/>
  <c r="O76" i="6"/>
  <c r="P76" i="6"/>
  <c r="Q76" i="6"/>
  <c r="R76" i="6"/>
  <c r="S76" i="6"/>
  <c r="T76" i="6"/>
  <c r="U76" i="6"/>
  <c r="V76" i="6"/>
  <c r="W76" i="6"/>
  <c r="X76" i="6"/>
  <c r="Y76" i="6"/>
  <c r="Z76" i="6"/>
  <c r="AA76" i="6"/>
  <c r="AB76" i="6"/>
  <c r="AC76" i="6"/>
  <c r="AD76" i="6"/>
  <c r="AE76" i="6"/>
  <c r="AF76" i="6"/>
  <c r="AG76" i="6"/>
  <c r="AH76" i="6"/>
  <c r="AI76" i="6"/>
  <c r="AJ76" i="6"/>
  <c r="AK76" i="6"/>
  <c r="AL76" i="6"/>
  <c r="AM76" i="6"/>
  <c r="AN76" i="6"/>
  <c r="AO76" i="6"/>
  <c r="AP76" i="6"/>
  <c r="AQ76" i="6"/>
  <c r="AR76" i="6"/>
  <c r="AS76" i="6"/>
  <c r="AT76" i="6"/>
  <c r="AU76" i="6"/>
  <c r="AV76" i="6"/>
  <c r="AY76" i="6"/>
  <c r="B77" i="6"/>
  <c r="C77" i="6"/>
  <c r="D77" i="6"/>
  <c r="E77" i="6"/>
  <c r="F77" i="6"/>
  <c r="G77" i="6"/>
  <c r="H77" i="6"/>
  <c r="I77" i="6"/>
  <c r="J77" i="6"/>
  <c r="K77" i="6"/>
  <c r="L77" i="6"/>
  <c r="M77" i="6"/>
  <c r="N77" i="6"/>
  <c r="O77" i="6"/>
  <c r="P77" i="6"/>
  <c r="Q77" i="6"/>
  <c r="R77" i="6"/>
  <c r="S77" i="6"/>
  <c r="T77" i="6"/>
  <c r="U77" i="6"/>
  <c r="V77" i="6"/>
  <c r="W77" i="6"/>
  <c r="X77" i="6"/>
  <c r="Y77" i="6"/>
  <c r="Z77" i="6"/>
  <c r="AA77" i="6"/>
  <c r="AB77" i="6"/>
  <c r="AC77" i="6"/>
  <c r="AD77" i="6"/>
  <c r="AE77" i="6"/>
  <c r="AF77" i="6"/>
  <c r="AG77" i="6"/>
  <c r="AH77" i="6"/>
  <c r="AI77" i="6"/>
  <c r="AJ77" i="6"/>
  <c r="AK77" i="6"/>
  <c r="AL77" i="6"/>
  <c r="AM77" i="6"/>
  <c r="AN77" i="6"/>
  <c r="AO77" i="6"/>
  <c r="AP77" i="6"/>
  <c r="AQ77" i="6"/>
  <c r="AR77" i="6"/>
  <c r="AS77" i="6"/>
  <c r="AT77" i="6"/>
  <c r="AU77" i="6"/>
  <c r="AV77" i="6"/>
  <c r="AY77" i="6"/>
  <c r="B78" i="6"/>
  <c r="C78" i="6"/>
  <c r="D78" i="6"/>
  <c r="E78" i="6"/>
  <c r="F78" i="6"/>
  <c r="G78" i="6"/>
  <c r="H78" i="6"/>
  <c r="I78" i="6"/>
  <c r="J78" i="6"/>
  <c r="K78" i="6"/>
  <c r="L78" i="6"/>
  <c r="M78" i="6"/>
  <c r="N78" i="6"/>
  <c r="O78" i="6"/>
  <c r="P78" i="6"/>
  <c r="Q78" i="6"/>
  <c r="R78" i="6"/>
  <c r="S78" i="6"/>
  <c r="T78" i="6"/>
  <c r="U78" i="6"/>
  <c r="V78" i="6"/>
  <c r="W78" i="6"/>
  <c r="X78" i="6"/>
  <c r="Y78" i="6"/>
  <c r="Z78" i="6"/>
  <c r="AA78" i="6"/>
  <c r="AB78" i="6"/>
  <c r="AC78" i="6"/>
  <c r="AD78" i="6"/>
  <c r="AE78" i="6"/>
  <c r="AF78" i="6"/>
  <c r="AG78" i="6"/>
  <c r="AH78" i="6"/>
  <c r="AI78" i="6"/>
  <c r="AJ78" i="6"/>
  <c r="AK78" i="6"/>
  <c r="AL78" i="6"/>
  <c r="AM78" i="6"/>
  <c r="AN78" i="6"/>
  <c r="AO78" i="6"/>
  <c r="AP78" i="6"/>
  <c r="AQ78" i="6"/>
  <c r="AR78" i="6"/>
  <c r="AS78" i="6"/>
  <c r="AT78" i="6"/>
  <c r="AU78" i="6"/>
  <c r="AV78" i="6"/>
  <c r="AY78" i="6"/>
  <c r="B79" i="6"/>
  <c r="C79" i="6"/>
  <c r="D79" i="6"/>
  <c r="E79" i="6"/>
  <c r="F79" i="6"/>
  <c r="G79" i="6"/>
  <c r="H79" i="6"/>
  <c r="I79" i="6"/>
  <c r="J79" i="6"/>
  <c r="K79" i="6"/>
  <c r="L79" i="6"/>
  <c r="M79" i="6"/>
  <c r="N79" i="6"/>
  <c r="O79" i="6"/>
  <c r="P79" i="6"/>
  <c r="Q79" i="6"/>
  <c r="R79" i="6"/>
  <c r="S79" i="6"/>
  <c r="T79" i="6"/>
  <c r="U79" i="6"/>
  <c r="V79" i="6"/>
  <c r="W79" i="6"/>
  <c r="X79" i="6"/>
  <c r="Y79" i="6"/>
  <c r="Z79" i="6"/>
  <c r="AA79" i="6"/>
  <c r="AB79" i="6"/>
  <c r="AC79" i="6"/>
  <c r="AD79" i="6"/>
  <c r="AE79" i="6"/>
  <c r="AF79" i="6"/>
  <c r="AG79" i="6"/>
  <c r="AH79" i="6"/>
  <c r="AI79" i="6"/>
  <c r="AJ79" i="6"/>
  <c r="AK79" i="6"/>
  <c r="AL79" i="6"/>
  <c r="AM79" i="6"/>
  <c r="AN79" i="6"/>
  <c r="AO79" i="6"/>
  <c r="AP79" i="6"/>
  <c r="AQ79" i="6"/>
  <c r="AR79" i="6"/>
  <c r="AS79" i="6"/>
  <c r="AT79" i="6"/>
  <c r="AU79" i="6"/>
  <c r="AV79" i="6"/>
  <c r="AY79" i="6"/>
  <c r="B80" i="6"/>
  <c r="C80" i="6"/>
  <c r="D80" i="6"/>
  <c r="E80" i="6"/>
  <c r="F80" i="6"/>
  <c r="G80" i="6"/>
  <c r="H80" i="6"/>
  <c r="I80" i="6"/>
  <c r="J80" i="6"/>
  <c r="K80" i="6"/>
  <c r="L80" i="6"/>
  <c r="M80" i="6"/>
  <c r="N80" i="6"/>
  <c r="O80" i="6"/>
  <c r="P80" i="6"/>
  <c r="Q80" i="6"/>
  <c r="R80" i="6"/>
  <c r="S80" i="6"/>
  <c r="T80" i="6"/>
  <c r="U80" i="6"/>
  <c r="V80" i="6"/>
  <c r="W80" i="6"/>
  <c r="X80" i="6"/>
  <c r="Y80" i="6"/>
  <c r="Z80" i="6"/>
  <c r="AA80" i="6"/>
  <c r="AB80" i="6"/>
  <c r="AC80" i="6"/>
  <c r="AD80" i="6"/>
  <c r="AE80" i="6"/>
  <c r="AF80" i="6"/>
  <c r="AG80" i="6"/>
  <c r="AH80" i="6"/>
  <c r="AI80" i="6"/>
  <c r="AJ80" i="6"/>
  <c r="AK80" i="6"/>
  <c r="AL80" i="6"/>
  <c r="AM80" i="6"/>
  <c r="AN80" i="6"/>
  <c r="AO80" i="6"/>
  <c r="AP80" i="6"/>
  <c r="AQ80" i="6"/>
  <c r="AR80" i="6"/>
  <c r="AS80" i="6"/>
  <c r="AT80" i="6"/>
  <c r="AU80" i="6"/>
  <c r="AV80" i="6"/>
  <c r="AY80" i="6"/>
  <c r="B81" i="6"/>
  <c r="C81" i="6"/>
  <c r="D81" i="6"/>
  <c r="E81" i="6"/>
  <c r="F81" i="6"/>
  <c r="G81" i="6"/>
  <c r="H81" i="6"/>
  <c r="I81" i="6"/>
  <c r="J81" i="6"/>
  <c r="K81" i="6"/>
  <c r="L81" i="6"/>
  <c r="M81" i="6"/>
  <c r="N81" i="6"/>
  <c r="O81" i="6"/>
  <c r="P81" i="6"/>
  <c r="Q81" i="6"/>
  <c r="R81" i="6"/>
  <c r="S81" i="6"/>
  <c r="T81" i="6"/>
  <c r="U81" i="6"/>
  <c r="V81" i="6"/>
  <c r="W81" i="6"/>
  <c r="X81" i="6"/>
  <c r="Y81" i="6"/>
  <c r="Z81" i="6"/>
  <c r="AA81" i="6"/>
  <c r="AB81" i="6"/>
  <c r="AC81" i="6"/>
  <c r="AD81" i="6"/>
  <c r="AE81" i="6"/>
  <c r="AF81" i="6"/>
  <c r="AG81" i="6"/>
  <c r="AH81" i="6"/>
  <c r="AI81" i="6"/>
  <c r="AJ81" i="6"/>
  <c r="AK81" i="6"/>
  <c r="AL81" i="6"/>
  <c r="AM81" i="6"/>
  <c r="AN81" i="6"/>
  <c r="AO81" i="6"/>
  <c r="AP81" i="6"/>
  <c r="AQ81" i="6"/>
  <c r="AR81" i="6"/>
  <c r="AS81" i="6"/>
  <c r="AT81" i="6"/>
  <c r="AU81" i="6"/>
  <c r="AV81" i="6"/>
  <c r="AY81" i="6"/>
  <c r="B82" i="6"/>
  <c r="C82" i="6"/>
  <c r="D82" i="6"/>
  <c r="E82" i="6"/>
  <c r="F82" i="6"/>
  <c r="G82" i="6"/>
  <c r="H82" i="6"/>
  <c r="I82" i="6"/>
  <c r="J82" i="6"/>
  <c r="K82" i="6"/>
  <c r="L82" i="6"/>
  <c r="M82" i="6"/>
  <c r="N82" i="6"/>
  <c r="O82" i="6"/>
  <c r="P82" i="6"/>
  <c r="Q82" i="6"/>
  <c r="R82" i="6"/>
  <c r="S82" i="6"/>
  <c r="T82" i="6"/>
  <c r="U82" i="6"/>
  <c r="V82" i="6"/>
  <c r="W82" i="6"/>
  <c r="X82" i="6"/>
  <c r="Y82" i="6"/>
  <c r="Z82" i="6"/>
  <c r="AA82" i="6"/>
  <c r="AB82" i="6"/>
  <c r="AC82" i="6"/>
  <c r="AD82" i="6"/>
  <c r="AE82" i="6"/>
  <c r="AF82" i="6"/>
  <c r="AG82" i="6"/>
  <c r="AH82" i="6"/>
  <c r="AI82" i="6"/>
  <c r="AJ82" i="6"/>
  <c r="AK82" i="6"/>
  <c r="AL82" i="6"/>
  <c r="AM82" i="6"/>
  <c r="AN82" i="6"/>
  <c r="AO82" i="6"/>
  <c r="AP82" i="6"/>
  <c r="AQ82" i="6"/>
  <c r="AR82" i="6"/>
  <c r="AS82" i="6"/>
  <c r="AT82" i="6"/>
  <c r="AU82" i="6"/>
  <c r="AV82" i="6"/>
  <c r="AY82" i="6"/>
  <c r="B83" i="6"/>
  <c r="C83" i="6"/>
  <c r="D83" i="6"/>
  <c r="E83" i="6"/>
  <c r="F83" i="6"/>
  <c r="G83" i="6"/>
  <c r="H83" i="6"/>
  <c r="I83" i="6"/>
  <c r="J83" i="6"/>
  <c r="K83" i="6"/>
  <c r="L83" i="6"/>
  <c r="M83" i="6"/>
  <c r="N83" i="6"/>
  <c r="O83" i="6"/>
  <c r="P83" i="6"/>
  <c r="Q83" i="6"/>
  <c r="R83" i="6"/>
  <c r="S83" i="6"/>
  <c r="T83" i="6"/>
  <c r="U83" i="6"/>
  <c r="V83" i="6"/>
  <c r="W83" i="6"/>
  <c r="X83" i="6"/>
  <c r="Y83" i="6"/>
  <c r="Z83" i="6"/>
  <c r="AA83" i="6"/>
  <c r="AB83" i="6"/>
  <c r="AC83" i="6"/>
  <c r="AD83" i="6"/>
  <c r="AE83" i="6"/>
  <c r="AF83" i="6"/>
  <c r="AG83" i="6"/>
  <c r="AH83" i="6"/>
  <c r="AI83" i="6"/>
  <c r="AJ83" i="6"/>
  <c r="AK83" i="6"/>
  <c r="AL83" i="6"/>
  <c r="AM83" i="6"/>
  <c r="AN83" i="6"/>
  <c r="AO83" i="6"/>
  <c r="AP83" i="6"/>
  <c r="AQ83" i="6"/>
  <c r="AR83" i="6"/>
  <c r="AS83" i="6"/>
  <c r="AT83" i="6"/>
  <c r="AU83" i="6"/>
  <c r="AV83" i="6"/>
  <c r="AY83" i="6"/>
  <c r="B84" i="6"/>
  <c r="C84" i="6"/>
  <c r="D84" i="6"/>
  <c r="E84" i="6"/>
  <c r="F84" i="6"/>
  <c r="G84" i="6"/>
  <c r="H84" i="6"/>
  <c r="I84" i="6"/>
  <c r="J84" i="6"/>
  <c r="K84" i="6"/>
  <c r="L84" i="6"/>
  <c r="M84" i="6"/>
  <c r="N84" i="6"/>
  <c r="O84" i="6"/>
  <c r="P84" i="6"/>
  <c r="Q84" i="6"/>
  <c r="R84" i="6"/>
  <c r="S84" i="6"/>
  <c r="T84" i="6"/>
  <c r="U84" i="6"/>
  <c r="V84" i="6"/>
  <c r="W84" i="6"/>
  <c r="X84" i="6"/>
  <c r="Y84" i="6"/>
  <c r="Z84" i="6"/>
  <c r="AA84" i="6"/>
  <c r="AB84" i="6"/>
  <c r="AC84" i="6"/>
  <c r="AD84" i="6"/>
  <c r="AE84" i="6"/>
  <c r="AF84" i="6"/>
  <c r="AG84" i="6"/>
  <c r="AH84" i="6"/>
  <c r="AI84" i="6"/>
  <c r="AJ84" i="6"/>
  <c r="AK84" i="6"/>
  <c r="AL84" i="6"/>
  <c r="AM84" i="6"/>
  <c r="AN84" i="6"/>
  <c r="AO84" i="6"/>
  <c r="AP84" i="6"/>
  <c r="AQ84" i="6"/>
  <c r="AR84" i="6"/>
  <c r="AS84" i="6"/>
  <c r="AT84" i="6"/>
  <c r="AU84" i="6"/>
  <c r="AV84" i="6"/>
  <c r="AY84" i="6"/>
  <c r="B85" i="6"/>
  <c r="C85" i="6"/>
  <c r="D85" i="6"/>
  <c r="E85" i="6"/>
  <c r="F85" i="6"/>
  <c r="G85" i="6"/>
  <c r="H85" i="6"/>
  <c r="I85" i="6"/>
  <c r="J85" i="6"/>
  <c r="K85" i="6"/>
  <c r="L85" i="6"/>
  <c r="M85" i="6"/>
  <c r="N85" i="6"/>
  <c r="O85" i="6"/>
  <c r="P85" i="6"/>
  <c r="Q85" i="6"/>
  <c r="R85" i="6"/>
  <c r="S85" i="6"/>
  <c r="T85" i="6"/>
  <c r="U85" i="6"/>
  <c r="V85" i="6"/>
  <c r="W85" i="6"/>
  <c r="X85" i="6"/>
  <c r="Y85" i="6"/>
  <c r="Z85" i="6"/>
  <c r="AA85" i="6"/>
  <c r="AB85" i="6"/>
  <c r="AC85" i="6"/>
  <c r="AD85" i="6"/>
  <c r="AE85" i="6"/>
  <c r="AF85" i="6"/>
  <c r="AG85" i="6"/>
  <c r="AH85" i="6"/>
  <c r="AI85" i="6"/>
  <c r="AJ85" i="6"/>
  <c r="AK85" i="6"/>
  <c r="AL85" i="6"/>
  <c r="AM85" i="6"/>
  <c r="AN85" i="6"/>
  <c r="AO85" i="6"/>
  <c r="AP85" i="6"/>
  <c r="AQ85" i="6"/>
  <c r="AR85" i="6"/>
  <c r="AS85" i="6"/>
  <c r="AT85" i="6"/>
  <c r="AU85" i="6"/>
  <c r="AV85" i="6"/>
  <c r="AY85" i="6"/>
  <c r="B86" i="6"/>
  <c r="C86" i="6"/>
  <c r="D86" i="6"/>
  <c r="E86" i="6"/>
  <c r="F86" i="6"/>
  <c r="G86" i="6"/>
  <c r="H86" i="6"/>
  <c r="I86" i="6"/>
  <c r="J86" i="6"/>
  <c r="K86" i="6"/>
  <c r="L86" i="6"/>
  <c r="M86" i="6"/>
  <c r="N86" i="6"/>
  <c r="O86" i="6"/>
  <c r="P86" i="6"/>
  <c r="Q86" i="6"/>
  <c r="R86" i="6"/>
  <c r="S86" i="6"/>
  <c r="T86" i="6"/>
  <c r="U86" i="6"/>
  <c r="V86" i="6"/>
  <c r="W86" i="6"/>
  <c r="X86" i="6"/>
  <c r="Y86" i="6"/>
  <c r="Z86" i="6"/>
  <c r="AA86" i="6"/>
  <c r="AB86" i="6"/>
  <c r="AC86" i="6"/>
  <c r="AD86" i="6"/>
  <c r="AE86" i="6"/>
  <c r="AF86" i="6"/>
  <c r="AG86" i="6"/>
  <c r="AH86" i="6"/>
  <c r="AI86" i="6"/>
  <c r="AJ86" i="6"/>
  <c r="AK86" i="6"/>
  <c r="AL86" i="6"/>
  <c r="AM86" i="6"/>
  <c r="AN86" i="6"/>
  <c r="AO86" i="6"/>
  <c r="AP86" i="6"/>
  <c r="AQ86" i="6"/>
  <c r="AR86" i="6"/>
  <c r="AS86" i="6"/>
  <c r="AT86" i="6"/>
  <c r="AU86" i="6"/>
  <c r="AV86" i="6"/>
  <c r="AY86" i="6"/>
  <c r="B87" i="6"/>
  <c r="C87" i="6"/>
  <c r="D87" i="6"/>
  <c r="E87" i="6"/>
  <c r="F87" i="6"/>
  <c r="G87" i="6"/>
  <c r="H87" i="6"/>
  <c r="I87" i="6"/>
  <c r="J87" i="6"/>
  <c r="K87" i="6"/>
  <c r="L87" i="6"/>
  <c r="M87" i="6"/>
  <c r="N87" i="6"/>
  <c r="O87" i="6"/>
  <c r="P87" i="6"/>
  <c r="Q87" i="6"/>
  <c r="R87" i="6"/>
  <c r="S87" i="6"/>
  <c r="T87" i="6"/>
  <c r="U87" i="6"/>
  <c r="V87" i="6"/>
  <c r="W87" i="6"/>
  <c r="X87" i="6"/>
  <c r="Y87" i="6"/>
  <c r="Z87" i="6"/>
  <c r="AA87" i="6"/>
  <c r="AB87" i="6"/>
  <c r="AC87" i="6"/>
  <c r="AD87" i="6"/>
  <c r="AE87" i="6"/>
  <c r="AF87" i="6"/>
  <c r="AG87" i="6"/>
  <c r="AH87" i="6"/>
  <c r="AI87" i="6"/>
  <c r="AJ87" i="6"/>
  <c r="AK87" i="6"/>
  <c r="AL87" i="6"/>
  <c r="AM87" i="6"/>
  <c r="AN87" i="6"/>
  <c r="AO87" i="6"/>
  <c r="AP87" i="6"/>
  <c r="AQ87" i="6"/>
  <c r="AR87" i="6"/>
  <c r="AS87" i="6"/>
  <c r="AT87" i="6"/>
  <c r="AU87" i="6"/>
  <c r="AV87" i="6"/>
  <c r="AY87" i="6"/>
  <c r="B88" i="6"/>
  <c r="C88" i="6"/>
  <c r="D88" i="6"/>
  <c r="E88" i="6"/>
  <c r="F88" i="6"/>
  <c r="G88" i="6"/>
  <c r="H88" i="6"/>
  <c r="I88" i="6"/>
  <c r="J88" i="6"/>
  <c r="K88" i="6"/>
  <c r="L88" i="6"/>
  <c r="M88" i="6"/>
  <c r="N88" i="6"/>
  <c r="O88" i="6"/>
  <c r="P88" i="6"/>
  <c r="Q88" i="6"/>
  <c r="R88" i="6"/>
  <c r="S88" i="6"/>
  <c r="T88" i="6"/>
  <c r="U88" i="6"/>
  <c r="V88" i="6"/>
  <c r="W88" i="6"/>
  <c r="X88" i="6"/>
  <c r="Y88" i="6"/>
  <c r="Z88" i="6"/>
  <c r="AA88" i="6"/>
  <c r="AB88" i="6"/>
  <c r="AC88" i="6"/>
  <c r="AD88" i="6"/>
  <c r="AE88" i="6"/>
  <c r="AF88" i="6"/>
  <c r="AG88" i="6"/>
  <c r="AH88" i="6"/>
  <c r="AI88" i="6"/>
  <c r="AJ88" i="6"/>
  <c r="AK88" i="6"/>
  <c r="AL88" i="6"/>
  <c r="AM88" i="6"/>
  <c r="AN88" i="6"/>
  <c r="AO88" i="6"/>
  <c r="AP88" i="6"/>
  <c r="AQ88" i="6"/>
  <c r="AR88" i="6"/>
  <c r="AS88" i="6"/>
  <c r="AT88" i="6"/>
  <c r="AU88" i="6"/>
  <c r="AV88" i="6"/>
  <c r="AY88" i="6"/>
  <c r="B89" i="6"/>
  <c r="C89" i="6"/>
  <c r="D89" i="6"/>
  <c r="E89" i="6"/>
  <c r="F89" i="6"/>
  <c r="G89" i="6"/>
  <c r="H89" i="6"/>
  <c r="I89" i="6"/>
  <c r="J89" i="6"/>
  <c r="K89" i="6"/>
  <c r="L89" i="6"/>
  <c r="M89" i="6"/>
  <c r="N89" i="6"/>
  <c r="O89" i="6"/>
  <c r="P89" i="6"/>
  <c r="Q89" i="6"/>
  <c r="R89" i="6"/>
  <c r="S89" i="6"/>
  <c r="T89" i="6"/>
  <c r="U89" i="6"/>
  <c r="V89" i="6"/>
  <c r="W89" i="6"/>
  <c r="X89" i="6"/>
  <c r="Y89" i="6"/>
  <c r="Z89" i="6"/>
  <c r="AA89" i="6"/>
  <c r="AB89" i="6"/>
  <c r="AC89" i="6"/>
  <c r="AD89" i="6"/>
  <c r="AE89" i="6"/>
  <c r="AF89" i="6"/>
  <c r="AG89" i="6"/>
  <c r="AH89" i="6"/>
  <c r="AI89" i="6"/>
  <c r="AJ89" i="6"/>
  <c r="AK89" i="6"/>
  <c r="AL89" i="6"/>
  <c r="AM89" i="6"/>
  <c r="AN89" i="6"/>
  <c r="AO89" i="6"/>
  <c r="AP89" i="6"/>
  <c r="AQ89" i="6"/>
  <c r="AR89" i="6"/>
  <c r="AS89" i="6"/>
  <c r="AT89" i="6"/>
  <c r="AU89" i="6"/>
  <c r="AV89" i="6"/>
  <c r="AY89" i="6"/>
  <c r="B90" i="6"/>
  <c r="C90" i="6"/>
  <c r="D90" i="6"/>
  <c r="E90" i="6"/>
  <c r="F90" i="6"/>
  <c r="G90" i="6"/>
  <c r="H90" i="6"/>
  <c r="I90" i="6"/>
  <c r="J90" i="6"/>
  <c r="K90" i="6"/>
  <c r="L90" i="6"/>
  <c r="M90" i="6"/>
  <c r="N90" i="6"/>
  <c r="O90" i="6"/>
  <c r="P90" i="6"/>
  <c r="Q90" i="6"/>
  <c r="R90" i="6"/>
  <c r="S90" i="6"/>
  <c r="T90" i="6"/>
  <c r="U90" i="6"/>
  <c r="V90" i="6"/>
  <c r="W90" i="6"/>
  <c r="X90" i="6"/>
  <c r="Y90" i="6"/>
  <c r="Z90" i="6"/>
  <c r="AA90" i="6"/>
  <c r="AB90" i="6"/>
  <c r="AC90" i="6"/>
  <c r="AD90" i="6"/>
  <c r="AE90" i="6"/>
  <c r="AF90" i="6"/>
  <c r="AG90" i="6"/>
  <c r="AH90" i="6"/>
  <c r="AI90" i="6"/>
  <c r="AJ90" i="6"/>
  <c r="AK90" i="6"/>
  <c r="AL90" i="6"/>
  <c r="AM90" i="6"/>
  <c r="AN90" i="6"/>
  <c r="AO90" i="6"/>
  <c r="AP90" i="6"/>
  <c r="AQ90" i="6"/>
  <c r="AR90" i="6"/>
  <c r="AS90" i="6"/>
  <c r="AT90" i="6"/>
  <c r="AU90" i="6"/>
  <c r="AV90" i="6"/>
  <c r="AY90" i="6"/>
  <c r="B91" i="6"/>
  <c r="C91" i="6"/>
  <c r="D91" i="6"/>
  <c r="E91" i="6"/>
  <c r="F91" i="6"/>
  <c r="G91" i="6"/>
  <c r="H91" i="6"/>
  <c r="I91" i="6"/>
  <c r="J91" i="6"/>
  <c r="K91" i="6"/>
  <c r="L91" i="6"/>
  <c r="M91" i="6"/>
  <c r="N91" i="6"/>
  <c r="O91" i="6"/>
  <c r="P91" i="6"/>
  <c r="Q91" i="6"/>
  <c r="R91" i="6"/>
  <c r="S91" i="6"/>
  <c r="T91" i="6"/>
  <c r="U91" i="6"/>
  <c r="V91" i="6"/>
  <c r="W91" i="6"/>
  <c r="X91" i="6"/>
  <c r="Y91" i="6"/>
  <c r="Z91" i="6"/>
  <c r="AA91" i="6"/>
  <c r="AB91" i="6"/>
  <c r="AC91" i="6"/>
  <c r="AD91" i="6"/>
  <c r="AE91" i="6"/>
  <c r="AF91" i="6"/>
  <c r="AG91" i="6"/>
  <c r="AH91" i="6"/>
  <c r="AI91" i="6"/>
  <c r="AJ91" i="6"/>
  <c r="AK91" i="6"/>
  <c r="AL91" i="6"/>
  <c r="AM91" i="6"/>
  <c r="AN91" i="6"/>
  <c r="AO91" i="6"/>
  <c r="AP91" i="6"/>
  <c r="AQ91" i="6"/>
  <c r="AR91" i="6"/>
  <c r="AS91" i="6"/>
  <c r="AT91" i="6"/>
  <c r="AU91" i="6"/>
  <c r="AV91" i="6"/>
  <c r="AY91" i="6"/>
  <c r="B92" i="6"/>
  <c r="C92" i="6"/>
  <c r="D92" i="6"/>
  <c r="E92" i="6"/>
  <c r="F92" i="6"/>
  <c r="G92" i="6"/>
  <c r="H92" i="6"/>
  <c r="I92" i="6"/>
  <c r="J92" i="6"/>
  <c r="K92" i="6"/>
  <c r="L92" i="6"/>
  <c r="M92" i="6"/>
  <c r="N92" i="6"/>
  <c r="O92" i="6"/>
  <c r="P92" i="6"/>
  <c r="Q92" i="6"/>
  <c r="R92" i="6"/>
  <c r="S92" i="6"/>
  <c r="T92" i="6"/>
  <c r="U92" i="6"/>
  <c r="V92" i="6"/>
  <c r="W92" i="6"/>
  <c r="X92" i="6"/>
  <c r="Y92" i="6"/>
  <c r="Z92" i="6"/>
  <c r="AA92" i="6"/>
  <c r="AB92" i="6"/>
  <c r="AC92" i="6"/>
  <c r="AD92" i="6"/>
  <c r="AE92" i="6"/>
  <c r="AF92" i="6"/>
  <c r="AG92" i="6"/>
  <c r="AH92" i="6"/>
  <c r="AI92" i="6"/>
  <c r="AJ92" i="6"/>
  <c r="AK92" i="6"/>
  <c r="AL92" i="6"/>
  <c r="AM92" i="6"/>
  <c r="AN92" i="6"/>
  <c r="AO92" i="6"/>
  <c r="AP92" i="6"/>
  <c r="AQ92" i="6"/>
  <c r="AR92" i="6"/>
  <c r="AS92" i="6"/>
  <c r="AT92" i="6"/>
  <c r="AU92" i="6"/>
  <c r="AV92" i="6"/>
  <c r="AY92" i="6"/>
  <c r="B93" i="6"/>
  <c r="C93" i="6"/>
  <c r="D93" i="6"/>
  <c r="E93" i="6"/>
  <c r="F93" i="6"/>
  <c r="G93" i="6"/>
  <c r="H93" i="6"/>
  <c r="I93" i="6"/>
  <c r="J93" i="6"/>
  <c r="K93" i="6"/>
  <c r="L93" i="6"/>
  <c r="M93" i="6"/>
  <c r="N93" i="6"/>
  <c r="O93" i="6"/>
  <c r="P93" i="6"/>
  <c r="Q93" i="6"/>
  <c r="R93" i="6"/>
  <c r="S93" i="6"/>
  <c r="T93" i="6"/>
  <c r="U93" i="6"/>
  <c r="V93" i="6"/>
  <c r="W93" i="6"/>
  <c r="X93" i="6"/>
  <c r="Y93" i="6"/>
  <c r="Z93" i="6"/>
  <c r="AA93" i="6"/>
  <c r="AB93" i="6"/>
  <c r="AC93" i="6"/>
  <c r="AD93" i="6"/>
  <c r="AE93" i="6"/>
  <c r="AF93" i="6"/>
  <c r="AG93" i="6"/>
  <c r="AH93" i="6"/>
  <c r="AI93" i="6"/>
  <c r="AJ93" i="6"/>
  <c r="AK93" i="6"/>
  <c r="AL93" i="6"/>
  <c r="AM93" i="6"/>
  <c r="AN93" i="6"/>
  <c r="AO93" i="6"/>
  <c r="AP93" i="6"/>
  <c r="AQ93" i="6"/>
  <c r="AR93" i="6"/>
  <c r="AS93" i="6"/>
  <c r="AT93" i="6"/>
  <c r="AU93" i="6"/>
  <c r="AV93" i="6"/>
  <c r="AY93" i="6"/>
  <c r="B94" i="6"/>
  <c r="C94" i="6"/>
  <c r="D94" i="6"/>
  <c r="E94" i="6"/>
  <c r="F94" i="6"/>
  <c r="G94" i="6"/>
  <c r="H94" i="6"/>
  <c r="I94" i="6"/>
  <c r="J94" i="6"/>
  <c r="K94" i="6"/>
  <c r="L94" i="6"/>
  <c r="M94" i="6"/>
  <c r="N94" i="6"/>
  <c r="O94" i="6"/>
  <c r="P94" i="6"/>
  <c r="Q94" i="6"/>
  <c r="R94" i="6"/>
  <c r="S94" i="6"/>
  <c r="T94" i="6"/>
  <c r="U94" i="6"/>
  <c r="V94" i="6"/>
  <c r="W94" i="6"/>
  <c r="X94" i="6"/>
  <c r="Y94" i="6"/>
  <c r="Z94" i="6"/>
  <c r="AA94" i="6"/>
  <c r="AB94" i="6"/>
  <c r="AC94" i="6"/>
  <c r="AD94" i="6"/>
  <c r="AE94" i="6"/>
  <c r="AF94" i="6"/>
  <c r="AG94" i="6"/>
  <c r="AH94" i="6"/>
  <c r="AI94" i="6"/>
  <c r="AJ94" i="6"/>
  <c r="AK94" i="6"/>
  <c r="AL94" i="6"/>
  <c r="AM94" i="6"/>
  <c r="AN94" i="6"/>
  <c r="AO94" i="6"/>
  <c r="AP94" i="6"/>
  <c r="AQ94" i="6"/>
  <c r="AR94" i="6"/>
  <c r="AS94" i="6"/>
  <c r="AT94" i="6"/>
  <c r="AU94" i="6"/>
  <c r="AV94" i="6"/>
  <c r="AY94" i="6"/>
  <c r="B95" i="6"/>
  <c r="C95" i="6"/>
  <c r="D95" i="6"/>
  <c r="E95" i="6"/>
  <c r="F95" i="6"/>
  <c r="G95" i="6"/>
  <c r="H95" i="6"/>
  <c r="I95" i="6"/>
  <c r="J95" i="6"/>
  <c r="K95" i="6"/>
  <c r="L95" i="6"/>
  <c r="M95" i="6"/>
  <c r="N95" i="6"/>
  <c r="O95" i="6"/>
  <c r="P95" i="6"/>
  <c r="Q95" i="6"/>
  <c r="R95" i="6"/>
  <c r="S95" i="6"/>
  <c r="T95" i="6"/>
  <c r="U95" i="6"/>
  <c r="V95" i="6"/>
  <c r="W95" i="6"/>
  <c r="X95" i="6"/>
  <c r="Y95" i="6"/>
  <c r="Z95" i="6"/>
  <c r="AA95" i="6"/>
  <c r="AB95" i="6"/>
  <c r="AC95" i="6"/>
  <c r="AD95" i="6"/>
  <c r="AE95" i="6"/>
  <c r="AF95" i="6"/>
  <c r="AG95" i="6"/>
  <c r="AH95" i="6"/>
  <c r="AI95" i="6"/>
  <c r="AJ95" i="6"/>
  <c r="AK95" i="6"/>
  <c r="AL95" i="6"/>
  <c r="AM95" i="6"/>
  <c r="AN95" i="6"/>
  <c r="AO95" i="6"/>
  <c r="AP95" i="6"/>
  <c r="AQ95" i="6"/>
  <c r="AR95" i="6"/>
  <c r="AS95" i="6"/>
  <c r="AT95" i="6"/>
  <c r="AU95" i="6"/>
  <c r="AV95" i="6"/>
  <c r="AY95" i="6"/>
  <c r="B96" i="6"/>
  <c r="C96" i="6"/>
  <c r="D96" i="6"/>
  <c r="E96" i="6"/>
  <c r="F96" i="6"/>
  <c r="G96" i="6"/>
  <c r="H96" i="6"/>
  <c r="I96" i="6"/>
  <c r="J96" i="6"/>
  <c r="K96" i="6"/>
  <c r="L96" i="6"/>
  <c r="M96" i="6"/>
  <c r="N96" i="6"/>
  <c r="O96" i="6"/>
  <c r="P96" i="6"/>
  <c r="Q96" i="6"/>
  <c r="R96" i="6"/>
  <c r="S96" i="6"/>
  <c r="T96" i="6"/>
  <c r="U96" i="6"/>
  <c r="V96" i="6"/>
  <c r="W96" i="6"/>
  <c r="X96" i="6"/>
  <c r="Y96" i="6"/>
  <c r="Z96" i="6"/>
  <c r="AA96" i="6"/>
  <c r="AB96" i="6"/>
  <c r="AC96" i="6"/>
  <c r="AD96" i="6"/>
  <c r="AE96" i="6"/>
  <c r="AF96" i="6"/>
  <c r="AG96" i="6"/>
  <c r="AH96" i="6"/>
  <c r="AI96" i="6"/>
  <c r="AJ96" i="6"/>
  <c r="AK96" i="6"/>
  <c r="AL96" i="6"/>
  <c r="AM96" i="6"/>
  <c r="AN96" i="6"/>
  <c r="AO96" i="6"/>
  <c r="AP96" i="6"/>
  <c r="AQ96" i="6"/>
  <c r="AR96" i="6"/>
  <c r="AS96" i="6"/>
  <c r="AT96" i="6"/>
  <c r="AU96" i="6"/>
  <c r="AV96" i="6"/>
  <c r="AY96" i="6"/>
  <c r="B97" i="6"/>
  <c r="C97" i="6"/>
  <c r="D97" i="6"/>
  <c r="E97" i="6"/>
  <c r="F97" i="6"/>
  <c r="G97" i="6"/>
  <c r="H97" i="6"/>
  <c r="I97" i="6"/>
  <c r="J97" i="6"/>
  <c r="K97" i="6"/>
  <c r="L97" i="6"/>
  <c r="M97" i="6"/>
  <c r="N97" i="6"/>
  <c r="O97" i="6"/>
  <c r="P97" i="6"/>
  <c r="Q97" i="6"/>
  <c r="R97" i="6"/>
  <c r="S97" i="6"/>
  <c r="T97" i="6"/>
  <c r="U97" i="6"/>
  <c r="V97" i="6"/>
  <c r="W97" i="6"/>
  <c r="X97" i="6"/>
  <c r="Y97" i="6"/>
  <c r="Z97" i="6"/>
  <c r="AA97" i="6"/>
  <c r="AB97" i="6"/>
  <c r="AC97" i="6"/>
  <c r="AD97" i="6"/>
  <c r="AE97" i="6"/>
  <c r="AF97" i="6"/>
  <c r="AG97" i="6"/>
  <c r="AH97" i="6"/>
  <c r="AI97" i="6"/>
  <c r="AJ97" i="6"/>
  <c r="AK97" i="6"/>
  <c r="AL97" i="6"/>
  <c r="AM97" i="6"/>
  <c r="AN97" i="6"/>
  <c r="AO97" i="6"/>
  <c r="AP97" i="6"/>
  <c r="AQ97" i="6"/>
  <c r="AR97" i="6"/>
  <c r="AS97" i="6"/>
  <c r="AT97" i="6"/>
  <c r="AU97" i="6"/>
  <c r="AV97" i="6"/>
  <c r="AY97" i="6"/>
  <c r="B98" i="6"/>
  <c r="C98" i="6"/>
  <c r="D98" i="6"/>
  <c r="E98" i="6"/>
  <c r="F98" i="6"/>
  <c r="G98" i="6"/>
  <c r="H98" i="6"/>
  <c r="I98" i="6"/>
  <c r="J98" i="6"/>
  <c r="K98" i="6"/>
  <c r="L98" i="6"/>
  <c r="M98" i="6"/>
  <c r="N98" i="6"/>
  <c r="O98" i="6"/>
  <c r="P98" i="6"/>
  <c r="Q98" i="6"/>
  <c r="R98" i="6"/>
  <c r="S98" i="6"/>
  <c r="T98" i="6"/>
  <c r="U98" i="6"/>
  <c r="V98" i="6"/>
  <c r="W98" i="6"/>
  <c r="X98" i="6"/>
  <c r="Y98" i="6"/>
  <c r="Z98" i="6"/>
  <c r="AA98" i="6"/>
  <c r="AB98" i="6"/>
  <c r="AC98" i="6"/>
  <c r="AD98" i="6"/>
  <c r="AE98" i="6"/>
  <c r="AF98" i="6"/>
  <c r="AG98" i="6"/>
  <c r="AH98" i="6"/>
  <c r="AI98" i="6"/>
  <c r="AJ98" i="6"/>
  <c r="AK98" i="6"/>
  <c r="AL98" i="6"/>
  <c r="AM98" i="6"/>
  <c r="AN98" i="6"/>
  <c r="AO98" i="6"/>
  <c r="AP98" i="6"/>
  <c r="AQ98" i="6"/>
  <c r="AR98" i="6"/>
  <c r="AS98" i="6"/>
  <c r="AT98" i="6"/>
  <c r="AU98" i="6"/>
  <c r="AV98" i="6"/>
  <c r="AY98" i="6"/>
  <c r="B99" i="6"/>
  <c r="C99" i="6"/>
  <c r="D99" i="6"/>
  <c r="E99" i="6"/>
  <c r="F99" i="6"/>
  <c r="G99" i="6"/>
  <c r="H99" i="6"/>
  <c r="I99" i="6"/>
  <c r="J99" i="6"/>
  <c r="K99" i="6"/>
  <c r="L99" i="6"/>
  <c r="M99" i="6"/>
  <c r="N99" i="6"/>
  <c r="O99" i="6"/>
  <c r="P99" i="6"/>
  <c r="Q99" i="6"/>
  <c r="R99" i="6"/>
  <c r="S99" i="6"/>
  <c r="T99" i="6"/>
  <c r="U99" i="6"/>
  <c r="V99" i="6"/>
  <c r="W99" i="6"/>
  <c r="X99" i="6"/>
  <c r="Y99" i="6"/>
  <c r="Z99" i="6"/>
  <c r="AA99" i="6"/>
  <c r="AB99" i="6"/>
  <c r="AC99" i="6"/>
  <c r="AD99" i="6"/>
  <c r="AE99" i="6"/>
  <c r="AF99" i="6"/>
  <c r="AG99" i="6"/>
  <c r="AH99" i="6"/>
  <c r="AI99" i="6"/>
  <c r="AJ99" i="6"/>
  <c r="AK99" i="6"/>
  <c r="AL99" i="6"/>
  <c r="AM99" i="6"/>
  <c r="AN99" i="6"/>
  <c r="AO99" i="6"/>
  <c r="AP99" i="6"/>
  <c r="AQ99" i="6"/>
  <c r="AR99" i="6"/>
  <c r="AS99" i="6"/>
  <c r="AT99" i="6"/>
  <c r="AU99" i="6"/>
  <c r="AV99" i="6"/>
  <c r="AY99" i="6"/>
  <c r="B100" i="6"/>
  <c r="C100" i="6"/>
  <c r="D100" i="6"/>
  <c r="E100" i="6"/>
  <c r="F100" i="6"/>
  <c r="G100" i="6"/>
  <c r="H100" i="6"/>
  <c r="I100" i="6"/>
  <c r="J100" i="6"/>
  <c r="K100" i="6"/>
  <c r="L100" i="6"/>
  <c r="M100" i="6"/>
  <c r="N100" i="6"/>
  <c r="O100" i="6"/>
  <c r="P100" i="6"/>
  <c r="Q100" i="6"/>
  <c r="R100" i="6"/>
  <c r="S100" i="6"/>
  <c r="T100" i="6"/>
  <c r="U100" i="6"/>
  <c r="V100" i="6"/>
  <c r="W100" i="6"/>
  <c r="X100" i="6"/>
  <c r="Y100" i="6"/>
  <c r="Z100" i="6"/>
  <c r="AA100" i="6"/>
  <c r="AB100" i="6"/>
  <c r="AC100" i="6"/>
  <c r="AD100" i="6"/>
  <c r="AE100" i="6"/>
  <c r="AF100" i="6"/>
  <c r="AG100" i="6"/>
  <c r="AH100" i="6"/>
  <c r="AI100" i="6"/>
  <c r="AJ100" i="6"/>
  <c r="AK100" i="6"/>
  <c r="AL100" i="6"/>
  <c r="AM100" i="6"/>
  <c r="AN100" i="6"/>
  <c r="AO100" i="6"/>
  <c r="AP100" i="6"/>
  <c r="AQ100" i="6"/>
  <c r="AR100" i="6"/>
  <c r="AS100" i="6"/>
  <c r="AT100" i="6"/>
  <c r="AU100" i="6"/>
  <c r="AV100" i="6"/>
  <c r="AY100" i="6"/>
  <c r="B101" i="6"/>
  <c r="C101" i="6"/>
  <c r="D101" i="6"/>
  <c r="E101" i="6"/>
  <c r="F101" i="6"/>
  <c r="G101" i="6"/>
  <c r="H101" i="6"/>
  <c r="I101" i="6"/>
  <c r="J101" i="6"/>
  <c r="K101" i="6"/>
  <c r="L101" i="6"/>
  <c r="M101" i="6"/>
  <c r="N101" i="6"/>
  <c r="O101" i="6"/>
  <c r="P101" i="6"/>
  <c r="Q101" i="6"/>
  <c r="R101" i="6"/>
  <c r="S101" i="6"/>
  <c r="T101" i="6"/>
  <c r="U101" i="6"/>
  <c r="V101" i="6"/>
  <c r="W101" i="6"/>
  <c r="X101" i="6"/>
  <c r="Y101" i="6"/>
  <c r="Z101" i="6"/>
  <c r="AA101" i="6"/>
  <c r="AB101" i="6"/>
  <c r="AC101" i="6"/>
  <c r="AD101" i="6"/>
  <c r="AE101" i="6"/>
  <c r="AF101" i="6"/>
  <c r="AG101" i="6"/>
  <c r="AH101" i="6"/>
  <c r="AI101" i="6"/>
  <c r="AJ101" i="6"/>
  <c r="AK101" i="6"/>
  <c r="AL101" i="6"/>
  <c r="AM101" i="6"/>
  <c r="AN101" i="6"/>
  <c r="AO101" i="6"/>
  <c r="AP101" i="6"/>
  <c r="AQ101" i="6"/>
  <c r="AR101" i="6"/>
  <c r="AS101" i="6"/>
  <c r="AT101" i="6"/>
  <c r="AU101" i="6"/>
  <c r="AV101" i="6"/>
  <c r="AY101" i="6"/>
  <c r="B102" i="6"/>
  <c r="C102" i="6"/>
  <c r="D102" i="6"/>
  <c r="E102" i="6"/>
  <c r="F102" i="6"/>
  <c r="G102" i="6"/>
  <c r="H102" i="6"/>
  <c r="I102" i="6"/>
  <c r="J102" i="6"/>
  <c r="K102" i="6"/>
  <c r="L102" i="6"/>
  <c r="M102" i="6"/>
  <c r="N102" i="6"/>
  <c r="O102" i="6"/>
  <c r="P102" i="6"/>
  <c r="Q102" i="6"/>
  <c r="R102" i="6"/>
  <c r="S102" i="6"/>
  <c r="T102" i="6"/>
  <c r="U102" i="6"/>
  <c r="V102" i="6"/>
  <c r="W102" i="6"/>
  <c r="X102" i="6"/>
  <c r="Y102" i="6"/>
  <c r="Z102" i="6"/>
  <c r="AA102" i="6"/>
  <c r="AB102" i="6"/>
  <c r="AC102" i="6"/>
  <c r="AD102" i="6"/>
  <c r="AE102" i="6"/>
  <c r="AF102" i="6"/>
  <c r="AG102" i="6"/>
  <c r="AH102" i="6"/>
  <c r="AI102" i="6"/>
  <c r="AJ102" i="6"/>
  <c r="AK102" i="6"/>
  <c r="AL102" i="6"/>
  <c r="AM102" i="6"/>
  <c r="AN102" i="6"/>
  <c r="AO102" i="6"/>
  <c r="AP102" i="6"/>
  <c r="AQ102" i="6"/>
  <c r="AR102" i="6"/>
  <c r="AS102" i="6"/>
  <c r="AT102" i="6"/>
  <c r="AU102" i="6"/>
  <c r="AV102" i="6"/>
  <c r="AY102" i="6"/>
  <c r="B103" i="6"/>
  <c r="C103" i="6"/>
  <c r="D103" i="6"/>
  <c r="E103" i="6"/>
  <c r="F103" i="6"/>
  <c r="G103" i="6"/>
  <c r="H103" i="6"/>
  <c r="I103" i="6"/>
  <c r="J103" i="6"/>
  <c r="K103" i="6"/>
  <c r="L103" i="6"/>
  <c r="M103" i="6"/>
  <c r="N103" i="6"/>
  <c r="O103" i="6"/>
  <c r="P103" i="6"/>
  <c r="Q103" i="6"/>
  <c r="R103" i="6"/>
  <c r="S103" i="6"/>
  <c r="T103" i="6"/>
  <c r="U103" i="6"/>
  <c r="V103" i="6"/>
  <c r="W103" i="6"/>
  <c r="X103" i="6"/>
  <c r="Y103" i="6"/>
  <c r="Z103" i="6"/>
  <c r="AA103" i="6"/>
  <c r="AB103" i="6"/>
  <c r="AC103" i="6"/>
  <c r="AD103" i="6"/>
  <c r="AE103" i="6"/>
  <c r="AF103" i="6"/>
  <c r="AG103" i="6"/>
  <c r="AH103" i="6"/>
  <c r="AI103" i="6"/>
  <c r="AJ103" i="6"/>
  <c r="AK103" i="6"/>
  <c r="AL103" i="6"/>
  <c r="AM103" i="6"/>
  <c r="AN103" i="6"/>
  <c r="AO103" i="6"/>
  <c r="AP103" i="6"/>
  <c r="AQ103" i="6"/>
  <c r="AR103" i="6"/>
  <c r="AS103" i="6"/>
  <c r="AT103" i="6"/>
  <c r="AU103" i="6"/>
  <c r="AV103" i="6"/>
  <c r="AY103" i="6"/>
  <c r="B104" i="6"/>
  <c r="C104" i="6"/>
  <c r="D104" i="6"/>
  <c r="E104" i="6"/>
  <c r="F104" i="6"/>
  <c r="G104" i="6"/>
  <c r="H104" i="6"/>
  <c r="I104" i="6"/>
  <c r="J104" i="6"/>
  <c r="K104" i="6"/>
  <c r="L104" i="6"/>
  <c r="M104" i="6"/>
  <c r="N104" i="6"/>
  <c r="O104" i="6"/>
  <c r="P104" i="6"/>
  <c r="Q104" i="6"/>
  <c r="R104" i="6"/>
  <c r="S104" i="6"/>
  <c r="T104" i="6"/>
  <c r="U104" i="6"/>
  <c r="V104" i="6"/>
  <c r="W104" i="6"/>
  <c r="X104" i="6"/>
  <c r="Y104" i="6"/>
  <c r="Z104" i="6"/>
  <c r="AA104" i="6"/>
  <c r="AB104" i="6"/>
  <c r="AC104" i="6"/>
  <c r="AD104" i="6"/>
  <c r="AE104" i="6"/>
  <c r="AF104" i="6"/>
  <c r="AG104" i="6"/>
  <c r="AH104" i="6"/>
  <c r="AI104" i="6"/>
  <c r="AJ104" i="6"/>
  <c r="AK104" i="6"/>
  <c r="AL104" i="6"/>
  <c r="AM104" i="6"/>
  <c r="AN104" i="6"/>
  <c r="AO104" i="6"/>
  <c r="AP104" i="6"/>
  <c r="AQ104" i="6"/>
  <c r="AR104" i="6"/>
  <c r="AS104" i="6"/>
  <c r="AT104" i="6"/>
  <c r="AU104" i="6"/>
  <c r="AV104" i="6"/>
  <c r="AY104" i="6"/>
  <c r="B105" i="6"/>
  <c r="C105" i="6"/>
  <c r="D105" i="6"/>
  <c r="E105" i="6"/>
  <c r="F105" i="6"/>
  <c r="G105" i="6"/>
  <c r="H105" i="6"/>
  <c r="I105" i="6"/>
  <c r="J105" i="6"/>
  <c r="K105" i="6"/>
  <c r="L105" i="6"/>
  <c r="M105" i="6"/>
  <c r="N105" i="6"/>
  <c r="O105" i="6"/>
  <c r="P105" i="6"/>
  <c r="Q105" i="6"/>
  <c r="R105" i="6"/>
  <c r="S105" i="6"/>
  <c r="T105" i="6"/>
  <c r="U105" i="6"/>
  <c r="V105" i="6"/>
  <c r="W105" i="6"/>
  <c r="X105" i="6"/>
  <c r="Y105" i="6"/>
  <c r="Z105" i="6"/>
  <c r="AA105" i="6"/>
  <c r="AB105" i="6"/>
  <c r="AC105" i="6"/>
  <c r="AD105" i="6"/>
  <c r="AE105" i="6"/>
  <c r="AF105" i="6"/>
  <c r="AG105" i="6"/>
  <c r="AH105" i="6"/>
  <c r="AI105" i="6"/>
  <c r="AJ105" i="6"/>
  <c r="AK105" i="6"/>
  <c r="AL105" i="6"/>
  <c r="AM105" i="6"/>
  <c r="AN105" i="6"/>
  <c r="AO105" i="6"/>
  <c r="AP105" i="6"/>
  <c r="AQ105" i="6"/>
  <c r="AR105" i="6"/>
  <c r="AS105" i="6"/>
  <c r="AT105" i="6"/>
  <c r="AU105" i="6"/>
  <c r="AV105" i="6"/>
  <c r="AY105" i="6"/>
  <c r="B106" i="6"/>
  <c r="C106" i="6"/>
  <c r="D106" i="6"/>
  <c r="E106" i="6"/>
  <c r="F106" i="6"/>
  <c r="G106" i="6"/>
  <c r="H106" i="6"/>
  <c r="I106" i="6"/>
  <c r="J106" i="6"/>
  <c r="K106" i="6"/>
  <c r="L106" i="6"/>
  <c r="M106" i="6"/>
  <c r="N106" i="6"/>
  <c r="O106" i="6"/>
  <c r="P106" i="6"/>
  <c r="Q106" i="6"/>
  <c r="R106" i="6"/>
  <c r="S106" i="6"/>
  <c r="T106" i="6"/>
  <c r="U106" i="6"/>
  <c r="V106" i="6"/>
  <c r="W106" i="6"/>
  <c r="X106" i="6"/>
  <c r="Y106" i="6"/>
  <c r="Z106" i="6"/>
  <c r="AA106" i="6"/>
  <c r="AB106" i="6"/>
  <c r="AC106" i="6"/>
  <c r="AD106" i="6"/>
  <c r="AE106" i="6"/>
  <c r="AF106" i="6"/>
  <c r="AG106" i="6"/>
  <c r="AH106" i="6"/>
  <c r="AI106" i="6"/>
  <c r="AJ106" i="6"/>
  <c r="AK106" i="6"/>
  <c r="AL106" i="6"/>
  <c r="AM106" i="6"/>
  <c r="AN106" i="6"/>
  <c r="AO106" i="6"/>
  <c r="AP106" i="6"/>
  <c r="AQ106" i="6"/>
  <c r="AR106" i="6"/>
  <c r="AS106" i="6"/>
  <c r="AT106" i="6"/>
  <c r="AU106" i="6"/>
  <c r="AV106" i="6"/>
  <c r="AY106" i="6"/>
  <c r="B107" i="6"/>
  <c r="C107" i="6"/>
  <c r="D107" i="6"/>
  <c r="E107" i="6"/>
  <c r="F107" i="6"/>
  <c r="G107" i="6"/>
  <c r="H107" i="6"/>
  <c r="I107" i="6"/>
  <c r="J107" i="6"/>
  <c r="K107" i="6"/>
  <c r="L107" i="6"/>
  <c r="M107" i="6"/>
  <c r="N107" i="6"/>
  <c r="O107" i="6"/>
  <c r="P107" i="6"/>
  <c r="Q107" i="6"/>
  <c r="R107" i="6"/>
  <c r="S107" i="6"/>
  <c r="T107" i="6"/>
  <c r="U107" i="6"/>
  <c r="V107" i="6"/>
  <c r="W107" i="6"/>
  <c r="X107" i="6"/>
  <c r="Y107" i="6"/>
  <c r="Z107" i="6"/>
  <c r="AA107" i="6"/>
  <c r="AB107" i="6"/>
  <c r="AC107" i="6"/>
  <c r="AD107" i="6"/>
  <c r="AE107" i="6"/>
  <c r="AF107" i="6"/>
  <c r="AG107" i="6"/>
  <c r="AH107" i="6"/>
  <c r="AI107" i="6"/>
  <c r="AJ107" i="6"/>
  <c r="AK107" i="6"/>
  <c r="AL107" i="6"/>
  <c r="AM107" i="6"/>
  <c r="AN107" i="6"/>
  <c r="AO107" i="6"/>
  <c r="AP107" i="6"/>
  <c r="AQ107" i="6"/>
  <c r="AR107" i="6"/>
  <c r="AS107" i="6"/>
  <c r="AT107" i="6"/>
  <c r="AU107" i="6"/>
  <c r="AV107" i="6"/>
  <c r="AY107" i="6"/>
  <c r="B108" i="6"/>
  <c r="C108" i="6"/>
  <c r="D108" i="6"/>
  <c r="E108" i="6"/>
  <c r="F108" i="6"/>
  <c r="G108" i="6"/>
  <c r="H108" i="6"/>
  <c r="I108" i="6"/>
  <c r="J108" i="6"/>
  <c r="K108" i="6"/>
  <c r="L108" i="6"/>
  <c r="M108" i="6"/>
  <c r="N108" i="6"/>
  <c r="O108" i="6"/>
  <c r="P108" i="6"/>
  <c r="Q108" i="6"/>
  <c r="R108" i="6"/>
  <c r="S108" i="6"/>
  <c r="T108" i="6"/>
  <c r="U108" i="6"/>
  <c r="V108" i="6"/>
  <c r="W108" i="6"/>
  <c r="X108" i="6"/>
  <c r="Y108" i="6"/>
  <c r="Z108" i="6"/>
  <c r="AA108" i="6"/>
  <c r="AB108" i="6"/>
  <c r="AC108" i="6"/>
  <c r="AD108" i="6"/>
  <c r="AE108" i="6"/>
  <c r="AF108" i="6"/>
  <c r="AG108" i="6"/>
  <c r="AH108" i="6"/>
  <c r="AI108" i="6"/>
  <c r="AJ108" i="6"/>
  <c r="AK108" i="6"/>
  <c r="AL108" i="6"/>
  <c r="AM108" i="6"/>
  <c r="AN108" i="6"/>
  <c r="AO108" i="6"/>
  <c r="AP108" i="6"/>
  <c r="AQ108" i="6"/>
  <c r="AR108" i="6"/>
  <c r="AS108" i="6"/>
  <c r="AT108" i="6"/>
  <c r="AU108" i="6"/>
  <c r="AV108" i="6"/>
  <c r="AY108" i="6"/>
  <c r="B109" i="6"/>
  <c r="C109" i="6"/>
  <c r="D109" i="6"/>
  <c r="E109" i="6"/>
  <c r="F109" i="6"/>
  <c r="G109" i="6"/>
  <c r="H109" i="6"/>
  <c r="I109" i="6"/>
  <c r="J109" i="6"/>
  <c r="K109" i="6"/>
  <c r="L109" i="6"/>
  <c r="M109" i="6"/>
  <c r="N109" i="6"/>
  <c r="O109" i="6"/>
  <c r="P109" i="6"/>
  <c r="Q109" i="6"/>
  <c r="R109" i="6"/>
  <c r="S109" i="6"/>
  <c r="T109" i="6"/>
  <c r="U109" i="6"/>
  <c r="V109" i="6"/>
  <c r="W109" i="6"/>
  <c r="X109" i="6"/>
  <c r="Y109" i="6"/>
  <c r="Z109" i="6"/>
  <c r="AA109" i="6"/>
  <c r="AB109" i="6"/>
  <c r="AC109" i="6"/>
  <c r="AD109" i="6"/>
  <c r="AE109" i="6"/>
  <c r="AF109" i="6"/>
  <c r="AG109" i="6"/>
  <c r="AH109" i="6"/>
  <c r="AI109" i="6"/>
  <c r="AJ109" i="6"/>
  <c r="AK109" i="6"/>
  <c r="AL109" i="6"/>
  <c r="AM109" i="6"/>
  <c r="AN109" i="6"/>
  <c r="AO109" i="6"/>
  <c r="AP109" i="6"/>
  <c r="AQ109" i="6"/>
  <c r="AR109" i="6"/>
  <c r="AS109" i="6"/>
  <c r="AT109" i="6"/>
  <c r="AU109" i="6"/>
  <c r="AV109" i="6"/>
  <c r="AY109" i="6"/>
  <c r="B110" i="6"/>
  <c r="C110" i="6"/>
  <c r="D110" i="6"/>
  <c r="E110" i="6"/>
  <c r="F110" i="6"/>
  <c r="G110" i="6"/>
  <c r="H110" i="6"/>
  <c r="I110" i="6"/>
  <c r="J110" i="6"/>
  <c r="K110" i="6"/>
  <c r="L110" i="6"/>
  <c r="M110" i="6"/>
  <c r="N110" i="6"/>
  <c r="O110" i="6"/>
  <c r="P110" i="6"/>
  <c r="Q110" i="6"/>
  <c r="R110" i="6"/>
  <c r="S110" i="6"/>
  <c r="T110" i="6"/>
  <c r="U110" i="6"/>
  <c r="V110" i="6"/>
  <c r="W110" i="6"/>
  <c r="X110" i="6"/>
  <c r="Y110" i="6"/>
  <c r="Z110" i="6"/>
  <c r="AA110" i="6"/>
  <c r="AB110" i="6"/>
  <c r="AC110" i="6"/>
  <c r="AD110" i="6"/>
  <c r="AE110" i="6"/>
  <c r="AF110" i="6"/>
  <c r="AG110" i="6"/>
  <c r="AH110" i="6"/>
  <c r="AI110" i="6"/>
  <c r="AJ110" i="6"/>
  <c r="AK110" i="6"/>
  <c r="AL110" i="6"/>
  <c r="AM110" i="6"/>
  <c r="AN110" i="6"/>
  <c r="AO110" i="6"/>
  <c r="AP110" i="6"/>
  <c r="AQ110" i="6"/>
  <c r="AR110" i="6"/>
  <c r="AS110" i="6"/>
  <c r="AT110" i="6"/>
  <c r="AU110" i="6"/>
  <c r="AV110" i="6"/>
  <c r="AY110" i="6"/>
  <c r="B111" i="6"/>
  <c r="C111" i="6"/>
  <c r="D111" i="6"/>
  <c r="E111" i="6"/>
  <c r="F111" i="6"/>
  <c r="G111" i="6"/>
  <c r="H111" i="6"/>
  <c r="I111" i="6"/>
  <c r="J111" i="6"/>
  <c r="K111" i="6"/>
  <c r="L111" i="6"/>
  <c r="M111" i="6"/>
  <c r="N111" i="6"/>
  <c r="O111" i="6"/>
  <c r="P111" i="6"/>
  <c r="Q111" i="6"/>
  <c r="R111" i="6"/>
  <c r="S111" i="6"/>
  <c r="T111" i="6"/>
  <c r="U111" i="6"/>
  <c r="V111" i="6"/>
  <c r="W111" i="6"/>
  <c r="X111" i="6"/>
  <c r="Y111" i="6"/>
  <c r="Z111" i="6"/>
  <c r="AA111" i="6"/>
  <c r="AB111" i="6"/>
  <c r="AC111" i="6"/>
  <c r="AD111" i="6"/>
  <c r="AE111" i="6"/>
  <c r="AF111" i="6"/>
  <c r="AG111" i="6"/>
  <c r="AH111" i="6"/>
  <c r="AI111" i="6"/>
  <c r="AJ111" i="6"/>
  <c r="AK111" i="6"/>
  <c r="AL111" i="6"/>
  <c r="AM111" i="6"/>
  <c r="AN111" i="6"/>
  <c r="AO111" i="6"/>
  <c r="AP111" i="6"/>
  <c r="AQ111" i="6"/>
  <c r="AR111" i="6"/>
  <c r="AS111" i="6"/>
  <c r="AT111" i="6"/>
  <c r="AU111" i="6"/>
  <c r="AV111" i="6"/>
  <c r="AY111" i="6"/>
  <c r="B112" i="6"/>
  <c r="C112" i="6"/>
  <c r="D112" i="6"/>
  <c r="E112" i="6"/>
  <c r="F112" i="6"/>
  <c r="G112" i="6"/>
  <c r="H112" i="6"/>
  <c r="I112" i="6"/>
  <c r="J112" i="6"/>
  <c r="K112" i="6"/>
  <c r="L112" i="6"/>
  <c r="M112" i="6"/>
  <c r="N112" i="6"/>
  <c r="O112" i="6"/>
  <c r="P112" i="6"/>
  <c r="Q112" i="6"/>
  <c r="R112" i="6"/>
  <c r="S112" i="6"/>
  <c r="T112" i="6"/>
  <c r="U112" i="6"/>
  <c r="V112" i="6"/>
  <c r="W112" i="6"/>
  <c r="X112" i="6"/>
  <c r="Y112" i="6"/>
  <c r="Z112" i="6"/>
  <c r="AA112" i="6"/>
  <c r="AB112" i="6"/>
  <c r="AC112" i="6"/>
  <c r="AD112" i="6"/>
  <c r="AE112" i="6"/>
  <c r="AF112" i="6"/>
  <c r="AG112" i="6"/>
  <c r="AH112" i="6"/>
  <c r="AI112" i="6"/>
  <c r="AJ112" i="6"/>
  <c r="AK112" i="6"/>
  <c r="AL112" i="6"/>
  <c r="AM112" i="6"/>
  <c r="AN112" i="6"/>
  <c r="AO112" i="6"/>
  <c r="AP112" i="6"/>
  <c r="AQ112" i="6"/>
  <c r="AR112" i="6"/>
  <c r="AS112" i="6"/>
  <c r="AT112" i="6"/>
  <c r="AU112" i="6"/>
  <c r="AV112" i="6"/>
  <c r="AY112" i="6"/>
  <c r="B113" i="6"/>
  <c r="C113" i="6"/>
  <c r="D113" i="6"/>
  <c r="E113" i="6"/>
  <c r="F113" i="6"/>
  <c r="G113" i="6"/>
  <c r="H113" i="6"/>
  <c r="I113" i="6"/>
  <c r="J113" i="6"/>
  <c r="K113" i="6"/>
  <c r="L113" i="6"/>
  <c r="M113" i="6"/>
  <c r="N113" i="6"/>
  <c r="O113" i="6"/>
  <c r="P113" i="6"/>
  <c r="Q113" i="6"/>
  <c r="R113" i="6"/>
  <c r="S113" i="6"/>
  <c r="T113" i="6"/>
  <c r="U113" i="6"/>
  <c r="V113" i="6"/>
  <c r="W113" i="6"/>
  <c r="X113" i="6"/>
  <c r="Y113" i="6"/>
  <c r="Z113" i="6"/>
  <c r="AA113" i="6"/>
  <c r="AB113" i="6"/>
  <c r="AC113" i="6"/>
  <c r="AD113" i="6"/>
  <c r="AE113" i="6"/>
  <c r="AF113" i="6"/>
  <c r="AG113" i="6"/>
  <c r="AH113" i="6"/>
  <c r="AI113" i="6"/>
  <c r="AJ113" i="6"/>
  <c r="AK113" i="6"/>
  <c r="AL113" i="6"/>
  <c r="AM113" i="6"/>
  <c r="AN113" i="6"/>
  <c r="AO113" i="6"/>
  <c r="AP113" i="6"/>
  <c r="AQ113" i="6"/>
  <c r="AR113" i="6"/>
  <c r="AS113" i="6"/>
  <c r="AT113" i="6"/>
  <c r="AU113" i="6"/>
  <c r="AV113" i="6"/>
  <c r="AY113" i="6"/>
  <c r="B114" i="6"/>
  <c r="C114" i="6"/>
  <c r="D114" i="6"/>
  <c r="E114" i="6"/>
  <c r="F114" i="6"/>
  <c r="G114" i="6"/>
  <c r="H114" i="6"/>
  <c r="I114" i="6"/>
  <c r="J114" i="6"/>
  <c r="K114" i="6"/>
  <c r="L114" i="6"/>
  <c r="M114" i="6"/>
  <c r="N114" i="6"/>
  <c r="O114" i="6"/>
  <c r="P114" i="6"/>
  <c r="Q114" i="6"/>
  <c r="R114" i="6"/>
  <c r="S114" i="6"/>
  <c r="T114" i="6"/>
  <c r="U114" i="6"/>
  <c r="V114" i="6"/>
  <c r="W114" i="6"/>
  <c r="X114" i="6"/>
  <c r="Y114" i="6"/>
  <c r="Z114" i="6"/>
  <c r="AA114" i="6"/>
  <c r="AB114" i="6"/>
  <c r="AC114" i="6"/>
  <c r="AD114" i="6"/>
  <c r="AE114" i="6"/>
  <c r="AF114" i="6"/>
  <c r="AG114" i="6"/>
  <c r="AH114" i="6"/>
  <c r="AI114" i="6"/>
  <c r="AJ114" i="6"/>
  <c r="AK114" i="6"/>
  <c r="AL114" i="6"/>
  <c r="AM114" i="6"/>
  <c r="AN114" i="6"/>
  <c r="AO114" i="6"/>
  <c r="AP114" i="6"/>
  <c r="AQ114" i="6"/>
  <c r="AR114" i="6"/>
  <c r="AS114" i="6"/>
  <c r="AT114" i="6"/>
  <c r="AU114" i="6"/>
  <c r="AV114" i="6"/>
  <c r="AY114" i="6"/>
  <c r="B115" i="6"/>
  <c r="C115" i="6"/>
  <c r="D115" i="6"/>
  <c r="E115" i="6"/>
  <c r="F115" i="6"/>
  <c r="G115" i="6"/>
  <c r="H115" i="6"/>
  <c r="I115" i="6"/>
  <c r="J115" i="6"/>
  <c r="K115" i="6"/>
  <c r="L115" i="6"/>
  <c r="M115" i="6"/>
  <c r="N115" i="6"/>
  <c r="O115" i="6"/>
  <c r="P115" i="6"/>
  <c r="Q115" i="6"/>
  <c r="R115" i="6"/>
  <c r="S115" i="6"/>
  <c r="T115" i="6"/>
  <c r="U115" i="6"/>
  <c r="V115" i="6"/>
  <c r="W115" i="6"/>
  <c r="X115" i="6"/>
  <c r="Y115" i="6"/>
  <c r="Z115" i="6"/>
  <c r="AA115" i="6"/>
  <c r="AB115" i="6"/>
  <c r="AC115" i="6"/>
  <c r="AD115" i="6"/>
  <c r="AE115" i="6"/>
  <c r="AF115" i="6"/>
  <c r="AG115" i="6"/>
  <c r="AH115" i="6"/>
  <c r="AI115" i="6"/>
  <c r="AJ115" i="6"/>
  <c r="AK115" i="6"/>
  <c r="AL115" i="6"/>
  <c r="AM115" i="6"/>
  <c r="AN115" i="6"/>
  <c r="AO115" i="6"/>
  <c r="AP115" i="6"/>
  <c r="AQ115" i="6"/>
  <c r="AR115" i="6"/>
  <c r="AS115" i="6"/>
  <c r="AT115" i="6"/>
  <c r="AU115" i="6"/>
  <c r="AV115" i="6"/>
  <c r="AY115" i="6"/>
  <c r="B116" i="6"/>
  <c r="C116" i="6"/>
  <c r="D116" i="6"/>
  <c r="E116" i="6"/>
  <c r="F116" i="6"/>
  <c r="G116" i="6"/>
  <c r="H116" i="6"/>
  <c r="I116" i="6"/>
  <c r="J116" i="6"/>
  <c r="K116" i="6"/>
  <c r="L116" i="6"/>
  <c r="M116" i="6"/>
  <c r="N116" i="6"/>
  <c r="O116" i="6"/>
  <c r="P116" i="6"/>
  <c r="Q116" i="6"/>
  <c r="R116" i="6"/>
  <c r="S116" i="6"/>
  <c r="T116" i="6"/>
  <c r="U116" i="6"/>
  <c r="V116" i="6"/>
  <c r="W116" i="6"/>
  <c r="X116" i="6"/>
  <c r="Y116" i="6"/>
  <c r="Z116" i="6"/>
  <c r="AA116" i="6"/>
  <c r="AB116" i="6"/>
  <c r="AC116" i="6"/>
  <c r="AD116" i="6"/>
  <c r="AE116" i="6"/>
  <c r="AF116" i="6"/>
  <c r="AG116" i="6"/>
  <c r="AH116" i="6"/>
  <c r="AI116" i="6"/>
  <c r="AJ116" i="6"/>
  <c r="AK116" i="6"/>
  <c r="AL116" i="6"/>
  <c r="AM116" i="6"/>
  <c r="AN116" i="6"/>
  <c r="AO116" i="6"/>
  <c r="AP116" i="6"/>
  <c r="AQ116" i="6"/>
  <c r="AR116" i="6"/>
  <c r="AS116" i="6"/>
  <c r="AT116" i="6"/>
  <c r="AU116" i="6"/>
  <c r="AV116" i="6"/>
  <c r="AY116" i="6"/>
  <c r="B117" i="6"/>
  <c r="C117" i="6"/>
  <c r="D117" i="6"/>
  <c r="E117" i="6"/>
  <c r="F117" i="6"/>
  <c r="G117" i="6"/>
  <c r="H117" i="6"/>
  <c r="I117" i="6"/>
  <c r="J117" i="6"/>
  <c r="K117" i="6"/>
  <c r="L117" i="6"/>
  <c r="M117" i="6"/>
  <c r="N117" i="6"/>
  <c r="O117" i="6"/>
  <c r="P117" i="6"/>
  <c r="Q117" i="6"/>
  <c r="R117" i="6"/>
  <c r="S117" i="6"/>
  <c r="T117" i="6"/>
  <c r="U117" i="6"/>
  <c r="V117" i="6"/>
  <c r="W117" i="6"/>
  <c r="X117" i="6"/>
  <c r="Y117" i="6"/>
  <c r="Z117" i="6"/>
  <c r="AA117" i="6"/>
  <c r="AB117" i="6"/>
  <c r="AC117" i="6"/>
  <c r="AD117" i="6"/>
  <c r="AE117" i="6"/>
  <c r="AF117" i="6"/>
  <c r="AG117" i="6"/>
  <c r="AH117" i="6"/>
  <c r="AI117" i="6"/>
  <c r="AJ117" i="6"/>
  <c r="AK117" i="6"/>
  <c r="AL117" i="6"/>
  <c r="AM117" i="6"/>
  <c r="AN117" i="6"/>
  <c r="AO117" i="6"/>
  <c r="AP117" i="6"/>
  <c r="AQ117" i="6"/>
  <c r="AR117" i="6"/>
  <c r="AS117" i="6"/>
  <c r="AT117" i="6"/>
  <c r="AU117" i="6"/>
  <c r="AV117" i="6"/>
  <c r="AY117" i="6"/>
  <c r="B118" i="6"/>
  <c r="C118" i="6"/>
  <c r="D118" i="6"/>
  <c r="E118" i="6"/>
  <c r="F118" i="6"/>
  <c r="G118" i="6"/>
  <c r="H118" i="6"/>
  <c r="I118" i="6"/>
  <c r="J118" i="6"/>
  <c r="K118" i="6"/>
  <c r="L118" i="6"/>
  <c r="M118" i="6"/>
  <c r="N118" i="6"/>
  <c r="O118" i="6"/>
  <c r="P118" i="6"/>
  <c r="Q118" i="6"/>
  <c r="R118" i="6"/>
  <c r="S118" i="6"/>
  <c r="T118" i="6"/>
  <c r="U118" i="6"/>
  <c r="V118" i="6"/>
  <c r="W118" i="6"/>
  <c r="X118" i="6"/>
  <c r="Y118" i="6"/>
  <c r="Z118" i="6"/>
  <c r="AA118" i="6"/>
  <c r="AB118" i="6"/>
  <c r="AC118" i="6"/>
  <c r="AD118" i="6"/>
  <c r="AE118" i="6"/>
  <c r="AF118" i="6"/>
  <c r="AG118" i="6"/>
  <c r="AH118" i="6"/>
  <c r="AI118" i="6"/>
  <c r="AJ118" i="6"/>
  <c r="AK118" i="6"/>
  <c r="AL118" i="6"/>
  <c r="AM118" i="6"/>
  <c r="AN118" i="6"/>
  <c r="AO118" i="6"/>
  <c r="AP118" i="6"/>
  <c r="AQ118" i="6"/>
  <c r="AR118" i="6"/>
  <c r="AS118" i="6"/>
  <c r="AT118" i="6"/>
  <c r="AU118" i="6"/>
  <c r="AV118" i="6"/>
  <c r="AY118" i="6"/>
  <c r="B119" i="6"/>
  <c r="C119" i="6"/>
  <c r="D119" i="6"/>
  <c r="E119" i="6"/>
  <c r="F119" i="6"/>
  <c r="G119" i="6"/>
  <c r="H119" i="6"/>
  <c r="I119" i="6"/>
  <c r="J119" i="6"/>
  <c r="K119" i="6"/>
  <c r="L119" i="6"/>
  <c r="M119" i="6"/>
  <c r="N119" i="6"/>
  <c r="O119" i="6"/>
  <c r="P119" i="6"/>
  <c r="Q119" i="6"/>
  <c r="R119" i="6"/>
  <c r="S119" i="6"/>
  <c r="T119" i="6"/>
  <c r="U119" i="6"/>
  <c r="V119" i="6"/>
  <c r="W119" i="6"/>
  <c r="X119" i="6"/>
  <c r="Y119" i="6"/>
  <c r="Z119" i="6"/>
  <c r="AA119" i="6"/>
  <c r="AB119" i="6"/>
  <c r="AC119" i="6"/>
  <c r="AD119" i="6"/>
  <c r="AE119" i="6"/>
  <c r="AF119" i="6"/>
  <c r="AG119" i="6"/>
  <c r="AH119" i="6"/>
  <c r="AI119" i="6"/>
  <c r="AJ119" i="6"/>
  <c r="AK119" i="6"/>
  <c r="AL119" i="6"/>
  <c r="AM119" i="6"/>
  <c r="AN119" i="6"/>
  <c r="AO119" i="6"/>
  <c r="AP119" i="6"/>
  <c r="AQ119" i="6"/>
  <c r="AR119" i="6"/>
  <c r="AS119" i="6"/>
  <c r="AT119" i="6"/>
  <c r="AU119" i="6"/>
  <c r="AV119" i="6"/>
  <c r="AY119" i="6"/>
  <c r="B120" i="6"/>
  <c r="C120" i="6"/>
  <c r="D120" i="6"/>
  <c r="E120" i="6"/>
  <c r="F120" i="6"/>
  <c r="G120" i="6"/>
  <c r="H120" i="6"/>
  <c r="I120" i="6"/>
  <c r="J120" i="6"/>
  <c r="K120" i="6"/>
  <c r="L120" i="6"/>
  <c r="M120" i="6"/>
  <c r="N120" i="6"/>
  <c r="O120" i="6"/>
  <c r="P120" i="6"/>
  <c r="Q120" i="6"/>
  <c r="R120" i="6"/>
  <c r="S120" i="6"/>
  <c r="T120" i="6"/>
  <c r="U120" i="6"/>
  <c r="V120" i="6"/>
  <c r="W120" i="6"/>
  <c r="X120" i="6"/>
  <c r="Y120" i="6"/>
  <c r="Z120" i="6"/>
  <c r="AA120" i="6"/>
  <c r="AB120" i="6"/>
  <c r="AC120" i="6"/>
  <c r="AD120" i="6"/>
  <c r="AE120" i="6"/>
  <c r="AF120" i="6"/>
  <c r="AG120" i="6"/>
  <c r="AH120" i="6"/>
  <c r="AI120" i="6"/>
  <c r="AJ120" i="6"/>
  <c r="AK120" i="6"/>
  <c r="AL120" i="6"/>
  <c r="AM120" i="6"/>
  <c r="AN120" i="6"/>
  <c r="AO120" i="6"/>
  <c r="AP120" i="6"/>
  <c r="AQ120" i="6"/>
  <c r="AR120" i="6"/>
  <c r="AS120" i="6"/>
  <c r="AT120" i="6"/>
  <c r="AU120" i="6"/>
  <c r="AV120" i="6"/>
  <c r="AY120" i="6"/>
  <c r="B121" i="6"/>
  <c r="C121" i="6"/>
  <c r="D121" i="6"/>
  <c r="E121" i="6"/>
  <c r="F121" i="6"/>
  <c r="G121" i="6"/>
  <c r="H121" i="6"/>
  <c r="I121" i="6"/>
  <c r="J121" i="6"/>
  <c r="K121" i="6"/>
  <c r="L121" i="6"/>
  <c r="M121" i="6"/>
  <c r="N121" i="6"/>
  <c r="O121" i="6"/>
  <c r="P121" i="6"/>
  <c r="Q121" i="6"/>
  <c r="R121" i="6"/>
  <c r="S121" i="6"/>
  <c r="T121" i="6"/>
  <c r="U121" i="6"/>
  <c r="V121" i="6"/>
  <c r="W121" i="6"/>
  <c r="X121" i="6"/>
  <c r="Y121" i="6"/>
  <c r="Z121" i="6"/>
  <c r="AA121" i="6"/>
  <c r="AB121" i="6"/>
  <c r="AC121" i="6"/>
  <c r="AD121" i="6"/>
  <c r="AE121" i="6"/>
  <c r="AF121" i="6"/>
  <c r="AG121" i="6"/>
  <c r="AH121" i="6"/>
  <c r="AI121" i="6"/>
  <c r="AJ121" i="6"/>
  <c r="AK121" i="6"/>
  <c r="AL121" i="6"/>
  <c r="AM121" i="6"/>
  <c r="AN121" i="6"/>
  <c r="AO121" i="6"/>
  <c r="AP121" i="6"/>
  <c r="AQ121" i="6"/>
  <c r="AR121" i="6"/>
  <c r="AS121" i="6"/>
  <c r="AT121" i="6"/>
  <c r="AU121" i="6"/>
  <c r="AV121" i="6"/>
  <c r="AY121" i="6"/>
  <c r="B122" i="6"/>
  <c r="C122" i="6"/>
  <c r="D122" i="6"/>
  <c r="E122" i="6"/>
  <c r="F122" i="6"/>
  <c r="G122" i="6"/>
  <c r="H122" i="6"/>
  <c r="I122" i="6"/>
  <c r="J122" i="6"/>
  <c r="K122" i="6"/>
  <c r="L122" i="6"/>
  <c r="M122" i="6"/>
  <c r="N122" i="6"/>
  <c r="O122" i="6"/>
  <c r="P122" i="6"/>
  <c r="Q122" i="6"/>
  <c r="R122" i="6"/>
  <c r="S122" i="6"/>
  <c r="T122" i="6"/>
  <c r="U122" i="6"/>
  <c r="V122" i="6"/>
  <c r="W122" i="6"/>
  <c r="X122" i="6"/>
  <c r="Y122" i="6"/>
  <c r="Z122" i="6"/>
  <c r="AA122" i="6"/>
  <c r="AB122" i="6"/>
  <c r="AC122" i="6"/>
  <c r="AD122" i="6"/>
  <c r="AE122" i="6"/>
  <c r="AF122" i="6"/>
  <c r="AG122" i="6"/>
  <c r="AH122" i="6"/>
  <c r="AI122" i="6"/>
  <c r="AJ122" i="6"/>
  <c r="AK122" i="6"/>
  <c r="AL122" i="6"/>
  <c r="AM122" i="6"/>
  <c r="AN122" i="6"/>
  <c r="AO122" i="6"/>
  <c r="AP122" i="6"/>
  <c r="AQ122" i="6"/>
  <c r="AR122" i="6"/>
  <c r="AS122" i="6"/>
  <c r="AT122" i="6"/>
  <c r="AU122" i="6"/>
  <c r="AV122" i="6"/>
  <c r="AY122" i="6"/>
  <c r="B123" i="6"/>
  <c r="C123" i="6"/>
  <c r="D123" i="6"/>
  <c r="E123" i="6"/>
  <c r="F123" i="6"/>
  <c r="G123" i="6"/>
  <c r="H123" i="6"/>
  <c r="I123" i="6"/>
  <c r="J123" i="6"/>
  <c r="K123" i="6"/>
  <c r="L123" i="6"/>
  <c r="M123" i="6"/>
  <c r="N123" i="6"/>
  <c r="O123" i="6"/>
  <c r="P123" i="6"/>
  <c r="Q123" i="6"/>
  <c r="R123" i="6"/>
  <c r="S123" i="6"/>
  <c r="T123" i="6"/>
  <c r="U123" i="6"/>
  <c r="V123" i="6"/>
  <c r="W123" i="6"/>
  <c r="X123" i="6"/>
  <c r="Y123" i="6"/>
  <c r="Z123" i="6"/>
  <c r="AA123" i="6"/>
  <c r="AB123" i="6"/>
  <c r="AC123" i="6"/>
  <c r="AD123" i="6"/>
  <c r="AE123" i="6"/>
  <c r="AF123" i="6"/>
  <c r="AG123" i="6"/>
  <c r="AH123" i="6"/>
  <c r="AI123" i="6"/>
  <c r="AJ123" i="6"/>
  <c r="AK123" i="6"/>
  <c r="AL123" i="6"/>
  <c r="AM123" i="6"/>
  <c r="AN123" i="6"/>
  <c r="AO123" i="6"/>
  <c r="AP123" i="6"/>
  <c r="AQ123" i="6"/>
  <c r="AR123" i="6"/>
  <c r="AS123" i="6"/>
  <c r="AT123" i="6"/>
  <c r="AU123" i="6"/>
  <c r="AV123" i="6"/>
  <c r="AY123" i="6"/>
  <c r="B124" i="6"/>
  <c r="C124" i="6"/>
  <c r="D124" i="6"/>
  <c r="E124" i="6"/>
  <c r="F124" i="6"/>
  <c r="G124" i="6"/>
  <c r="H124" i="6"/>
  <c r="I124" i="6"/>
  <c r="J124" i="6"/>
  <c r="K124" i="6"/>
  <c r="L124" i="6"/>
  <c r="M124" i="6"/>
  <c r="N124" i="6"/>
  <c r="O124" i="6"/>
  <c r="P124" i="6"/>
  <c r="Q124" i="6"/>
  <c r="R124" i="6"/>
  <c r="S124" i="6"/>
  <c r="T124" i="6"/>
  <c r="U124" i="6"/>
  <c r="V124" i="6"/>
  <c r="W124" i="6"/>
  <c r="X124" i="6"/>
  <c r="Y124" i="6"/>
  <c r="Z124" i="6"/>
  <c r="AA124" i="6"/>
  <c r="AB124" i="6"/>
  <c r="AC124" i="6"/>
  <c r="AD124" i="6"/>
  <c r="AE124" i="6"/>
  <c r="AF124" i="6"/>
  <c r="AG124" i="6"/>
  <c r="AH124" i="6"/>
  <c r="AI124" i="6"/>
  <c r="AJ124" i="6"/>
  <c r="AK124" i="6"/>
  <c r="AL124" i="6"/>
  <c r="AM124" i="6"/>
  <c r="AN124" i="6"/>
  <c r="AO124" i="6"/>
  <c r="AP124" i="6"/>
  <c r="AQ124" i="6"/>
  <c r="AR124" i="6"/>
  <c r="AS124" i="6"/>
  <c r="AT124" i="6"/>
  <c r="AU124" i="6"/>
  <c r="AV124" i="6"/>
  <c r="AY124" i="6"/>
  <c r="B125" i="6"/>
  <c r="C125" i="6"/>
  <c r="D125" i="6"/>
  <c r="E125" i="6"/>
  <c r="F125" i="6"/>
  <c r="G125" i="6"/>
  <c r="H125" i="6"/>
  <c r="I125" i="6"/>
  <c r="J125" i="6"/>
  <c r="K125" i="6"/>
  <c r="L125" i="6"/>
  <c r="M125" i="6"/>
  <c r="N125" i="6"/>
  <c r="O125" i="6"/>
  <c r="P125" i="6"/>
  <c r="Q125" i="6"/>
  <c r="R125" i="6"/>
  <c r="S125" i="6"/>
  <c r="T125" i="6"/>
  <c r="U125" i="6"/>
  <c r="V125" i="6"/>
  <c r="W125" i="6"/>
  <c r="X125" i="6"/>
  <c r="Y125" i="6"/>
  <c r="Z125" i="6"/>
  <c r="AA125" i="6"/>
  <c r="AB125" i="6"/>
  <c r="AC125" i="6"/>
  <c r="AD125" i="6"/>
  <c r="AE125" i="6"/>
  <c r="AF125" i="6"/>
  <c r="AG125" i="6"/>
  <c r="AH125" i="6"/>
  <c r="AI125" i="6"/>
  <c r="AJ125" i="6"/>
  <c r="AK125" i="6"/>
  <c r="AL125" i="6"/>
  <c r="AM125" i="6"/>
  <c r="AN125" i="6"/>
  <c r="AO125" i="6"/>
  <c r="AP125" i="6"/>
  <c r="AQ125" i="6"/>
  <c r="AR125" i="6"/>
  <c r="AS125" i="6"/>
  <c r="AT125" i="6"/>
  <c r="AU125" i="6"/>
  <c r="AV125" i="6"/>
  <c r="AY125" i="6"/>
  <c r="B126" i="6"/>
  <c r="C126" i="6"/>
  <c r="D126" i="6"/>
  <c r="E126" i="6"/>
  <c r="F126" i="6"/>
  <c r="G126" i="6"/>
  <c r="H126" i="6"/>
  <c r="I126" i="6"/>
  <c r="J126" i="6"/>
  <c r="K126" i="6"/>
  <c r="L126" i="6"/>
  <c r="M126" i="6"/>
  <c r="N126" i="6"/>
  <c r="O126" i="6"/>
  <c r="P126" i="6"/>
  <c r="Q126" i="6"/>
  <c r="R126" i="6"/>
  <c r="S126" i="6"/>
  <c r="T126" i="6"/>
  <c r="U126" i="6"/>
  <c r="V126" i="6"/>
  <c r="W126" i="6"/>
  <c r="X126" i="6"/>
  <c r="Y126" i="6"/>
  <c r="Z126" i="6"/>
  <c r="AA126" i="6"/>
  <c r="AB126" i="6"/>
  <c r="AC126" i="6"/>
  <c r="AD126" i="6"/>
  <c r="AE126" i="6"/>
  <c r="AF126" i="6"/>
  <c r="AG126" i="6"/>
  <c r="AH126" i="6"/>
  <c r="AI126" i="6"/>
  <c r="AJ126" i="6"/>
  <c r="AK126" i="6"/>
  <c r="AL126" i="6"/>
  <c r="AM126" i="6"/>
  <c r="AN126" i="6"/>
  <c r="AO126" i="6"/>
  <c r="AP126" i="6"/>
  <c r="AQ126" i="6"/>
  <c r="AR126" i="6"/>
  <c r="AS126" i="6"/>
  <c r="AT126" i="6"/>
  <c r="AU126" i="6"/>
  <c r="AV126" i="6"/>
  <c r="AY126" i="6"/>
  <c r="B127" i="6"/>
  <c r="C127" i="6"/>
  <c r="D127" i="6"/>
  <c r="E127" i="6"/>
  <c r="F127" i="6"/>
  <c r="G127" i="6"/>
  <c r="H127" i="6"/>
  <c r="I127" i="6"/>
  <c r="J127" i="6"/>
  <c r="K127" i="6"/>
  <c r="L127" i="6"/>
  <c r="M127" i="6"/>
  <c r="N127" i="6"/>
  <c r="O127" i="6"/>
  <c r="P127" i="6"/>
  <c r="Q127" i="6"/>
  <c r="R127" i="6"/>
  <c r="S127" i="6"/>
  <c r="T127" i="6"/>
  <c r="U127" i="6"/>
  <c r="V127" i="6"/>
  <c r="W127" i="6"/>
  <c r="X127" i="6"/>
  <c r="Y127" i="6"/>
  <c r="Z127" i="6"/>
  <c r="AA127" i="6"/>
  <c r="AB127" i="6"/>
  <c r="AC127" i="6"/>
  <c r="AD127" i="6"/>
  <c r="AE127" i="6"/>
  <c r="AF127" i="6"/>
  <c r="AG127" i="6"/>
  <c r="AH127" i="6"/>
  <c r="AI127" i="6"/>
  <c r="AJ127" i="6"/>
  <c r="AK127" i="6"/>
  <c r="AL127" i="6"/>
  <c r="AM127" i="6"/>
  <c r="AN127" i="6"/>
  <c r="AO127" i="6"/>
  <c r="AP127" i="6"/>
  <c r="AQ127" i="6"/>
  <c r="AR127" i="6"/>
  <c r="AS127" i="6"/>
  <c r="AT127" i="6"/>
  <c r="AU127" i="6"/>
  <c r="AV127" i="6"/>
  <c r="AY127" i="6"/>
  <c r="B128" i="6"/>
  <c r="C128" i="6"/>
  <c r="D128" i="6"/>
  <c r="E128" i="6"/>
  <c r="F128" i="6"/>
  <c r="G128" i="6"/>
  <c r="H128" i="6"/>
  <c r="I128" i="6"/>
  <c r="J128" i="6"/>
  <c r="K128" i="6"/>
  <c r="L128" i="6"/>
  <c r="M128" i="6"/>
  <c r="N128" i="6"/>
  <c r="O128" i="6"/>
  <c r="P128" i="6"/>
  <c r="Q128" i="6"/>
  <c r="R128" i="6"/>
  <c r="S128" i="6"/>
  <c r="T128" i="6"/>
  <c r="U128" i="6"/>
  <c r="V128" i="6"/>
  <c r="W128" i="6"/>
  <c r="X128" i="6"/>
  <c r="Y128" i="6"/>
  <c r="Z128" i="6"/>
  <c r="AA128" i="6"/>
  <c r="AB128" i="6"/>
  <c r="AC128" i="6"/>
  <c r="AD128" i="6"/>
  <c r="AE128" i="6"/>
  <c r="AF128" i="6"/>
  <c r="AG128" i="6"/>
  <c r="AH128" i="6"/>
  <c r="AI128" i="6"/>
  <c r="AJ128" i="6"/>
  <c r="AK128" i="6"/>
  <c r="AL128" i="6"/>
  <c r="AM128" i="6"/>
  <c r="AN128" i="6"/>
  <c r="AO128" i="6"/>
  <c r="AP128" i="6"/>
  <c r="AQ128" i="6"/>
  <c r="AR128" i="6"/>
  <c r="AS128" i="6"/>
  <c r="AT128" i="6"/>
  <c r="AU128" i="6"/>
  <c r="AV128" i="6"/>
  <c r="AY128" i="6"/>
  <c r="B129" i="6"/>
  <c r="C129" i="6"/>
  <c r="D129" i="6"/>
  <c r="E129" i="6"/>
  <c r="F129" i="6"/>
  <c r="G129" i="6"/>
  <c r="H129" i="6"/>
  <c r="I129" i="6"/>
  <c r="J129" i="6"/>
  <c r="K129" i="6"/>
  <c r="L129" i="6"/>
  <c r="M129" i="6"/>
  <c r="N129" i="6"/>
  <c r="O129" i="6"/>
  <c r="P129" i="6"/>
  <c r="Q129" i="6"/>
  <c r="R129" i="6"/>
  <c r="S129" i="6"/>
  <c r="T129" i="6"/>
  <c r="U129" i="6"/>
  <c r="V129" i="6"/>
  <c r="W129" i="6"/>
  <c r="X129" i="6"/>
  <c r="Y129" i="6"/>
  <c r="Z129" i="6"/>
  <c r="AA129" i="6"/>
  <c r="AB129" i="6"/>
  <c r="AC129" i="6"/>
  <c r="AD129" i="6"/>
  <c r="AE129" i="6"/>
  <c r="AF129" i="6"/>
  <c r="AG129" i="6"/>
  <c r="AH129" i="6"/>
  <c r="AI129" i="6"/>
  <c r="AJ129" i="6"/>
  <c r="AK129" i="6"/>
  <c r="AL129" i="6"/>
  <c r="AM129" i="6"/>
  <c r="AN129" i="6"/>
  <c r="AO129" i="6"/>
  <c r="AP129" i="6"/>
  <c r="AQ129" i="6"/>
  <c r="AR129" i="6"/>
  <c r="AS129" i="6"/>
  <c r="AT129" i="6"/>
  <c r="AU129" i="6"/>
  <c r="AV129" i="6"/>
  <c r="AY129" i="6"/>
  <c r="B130" i="6"/>
  <c r="C130" i="6"/>
  <c r="D130" i="6"/>
  <c r="E130" i="6"/>
  <c r="F130" i="6"/>
  <c r="G130" i="6"/>
  <c r="H130" i="6"/>
  <c r="I130" i="6"/>
  <c r="J130" i="6"/>
  <c r="K130" i="6"/>
  <c r="L130" i="6"/>
  <c r="M130" i="6"/>
  <c r="N130" i="6"/>
  <c r="O130" i="6"/>
  <c r="P130" i="6"/>
  <c r="Q130" i="6"/>
  <c r="R130" i="6"/>
  <c r="S130" i="6"/>
  <c r="T130" i="6"/>
  <c r="U130" i="6"/>
  <c r="V130" i="6"/>
  <c r="W130" i="6"/>
  <c r="X130" i="6"/>
  <c r="Y130" i="6"/>
  <c r="Z130" i="6"/>
  <c r="AA130" i="6"/>
  <c r="AB130" i="6"/>
  <c r="AC130" i="6"/>
  <c r="AD130" i="6"/>
  <c r="AE130" i="6"/>
  <c r="AF130" i="6"/>
  <c r="AG130" i="6"/>
  <c r="AH130" i="6"/>
  <c r="AI130" i="6"/>
  <c r="AJ130" i="6"/>
  <c r="AK130" i="6"/>
  <c r="AL130" i="6"/>
  <c r="AM130" i="6"/>
  <c r="AN130" i="6"/>
  <c r="AO130" i="6"/>
  <c r="AP130" i="6"/>
  <c r="AQ130" i="6"/>
  <c r="AR130" i="6"/>
  <c r="AS130" i="6"/>
  <c r="AT130" i="6"/>
  <c r="AU130" i="6"/>
  <c r="AV130" i="6"/>
  <c r="AY130" i="6"/>
  <c r="B131" i="6"/>
  <c r="C131" i="6"/>
  <c r="D131" i="6"/>
  <c r="E131" i="6"/>
  <c r="F131" i="6"/>
  <c r="G131" i="6"/>
  <c r="H131" i="6"/>
  <c r="I131" i="6"/>
  <c r="J131" i="6"/>
  <c r="K131" i="6"/>
  <c r="L131" i="6"/>
  <c r="M131" i="6"/>
  <c r="N131" i="6"/>
  <c r="O131" i="6"/>
  <c r="P131" i="6"/>
  <c r="Q131" i="6"/>
  <c r="R131" i="6"/>
  <c r="S131" i="6"/>
  <c r="T131" i="6"/>
  <c r="U131" i="6"/>
  <c r="V131" i="6"/>
  <c r="W131" i="6"/>
  <c r="X131" i="6"/>
  <c r="Y131" i="6"/>
  <c r="Z131" i="6"/>
  <c r="AA131" i="6"/>
  <c r="AB131" i="6"/>
  <c r="AC131" i="6"/>
  <c r="AD131" i="6"/>
  <c r="AE131" i="6"/>
  <c r="AF131" i="6"/>
  <c r="AG131" i="6"/>
  <c r="AH131" i="6"/>
  <c r="AI131" i="6"/>
  <c r="AJ131" i="6"/>
  <c r="AK131" i="6"/>
  <c r="AL131" i="6"/>
  <c r="AM131" i="6"/>
  <c r="AN131" i="6"/>
  <c r="AO131" i="6"/>
  <c r="AP131" i="6"/>
  <c r="AQ131" i="6"/>
  <c r="AR131" i="6"/>
  <c r="AS131" i="6"/>
  <c r="AT131" i="6"/>
  <c r="AU131" i="6"/>
  <c r="AV131" i="6"/>
  <c r="AY131" i="6"/>
  <c r="B132" i="6"/>
  <c r="C132" i="6"/>
  <c r="D132" i="6"/>
  <c r="E132" i="6"/>
  <c r="F132" i="6"/>
  <c r="G132" i="6"/>
  <c r="H132" i="6"/>
  <c r="I132" i="6"/>
  <c r="J132" i="6"/>
  <c r="K132" i="6"/>
  <c r="L132" i="6"/>
  <c r="M132" i="6"/>
  <c r="N132" i="6"/>
  <c r="O132" i="6"/>
  <c r="P132" i="6"/>
  <c r="Q132" i="6"/>
  <c r="R132" i="6"/>
  <c r="S132" i="6"/>
  <c r="T132" i="6"/>
  <c r="U132" i="6"/>
  <c r="V132" i="6"/>
  <c r="W132" i="6"/>
  <c r="X132" i="6"/>
  <c r="Y132" i="6"/>
  <c r="Z132" i="6"/>
  <c r="AA132" i="6"/>
  <c r="AB132" i="6"/>
  <c r="AC132" i="6"/>
  <c r="AD132" i="6"/>
  <c r="AE132" i="6"/>
  <c r="AF132" i="6"/>
  <c r="AG132" i="6"/>
  <c r="AH132" i="6"/>
  <c r="AI132" i="6"/>
  <c r="AJ132" i="6"/>
  <c r="AK132" i="6"/>
  <c r="AL132" i="6"/>
  <c r="AM132" i="6"/>
  <c r="AN132" i="6"/>
  <c r="AO132" i="6"/>
  <c r="AP132" i="6"/>
  <c r="AQ132" i="6"/>
  <c r="AR132" i="6"/>
  <c r="AS132" i="6"/>
  <c r="AT132" i="6"/>
  <c r="AU132" i="6"/>
  <c r="AV132" i="6"/>
  <c r="AY132" i="6"/>
  <c r="B133" i="6"/>
  <c r="C133" i="6"/>
  <c r="D133" i="6"/>
  <c r="E133" i="6"/>
  <c r="F133" i="6"/>
  <c r="G133" i="6"/>
  <c r="H133" i="6"/>
  <c r="I133" i="6"/>
  <c r="J133" i="6"/>
  <c r="K133" i="6"/>
  <c r="L133" i="6"/>
  <c r="M133" i="6"/>
  <c r="N133" i="6"/>
  <c r="O133" i="6"/>
  <c r="P133" i="6"/>
  <c r="Q133" i="6"/>
  <c r="R133" i="6"/>
  <c r="S133" i="6"/>
  <c r="T133" i="6"/>
  <c r="U133" i="6"/>
  <c r="V133" i="6"/>
  <c r="W133" i="6"/>
  <c r="X133" i="6"/>
  <c r="Y133" i="6"/>
  <c r="Z133" i="6"/>
  <c r="AA133" i="6"/>
  <c r="AB133" i="6"/>
  <c r="AC133" i="6"/>
  <c r="AD133" i="6"/>
  <c r="AE133" i="6"/>
  <c r="AF133" i="6"/>
  <c r="AG133" i="6"/>
  <c r="AH133" i="6"/>
  <c r="AI133" i="6"/>
  <c r="AJ133" i="6"/>
  <c r="AK133" i="6"/>
  <c r="AL133" i="6"/>
  <c r="AM133" i="6"/>
  <c r="AN133" i="6"/>
  <c r="AO133" i="6"/>
  <c r="AP133" i="6"/>
  <c r="AQ133" i="6"/>
  <c r="AR133" i="6"/>
  <c r="AS133" i="6"/>
  <c r="AT133" i="6"/>
  <c r="AU133" i="6"/>
  <c r="AV133" i="6"/>
  <c r="AY133" i="6"/>
  <c r="B134" i="6"/>
  <c r="C134" i="6"/>
  <c r="D134" i="6"/>
  <c r="E134" i="6"/>
  <c r="F134" i="6"/>
  <c r="G134" i="6"/>
  <c r="H134" i="6"/>
  <c r="I134" i="6"/>
  <c r="J134" i="6"/>
  <c r="K134" i="6"/>
  <c r="L134" i="6"/>
  <c r="M134" i="6"/>
  <c r="N134" i="6"/>
  <c r="O134" i="6"/>
  <c r="P134" i="6"/>
  <c r="Q134" i="6"/>
  <c r="R134" i="6"/>
  <c r="S134" i="6"/>
  <c r="T134" i="6"/>
  <c r="U134" i="6"/>
  <c r="V134" i="6"/>
  <c r="W134" i="6"/>
  <c r="X134" i="6"/>
  <c r="Y134" i="6"/>
  <c r="Z134" i="6"/>
  <c r="AA134" i="6"/>
  <c r="AB134" i="6"/>
  <c r="AC134" i="6"/>
  <c r="AD134" i="6"/>
  <c r="AE134" i="6"/>
  <c r="AF134" i="6"/>
  <c r="AG134" i="6"/>
  <c r="AH134" i="6"/>
  <c r="AI134" i="6"/>
  <c r="AJ134" i="6"/>
  <c r="AK134" i="6"/>
  <c r="AL134" i="6"/>
  <c r="AM134" i="6"/>
  <c r="AN134" i="6"/>
  <c r="AO134" i="6"/>
  <c r="AP134" i="6"/>
  <c r="AQ134" i="6"/>
  <c r="AR134" i="6"/>
  <c r="AS134" i="6"/>
  <c r="AT134" i="6"/>
  <c r="AU134" i="6"/>
  <c r="AV134" i="6"/>
  <c r="AY134" i="6"/>
  <c r="B135" i="6"/>
  <c r="C135" i="6"/>
  <c r="D135" i="6"/>
  <c r="E135" i="6"/>
  <c r="F135" i="6"/>
  <c r="G135" i="6"/>
  <c r="H135" i="6"/>
  <c r="I135" i="6"/>
  <c r="J135" i="6"/>
  <c r="K135" i="6"/>
  <c r="L135" i="6"/>
  <c r="M135" i="6"/>
  <c r="N135" i="6"/>
  <c r="O135" i="6"/>
  <c r="P135" i="6"/>
  <c r="Q135" i="6"/>
  <c r="R135" i="6"/>
  <c r="S135" i="6"/>
  <c r="T135" i="6"/>
  <c r="U135" i="6"/>
  <c r="V135" i="6"/>
  <c r="W135" i="6"/>
  <c r="X135" i="6"/>
  <c r="Y135" i="6"/>
  <c r="Z135" i="6"/>
  <c r="AA135" i="6"/>
  <c r="AB135" i="6"/>
  <c r="AC135" i="6"/>
  <c r="AD135" i="6"/>
  <c r="AE135" i="6"/>
  <c r="AF135" i="6"/>
  <c r="AG135" i="6"/>
  <c r="AH135" i="6"/>
  <c r="AI135" i="6"/>
  <c r="AJ135" i="6"/>
  <c r="AK135" i="6"/>
  <c r="AL135" i="6"/>
  <c r="AM135" i="6"/>
  <c r="AN135" i="6"/>
  <c r="AO135" i="6"/>
  <c r="AP135" i="6"/>
  <c r="AQ135" i="6"/>
  <c r="AR135" i="6"/>
  <c r="AS135" i="6"/>
  <c r="AT135" i="6"/>
  <c r="AU135" i="6"/>
  <c r="AV135" i="6"/>
  <c r="AY135" i="6"/>
  <c r="B136" i="6"/>
  <c r="C136" i="6"/>
  <c r="D136" i="6"/>
  <c r="E136" i="6"/>
  <c r="F136" i="6"/>
  <c r="G136" i="6"/>
  <c r="H136" i="6"/>
  <c r="I136" i="6"/>
  <c r="J136" i="6"/>
  <c r="K136" i="6"/>
  <c r="L136" i="6"/>
  <c r="M136" i="6"/>
  <c r="N136" i="6"/>
  <c r="O136" i="6"/>
  <c r="P136" i="6"/>
  <c r="Q136" i="6"/>
  <c r="R136" i="6"/>
  <c r="S136" i="6"/>
  <c r="T136" i="6"/>
  <c r="U136" i="6"/>
  <c r="V136" i="6"/>
  <c r="W136" i="6"/>
  <c r="X136" i="6"/>
  <c r="Y136" i="6"/>
  <c r="Z136" i="6"/>
  <c r="AA136" i="6"/>
  <c r="AB136" i="6"/>
  <c r="AC136" i="6"/>
  <c r="AD136" i="6"/>
  <c r="AE136" i="6"/>
  <c r="AF136" i="6"/>
  <c r="AG136" i="6"/>
  <c r="AH136" i="6"/>
  <c r="AI136" i="6"/>
  <c r="AJ136" i="6"/>
  <c r="AK136" i="6"/>
  <c r="AL136" i="6"/>
  <c r="AM136" i="6"/>
  <c r="AN136" i="6"/>
  <c r="AO136" i="6"/>
  <c r="AP136" i="6"/>
  <c r="AQ136" i="6"/>
  <c r="AR136" i="6"/>
  <c r="AS136" i="6"/>
  <c r="AT136" i="6"/>
  <c r="AU136" i="6"/>
  <c r="AV136" i="6"/>
  <c r="AY136" i="6"/>
  <c r="B137" i="6"/>
  <c r="C137" i="6"/>
  <c r="D137" i="6"/>
  <c r="E137" i="6"/>
  <c r="F137" i="6"/>
  <c r="G137" i="6"/>
  <c r="H137" i="6"/>
  <c r="I137" i="6"/>
  <c r="J137" i="6"/>
  <c r="K137" i="6"/>
  <c r="L137" i="6"/>
  <c r="M137" i="6"/>
  <c r="N137" i="6"/>
  <c r="O137" i="6"/>
  <c r="P137" i="6"/>
  <c r="Q137" i="6"/>
  <c r="R137" i="6"/>
  <c r="S137" i="6"/>
  <c r="T137" i="6"/>
  <c r="U137" i="6"/>
  <c r="V137" i="6"/>
  <c r="W137" i="6"/>
  <c r="X137" i="6"/>
  <c r="Y137" i="6"/>
  <c r="Z137" i="6"/>
  <c r="AA137" i="6"/>
  <c r="AB137" i="6"/>
  <c r="AC137" i="6"/>
  <c r="AD137" i="6"/>
  <c r="AE137" i="6"/>
  <c r="AF137" i="6"/>
  <c r="AG137" i="6"/>
  <c r="AH137" i="6"/>
  <c r="AI137" i="6"/>
  <c r="AJ137" i="6"/>
  <c r="AK137" i="6"/>
  <c r="AL137" i="6"/>
  <c r="AM137" i="6"/>
  <c r="AN137" i="6"/>
  <c r="AO137" i="6"/>
  <c r="AP137" i="6"/>
  <c r="AQ137" i="6"/>
  <c r="AR137" i="6"/>
  <c r="AS137" i="6"/>
  <c r="AT137" i="6"/>
  <c r="AU137" i="6"/>
  <c r="AV137" i="6"/>
  <c r="AY137" i="6"/>
  <c r="B138" i="6"/>
  <c r="C138" i="6"/>
  <c r="D138" i="6"/>
  <c r="E138" i="6"/>
  <c r="F138" i="6"/>
  <c r="G138" i="6"/>
  <c r="H138" i="6"/>
  <c r="I138" i="6"/>
  <c r="J138" i="6"/>
  <c r="K138" i="6"/>
  <c r="L138" i="6"/>
  <c r="M138" i="6"/>
  <c r="N138" i="6"/>
  <c r="O138" i="6"/>
  <c r="P138" i="6"/>
  <c r="Q138" i="6"/>
  <c r="R138" i="6"/>
  <c r="S138" i="6"/>
  <c r="T138" i="6"/>
  <c r="U138" i="6"/>
  <c r="V138" i="6"/>
  <c r="W138" i="6"/>
  <c r="X138" i="6"/>
  <c r="Y138" i="6"/>
  <c r="Z138" i="6"/>
  <c r="AA138" i="6"/>
  <c r="AB138" i="6"/>
  <c r="AC138" i="6"/>
  <c r="AD138" i="6"/>
  <c r="AE138" i="6"/>
  <c r="AF138" i="6"/>
  <c r="AG138" i="6"/>
  <c r="AH138" i="6"/>
  <c r="AI138" i="6"/>
  <c r="AJ138" i="6"/>
  <c r="AK138" i="6"/>
  <c r="AL138" i="6"/>
  <c r="AM138" i="6"/>
  <c r="AN138" i="6"/>
  <c r="AO138" i="6"/>
  <c r="AP138" i="6"/>
  <c r="AQ138" i="6"/>
  <c r="AR138" i="6"/>
  <c r="AS138" i="6"/>
  <c r="AT138" i="6"/>
  <c r="AU138" i="6"/>
  <c r="AV138" i="6"/>
  <c r="AY138" i="6"/>
  <c r="B139" i="6"/>
  <c r="C139" i="6"/>
  <c r="D139" i="6"/>
  <c r="E139" i="6"/>
  <c r="F139" i="6"/>
  <c r="G139" i="6"/>
  <c r="H139" i="6"/>
  <c r="I139" i="6"/>
  <c r="J139" i="6"/>
  <c r="K139" i="6"/>
  <c r="L139" i="6"/>
  <c r="M139" i="6"/>
  <c r="N139" i="6"/>
  <c r="O139" i="6"/>
  <c r="P139" i="6"/>
  <c r="Q139" i="6"/>
  <c r="R139" i="6"/>
  <c r="S139" i="6"/>
  <c r="T139" i="6"/>
  <c r="U139" i="6"/>
  <c r="V139" i="6"/>
  <c r="W139" i="6"/>
  <c r="X139" i="6"/>
  <c r="Y139" i="6"/>
  <c r="Z139" i="6"/>
  <c r="AA139" i="6"/>
  <c r="AB139" i="6"/>
  <c r="AC139" i="6"/>
  <c r="AD139" i="6"/>
  <c r="AE139" i="6"/>
  <c r="AF139" i="6"/>
  <c r="AG139" i="6"/>
  <c r="AH139" i="6"/>
  <c r="AI139" i="6"/>
  <c r="AJ139" i="6"/>
  <c r="AK139" i="6"/>
  <c r="AL139" i="6"/>
  <c r="AM139" i="6"/>
  <c r="AN139" i="6"/>
  <c r="AO139" i="6"/>
  <c r="AP139" i="6"/>
  <c r="AQ139" i="6"/>
  <c r="AR139" i="6"/>
  <c r="AS139" i="6"/>
  <c r="AT139" i="6"/>
  <c r="AU139" i="6"/>
  <c r="AV139" i="6"/>
  <c r="AY139" i="6"/>
  <c r="B140" i="6"/>
  <c r="C140" i="6"/>
  <c r="D140" i="6"/>
  <c r="E140" i="6"/>
  <c r="F140" i="6"/>
  <c r="G140" i="6"/>
  <c r="H140" i="6"/>
  <c r="I140" i="6"/>
  <c r="J140" i="6"/>
  <c r="K140" i="6"/>
  <c r="L140" i="6"/>
  <c r="M140" i="6"/>
  <c r="N140" i="6"/>
  <c r="O140" i="6"/>
  <c r="P140" i="6"/>
  <c r="Q140" i="6"/>
  <c r="R140" i="6"/>
  <c r="S140" i="6"/>
  <c r="T140" i="6"/>
  <c r="U140" i="6"/>
  <c r="V140" i="6"/>
  <c r="W140" i="6"/>
  <c r="X140" i="6"/>
  <c r="Y140" i="6"/>
  <c r="Z140" i="6"/>
  <c r="AA140" i="6"/>
  <c r="AB140" i="6"/>
  <c r="AC140" i="6"/>
  <c r="AD140" i="6"/>
  <c r="AE140" i="6"/>
  <c r="AF140" i="6"/>
  <c r="AG140" i="6"/>
  <c r="AH140" i="6"/>
  <c r="AI140" i="6"/>
  <c r="AJ140" i="6"/>
  <c r="AK140" i="6"/>
  <c r="AL140" i="6"/>
  <c r="AM140" i="6"/>
  <c r="AN140" i="6"/>
  <c r="AO140" i="6"/>
  <c r="AP140" i="6"/>
  <c r="AQ140" i="6"/>
  <c r="AR140" i="6"/>
  <c r="AS140" i="6"/>
  <c r="AT140" i="6"/>
  <c r="AU140" i="6"/>
  <c r="AV140" i="6"/>
  <c r="AY140" i="6"/>
  <c r="B141" i="6"/>
  <c r="C141" i="6"/>
  <c r="D141" i="6"/>
  <c r="E141" i="6"/>
  <c r="F141" i="6"/>
  <c r="G141" i="6"/>
  <c r="H141" i="6"/>
  <c r="I141" i="6"/>
  <c r="J141" i="6"/>
  <c r="K141" i="6"/>
  <c r="L141" i="6"/>
  <c r="M141" i="6"/>
  <c r="N141" i="6"/>
  <c r="O141" i="6"/>
  <c r="P141" i="6"/>
  <c r="Q141" i="6"/>
  <c r="R141" i="6"/>
  <c r="S141" i="6"/>
  <c r="T141" i="6"/>
  <c r="U141" i="6"/>
  <c r="V141" i="6"/>
  <c r="W141" i="6"/>
  <c r="X141" i="6"/>
  <c r="Y141" i="6"/>
  <c r="Z141" i="6"/>
  <c r="AA141" i="6"/>
  <c r="AB141" i="6"/>
  <c r="AC141" i="6"/>
  <c r="AD141" i="6"/>
  <c r="AE141" i="6"/>
  <c r="AF141" i="6"/>
  <c r="AG141" i="6"/>
  <c r="AH141" i="6"/>
  <c r="AI141" i="6"/>
  <c r="AJ141" i="6"/>
  <c r="AK141" i="6"/>
  <c r="AL141" i="6"/>
  <c r="AM141" i="6"/>
  <c r="AN141" i="6"/>
  <c r="AO141" i="6"/>
  <c r="AP141" i="6"/>
  <c r="AQ141" i="6"/>
  <c r="AR141" i="6"/>
  <c r="AS141" i="6"/>
  <c r="AT141" i="6"/>
  <c r="AU141" i="6"/>
  <c r="AV141" i="6"/>
  <c r="AY141" i="6"/>
  <c r="B142" i="6"/>
  <c r="C142" i="6"/>
  <c r="D142" i="6"/>
  <c r="E142" i="6"/>
  <c r="F142" i="6"/>
  <c r="G142" i="6"/>
  <c r="H142" i="6"/>
  <c r="I142" i="6"/>
  <c r="J142" i="6"/>
  <c r="K142" i="6"/>
  <c r="L142" i="6"/>
  <c r="M142" i="6"/>
  <c r="N142" i="6"/>
  <c r="O142" i="6"/>
  <c r="P142" i="6"/>
  <c r="Q142" i="6"/>
  <c r="R142" i="6"/>
  <c r="S142" i="6"/>
  <c r="T142" i="6"/>
  <c r="U142" i="6"/>
  <c r="V142" i="6"/>
  <c r="W142" i="6"/>
  <c r="X142" i="6"/>
  <c r="Y142" i="6"/>
  <c r="Z142" i="6"/>
  <c r="AA142" i="6"/>
  <c r="AB142" i="6"/>
  <c r="AC142" i="6"/>
  <c r="AD142" i="6"/>
  <c r="AE142" i="6"/>
  <c r="AF142" i="6"/>
  <c r="AG142" i="6"/>
  <c r="AH142" i="6"/>
  <c r="AI142" i="6"/>
  <c r="AJ142" i="6"/>
  <c r="AK142" i="6"/>
  <c r="AL142" i="6"/>
  <c r="AM142" i="6"/>
  <c r="AN142" i="6"/>
  <c r="AO142" i="6"/>
  <c r="AP142" i="6"/>
  <c r="AQ142" i="6"/>
  <c r="AR142" i="6"/>
  <c r="AS142" i="6"/>
  <c r="AT142" i="6"/>
  <c r="AU142" i="6"/>
  <c r="AV142" i="6"/>
  <c r="AY142" i="6"/>
  <c r="B143" i="6"/>
  <c r="C143" i="6"/>
  <c r="D143" i="6"/>
  <c r="E143" i="6"/>
  <c r="F143" i="6"/>
  <c r="G143" i="6"/>
  <c r="H143" i="6"/>
  <c r="I143" i="6"/>
  <c r="J143" i="6"/>
  <c r="K143" i="6"/>
  <c r="L143" i="6"/>
  <c r="M143" i="6"/>
  <c r="N143" i="6"/>
  <c r="O143" i="6"/>
  <c r="P143" i="6"/>
  <c r="Q143" i="6"/>
  <c r="R143" i="6"/>
  <c r="S143" i="6"/>
  <c r="T143" i="6"/>
  <c r="U143" i="6"/>
  <c r="V143" i="6"/>
  <c r="W143" i="6"/>
  <c r="X143" i="6"/>
  <c r="Y143" i="6"/>
  <c r="Z143" i="6"/>
  <c r="AA143" i="6"/>
  <c r="AB143" i="6"/>
  <c r="AC143" i="6"/>
  <c r="AD143" i="6"/>
  <c r="AE143" i="6"/>
  <c r="AF143" i="6"/>
  <c r="AG143" i="6"/>
  <c r="AH143" i="6"/>
  <c r="AI143" i="6"/>
  <c r="AJ143" i="6"/>
  <c r="AK143" i="6"/>
  <c r="AL143" i="6"/>
  <c r="AM143" i="6"/>
  <c r="AN143" i="6"/>
  <c r="AO143" i="6"/>
  <c r="AP143" i="6"/>
  <c r="AQ143" i="6"/>
  <c r="AR143" i="6"/>
  <c r="AS143" i="6"/>
  <c r="AT143" i="6"/>
  <c r="AU143" i="6"/>
  <c r="AV143" i="6"/>
  <c r="AY143" i="6"/>
  <c r="B144" i="6"/>
  <c r="C144" i="6"/>
  <c r="D144" i="6"/>
  <c r="E144" i="6"/>
  <c r="F144" i="6"/>
  <c r="G144" i="6"/>
  <c r="H144" i="6"/>
  <c r="I144" i="6"/>
  <c r="J144" i="6"/>
  <c r="K144" i="6"/>
  <c r="L144" i="6"/>
  <c r="M144" i="6"/>
  <c r="N144" i="6"/>
  <c r="O144" i="6"/>
  <c r="P144" i="6"/>
  <c r="Q144" i="6"/>
  <c r="R144" i="6"/>
  <c r="S144" i="6"/>
  <c r="T144" i="6"/>
  <c r="U144" i="6"/>
  <c r="V144" i="6"/>
  <c r="W144" i="6"/>
  <c r="X144" i="6"/>
  <c r="Y144" i="6"/>
  <c r="Z144" i="6"/>
  <c r="AA144" i="6"/>
  <c r="AB144" i="6"/>
  <c r="AC144" i="6"/>
  <c r="AD144" i="6"/>
  <c r="AE144" i="6"/>
  <c r="AF144" i="6"/>
  <c r="AG144" i="6"/>
  <c r="AH144" i="6"/>
  <c r="AI144" i="6"/>
  <c r="AJ144" i="6"/>
  <c r="AK144" i="6"/>
  <c r="AL144" i="6"/>
  <c r="AM144" i="6"/>
  <c r="AN144" i="6"/>
  <c r="AO144" i="6"/>
  <c r="AP144" i="6"/>
  <c r="AQ144" i="6"/>
  <c r="AR144" i="6"/>
  <c r="AS144" i="6"/>
  <c r="AT144" i="6"/>
  <c r="AU144" i="6"/>
  <c r="AV144" i="6"/>
  <c r="AY144" i="6"/>
  <c r="B145" i="6"/>
  <c r="C145" i="6"/>
  <c r="D145" i="6"/>
  <c r="E145" i="6"/>
  <c r="F145" i="6"/>
  <c r="G145" i="6"/>
  <c r="H145" i="6"/>
  <c r="I145" i="6"/>
  <c r="J145" i="6"/>
  <c r="K145" i="6"/>
  <c r="L145" i="6"/>
  <c r="M145" i="6"/>
  <c r="N145" i="6"/>
  <c r="O145" i="6"/>
  <c r="P145" i="6"/>
  <c r="Q145" i="6"/>
  <c r="R145" i="6"/>
  <c r="S145" i="6"/>
  <c r="T145" i="6"/>
  <c r="U145" i="6"/>
  <c r="V145" i="6"/>
  <c r="W145" i="6"/>
  <c r="X145" i="6"/>
  <c r="Y145" i="6"/>
  <c r="Z145" i="6"/>
  <c r="AA145" i="6"/>
  <c r="AB145" i="6"/>
  <c r="AC145" i="6"/>
  <c r="AD145" i="6"/>
  <c r="AE145" i="6"/>
  <c r="AF145" i="6"/>
  <c r="AG145" i="6"/>
  <c r="AH145" i="6"/>
  <c r="AI145" i="6"/>
  <c r="AJ145" i="6"/>
  <c r="AK145" i="6"/>
  <c r="AL145" i="6"/>
  <c r="AM145" i="6"/>
  <c r="AN145" i="6"/>
  <c r="AO145" i="6"/>
  <c r="AP145" i="6"/>
  <c r="AQ145" i="6"/>
  <c r="AR145" i="6"/>
  <c r="AS145" i="6"/>
  <c r="AT145" i="6"/>
  <c r="AU145" i="6"/>
  <c r="AV145" i="6"/>
  <c r="AY145" i="6"/>
  <c r="B146" i="6"/>
  <c r="C146" i="6"/>
  <c r="D146" i="6"/>
  <c r="E146" i="6"/>
  <c r="F146" i="6"/>
  <c r="G146" i="6"/>
  <c r="H146" i="6"/>
  <c r="I146" i="6"/>
  <c r="J146" i="6"/>
  <c r="K146" i="6"/>
  <c r="L146" i="6"/>
  <c r="M146" i="6"/>
  <c r="N146" i="6"/>
  <c r="O146" i="6"/>
  <c r="P146" i="6"/>
  <c r="Q146" i="6"/>
  <c r="R146" i="6"/>
  <c r="S146" i="6"/>
  <c r="T146" i="6"/>
  <c r="U146" i="6"/>
  <c r="V146" i="6"/>
  <c r="W146" i="6"/>
  <c r="X146" i="6"/>
  <c r="Y146" i="6"/>
  <c r="Z146" i="6"/>
  <c r="AA146" i="6"/>
  <c r="AB146" i="6"/>
  <c r="AC146" i="6"/>
  <c r="AD146" i="6"/>
  <c r="AE146" i="6"/>
  <c r="AF146" i="6"/>
  <c r="AG146" i="6"/>
  <c r="AH146" i="6"/>
  <c r="AI146" i="6"/>
  <c r="AJ146" i="6"/>
  <c r="AK146" i="6"/>
  <c r="AL146" i="6"/>
  <c r="AM146" i="6"/>
  <c r="AN146" i="6"/>
  <c r="AO146" i="6"/>
  <c r="AP146" i="6"/>
  <c r="AQ146" i="6"/>
  <c r="AR146" i="6"/>
  <c r="AS146" i="6"/>
  <c r="AT146" i="6"/>
  <c r="AU146" i="6"/>
  <c r="AV146" i="6"/>
  <c r="AY146" i="6"/>
  <c r="B147" i="6"/>
  <c r="C147" i="6"/>
  <c r="D147" i="6"/>
  <c r="E147" i="6"/>
  <c r="F147" i="6"/>
  <c r="G147" i="6"/>
  <c r="H147" i="6"/>
  <c r="I147" i="6"/>
  <c r="J147" i="6"/>
  <c r="K147" i="6"/>
  <c r="L147" i="6"/>
  <c r="M147" i="6"/>
  <c r="N147" i="6"/>
  <c r="O147" i="6"/>
  <c r="P147" i="6"/>
  <c r="Q147" i="6"/>
  <c r="R147" i="6"/>
  <c r="S147" i="6"/>
  <c r="T147" i="6"/>
  <c r="U147" i="6"/>
  <c r="V147" i="6"/>
  <c r="W147" i="6"/>
  <c r="X147" i="6"/>
  <c r="Y147" i="6"/>
  <c r="Z147" i="6"/>
  <c r="AA147" i="6"/>
  <c r="AB147" i="6"/>
  <c r="AC147" i="6"/>
  <c r="AD147" i="6"/>
  <c r="AE147" i="6"/>
  <c r="AF147" i="6"/>
  <c r="AG147" i="6"/>
  <c r="AH147" i="6"/>
  <c r="AI147" i="6"/>
  <c r="AJ147" i="6"/>
  <c r="AK147" i="6"/>
  <c r="AL147" i="6"/>
  <c r="AM147" i="6"/>
  <c r="AN147" i="6"/>
  <c r="AO147" i="6"/>
  <c r="AP147" i="6"/>
  <c r="AQ147" i="6"/>
  <c r="AR147" i="6"/>
  <c r="AS147" i="6"/>
  <c r="AT147" i="6"/>
  <c r="AU147" i="6"/>
  <c r="AV147" i="6"/>
  <c r="AY147" i="6"/>
  <c r="B148" i="6"/>
  <c r="C148" i="6"/>
  <c r="D148" i="6"/>
  <c r="E148" i="6"/>
  <c r="F148" i="6"/>
  <c r="G148" i="6"/>
  <c r="H148" i="6"/>
  <c r="I148" i="6"/>
  <c r="J148" i="6"/>
  <c r="K148" i="6"/>
  <c r="L148" i="6"/>
  <c r="M148" i="6"/>
  <c r="N148" i="6"/>
  <c r="O148" i="6"/>
  <c r="P148" i="6"/>
  <c r="Q148" i="6"/>
  <c r="R148" i="6"/>
  <c r="S148" i="6"/>
  <c r="T148" i="6"/>
  <c r="U148" i="6"/>
  <c r="V148" i="6"/>
  <c r="W148" i="6"/>
  <c r="X148" i="6"/>
  <c r="Y148" i="6"/>
  <c r="Z148" i="6"/>
  <c r="AA148" i="6"/>
  <c r="AB148" i="6"/>
  <c r="AC148" i="6"/>
  <c r="AD148" i="6"/>
  <c r="AE148" i="6"/>
  <c r="AF148" i="6"/>
  <c r="AG148" i="6"/>
  <c r="AH148" i="6"/>
  <c r="AI148" i="6"/>
  <c r="AJ148" i="6"/>
  <c r="AK148" i="6"/>
  <c r="AL148" i="6"/>
  <c r="AM148" i="6"/>
  <c r="AN148" i="6"/>
  <c r="AO148" i="6"/>
  <c r="AP148" i="6"/>
  <c r="AQ148" i="6"/>
  <c r="AR148" i="6"/>
  <c r="AS148" i="6"/>
  <c r="AT148" i="6"/>
  <c r="AU148" i="6"/>
  <c r="AV148" i="6"/>
  <c r="AY148" i="6"/>
  <c r="B149" i="6"/>
  <c r="C149" i="6"/>
  <c r="D149" i="6"/>
  <c r="E149" i="6"/>
  <c r="F149" i="6"/>
  <c r="G149" i="6"/>
  <c r="H149" i="6"/>
  <c r="I149" i="6"/>
  <c r="J149" i="6"/>
  <c r="K149" i="6"/>
  <c r="L149" i="6"/>
  <c r="M149" i="6"/>
  <c r="N149" i="6"/>
  <c r="O149" i="6"/>
  <c r="P149" i="6"/>
  <c r="Q149" i="6"/>
  <c r="R149" i="6"/>
  <c r="S149" i="6"/>
  <c r="T149" i="6"/>
  <c r="U149" i="6"/>
  <c r="V149" i="6"/>
  <c r="W149" i="6"/>
  <c r="X149" i="6"/>
  <c r="Y149" i="6"/>
  <c r="Z149" i="6"/>
  <c r="AA149" i="6"/>
  <c r="AB149" i="6"/>
  <c r="AC149" i="6"/>
  <c r="AD149" i="6"/>
  <c r="AE149" i="6"/>
  <c r="AF149" i="6"/>
  <c r="AG149" i="6"/>
  <c r="AH149" i="6"/>
  <c r="AI149" i="6"/>
  <c r="AJ149" i="6"/>
  <c r="AK149" i="6"/>
  <c r="AL149" i="6"/>
  <c r="AM149" i="6"/>
  <c r="AN149" i="6"/>
  <c r="AO149" i="6"/>
  <c r="AP149" i="6"/>
  <c r="AQ149" i="6"/>
  <c r="AR149" i="6"/>
  <c r="AS149" i="6"/>
  <c r="AT149" i="6"/>
  <c r="AU149" i="6"/>
  <c r="AV149" i="6"/>
  <c r="AY149" i="6"/>
  <c r="B150" i="6"/>
  <c r="C150" i="6"/>
  <c r="D150" i="6"/>
  <c r="E150" i="6"/>
  <c r="F150" i="6"/>
  <c r="G150" i="6"/>
  <c r="H150" i="6"/>
  <c r="I150" i="6"/>
  <c r="J150" i="6"/>
  <c r="K150" i="6"/>
  <c r="L150" i="6"/>
  <c r="M150" i="6"/>
  <c r="N150" i="6"/>
  <c r="O150" i="6"/>
  <c r="P150" i="6"/>
  <c r="Q150" i="6"/>
  <c r="R150" i="6"/>
  <c r="S150" i="6"/>
  <c r="T150" i="6"/>
  <c r="U150" i="6"/>
  <c r="V150" i="6"/>
  <c r="W150" i="6"/>
  <c r="X150" i="6"/>
  <c r="Y150" i="6"/>
  <c r="Z150" i="6"/>
  <c r="AA150" i="6"/>
  <c r="AB150" i="6"/>
  <c r="AC150" i="6"/>
  <c r="AD150" i="6"/>
  <c r="AE150" i="6"/>
  <c r="AF150" i="6"/>
  <c r="AG150" i="6"/>
  <c r="AH150" i="6"/>
  <c r="AI150" i="6"/>
  <c r="AJ150" i="6"/>
  <c r="AK150" i="6"/>
  <c r="AL150" i="6"/>
  <c r="AM150" i="6"/>
  <c r="AN150" i="6"/>
  <c r="AO150" i="6"/>
  <c r="AP150" i="6"/>
  <c r="AQ150" i="6"/>
  <c r="AR150" i="6"/>
  <c r="AS150" i="6"/>
  <c r="AT150" i="6"/>
  <c r="AU150" i="6"/>
  <c r="AV150" i="6"/>
  <c r="AY150" i="6"/>
  <c r="B151" i="6"/>
  <c r="C151" i="6"/>
  <c r="D151" i="6"/>
  <c r="E151" i="6"/>
  <c r="F151" i="6"/>
  <c r="G151" i="6"/>
  <c r="H151" i="6"/>
  <c r="I151" i="6"/>
  <c r="J151" i="6"/>
  <c r="K151" i="6"/>
  <c r="L151" i="6"/>
  <c r="M151" i="6"/>
  <c r="N151" i="6"/>
  <c r="O151" i="6"/>
  <c r="P151" i="6"/>
  <c r="Q151" i="6"/>
  <c r="R151" i="6"/>
  <c r="S151" i="6"/>
  <c r="T151" i="6"/>
  <c r="U151" i="6"/>
  <c r="V151" i="6"/>
  <c r="W151" i="6"/>
  <c r="X151" i="6"/>
  <c r="Y151" i="6"/>
  <c r="Z151" i="6"/>
  <c r="AA151" i="6"/>
  <c r="AB151" i="6"/>
  <c r="AC151" i="6"/>
  <c r="AD151" i="6"/>
  <c r="AE151" i="6"/>
  <c r="AF151" i="6"/>
  <c r="AG151" i="6"/>
  <c r="AH151" i="6"/>
  <c r="AI151" i="6"/>
  <c r="AJ151" i="6"/>
  <c r="AK151" i="6"/>
  <c r="AL151" i="6"/>
  <c r="AM151" i="6"/>
  <c r="AN151" i="6"/>
  <c r="AO151" i="6"/>
  <c r="AP151" i="6"/>
  <c r="AQ151" i="6"/>
  <c r="AR151" i="6"/>
  <c r="AS151" i="6"/>
  <c r="AT151" i="6"/>
  <c r="AU151" i="6"/>
  <c r="AV151" i="6"/>
  <c r="AY151" i="6"/>
  <c r="B152" i="6"/>
  <c r="C152" i="6"/>
  <c r="D152" i="6"/>
  <c r="E152" i="6"/>
  <c r="F152" i="6"/>
  <c r="G152" i="6"/>
  <c r="H152" i="6"/>
  <c r="I152" i="6"/>
  <c r="J152" i="6"/>
  <c r="K152" i="6"/>
  <c r="L152" i="6"/>
  <c r="M152" i="6"/>
  <c r="N152" i="6"/>
  <c r="O152" i="6"/>
  <c r="P152" i="6"/>
  <c r="Q152" i="6"/>
  <c r="R152" i="6"/>
  <c r="S152" i="6"/>
  <c r="T152" i="6"/>
  <c r="U152" i="6"/>
  <c r="V152" i="6"/>
  <c r="W152" i="6"/>
  <c r="X152" i="6"/>
  <c r="Y152" i="6"/>
  <c r="Z152" i="6"/>
  <c r="AA152" i="6"/>
  <c r="AB152" i="6"/>
  <c r="AC152" i="6"/>
  <c r="AD152" i="6"/>
  <c r="AE152" i="6"/>
  <c r="AF152" i="6"/>
  <c r="AG152" i="6"/>
  <c r="AH152" i="6"/>
  <c r="AI152" i="6"/>
  <c r="AJ152" i="6"/>
  <c r="AK152" i="6"/>
  <c r="AL152" i="6"/>
  <c r="AM152" i="6"/>
  <c r="AN152" i="6"/>
  <c r="AO152" i="6"/>
  <c r="AP152" i="6"/>
  <c r="AQ152" i="6"/>
  <c r="AR152" i="6"/>
  <c r="AS152" i="6"/>
  <c r="AT152" i="6"/>
  <c r="AU152" i="6"/>
  <c r="AV152" i="6"/>
  <c r="AY152" i="6"/>
  <c r="B153" i="6"/>
  <c r="C153" i="6"/>
  <c r="D153" i="6"/>
  <c r="E153" i="6"/>
  <c r="F153" i="6"/>
  <c r="G153" i="6"/>
  <c r="H153" i="6"/>
  <c r="I153" i="6"/>
  <c r="J153" i="6"/>
  <c r="K153" i="6"/>
  <c r="L153" i="6"/>
  <c r="M153" i="6"/>
  <c r="N153" i="6"/>
  <c r="O153" i="6"/>
  <c r="P153" i="6"/>
  <c r="Q153" i="6"/>
  <c r="R153" i="6"/>
  <c r="S153" i="6"/>
  <c r="T153" i="6"/>
  <c r="U153" i="6"/>
  <c r="V153" i="6"/>
  <c r="W153" i="6"/>
  <c r="X153" i="6"/>
  <c r="Y153" i="6"/>
  <c r="Z153" i="6"/>
  <c r="AA153" i="6"/>
  <c r="AB153" i="6"/>
  <c r="AC153" i="6"/>
  <c r="AD153" i="6"/>
  <c r="AE153" i="6"/>
  <c r="AF153" i="6"/>
  <c r="AG153" i="6"/>
  <c r="AH153" i="6"/>
  <c r="AI153" i="6"/>
  <c r="AJ153" i="6"/>
  <c r="AK153" i="6"/>
  <c r="AL153" i="6"/>
  <c r="AM153" i="6"/>
  <c r="AN153" i="6"/>
  <c r="AO153" i="6"/>
  <c r="AP153" i="6"/>
  <c r="AQ153" i="6"/>
  <c r="AR153" i="6"/>
  <c r="AS153" i="6"/>
  <c r="AT153" i="6"/>
  <c r="AU153" i="6"/>
  <c r="AV153" i="6"/>
  <c r="AY153" i="6"/>
  <c r="B154" i="6"/>
  <c r="C154" i="6"/>
  <c r="D154" i="6"/>
  <c r="E154" i="6"/>
  <c r="F154" i="6"/>
  <c r="G154" i="6"/>
  <c r="H154" i="6"/>
  <c r="I154" i="6"/>
  <c r="J154" i="6"/>
  <c r="K154" i="6"/>
  <c r="L154" i="6"/>
  <c r="M154" i="6"/>
  <c r="N154" i="6"/>
  <c r="O154" i="6"/>
  <c r="P154" i="6"/>
  <c r="Q154" i="6"/>
  <c r="R154" i="6"/>
  <c r="S154" i="6"/>
  <c r="T154" i="6"/>
  <c r="U154" i="6"/>
  <c r="V154" i="6"/>
  <c r="W154" i="6"/>
  <c r="X154" i="6"/>
  <c r="Y154" i="6"/>
  <c r="Z154" i="6"/>
  <c r="AA154" i="6"/>
  <c r="AB154" i="6"/>
  <c r="AC154" i="6"/>
  <c r="AD154" i="6"/>
  <c r="AE154" i="6"/>
  <c r="AF154" i="6"/>
  <c r="AG154" i="6"/>
  <c r="AH154" i="6"/>
  <c r="AI154" i="6"/>
  <c r="AJ154" i="6"/>
  <c r="AK154" i="6"/>
  <c r="AL154" i="6"/>
  <c r="AM154" i="6"/>
  <c r="AN154" i="6"/>
  <c r="AO154" i="6"/>
  <c r="AP154" i="6"/>
  <c r="AQ154" i="6"/>
  <c r="AR154" i="6"/>
  <c r="AS154" i="6"/>
  <c r="AT154" i="6"/>
  <c r="AU154" i="6"/>
  <c r="AV154" i="6"/>
  <c r="AY154" i="6"/>
  <c r="B155" i="6"/>
  <c r="C155" i="6"/>
  <c r="D155" i="6"/>
  <c r="E155" i="6"/>
  <c r="F155" i="6"/>
  <c r="G155" i="6"/>
  <c r="H155" i="6"/>
  <c r="I155" i="6"/>
  <c r="J155" i="6"/>
  <c r="K155" i="6"/>
  <c r="L155" i="6"/>
  <c r="M155" i="6"/>
  <c r="N155" i="6"/>
  <c r="O155" i="6"/>
  <c r="P155" i="6"/>
  <c r="Q155" i="6"/>
  <c r="R155" i="6"/>
  <c r="S155" i="6"/>
  <c r="T155" i="6"/>
  <c r="U155" i="6"/>
  <c r="V155" i="6"/>
  <c r="W155" i="6"/>
  <c r="X155" i="6"/>
  <c r="Y155" i="6"/>
  <c r="Z155" i="6"/>
  <c r="AA155" i="6"/>
  <c r="AB155" i="6"/>
  <c r="AC155" i="6"/>
  <c r="AD155" i="6"/>
  <c r="AE155" i="6"/>
  <c r="AF155" i="6"/>
  <c r="AG155" i="6"/>
  <c r="AH155" i="6"/>
  <c r="AI155" i="6"/>
  <c r="AJ155" i="6"/>
  <c r="AK155" i="6"/>
  <c r="AL155" i="6"/>
  <c r="AM155" i="6"/>
  <c r="AN155" i="6"/>
  <c r="AO155" i="6"/>
  <c r="AP155" i="6"/>
  <c r="AQ155" i="6"/>
  <c r="AR155" i="6"/>
  <c r="AS155" i="6"/>
  <c r="AT155" i="6"/>
  <c r="AU155" i="6"/>
  <c r="AV155" i="6"/>
  <c r="AY155" i="6"/>
  <c r="B156" i="6"/>
  <c r="C156" i="6"/>
  <c r="D156" i="6"/>
  <c r="E156" i="6"/>
  <c r="F156" i="6"/>
  <c r="G156" i="6"/>
  <c r="H156" i="6"/>
  <c r="I156" i="6"/>
  <c r="J156" i="6"/>
  <c r="K156" i="6"/>
  <c r="L156" i="6"/>
  <c r="M156" i="6"/>
  <c r="N156" i="6"/>
  <c r="O156" i="6"/>
  <c r="P156" i="6"/>
  <c r="Q156" i="6"/>
  <c r="R156" i="6"/>
  <c r="S156" i="6"/>
  <c r="T156" i="6"/>
  <c r="U156" i="6"/>
  <c r="V156" i="6"/>
  <c r="W156" i="6"/>
  <c r="X156" i="6"/>
  <c r="Y156" i="6"/>
  <c r="Z156" i="6"/>
  <c r="AA156" i="6"/>
  <c r="AB156" i="6"/>
  <c r="AC156" i="6"/>
  <c r="AD156" i="6"/>
  <c r="AE156" i="6"/>
  <c r="AF156" i="6"/>
  <c r="AG156" i="6"/>
  <c r="AH156" i="6"/>
  <c r="AI156" i="6"/>
  <c r="AJ156" i="6"/>
  <c r="AK156" i="6"/>
  <c r="AL156" i="6"/>
  <c r="AM156" i="6"/>
  <c r="AN156" i="6"/>
  <c r="AO156" i="6"/>
  <c r="AP156" i="6"/>
  <c r="AQ156" i="6"/>
  <c r="AR156" i="6"/>
  <c r="AS156" i="6"/>
  <c r="AT156" i="6"/>
  <c r="AU156" i="6"/>
  <c r="AV156" i="6"/>
  <c r="AY156" i="6"/>
  <c r="B157" i="6"/>
  <c r="C157" i="6"/>
  <c r="D157" i="6"/>
  <c r="E157" i="6"/>
  <c r="F157" i="6"/>
  <c r="G157" i="6"/>
  <c r="H157" i="6"/>
  <c r="I157" i="6"/>
  <c r="J157" i="6"/>
  <c r="K157" i="6"/>
  <c r="L157" i="6"/>
  <c r="M157" i="6"/>
  <c r="N157" i="6"/>
  <c r="O157" i="6"/>
  <c r="P157" i="6"/>
  <c r="Q157" i="6"/>
  <c r="R157" i="6"/>
  <c r="S157" i="6"/>
  <c r="T157" i="6"/>
  <c r="U157" i="6"/>
  <c r="V157" i="6"/>
  <c r="W157" i="6"/>
  <c r="X157" i="6"/>
  <c r="Y157" i="6"/>
  <c r="Z157" i="6"/>
  <c r="AA157" i="6"/>
  <c r="AB157" i="6"/>
  <c r="AC157" i="6"/>
  <c r="AD157" i="6"/>
  <c r="AE157" i="6"/>
  <c r="AF157" i="6"/>
  <c r="AG157" i="6"/>
  <c r="AH157" i="6"/>
  <c r="AI157" i="6"/>
  <c r="AJ157" i="6"/>
  <c r="AK157" i="6"/>
  <c r="AL157" i="6"/>
  <c r="AM157" i="6"/>
  <c r="AN157" i="6"/>
  <c r="AO157" i="6"/>
  <c r="AP157" i="6"/>
  <c r="AQ157" i="6"/>
  <c r="AR157" i="6"/>
  <c r="AS157" i="6"/>
  <c r="AT157" i="6"/>
  <c r="AU157" i="6"/>
  <c r="AV157" i="6"/>
  <c r="AY157" i="6"/>
  <c r="B155" i="3"/>
  <c r="C155" i="3"/>
  <c r="D155" i="3"/>
  <c r="E155" i="3"/>
  <c r="F155" i="3"/>
  <c r="B156" i="3"/>
  <c r="C156" i="3"/>
  <c r="D156" i="3"/>
  <c r="E156" i="3"/>
  <c r="F156" i="3"/>
  <c r="B157" i="3"/>
  <c r="C157" i="3"/>
  <c r="D157" i="3"/>
  <c r="E157" i="3"/>
  <c r="F157" i="3"/>
  <c r="B89" i="3"/>
  <c r="C89" i="3"/>
  <c r="D89" i="3"/>
  <c r="E89" i="3"/>
  <c r="F89" i="3"/>
  <c r="B90" i="3"/>
  <c r="C90" i="3"/>
  <c r="D90" i="3"/>
  <c r="E90" i="3"/>
  <c r="F90" i="3"/>
  <c r="B91" i="3"/>
  <c r="C91" i="3"/>
  <c r="D91" i="3"/>
  <c r="E91" i="3"/>
  <c r="F91" i="3"/>
  <c r="B92" i="3"/>
  <c r="C92" i="3"/>
  <c r="D92" i="3"/>
  <c r="E92" i="3"/>
  <c r="F92" i="3"/>
  <c r="B93" i="3"/>
  <c r="C93" i="3"/>
  <c r="D93" i="3"/>
  <c r="E93" i="3"/>
  <c r="F93" i="3"/>
  <c r="B94" i="3"/>
  <c r="C94" i="3"/>
  <c r="D94" i="3"/>
  <c r="E94" i="3"/>
  <c r="F94" i="3"/>
  <c r="B95" i="3"/>
  <c r="C95" i="3"/>
  <c r="D95" i="3"/>
  <c r="E95" i="3"/>
  <c r="F95" i="3"/>
  <c r="B96" i="3"/>
  <c r="C96" i="3"/>
  <c r="D96" i="3"/>
  <c r="E96" i="3"/>
  <c r="F96" i="3"/>
  <c r="B97" i="3"/>
  <c r="C97" i="3"/>
  <c r="D97" i="3"/>
  <c r="E97" i="3"/>
  <c r="F97" i="3"/>
  <c r="B98" i="3"/>
  <c r="C98" i="3"/>
  <c r="D98" i="3"/>
  <c r="E98" i="3"/>
  <c r="F98" i="3"/>
  <c r="B99" i="3"/>
  <c r="C99" i="3"/>
  <c r="D99" i="3"/>
  <c r="E99" i="3"/>
  <c r="F99" i="3"/>
  <c r="B100" i="3"/>
  <c r="C100" i="3"/>
  <c r="D100" i="3"/>
  <c r="E100" i="3"/>
  <c r="F100" i="3"/>
  <c r="B101" i="3"/>
  <c r="C101" i="3"/>
  <c r="D101" i="3"/>
  <c r="E101" i="3"/>
  <c r="F101" i="3"/>
  <c r="B102" i="3"/>
  <c r="C102" i="3"/>
  <c r="D102" i="3"/>
  <c r="E102" i="3"/>
  <c r="F102" i="3"/>
  <c r="B103" i="3"/>
  <c r="C103" i="3"/>
  <c r="D103" i="3"/>
  <c r="E103" i="3"/>
  <c r="F103" i="3"/>
  <c r="B104" i="3"/>
  <c r="C104" i="3"/>
  <c r="D104" i="3"/>
  <c r="E104" i="3"/>
  <c r="F104" i="3"/>
  <c r="B105" i="3"/>
  <c r="C105" i="3"/>
  <c r="D105" i="3"/>
  <c r="E105" i="3"/>
  <c r="F105" i="3"/>
  <c r="B106" i="3"/>
  <c r="C106" i="3"/>
  <c r="D106" i="3"/>
  <c r="E106" i="3"/>
  <c r="F106" i="3"/>
  <c r="B107" i="3"/>
  <c r="C107" i="3"/>
  <c r="D107" i="3"/>
  <c r="E107" i="3"/>
  <c r="F107" i="3"/>
  <c r="B108" i="3"/>
  <c r="C108" i="3"/>
  <c r="D108" i="3"/>
  <c r="E108" i="3"/>
  <c r="F108" i="3"/>
  <c r="B109" i="3"/>
  <c r="C109" i="3"/>
  <c r="D109" i="3"/>
  <c r="E109" i="3"/>
  <c r="F109" i="3"/>
  <c r="B110" i="3"/>
  <c r="C110" i="3"/>
  <c r="D110" i="3"/>
  <c r="E110" i="3"/>
  <c r="F110" i="3"/>
  <c r="B111" i="3"/>
  <c r="C111" i="3"/>
  <c r="D111" i="3"/>
  <c r="E111" i="3"/>
  <c r="F111" i="3"/>
  <c r="B112" i="3"/>
  <c r="C112" i="3"/>
  <c r="D112" i="3"/>
  <c r="E112" i="3"/>
  <c r="F112" i="3"/>
  <c r="B113" i="3"/>
  <c r="C113" i="3"/>
  <c r="D113" i="3"/>
  <c r="E113" i="3"/>
  <c r="F113" i="3"/>
  <c r="B114" i="3"/>
  <c r="C114" i="3"/>
  <c r="D114" i="3"/>
  <c r="E114" i="3"/>
  <c r="F114" i="3"/>
  <c r="B115" i="3"/>
  <c r="C115" i="3"/>
  <c r="D115" i="3"/>
  <c r="E115" i="3"/>
  <c r="F115" i="3"/>
  <c r="B116" i="3"/>
  <c r="C116" i="3"/>
  <c r="D116" i="3"/>
  <c r="E116" i="3"/>
  <c r="F116" i="3"/>
  <c r="B117" i="3"/>
  <c r="C117" i="3"/>
  <c r="D117" i="3"/>
  <c r="E117" i="3"/>
  <c r="F117" i="3"/>
  <c r="B118" i="3"/>
  <c r="C118" i="3"/>
  <c r="D118" i="3"/>
  <c r="E118" i="3"/>
  <c r="F118" i="3"/>
  <c r="B119" i="3"/>
  <c r="C119" i="3"/>
  <c r="D119" i="3"/>
  <c r="E119" i="3"/>
  <c r="F119" i="3"/>
  <c r="B120" i="3"/>
  <c r="C120" i="3"/>
  <c r="D120" i="3"/>
  <c r="E120" i="3"/>
  <c r="F120" i="3"/>
  <c r="B121" i="3"/>
  <c r="C121" i="3"/>
  <c r="D121" i="3"/>
  <c r="E121" i="3"/>
  <c r="F121" i="3"/>
  <c r="B122" i="3"/>
  <c r="C122" i="3"/>
  <c r="D122" i="3"/>
  <c r="E122" i="3"/>
  <c r="F122" i="3"/>
  <c r="B123" i="3"/>
  <c r="C123" i="3"/>
  <c r="D123" i="3"/>
  <c r="E123" i="3"/>
  <c r="F123" i="3"/>
  <c r="B124" i="3"/>
  <c r="C124" i="3"/>
  <c r="D124" i="3"/>
  <c r="E124" i="3"/>
  <c r="F124" i="3"/>
  <c r="B125" i="3"/>
  <c r="C125" i="3"/>
  <c r="D125" i="3"/>
  <c r="E125" i="3"/>
  <c r="F125" i="3"/>
  <c r="B126" i="3"/>
  <c r="C126" i="3"/>
  <c r="D126" i="3"/>
  <c r="E126" i="3"/>
  <c r="F126" i="3"/>
  <c r="B127" i="3"/>
  <c r="C127" i="3"/>
  <c r="D127" i="3"/>
  <c r="E127" i="3"/>
  <c r="F127" i="3"/>
  <c r="B128" i="3"/>
  <c r="C128" i="3"/>
  <c r="D128" i="3"/>
  <c r="E128" i="3"/>
  <c r="F128" i="3"/>
  <c r="B129" i="3"/>
  <c r="C129" i="3"/>
  <c r="D129" i="3"/>
  <c r="E129" i="3"/>
  <c r="F129" i="3"/>
  <c r="B130" i="3"/>
  <c r="C130" i="3"/>
  <c r="D130" i="3"/>
  <c r="E130" i="3"/>
  <c r="F130" i="3"/>
  <c r="B131" i="3"/>
  <c r="C131" i="3"/>
  <c r="D131" i="3"/>
  <c r="E131" i="3"/>
  <c r="F131" i="3"/>
  <c r="B132" i="3"/>
  <c r="C132" i="3"/>
  <c r="D132" i="3"/>
  <c r="E132" i="3"/>
  <c r="F132" i="3"/>
  <c r="B133" i="3"/>
  <c r="C133" i="3"/>
  <c r="D133" i="3"/>
  <c r="E133" i="3"/>
  <c r="F133" i="3"/>
  <c r="B134" i="3"/>
  <c r="C134" i="3"/>
  <c r="D134" i="3"/>
  <c r="E134" i="3"/>
  <c r="F134" i="3"/>
  <c r="B135" i="3"/>
  <c r="C135" i="3"/>
  <c r="D135" i="3"/>
  <c r="E135" i="3"/>
  <c r="F135" i="3"/>
  <c r="B136" i="3"/>
  <c r="C136" i="3"/>
  <c r="D136" i="3"/>
  <c r="E136" i="3"/>
  <c r="F136" i="3"/>
  <c r="B137" i="3"/>
  <c r="C137" i="3"/>
  <c r="D137" i="3"/>
  <c r="E137" i="3"/>
  <c r="F137" i="3"/>
  <c r="B138" i="3"/>
  <c r="C138" i="3"/>
  <c r="D138" i="3"/>
  <c r="E138" i="3"/>
  <c r="F138" i="3"/>
  <c r="B139" i="3"/>
  <c r="C139" i="3"/>
  <c r="D139" i="3"/>
  <c r="E139" i="3"/>
  <c r="F139" i="3"/>
  <c r="B140" i="3"/>
  <c r="C140" i="3"/>
  <c r="D140" i="3"/>
  <c r="E140" i="3"/>
  <c r="F140" i="3"/>
  <c r="B141" i="3"/>
  <c r="C141" i="3"/>
  <c r="D141" i="3"/>
  <c r="E141" i="3"/>
  <c r="F141" i="3"/>
  <c r="B142" i="3"/>
  <c r="C142" i="3"/>
  <c r="D142" i="3"/>
  <c r="E142" i="3"/>
  <c r="F142" i="3"/>
  <c r="B143" i="3"/>
  <c r="C143" i="3"/>
  <c r="D143" i="3"/>
  <c r="E143" i="3"/>
  <c r="F143" i="3"/>
  <c r="B144" i="3"/>
  <c r="C144" i="3"/>
  <c r="D144" i="3"/>
  <c r="E144" i="3"/>
  <c r="F144" i="3"/>
  <c r="B145" i="3"/>
  <c r="C145" i="3"/>
  <c r="D145" i="3"/>
  <c r="E145" i="3"/>
  <c r="F145" i="3"/>
  <c r="B146" i="3"/>
  <c r="C146" i="3"/>
  <c r="D146" i="3"/>
  <c r="E146" i="3"/>
  <c r="F146" i="3"/>
  <c r="B147" i="3"/>
  <c r="C147" i="3"/>
  <c r="D147" i="3"/>
  <c r="E147" i="3"/>
  <c r="F147" i="3"/>
  <c r="B148" i="3"/>
  <c r="C148" i="3"/>
  <c r="D148" i="3"/>
  <c r="E148" i="3"/>
  <c r="F148" i="3"/>
  <c r="B149" i="3"/>
  <c r="C149" i="3"/>
  <c r="D149" i="3"/>
  <c r="E149" i="3"/>
  <c r="F149" i="3"/>
  <c r="B150" i="3"/>
  <c r="C150" i="3"/>
  <c r="D150" i="3"/>
  <c r="E150" i="3"/>
  <c r="F150" i="3"/>
  <c r="B151" i="3"/>
  <c r="C151" i="3"/>
  <c r="D151" i="3"/>
  <c r="E151" i="3"/>
  <c r="F151" i="3"/>
  <c r="B152" i="3"/>
  <c r="C152" i="3"/>
  <c r="D152" i="3"/>
  <c r="E152" i="3"/>
  <c r="F152" i="3"/>
  <c r="B153" i="3"/>
  <c r="C153" i="3"/>
  <c r="D153" i="3"/>
  <c r="E153" i="3"/>
  <c r="F153" i="3"/>
  <c r="B154" i="3"/>
  <c r="C154" i="3"/>
  <c r="D154" i="3"/>
  <c r="E154" i="3"/>
  <c r="F154" i="3"/>
  <c r="B76" i="3"/>
  <c r="C76" i="3"/>
  <c r="D76" i="3"/>
  <c r="E76" i="3"/>
  <c r="F76" i="3"/>
  <c r="B77" i="3"/>
  <c r="C77" i="3"/>
  <c r="D77" i="3"/>
  <c r="E77" i="3"/>
  <c r="F77" i="3"/>
  <c r="B78" i="3"/>
  <c r="C78" i="3"/>
  <c r="D78" i="3"/>
  <c r="E78" i="3"/>
  <c r="F78" i="3"/>
  <c r="B79" i="3"/>
  <c r="C79" i="3"/>
  <c r="D79" i="3"/>
  <c r="E79" i="3"/>
  <c r="F79" i="3"/>
  <c r="B80" i="3"/>
  <c r="C80" i="3"/>
  <c r="D80" i="3"/>
  <c r="E80" i="3"/>
  <c r="F80" i="3"/>
  <c r="B81" i="3"/>
  <c r="C81" i="3"/>
  <c r="D81" i="3"/>
  <c r="E81" i="3"/>
  <c r="F81" i="3"/>
  <c r="B82" i="3"/>
  <c r="C82" i="3"/>
  <c r="D82" i="3"/>
  <c r="E82" i="3"/>
  <c r="F82" i="3"/>
  <c r="B83" i="3"/>
  <c r="C83" i="3"/>
  <c r="D83" i="3"/>
  <c r="E83" i="3"/>
  <c r="F83" i="3"/>
  <c r="B84" i="3"/>
  <c r="C84" i="3"/>
  <c r="D84" i="3"/>
  <c r="E84" i="3"/>
  <c r="F84" i="3"/>
  <c r="B85" i="3"/>
  <c r="C85" i="3"/>
  <c r="D85" i="3"/>
  <c r="E85" i="3"/>
  <c r="F85" i="3"/>
  <c r="B86" i="3"/>
  <c r="C86" i="3"/>
  <c r="D86" i="3"/>
  <c r="E86" i="3"/>
  <c r="F86" i="3"/>
  <c r="B87" i="3"/>
  <c r="C87" i="3"/>
  <c r="D87" i="3"/>
  <c r="E87" i="3"/>
  <c r="F87" i="3"/>
  <c r="B88" i="3"/>
  <c r="C88" i="3"/>
  <c r="D88" i="3"/>
  <c r="E88" i="3"/>
  <c r="F88" i="3"/>
  <c r="BF113" i="1" l="1"/>
  <c r="BD114" i="1"/>
  <c r="B14" i="2"/>
  <c r="B15" i="2" s="1"/>
  <c r="B16" i="2" s="1"/>
  <c r="B17" i="2" s="1"/>
  <c r="B18" i="2" s="1"/>
  <c r="B19" i="2" s="1"/>
  <c r="B20" i="2" s="1"/>
  <c r="B21" i="2" s="1"/>
  <c r="B22" i="2" s="1"/>
  <c r="B23" i="2" s="1"/>
  <c r="B24" i="2" s="1"/>
  <c r="B25" i="2" s="1"/>
  <c r="B26" i="2" s="1"/>
  <c r="BF114" i="1" l="1"/>
  <c r="BD115" i="1"/>
  <c r="S29" i="2"/>
  <c r="S27" i="2"/>
  <c r="S25" i="2"/>
  <c r="BK13" i="6"/>
  <c r="BD116" i="1" l="1"/>
  <c r="BF115" i="1"/>
  <c r="B54" i="3"/>
  <c r="C54" i="3"/>
  <c r="D54" i="3"/>
  <c r="E54" i="3"/>
  <c r="F54" i="3"/>
  <c r="B55" i="3"/>
  <c r="C55" i="3"/>
  <c r="D55" i="3"/>
  <c r="E55" i="3"/>
  <c r="F55" i="3"/>
  <c r="B56" i="3"/>
  <c r="C56" i="3"/>
  <c r="D56" i="3"/>
  <c r="E56" i="3"/>
  <c r="F56" i="3"/>
  <c r="B57" i="3"/>
  <c r="C57" i="3"/>
  <c r="D57" i="3"/>
  <c r="E57" i="3"/>
  <c r="F57" i="3"/>
  <c r="B58" i="3"/>
  <c r="C58" i="3"/>
  <c r="D58" i="3"/>
  <c r="E58" i="3"/>
  <c r="F58" i="3"/>
  <c r="B59" i="3"/>
  <c r="C59" i="3"/>
  <c r="D59" i="3"/>
  <c r="E59" i="3"/>
  <c r="F59" i="3"/>
  <c r="B60" i="3"/>
  <c r="C60" i="3"/>
  <c r="D60" i="3"/>
  <c r="E60" i="3"/>
  <c r="F60" i="3"/>
  <c r="B61" i="3"/>
  <c r="C61" i="3"/>
  <c r="D61" i="3"/>
  <c r="E61" i="3"/>
  <c r="F61" i="3"/>
  <c r="B62" i="3"/>
  <c r="C62" i="3"/>
  <c r="D62" i="3"/>
  <c r="E62" i="3"/>
  <c r="F62" i="3"/>
  <c r="B63" i="3"/>
  <c r="C63" i="3"/>
  <c r="D63" i="3"/>
  <c r="E63" i="3"/>
  <c r="F63" i="3"/>
  <c r="B64" i="3"/>
  <c r="C64" i="3"/>
  <c r="D64" i="3"/>
  <c r="E64" i="3"/>
  <c r="F64" i="3"/>
  <c r="B65" i="3"/>
  <c r="C65" i="3"/>
  <c r="D65" i="3"/>
  <c r="E65" i="3"/>
  <c r="F65" i="3"/>
  <c r="B66" i="3"/>
  <c r="C66" i="3"/>
  <c r="D66" i="3"/>
  <c r="E66" i="3"/>
  <c r="F66" i="3"/>
  <c r="B67" i="3"/>
  <c r="C67" i="3"/>
  <c r="D67" i="3"/>
  <c r="E67" i="3"/>
  <c r="F67" i="3"/>
  <c r="B68" i="3"/>
  <c r="C68" i="3"/>
  <c r="D68" i="3"/>
  <c r="E68" i="3"/>
  <c r="F68" i="3"/>
  <c r="B69" i="3"/>
  <c r="C69" i="3"/>
  <c r="D69" i="3"/>
  <c r="E69" i="3"/>
  <c r="F69" i="3"/>
  <c r="B70" i="3"/>
  <c r="C70" i="3"/>
  <c r="D70" i="3"/>
  <c r="E70" i="3"/>
  <c r="F70" i="3"/>
  <c r="B71" i="3"/>
  <c r="C71" i="3"/>
  <c r="D71" i="3"/>
  <c r="E71" i="3"/>
  <c r="F71" i="3"/>
  <c r="B72" i="3"/>
  <c r="C72" i="3"/>
  <c r="D72" i="3"/>
  <c r="E72" i="3"/>
  <c r="F72" i="3"/>
  <c r="B73" i="3"/>
  <c r="C73" i="3"/>
  <c r="D73" i="3"/>
  <c r="E73" i="3"/>
  <c r="F73" i="3"/>
  <c r="B74" i="3"/>
  <c r="C74" i="3"/>
  <c r="D74" i="3"/>
  <c r="E74" i="3"/>
  <c r="F74" i="3"/>
  <c r="B75" i="3"/>
  <c r="C75" i="3"/>
  <c r="D75" i="3"/>
  <c r="E75" i="3"/>
  <c r="F75" i="3"/>
  <c r="C17" i="6"/>
  <c r="B17" i="6"/>
  <c r="C16" i="6"/>
  <c r="B16" i="6"/>
  <c r="C15" i="6"/>
  <c r="B15" i="6"/>
  <c r="C14" i="6"/>
  <c r="B14" i="6"/>
  <c r="C13" i="6"/>
  <c r="B13" i="6"/>
  <c r="C12" i="6"/>
  <c r="B12" i="6"/>
  <c r="C11" i="6"/>
  <c r="B11" i="6"/>
  <c r="C10" i="6"/>
  <c r="B10" i="6"/>
  <c r="C9" i="6"/>
  <c r="B9" i="6"/>
  <c r="C8" i="6"/>
  <c r="B8" i="6"/>
  <c r="BF116" i="1" l="1"/>
  <c r="BD117" i="1"/>
  <c r="B44" i="3"/>
  <c r="C44" i="3"/>
  <c r="D44" i="3"/>
  <c r="E44" i="3"/>
  <c r="F44" i="3"/>
  <c r="B45" i="3"/>
  <c r="C45" i="3"/>
  <c r="D45" i="3"/>
  <c r="E45" i="3"/>
  <c r="F45" i="3"/>
  <c r="B46" i="3"/>
  <c r="C46" i="3"/>
  <c r="D46" i="3"/>
  <c r="E46" i="3"/>
  <c r="F46" i="3"/>
  <c r="B47" i="3"/>
  <c r="C47" i="3"/>
  <c r="D47" i="3"/>
  <c r="E47" i="3"/>
  <c r="F47" i="3"/>
  <c r="B48" i="3"/>
  <c r="C48" i="3"/>
  <c r="D48" i="3"/>
  <c r="E48" i="3"/>
  <c r="F48" i="3"/>
  <c r="B49" i="3"/>
  <c r="C49" i="3"/>
  <c r="D49" i="3"/>
  <c r="E49" i="3"/>
  <c r="F49" i="3"/>
  <c r="B50" i="3"/>
  <c r="C50" i="3"/>
  <c r="D50" i="3"/>
  <c r="E50" i="3"/>
  <c r="F50" i="3"/>
  <c r="BD118" i="1" l="1"/>
  <c r="BF117" i="1"/>
  <c r="G23" i="2"/>
  <c r="BF118" i="1" l="1"/>
  <c r="BD119" i="1"/>
  <c r="AY17" i="6"/>
  <c r="AY16" i="6"/>
  <c r="AY15" i="6"/>
  <c r="AY14" i="6"/>
  <c r="AY13" i="6"/>
  <c r="AY12" i="6"/>
  <c r="AY11" i="6"/>
  <c r="AY10" i="6"/>
  <c r="AY9" i="6"/>
  <c r="AY8" i="6"/>
  <c r="AV17" i="6"/>
  <c r="AU17" i="6"/>
  <c r="AT17" i="6"/>
  <c r="AS17" i="6"/>
  <c r="AR17" i="6"/>
  <c r="AQ17" i="6"/>
  <c r="AP17" i="6"/>
  <c r="AO17" i="6"/>
  <c r="AN17" i="6"/>
  <c r="AM17" i="6"/>
  <c r="AL17" i="6"/>
  <c r="AK17" i="6"/>
  <c r="AJ17" i="6"/>
  <c r="AI17" i="6"/>
  <c r="AH17" i="6"/>
  <c r="AG17" i="6"/>
  <c r="AF17" i="6"/>
  <c r="AE17" i="6"/>
  <c r="AD17" i="6"/>
  <c r="AC17" i="6"/>
  <c r="AB17" i="6"/>
  <c r="AA17" i="6"/>
  <c r="Z17" i="6"/>
  <c r="Y17" i="6"/>
  <c r="X17" i="6"/>
  <c r="W17" i="6"/>
  <c r="V17" i="6"/>
  <c r="U17" i="6"/>
  <c r="T17" i="6"/>
  <c r="S17" i="6"/>
  <c r="R17" i="6"/>
  <c r="Q17" i="6"/>
  <c r="P17" i="6"/>
  <c r="O17" i="6"/>
  <c r="N17" i="6"/>
  <c r="M17" i="6"/>
  <c r="L17" i="6"/>
  <c r="K17" i="6"/>
  <c r="J17" i="6"/>
  <c r="I17" i="6"/>
  <c r="H17" i="6"/>
  <c r="G17" i="6"/>
  <c r="F17" i="6"/>
  <c r="E17" i="6"/>
  <c r="D17" i="6"/>
  <c r="AV16" i="6"/>
  <c r="AU16" i="6"/>
  <c r="AT16" i="6"/>
  <c r="AS16" i="6"/>
  <c r="AR16" i="6"/>
  <c r="AQ16" i="6"/>
  <c r="AP16" i="6"/>
  <c r="AO16" i="6"/>
  <c r="AN16" i="6"/>
  <c r="AM16" i="6"/>
  <c r="AL16" i="6"/>
  <c r="AK16" i="6"/>
  <c r="AJ16" i="6"/>
  <c r="AI16" i="6"/>
  <c r="AH16" i="6"/>
  <c r="AG16" i="6"/>
  <c r="AF16" i="6"/>
  <c r="AE16" i="6"/>
  <c r="AD16" i="6"/>
  <c r="AC16" i="6"/>
  <c r="AB16" i="6"/>
  <c r="AA16" i="6"/>
  <c r="Z16" i="6"/>
  <c r="Y16" i="6"/>
  <c r="X16" i="6"/>
  <c r="W16" i="6"/>
  <c r="V16" i="6"/>
  <c r="U16" i="6"/>
  <c r="T16" i="6"/>
  <c r="S16" i="6"/>
  <c r="R16" i="6"/>
  <c r="Q16" i="6"/>
  <c r="P16" i="6"/>
  <c r="O16" i="6"/>
  <c r="N16" i="6"/>
  <c r="M16" i="6"/>
  <c r="L16" i="6"/>
  <c r="K16" i="6"/>
  <c r="J16" i="6"/>
  <c r="I16" i="6"/>
  <c r="H16" i="6"/>
  <c r="G16" i="6"/>
  <c r="F16" i="6"/>
  <c r="E16" i="6"/>
  <c r="D16" i="6"/>
  <c r="AV15" i="6"/>
  <c r="AU15" i="6"/>
  <c r="AT15" i="6"/>
  <c r="AS15" i="6"/>
  <c r="AR15" i="6"/>
  <c r="AQ15" i="6"/>
  <c r="AP15" i="6"/>
  <c r="AO15" i="6"/>
  <c r="AN15" i="6"/>
  <c r="AM15" i="6"/>
  <c r="AL15" i="6"/>
  <c r="AK15" i="6"/>
  <c r="AJ15" i="6"/>
  <c r="AI15" i="6"/>
  <c r="AH15" i="6"/>
  <c r="AG15" i="6"/>
  <c r="AF15" i="6"/>
  <c r="AE15" i="6"/>
  <c r="AD15" i="6"/>
  <c r="AC15" i="6"/>
  <c r="AB15" i="6"/>
  <c r="AA15" i="6"/>
  <c r="Z15" i="6"/>
  <c r="Y15" i="6"/>
  <c r="X15" i="6"/>
  <c r="W15" i="6"/>
  <c r="V15" i="6"/>
  <c r="U15" i="6"/>
  <c r="T15" i="6"/>
  <c r="S15" i="6"/>
  <c r="R15" i="6"/>
  <c r="Q15" i="6"/>
  <c r="P15" i="6"/>
  <c r="O15" i="6"/>
  <c r="N15" i="6"/>
  <c r="M15" i="6"/>
  <c r="L15" i="6"/>
  <c r="K15" i="6"/>
  <c r="J15" i="6"/>
  <c r="I15" i="6"/>
  <c r="H15" i="6"/>
  <c r="G15" i="6"/>
  <c r="F15" i="6"/>
  <c r="E15" i="6"/>
  <c r="D15" i="6"/>
  <c r="AV14" i="6"/>
  <c r="AU14" i="6"/>
  <c r="AT14" i="6"/>
  <c r="AS14" i="6"/>
  <c r="AR14" i="6"/>
  <c r="AQ14" i="6"/>
  <c r="AP14" i="6"/>
  <c r="AO14" i="6"/>
  <c r="AN14" i="6"/>
  <c r="AM14" i="6"/>
  <c r="AL14" i="6"/>
  <c r="AK14" i="6"/>
  <c r="AJ14" i="6"/>
  <c r="AI14" i="6"/>
  <c r="AH14" i="6"/>
  <c r="AG14" i="6"/>
  <c r="AF14" i="6"/>
  <c r="AE14" i="6"/>
  <c r="AD14" i="6"/>
  <c r="AC14" i="6"/>
  <c r="AB14" i="6"/>
  <c r="AA14" i="6"/>
  <c r="Z14" i="6"/>
  <c r="Y14" i="6"/>
  <c r="X14" i="6"/>
  <c r="W14" i="6"/>
  <c r="V14" i="6"/>
  <c r="U14" i="6"/>
  <c r="T14" i="6"/>
  <c r="S14" i="6"/>
  <c r="R14" i="6"/>
  <c r="Q14" i="6"/>
  <c r="P14" i="6"/>
  <c r="O14" i="6"/>
  <c r="N14" i="6"/>
  <c r="M14" i="6"/>
  <c r="L14" i="6"/>
  <c r="K14" i="6"/>
  <c r="J14" i="6"/>
  <c r="I14" i="6"/>
  <c r="H14" i="6"/>
  <c r="G14" i="6"/>
  <c r="F14" i="6"/>
  <c r="E14" i="6"/>
  <c r="D14" i="6"/>
  <c r="AV13" i="6"/>
  <c r="AU13" i="6"/>
  <c r="AT13" i="6"/>
  <c r="AS13" i="6"/>
  <c r="AR13" i="6"/>
  <c r="AQ13" i="6"/>
  <c r="AP13" i="6"/>
  <c r="AO13" i="6"/>
  <c r="AN13" i="6"/>
  <c r="AM13" i="6"/>
  <c r="AL13" i="6"/>
  <c r="AK13" i="6"/>
  <c r="AJ13" i="6"/>
  <c r="AI13" i="6"/>
  <c r="AH13" i="6"/>
  <c r="AG13" i="6"/>
  <c r="AF13" i="6"/>
  <c r="AE13" i="6"/>
  <c r="AD13" i="6"/>
  <c r="AC13" i="6"/>
  <c r="AB13" i="6"/>
  <c r="AA13" i="6"/>
  <c r="Z13" i="6"/>
  <c r="Y13" i="6"/>
  <c r="X13" i="6"/>
  <c r="W13" i="6"/>
  <c r="V13" i="6"/>
  <c r="U13" i="6"/>
  <c r="T13" i="6"/>
  <c r="S13" i="6"/>
  <c r="R13" i="6"/>
  <c r="Q13" i="6"/>
  <c r="P13" i="6"/>
  <c r="O13" i="6"/>
  <c r="N13" i="6"/>
  <c r="M13" i="6"/>
  <c r="L13" i="6"/>
  <c r="K13" i="6"/>
  <c r="J13" i="6"/>
  <c r="I13" i="6"/>
  <c r="H13" i="6"/>
  <c r="G13" i="6"/>
  <c r="F13" i="6"/>
  <c r="E13" i="6"/>
  <c r="D13" i="6"/>
  <c r="AV12" i="6"/>
  <c r="AU12" i="6"/>
  <c r="AT12" i="6"/>
  <c r="AS12" i="6"/>
  <c r="AR12" i="6"/>
  <c r="AQ12" i="6"/>
  <c r="AP12" i="6"/>
  <c r="AO12" i="6"/>
  <c r="AN12" i="6"/>
  <c r="AM12" i="6"/>
  <c r="AL12" i="6"/>
  <c r="AK12" i="6"/>
  <c r="AJ12" i="6"/>
  <c r="AI12" i="6"/>
  <c r="AH12" i="6"/>
  <c r="AG12" i="6"/>
  <c r="AF12" i="6"/>
  <c r="AE12" i="6"/>
  <c r="AD12" i="6"/>
  <c r="AC12" i="6"/>
  <c r="AB12" i="6"/>
  <c r="AA12" i="6"/>
  <c r="Z12" i="6"/>
  <c r="Y12" i="6"/>
  <c r="X12" i="6"/>
  <c r="W12" i="6"/>
  <c r="V12" i="6"/>
  <c r="U12" i="6"/>
  <c r="T12" i="6"/>
  <c r="S12" i="6"/>
  <c r="R12" i="6"/>
  <c r="Q12" i="6"/>
  <c r="P12" i="6"/>
  <c r="O12" i="6"/>
  <c r="N12" i="6"/>
  <c r="M12" i="6"/>
  <c r="L12" i="6"/>
  <c r="K12" i="6"/>
  <c r="J12" i="6"/>
  <c r="I12" i="6"/>
  <c r="H12" i="6"/>
  <c r="G12" i="6"/>
  <c r="F12" i="6"/>
  <c r="E12" i="6"/>
  <c r="D12" i="6"/>
  <c r="AV11" i="6"/>
  <c r="AU11" i="6"/>
  <c r="AT11" i="6"/>
  <c r="AS11" i="6"/>
  <c r="AR11" i="6"/>
  <c r="AQ11" i="6"/>
  <c r="AP11" i="6"/>
  <c r="AO11" i="6"/>
  <c r="AN11" i="6"/>
  <c r="AM11" i="6"/>
  <c r="AL11" i="6"/>
  <c r="AK11" i="6"/>
  <c r="AJ11" i="6"/>
  <c r="AI11" i="6"/>
  <c r="AH11" i="6"/>
  <c r="AG11" i="6"/>
  <c r="AF11" i="6"/>
  <c r="AE11" i="6"/>
  <c r="AD11" i="6"/>
  <c r="AC11" i="6"/>
  <c r="AB11" i="6"/>
  <c r="AA11" i="6"/>
  <c r="Z11" i="6"/>
  <c r="Y11" i="6"/>
  <c r="X11" i="6"/>
  <c r="W11" i="6"/>
  <c r="V11" i="6"/>
  <c r="U11" i="6"/>
  <c r="T11" i="6"/>
  <c r="S11" i="6"/>
  <c r="R11" i="6"/>
  <c r="Q11" i="6"/>
  <c r="P11" i="6"/>
  <c r="O11" i="6"/>
  <c r="N11" i="6"/>
  <c r="M11" i="6"/>
  <c r="L11" i="6"/>
  <c r="K11" i="6"/>
  <c r="J11" i="6"/>
  <c r="I11" i="6"/>
  <c r="H11" i="6"/>
  <c r="G11" i="6"/>
  <c r="F11" i="6"/>
  <c r="E11" i="6"/>
  <c r="D11" i="6"/>
  <c r="AV10" i="6"/>
  <c r="AU10" i="6"/>
  <c r="AT10" i="6"/>
  <c r="AS10" i="6"/>
  <c r="AR10" i="6"/>
  <c r="AQ10" i="6"/>
  <c r="AP10" i="6"/>
  <c r="AO10" i="6"/>
  <c r="AN10" i="6"/>
  <c r="AM10" i="6"/>
  <c r="AL10" i="6"/>
  <c r="AK10" i="6"/>
  <c r="AJ10" i="6"/>
  <c r="AI10" i="6"/>
  <c r="AH10" i="6"/>
  <c r="AG10" i="6"/>
  <c r="AF10" i="6"/>
  <c r="AE10" i="6"/>
  <c r="AD10" i="6"/>
  <c r="AC10" i="6"/>
  <c r="AB10" i="6"/>
  <c r="AA10" i="6"/>
  <c r="Z10" i="6"/>
  <c r="Y10" i="6"/>
  <c r="X10" i="6"/>
  <c r="W10" i="6"/>
  <c r="V10" i="6"/>
  <c r="U10" i="6"/>
  <c r="T10" i="6"/>
  <c r="S10" i="6"/>
  <c r="R10" i="6"/>
  <c r="Q10" i="6"/>
  <c r="P10" i="6"/>
  <c r="O10" i="6"/>
  <c r="N10" i="6"/>
  <c r="M10" i="6"/>
  <c r="L10" i="6"/>
  <c r="K10" i="6"/>
  <c r="J10" i="6"/>
  <c r="I10" i="6"/>
  <c r="H10" i="6"/>
  <c r="G10" i="6"/>
  <c r="F10" i="6"/>
  <c r="E10" i="6"/>
  <c r="D10" i="6"/>
  <c r="AV9" i="6"/>
  <c r="AU9" i="6"/>
  <c r="AT9" i="6"/>
  <c r="AS9" i="6"/>
  <c r="AR9" i="6"/>
  <c r="AQ9" i="6"/>
  <c r="AP9" i="6"/>
  <c r="AO9" i="6"/>
  <c r="AN9" i="6"/>
  <c r="AM9" i="6"/>
  <c r="AL9" i="6"/>
  <c r="AK9" i="6"/>
  <c r="AJ9" i="6"/>
  <c r="AI9" i="6"/>
  <c r="AH9" i="6"/>
  <c r="AG9" i="6"/>
  <c r="AF9" i="6"/>
  <c r="AE9" i="6"/>
  <c r="AD9" i="6"/>
  <c r="AC9" i="6"/>
  <c r="AB9" i="6"/>
  <c r="AA9" i="6"/>
  <c r="Z9" i="6"/>
  <c r="Y9" i="6"/>
  <c r="X9" i="6"/>
  <c r="W9" i="6"/>
  <c r="V9" i="6"/>
  <c r="U9" i="6"/>
  <c r="T9" i="6"/>
  <c r="S9" i="6"/>
  <c r="R9" i="6"/>
  <c r="Q9" i="6"/>
  <c r="P9" i="6"/>
  <c r="O9" i="6"/>
  <c r="N9" i="6"/>
  <c r="M9" i="6"/>
  <c r="L9" i="6"/>
  <c r="K9" i="6"/>
  <c r="J9" i="6"/>
  <c r="I9" i="6"/>
  <c r="H9" i="6"/>
  <c r="G9" i="6"/>
  <c r="F9" i="6"/>
  <c r="E9" i="6"/>
  <c r="D9" i="6"/>
  <c r="AV8" i="6"/>
  <c r="AU8" i="6"/>
  <c r="AT8" i="6"/>
  <c r="AS8" i="6"/>
  <c r="AR8" i="6"/>
  <c r="AQ8" i="6"/>
  <c r="AP8" i="6"/>
  <c r="AO8" i="6"/>
  <c r="AN8" i="6"/>
  <c r="AM8" i="6"/>
  <c r="AL8" i="6"/>
  <c r="AK8" i="6"/>
  <c r="AJ8" i="6"/>
  <c r="AI8" i="6"/>
  <c r="AH8" i="6"/>
  <c r="AG8" i="6"/>
  <c r="AF8" i="6"/>
  <c r="AE8" i="6"/>
  <c r="AD8" i="6"/>
  <c r="AC8" i="6"/>
  <c r="AB8" i="6"/>
  <c r="AA8" i="6"/>
  <c r="Z8" i="6"/>
  <c r="Y8" i="6"/>
  <c r="X8" i="6"/>
  <c r="W8" i="6"/>
  <c r="V8" i="6"/>
  <c r="U8" i="6"/>
  <c r="T8" i="6"/>
  <c r="S8" i="6"/>
  <c r="R8" i="6"/>
  <c r="Q8" i="6"/>
  <c r="P8" i="6"/>
  <c r="O8" i="6"/>
  <c r="N8" i="6"/>
  <c r="M8" i="6"/>
  <c r="L8" i="6"/>
  <c r="K8" i="6"/>
  <c r="J8" i="6"/>
  <c r="I8" i="6"/>
  <c r="H8" i="6"/>
  <c r="G8" i="6"/>
  <c r="F8" i="6"/>
  <c r="E8" i="6"/>
  <c r="D8" i="6"/>
  <c r="BH41" i="6"/>
  <c r="BA41" i="6"/>
  <c r="BH40" i="6"/>
  <c r="BA40" i="6"/>
  <c r="BH39" i="6"/>
  <c r="BA39" i="6"/>
  <c r="BH38" i="6"/>
  <c r="BA38" i="6"/>
  <c r="BK9" i="6"/>
  <c r="BI9" i="6"/>
  <c r="A9" i="6"/>
  <c r="BK8" i="6"/>
  <c r="D1" i="6"/>
  <c r="BD120" i="1" l="1"/>
  <c r="BF119" i="1"/>
  <c r="A10" i="6"/>
  <c r="E5" i="2"/>
  <c r="O4" i="2"/>
  <c r="Q6" i="11"/>
  <c r="G85" i="3" l="1"/>
  <c r="I86" i="3"/>
  <c r="G87" i="3"/>
  <c r="I88" i="3"/>
  <c r="G89" i="3"/>
  <c r="I90" i="3"/>
  <c r="G91" i="3"/>
  <c r="I92" i="3"/>
  <c r="H85" i="3"/>
  <c r="H87" i="3"/>
  <c r="H89" i="3"/>
  <c r="H91" i="3"/>
  <c r="I85" i="3"/>
  <c r="G86" i="3"/>
  <c r="I87" i="3"/>
  <c r="G88" i="3"/>
  <c r="I89" i="3"/>
  <c r="G90" i="3"/>
  <c r="I91" i="3"/>
  <c r="G92" i="3"/>
  <c r="H86" i="3"/>
  <c r="H92" i="3"/>
  <c r="H88" i="3"/>
  <c r="H90" i="3"/>
  <c r="G156" i="3"/>
  <c r="H157" i="3"/>
  <c r="I93" i="3"/>
  <c r="G95" i="3"/>
  <c r="H96" i="3"/>
  <c r="I97" i="3"/>
  <c r="G155" i="3"/>
  <c r="H156" i="3"/>
  <c r="I157" i="3"/>
  <c r="G94" i="3"/>
  <c r="H95" i="3"/>
  <c r="I96" i="3"/>
  <c r="G98" i="3"/>
  <c r="H99" i="3"/>
  <c r="I100" i="3"/>
  <c r="G102" i="3"/>
  <c r="H103" i="3"/>
  <c r="I104" i="3"/>
  <c r="H155" i="3"/>
  <c r="I156" i="3"/>
  <c r="G93" i="3"/>
  <c r="H94" i="3"/>
  <c r="I95" i="3"/>
  <c r="G97" i="3"/>
  <c r="H98" i="3"/>
  <c r="G99" i="3"/>
  <c r="G100" i="3"/>
  <c r="H105" i="3"/>
  <c r="I155" i="3"/>
  <c r="G96" i="3"/>
  <c r="H97" i="3"/>
  <c r="I98" i="3"/>
  <c r="I99" i="3"/>
  <c r="H100" i="3"/>
  <c r="G101" i="3"/>
  <c r="I105" i="3"/>
  <c r="H106" i="3"/>
  <c r="H101" i="3"/>
  <c r="H102" i="3"/>
  <c r="G103" i="3"/>
  <c r="G104" i="3"/>
  <c r="H104" i="3"/>
  <c r="I106" i="3"/>
  <c r="I107" i="3"/>
  <c r="G109" i="3"/>
  <c r="H110" i="3"/>
  <c r="I111" i="3"/>
  <c r="I101" i="3"/>
  <c r="G105" i="3"/>
  <c r="G108" i="3"/>
  <c r="H109" i="3"/>
  <c r="I110" i="3"/>
  <c r="I102" i="3"/>
  <c r="G107" i="3"/>
  <c r="H108" i="3"/>
  <c r="I103" i="3"/>
  <c r="G113" i="3"/>
  <c r="H114" i="3"/>
  <c r="I115" i="3"/>
  <c r="G117" i="3"/>
  <c r="H118" i="3"/>
  <c r="I119" i="3"/>
  <c r="G121" i="3"/>
  <c r="H122" i="3"/>
  <c r="I123" i="3"/>
  <c r="G125" i="3"/>
  <c r="H93" i="3"/>
  <c r="H107" i="3"/>
  <c r="I108" i="3"/>
  <c r="G111" i="3"/>
  <c r="G112" i="3"/>
  <c r="H113" i="3"/>
  <c r="I114" i="3"/>
  <c r="G116" i="3"/>
  <c r="H117" i="3"/>
  <c r="I118" i="3"/>
  <c r="G120" i="3"/>
  <c r="H121" i="3"/>
  <c r="G106" i="3"/>
  <c r="I109" i="3"/>
  <c r="H111" i="3"/>
  <c r="H112" i="3"/>
  <c r="I113" i="3"/>
  <c r="G115" i="3"/>
  <c r="H116" i="3"/>
  <c r="I117" i="3"/>
  <c r="G119" i="3"/>
  <c r="H120" i="3"/>
  <c r="I121" i="3"/>
  <c r="G123" i="3"/>
  <c r="H124" i="3"/>
  <c r="I125" i="3"/>
  <c r="G126" i="3"/>
  <c r="H127" i="3"/>
  <c r="I128" i="3"/>
  <c r="G130" i="3"/>
  <c r="H131" i="3"/>
  <c r="I132" i="3"/>
  <c r="G134" i="3"/>
  <c r="H135" i="3"/>
  <c r="I136" i="3"/>
  <c r="I112" i="3"/>
  <c r="G118" i="3"/>
  <c r="H119" i="3"/>
  <c r="I120" i="3"/>
  <c r="G122" i="3"/>
  <c r="G124" i="3"/>
  <c r="H126" i="3"/>
  <c r="I127" i="3"/>
  <c r="G129" i="3"/>
  <c r="H130" i="3"/>
  <c r="I131" i="3"/>
  <c r="G133" i="3"/>
  <c r="H134" i="3"/>
  <c r="I135" i="3"/>
  <c r="G137" i="3"/>
  <c r="I94" i="3"/>
  <c r="I122" i="3"/>
  <c r="I124" i="3"/>
  <c r="I126" i="3"/>
  <c r="G128" i="3"/>
  <c r="H129" i="3"/>
  <c r="I130" i="3"/>
  <c r="G132" i="3"/>
  <c r="H133" i="3"/>
  <c r="I134" i="3"/>
  <c r="G136" i="3"/>
  <c r="G110" i="3"/>
  <c r="G114" i="3"/>
  <c r="H115" i="3"/>
  <c r="I116" i="3"/>
  <c r="H125" i="3"/>
  <c r="G127" i="3"/>
  <c r="H128" i="3"/>
  <c r="I129" i="3"/>
  <c r="G135" i="3"/>
  <c r="H136" i="3"/>
  <c r="I138" i="3"/>
  <c r="G140" i="3"/>
  <c r="H141" i="3"/>
  <c r="I142" i="3"/>
  <c r="G144" i="3"/>
  <c r="H145" i="3"/>
  <c r="I146" i="3"/>
  <c r="G148" i="3"/>
  <c r="H149" i="3"/>
  <c r="I150" i="3"/>
  <c r="G152" i="3"/>
  <c r="H153" i="3"/>
  <c r="I154" i="3"/>
  <c r="G77" i="3"/>
  <c r="G139" i="3"/>
  <c r="H140" i="3"/>
  <c r="I141" i="3"/>
  <c r="G143" i="3"/>
  <c r="H144" i="3"/>
  <c r="I145" i="3"/>
  <c r="G147" i="3"/>
  <c r="H148" i="3"/>
  <c r="I149" i="3"/>
  <c r="G151" i="3"/>
  <c r="H152" i="3"/>
  <c r="I153" i="3"/>
  <c r="G76" i="3"/>
  <c r="H77" i="3"/>
  <c r="I78" i="3"/>
  <c r="G80" i="3"/>
  <c r="G131" i="3"/>
  <c r="H132" i="3"/>
  <c r="I133" i="3"/>
  <c r="H137" i="3"/>
  <c r="G138" i="3"/>
  <c r="H139" i="3"/>
  <c r="I140" i="3"/>
  <c r="G142" i="3"/>
  <c r="H143" i="3"/>
  <c r="I144" i="3"/>
  <c r="G146" i="3"/>
  <c r="H147" i="3"/>
  <c r="I148" i="3"/>
  <c r="G150" i="3"/>
  <c r="H151" i="3"/>
  <c r="I152" i="3"/>
  <c r="G154" i="3"/>
  <c r="H76" i="3"/>
  <c r="I77" i="3"/>
  <c r="G157" i="3"/>
  <c r="H123" i="3"/>
  <c r="I137" i="3"/>
  <c r="H138" i="3"/>
  <c r="I139" i="3"/>
  <c r="G141" i="3"/>
  <c r="G145" i="3"/>
  <c r="H146" i="3"/>
  <c r="I147" i="3"/>
  <c r="G153" i="3"/>
  <c r="H154" i="3"/>
  <c r="I76" i="3"/>
  <c r="G78" i="3"/>
  <c r="H81" i="3"/>
  <c r="I82" i="3"/>
  <c r="G84" i="3"/>
  <c r="H78" i="3"/>
  <c r="G79" i="3"/>
  <c r="I81" i="3"/>
  <c r="G83" i="3"/>
  <c r="H84" i="3"/>
  <c r="H80" i="3"/>
  <c r="G82" i="3"/>
  <c r="H142" i="3"/>
  <c r="I143" i="3"/>
  <c r="G149" i="3"/>
  <c r="H150" i="3"/>
  <c r="I151" i="3"/>
  <c r="H79" i="3"/>
  <c r="H83" i="3"/>
  <c r="I79" i="3"/>
  <c r="I80" i="3"/>
  <c r="G81" i="3"/>
  <c r="H82" i="3"/>
  <c r="I83" i="3"/>
  <c r="I84" i="3"/>
  <c r="BF120" i="1"/>
  <c r="BD121" i="1"/>
  <c r="O5" i="2" a="1"/>
  <c r="O5" i="2" s="1"/>
  <c r="O6" i="2" s="1" a="1"/>
  <c r="O6" i="2" s="1"/>
  <c r="A11" i="6"/>
  <c r="E6" i="2"/>
  <c r="G55" i="3"/>
  <c r="G54" i="3"/>
  <c r="H55" i="3"/>
  <c r="I56" i="3"/>
  <c r="G58" i="3"/>
  <c r="H59" i="3"/>
  <c r="H54" i="3"/>
  <c r="I55" i="3"/>
  <c r="G57" i="3"/>
  <c r="H58" i="3"/>
  <c r="I59" i="3"/>
  <c r="G61" i="3"/>
  <c r="H62" i="3"/>
  <c r="H57" i="3"/>
  <c r="H60" i="3"/>
  <c r="H61" i="3"/>
  <c r="G62" i="3"/>
  <c r="I63" i="3"/>
  <c r="G65" i="3"/>
  <c r="I54" i="3"/>
  <c r="G56" i="3"/>
  <c r="I57" i="3"/>
  <c r="I60" i="3"/>
  <c r="I61" i="3"/>
  <c r="I62" i="3"/>
  <c r="G64" i="3"/>
  <c r="H56" i="3"/>
  <c r="I58" i="3"/>
  <c r="G63" i="3"/>
  <c r="H64" i="3"/>
  <c r="H66" i="3"/>
  <c r="I67" i="3"/>
  <c r="G69" i="3"/>
  <c r="H70" i="3"/>
  <c r="I71" i="3"/>
  <c r="I66" i="3"/>
  <c r="G68" i="3"/>
  <c r="H69" i="3"/>
  <c r="I70" i="3"/>
  <c r="G60" i="3"/>
  <c r="H63" i="3"/>
  <c r="I64" i="3"/>
  <c r="H65" i="3"/>
  <c r="G67" i="3"/>
  <c r="H68" i="3"/>
  <c r="I65" i="3"/>
  <c r="G71" i="3"/>
  <c r="G72" i="3"/>
  <c r="H73" i="3"/>
  <c r="I74" i="3"/>
  <c r="H67" i="3"/>
  <c r="I68" i="3"/>
  <c r="I69" i="3"/>
  <c r="H71" i="3"/>
  <c r="H72" i="3"/>
  <c r="I73" i="3"/>
  <c r="G75" i="3"/>
  <c r="G66" i="3"/>
  <c r="G70" i="3"/>
  <c r="I72" i="3"/>
  <c r="G74" i="3"/>
  <c r="H75" i="3"/>
  <c r="G59" i="3"/>
  <c r="G73" i="3"/>
  <c r="H74" i="3"/>
  <c r="I75" i="3"/>
  <c r="G50" i="3"/>
  <c r="G45" i="3"/>
  <c r="G47" i="3"/>
  <c r="G49" i="3"/>
  <c r="G44" i="3"/>
  <c r="G46" i="3"/>
  <c r="G48" i="3"/>
  <c r="C7" i="4"/>
  <c r="C6" i="4"/>
  <c r="B8" i="4"/>
  <c r="B11" i="4"/>
  <c r="B10" i="4" s="1"/>
  <c r="B6" i="4"/>
  <c r="C18" i="4"/>
  <c r="C19" i="4" s="1"/>
  <c r="B18" i="4"/>
  <c r="B19" i="4" s="1"/>
  <c r="C23" i="4"/>
  <c r="C24" i="4" s="1"/>
  <c r="B23" i="4"/>
  <c r="B24" i="4" s="1"/>
  <c r="R6" i="11"/>
  <c r="K85" i="3" l="1"/>
  <c r="K87" i="3"/>
  <c r="K89" i="3"/>
  <c r="K91" i="3"/>
  <c r="L85" i="3"/>
  <c r="J86" i="3"/>
  <c r="L87" i="3"/>
  <c r="J88" i="3"/>
  <c r="L89" i="3"/>
  <c r="J90" i="3"/>
  <c r="L91" i="3"/>
  <c r="J92" i="3"/>
  <c r="K86" i="3"/>
  <c r="K88" i="3"/>
  <c r="K90" i="3"/>
  <c r="K92" i="3"/>
  <c r="J89" i="3"/>
  <c r="L92" i="3"/>
  <c r="L86" i="3"/>
  <c r="J91" i="3"/>
  <c r="J87" i="3"/>
  <c r="L90" i="3"/>
  <c r="J85" i="3"/>
  <c r="L88" i="3"/>
  <c r="J155" i="3"/>
  <c r="K156" i="3"/>
  <c r="L157" i="3"/>
  <c r="J94" i="3"/>
  <c r="K95" i="3"/>
  <c r="L96" i="3"/>
  <c r="K155" i="3"/>
  <c r="L156" i="3"/>
  <c r="J93" i="3"/>
  <c r="K94" i="3"/>
  <c r="L95" i="3"/>
  <c r="J97" i="3"/>
  <c r="K98" i="3"/>
  <c r="L99" i="3"/>
  <c r="J101" i="3"/>
  <c r="K102" i="3"/>
  <c r="L103" i="3"/>
  <c r="J105" i="3"/>
  <c r="L155" i="3"/>
  <c r="J157" i="3"/>
  <c r="K93" i="3"/>
  <c r="L94" i="3"/>
  <c r="J96" i="3"/>
  <c r="K97" i="3"/>
  <c r="J156" i="3"/>
  <c r="K157" i="3"/>
  <c r="L93" i="3"/>
  <c r="L100" i="3"/>
  <c r="K101" i="3"/>
  <c r="J102" i="3"/>
  <c r="J103" i="3"/>
  <c r="J104" i="3"/>
  <c r="L101" i="3"/>
  <c r="L102" i="3"/>
  <c r="K103" i="3"/>
  <c r="K104" i="3"/>
  <c r="L106" i="3"/>
  <c r="J95" i="3"/>
  <c r="K96" i="3"/>
  <c r="L97" i="3"/>
  <c r="J98" i="3"/>
  <c r="J99" i="3"/>
  <c r="J100" i="3"/>
  <c r="L104" i="3"/>
  <c r="K105" i="3"/>
  <c r="L98" i="3"/>
  <c r="K99" i="3"/>
  <c r="K100" i="3"/>
  <c r="J108" i="3"/>
  <c r="K109" i="3"/>
  <c r="L110" i="3"/>
  <c r="J106" i="3"/>
  <c r="J107" i="3"/>
  <c r="K108" i="3"/>
  <c r="L109" i="3"/>
  <c r="J111" i="3"/>
  <c r="L105" i="3"/>
  <c r="K106" i="3"/>
  <c r="K107" i="3"/>
  <c r="L108" i="3"/>
  <c r="J110" i="3"/>
  <c r="L111" i="3"/>
  <c r="J112" i="3"/>
  <c r="K113" i="3"/>
  <c r="L114" i="3"/>
  <c r="J116" i="3"/>
  <c r="K117" i="3"/>
  <c r="L118" i="3"/>
  <c r="J120" i="3"/>
  <c r="K121" i="3"/>
  <c r="L122" i="3"/>
  <c r="J124" i="3"/>
  <c r="K125" i="3"/>
  <c r="K110" i="3"/>
  <c r="K112" i="3"/>
  <c r="L113" i="3"/>
  <c r="J115" i="3"/>
  <c r="K116" i="3"/>
  <c r="L117" i="3"/>
  <c r="J119" i="3"/>
  <c r="K120" i="3"/>
  <c r="L107" i="3"/>
  <c r="L112" i="3"/>
  <c r="J114" i="3"/>
  <c r="K115" i="3"/>
  <c r="L116" i="3"/>
  <c r="J118" i="3"/>
  <c r="K119" i="3"/>
  <c r="L120" i="3"/>
  <c r="J122" i="3"/>
  <c r="K123" i="3"/>
  <c r="L124" i="3"/>
  <c r="J113" i="3"/>
  <c r="K114" i="3"/>
  <c r="L115" i="3"/>
  <c r="J121" i="3"/>
  <c r="J123" i="3"/>
  <c r="J125" i="3"/>
  <c r="K126" i="3"/>
  <c r="L127" i="3"/>
  <c r="J129" i="3"/>
  <c r="K130" i="3"/>
  <c r="L131" i="3"/>
  <c r="J133" i="3"/>
  <c r="K134" i="3"/>
  <c r="L135" i="3"/>
  <c r="J109" i="3"/>
  <c r="L121" i="3"/>
  <c r="L123" i="3"/>
  <c r="L125" i="3"/>
  <c r="L126" i="3"/>
  <c r="J128" i="3"/>
  <c r="K129" i="3"/>
  <c r="L130" i="3"/>
  <c r="J132" i="3"/>
  <c r="K133" i="3"/>
  <c r="L134" i="3"/>
  <c r="J136" i="3"/>
  <c r="K137" i="3"/>
  <c r="K111" i="3"/>
  <c r="J117" i="3"/>
  <c r="K118" i="3"/>
  <c r="L119" i="3"/>
  <c r="J127" i="3"/>
  <c r="K128" i="3"/>
  <c r="L129" i="3"/>
  <c r="J131" i="3"/>
  <c r="K132" i="3"/>
  <c r="L133" i="3"/>
  <c r="J135" i="3"/>
  <c r="K136" i="3"/>
  <c r="J137" i="3"/>
  <c r="J139" i="3"/>
  <c r="K140" i="3"/>
  <c r="L141" i="3"/>
  <c r="J143" i="3"/>
  <c r="K144" i="3"/>
  <c r="L145" i="3"/>
  <c r="J147" i="3"/>
  <c r="K148" i="3"/>
  <c r="L149" i="3"/>
  <c r="J151" i="3"/>
  <c r="K152" i="3"/>
  <c r="L153" i="3"/>
  <c r="J76" i="3"/>
  <c r="K77" i="3"/>
  <c r="K122" i="3"/>
  <c r="J126" i="3"/>
  <c r="K127" i="3"/>
  <c r="L128" i="3"/>
  <c r="J134" i="3"/>
  <c r="K135" i="3"/>
  <c r="L136" i="3"/>
  <c r="L137" i="3"/>
  <c r="J138" i="3"/>
  <c r="K139" i="3"/>
  <c r="L140" i="3"/>
  <c r="J142" i="3"/>
  <c r="K143" i="3"/>
  <c r="L144" i="3"/>
  <c r="J146" i="3"/>
  <c r="K147" i="3"/>
  <c r="L148" i="3"/>
  <c r="J150" i="3"/>
  <c r="K151" i="3"/>
  <c r="L152" i="3"/>
  <c r="J154" i="3"/>
  <c r="K76" i="3"/>
  <c r="L77" i="3"/>
  <c r="J79" i="3"/>
  <c r="K80" i="3"/>
  <c r="K124" i="3"/>
  <c r="K138" i="3"/>
  <c r="L139" i="3"/>
  <c r="J141" i="3"/>
  <c r="K142" i="3"/>
  <c r="L143" i="3"/>
  <c r="J145" i="3"/>
  <c r="K146" i="3"/>
  <c r="L147" i="3"/>
  <c r="J149" i="3"/>
  <c r="K150" i="3"/>
  <c r="L151" i="3"/>
  <c r="J153" i="3"/>
  <c r="K154" i="3"/>
  <c r="L76" i="3"/>
  <c r="J130" i="3"/>
  <c r="K131" i="3"/>
  <c r="L132" i="3"/>
  <c r="L138" i="3"/>
  <c r="J140" i="3"/>
  <c r="K141" i="3"/>
  <c r="L78" i="3"/>
  <c r="K79" i="3"/>
  <c r="J80" i="3"/>
  <c r="L81" i="3"/>
  <c r="J83" i="3"/>
  <c r="K84" i="3"/>
  <c r="J81" i="3"/>
  <c r="J144" i="3"/>
  <c r="K145" i="3"/>
  <c r="L146" i="3"/>
  <c r="J152" i="3"/>
  <c r="K153" i="3"/>
  <c r="L154" i="3"/>
  <c r="L79" i="3"/>
  <c r="L80" i="3"/>
  <c r="J82" i="3"/>
  <c r="K83" i="3"/>
  <c r="L84" i="3"/>
  <c r="J78" i="3"/>
  <c r="L142" i="3"/>
  <c r="J148" i="3"/>
  <c r="K149" i="3"/>
  <c r="L150" i="3"/>
  <c r="J77" i="3"/>
  <c r="K78" i="3"/>
  <c r="K81" i="3"/>
  <c r="L82" i="3"/>
  <c r="J84" i="3"/>
  <c r="K82" i="3"/>
  <c r="L83" i="3"/>
  <c r="BF121" i="1"/>
  <c r="BD122" i="1"/>
  <c r="O7" i="2" a="1"/>
  <c r="O7" i="2" s="1"/>
  <c r="O8" i="2" s="1" a="1"/>
  <c r="O8" i="2" s="1"/>
  <c r="A12" i="6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62" i="6" s="1"/>
  <c r="A63" i="6" s="1"/>
  <c r="A64" i="6" s="1"/>
  <c r="A65" i="6" s="1"/>
  <c r="A66" i="6" s="1"/>
  <c r="A67" i="6" s="1"/>
  <c r="A68" i="6" s="1"/>
  <c r="A69" i="6" s="1"/>
  <c r="A70" i="6" s="1"/>
  <c r="A71" i="6" s="1"/>
  <c r="A72" i="6" s="1"/>
  <c r="A73" i="6" s="1"/>
  <c r="A74" i="6" s="1"/>
  <c r="A75" i="6" s="1"/>
  <c r="A76" i="6" s="1"/>
  <c r="A77" i="6" s="1"/>
  <c r="A78" i="6" s="1"/>
  <c r="A79" i="6" s="1"/>
  <c r="A80" i="6" s="1"/>
  <c r="A81" i="6" s="1"/>
  <c r="A82" i="6" s="1"/>
  <c r="A83" i="6" s="1"/>
  <c r="A84" i="6" s="1"/>
  <c r="A85" i="6" s="1"/>
  <c r="A86" i="6" s="1"/>
  <c r="A87" i="6" s="1"/>
  <c r="A88" i="6" s="1"/>
  <c r="A89" i="6" s="1"/>
  <c r="A90" i="6" s="1"/>
  <c r="A91" i="6" s="1"/>
  <c r="A92" i="6" s="1"/>
  <c r="A93" i="6" s="1"/>
  <c r="A94" i="6" s="1"/>
  <c r="A95" i="6" s="1"/>
  <c r="A96" i="6" s="1"/>
  <c r="A97" i="6" s="1"/>
  <c r="A98" i="6" s="1"/>
  <c r="A99" i="6" s="1"/>
  <c r="A100" i="6" s="1"/>
  <c r="A101" i="6" s="1"/>
  <c r="A102" i="6" s="1"/>
  <c r="A103" i="6" s="1"/>
  <c r="A104" i="6" s="1"/>
  <c r="A105" i="6" s="1"/>
  <c r="A106" i="6" s="1"/>
  <c r="A107" i="6" s="1"/>
  <c r="A108" i="6" s="1"/>
  <c r="A109" i="6" s="1"/>
  <c r="A110" i="6" s="1"/>
  <c r="A111" i="6" s="1"/>
  <c r="A112" i="6" s="1"/>
  <c r="A113" i="6" s="1"/>
  <c r="A114" i="6" s="1"/>
  <c r="A115" i="6" s="1"/>
  <c r="A116" i="6" s="1"/>
  <c r="A117" i="6" s="1"/>
  <c r="A118" i="6" s="1"/>
  <c r="A119" i="6" s="1"/>
  <c r="A120" i="6" s="1"/>
  <c r="A121" i="6" s="1"/>
  <c r="A122" i="6" s="1"/>
  <c r="A123" i="6" s="1"/>
  <c r="A124" i="6" s="1"/>
  <c r="A125" i="6" s="1"/>
  <c r="A126" i="6" s="1"/>
  <c r="A127" i="6" s="1"/>
  <c r="A128" i="6" s="1"/>
  <c r="A129" i="6" s="1"/>
  <c r="A130" i="6" s="1"/>
  <c r="A131" i="6" s="1"/>
  <c r="A132" i="6" s="1"/>
  <c r="A133" i="6" s="1"/>
  <c r="A134" i="6" s="1"/>
  <c r="A135" i="6" s="1"/>
  <c r="A136" i="6" s="1"/>
  <c r="A137" i="6" s="1"/>
  <c r="A138" i="6" s="1"/>
  <c r="A139" i="6" s="1"/>
  <c r="A140" i="6" s="1"/>
  <c r="A141" i="6" s="1"/>
  <c r="A142" i="6" s="1"/>
  <c r="A143" i="6" s="1"/>
  <c r="A144" i="6" s="1"/>
  <c r="A145" i="6" s="1"/>
  <c r="A146" i="6" s="1"/>
  <c r="A147" i="6" s="1"/>
  <c r="A148" i="6" s="1"/>
  <c r="A149" i="6" s="1"/>
  <c r="A150" i="6" s="1"/>
  <c r="A151" i="6" s="1"/>
  <c r="A152" i="6" s="1"/>
  <c r="A153" i="6" s="1"/>
  <c r="A154" i="6" s="1"/>
  <c r="A155" i="6" s="1"/>
  <c r="A156" i="6" s="1"/>
  <c r="A157" i="6" s="1"/>
  <c r="A158" i="6" s="1"/>
  <c r="A159" i="6" s="1"/>
  <c r="A160" i="6" s="1"/>
  <c r="E7" i="2"/>
  <c r="J54" i="3"/>
  <c r="K55" i="3"/>
  <c r="K54" i="3"/>
  <c r="L55" i="3"/>
  <c r="J57" i="3"/>
  <c r="K58" i="3"/>
  <c r="L59" i="3"/>
  <c r="L54" i="3"/>
  <c r="J56" i="3"/>
  <c r="K57" i="3"/>
  <c r="L58" i="3"/>
  <c r="J60" i="3"/>
  <c r="K61" i="3"/>
  <c r="J55" i="3"/>
  <c r="L56" i="3"/>
  <c r="J59" i="3"/>
  <c r="L62" i="3"/>
  <c r="J64" i="3"/>
  <c r="K65" i="3"/>
  <c r="K59" i="3"/>
  <c r="J63" i="3"/>
  <c r="K64" i="3"/>
  <c r="L57" i="3"/>
  <c r="K60" i="3"/>
  <c r="J61" i="3"/>
  <c r="J62" i="3"/>
  <c r="K63" i="3"/>
  <c r="L64" i="3"/>
  <c r="J65" i="3"/>
  <c r="L66" i="3"/>
  <c r="J68" i="3"/>
  <c r="K69" i="3"/>
  <c r="L70" i="3"/>
  <c r="K56" i="3"/>
  <c r="J58" i="3"/>
  <c r="L65" i="3"/>
  <c r="J67" i="3"/>
  <c r="K68" i="3"/>
  <c r="L69" i="3"/>
  <c r="J71" i="3"/>
  <c r="J66" i="3"/>
  <c r="K67" i="3"/>
  <c r="L68" i="3"/>
  <c r="K62" i="3"/>
  <c r="L63" i="3"/>
  <c r="K70" i="3"/>
  <c r="K72" i="3"/>
  <c r="L73" i="3"/>
  <c r="J75" i="3"/>
  <c r="L72" i="3"/>
  <c r="J74" i="3"/>
  <c r="K75" i="3"/>
  <c r="L61" i="3"/>
  <c r="L60" i="3"/>
  <c r="K66" i="3"/>
  <c r="L67" i="3"/>
  <c r="J69" i="3"/>
  <c r="K71" i="3"/>
  <c r="J73" i="3"/>
  <c r="K74" i="3"/>
  <c r="L75" i="3"/>
  <c r="J70" i="3"/>
  <c r="L71" i="3"/>
  <c r="J72" i="3"/>
  <c r="K73" i="3"/>
  <c r="L74" i="3"/>
  <c r="B5" i="4"/>
  <c r="B4" i="4" s="1"/>
  <c r="C4" i="4" s="1"/>
  <c r="B12" i="4"/>
  <c r="S6" i="11"/>
  <c r="O85" i="3" l="1"/>
  <c r="M86" i="3"/>
  <c r="O87" i="3"/>
  <c r="M88" i="3"/>
  <c r="O89" i="3"/>
  <c r="M90" i="3"/>
  <c r="O91" i="3"/>
  <c r="M92" i="3"/>
  <c r="N86" i="3"/>
  <c r="N88" i="3"/>
  <c r="N90" i="3"/>
  <c r="N92" i="3"/>
  <c r="M85" i="3"/>
  <c r="O86" i="3"/>
  <c r="M87" i="3"/>
  <c r="O88" i="3"/>
  <c r="M89" i="3"/>
  <c r="O90" i="3"/>
  <c r="M91" i="3"/>
  <c r="O92" i="3"/>
  <c r="N87" i="3"/>
  <c r="N89" i="3"/>
  <c r="N85" i="3"/>
  <c r="N91" i="3"/>
  <c r="N155" i="3"/>
  <c r="O156" i="3"/>
  <c r="M93" i="3"/>
  <c r="N94" i="3"/>
  <c r="O95" i="3"/>
  <c r="M97" i="3"/>
  <c r="O155" i="3"/>
  <c r="M157" i="3"/>
  <c r="N93" i="3"/>
  <c r="O94" i="3"/>
  <c r="M96" i="3"/>
  <c r="N97" i="3"/>
  <c r="O98" i="3"/>
  <c r="M100" i="3"/>
  <c r="N101" i="3"/>
  <c r="O102" i="3"/>
  <c r="M104" i="3"/>
  <c r="N105" i="3"/>
  <c r="M156" i="3"/>
  <c r="N157" i="3"/>
  <c r="O93" i="3"/>
  <c r="M95" i="3"/>
  <c r="N96" i="3"/>
  <c r="O97" i="3"/>
  <c r="M94" i="3"/>
  <c r="M98" i="3"/>
  <c r="M99" i="3"/>
  <c r="O103" i="3"/>
  <c r="O104" i="3"/>
  <c r="M105" i="3"/>
  <c r="N156" i="3"/>
  <c r="O157" i="3"/>
  <c r="N98" i="3"/>
  <c r="N99" i="3"/>
  <c r="N100" i="3"/>
  <c r="O105" i="3"/>
  <c r="M155" i="3"/>
  <c r="O99" i="3"/>
  <c r="O100" i="3"/>
  <c r="M101" i="3"/>
  <c r="M102" i="3"/>
  <c r="M103" i="3"/>
  <c r="N103" i="3"/>
  <c r="N106" i="3"/>
  <c r="M107" i="3"/>
  <c r="N108" i="3"/>
  <c r="O109" i="3"/>
  <c r="M111" i="3"/>
  <c r="N104" i="3"/>
  <c r="O106" i="3"/>
  <c r="N107" i="3"/>
  <c r="O108" i="3"/>
  <c r="M110" i="3"/>
  <c r="N111" i="3"/>
  <c r="O101" i="3"/>
  <c r="O107" i="3"/>
  <c r="M109" i="3"/>
  <c r="N112" i="3"/>
  <c r="O113" i="3"/>
  <c r="M115" i="3"/>
  <c r="N116" i="3"/>
  <c r="O117" i="3"/>
  <c r="M119" i="3"/>
  <c r="N120" i="3"/>
  <c r="O121" i="3"/>
  <c r="M123" i="3"/>
  <c r="N124" i="3"/>
  <c r="O125" i="3"/>
  <c r="N95" i="3"/>
  <c r="N102" i="3"/>
  <c r="N109" i="3"/>
  <c r="O111" i="3"/>
  <c r="O112" i="3"/>
  <c r="M114" i="3"/>
  <c r="N115" i="3"/>
  <c r="O116" i="3"/>
  <c r="M118" i="3"/>
  <c r="N119" i="3"/>
  <c r="O120" i="3"/>
  <c r="M108" i="3"/>
  <c r="N110" i="3"/>
  <c r="M113" i="3"/>
  <c r="N114" i="3"/>
  <c r="O115" i="3"/>
  <c r="M117" i="3"/>
  <c r="N118" i="3"/>
  <c r="O119" i="3"/>
  <c r="M121" i="3"/>
  <c r="N122" i="3"/>
  <c r="O123" i="3"/>
  <c r="M125" i="3"/>
  <c r="O110" i="3"/>
  <c r="M116" i="3"/>
  <c r="M122" i="3"/>
  <c r="M124" i="3"/>
  <c r="O126" i="3"/>
  <c r="M128" i="3"/>
  <c r="N129" i="3"/>
  <c r="O130" i="3"/>
  <c r="M132" i="3"/>
  <c r="N133" i="3"/>
  <c r="O134" i="3"/>
  <c r="M136" i="3"/>
  <c r="O96" i="3"/>
  <c r="M106" i="3"/>
  <c r="N113" i="3"/>
  <c r="O114" i="3"/>
  <c r="O122" i="3"/>
  <c r="O124" i="3"/>
  <c r="M127" i="3"/>
  <c r="N128" i="3"/>
  <c r="O129" i="3"/>
  <c r="M131" i="3"/>
  <c r="N132" i="3"/>
  <c r="O133" i="3"/>
  <c r="M135" i="3"/>
  <c r="N136" i="3"/>
  <c r="O137" i="3"/>
  <c r="M112" i="3"/>
  <c r="M120" i="3"/>
  <c r="N121" i="3"/>
  <c r="N123" i="3"/>
  <c r="N125" i="3"/>
  <c r="M126" i="3"/>
  <c r="N127" i="3"/>
  <c r="O128" i="3"/>
  <c r="M130" i="3"/>
  <c r="N131" i="3"/>
  <c r="O132" i="3"/>
  <c r="M134" i="3"/>
  <c r="N135" i="3"/>
  <c r="O136" i="3"/>
  <c r="N117" i="3"/>
  <c r="O118" i="3"/>
  <c r="N130" i="3"/>
  <c r="O131" i="3"/>
  <c r="M138" i="3"/>
  <c r="N139" i="3"/>
  <c r="O140" i="3"/>
  <c r="M142" i="3"/>
  <c r="N143" i="3"/>
  <c r="O144" i="3"/>
  <c r="M146" i="3"/>
  <c r="N147" i="3"/>
  <c r="O148" i="3"/>
  <c r="M150" i="3"/>
  <c r="N151" i="3"/>
  <c r="O152" i="3"/>
  <c r="M154" i="3"/>
  <c r="N76" i="3"/>
  <c r="O77" i="3"/>
  <c r="M129" i="3"/>
  <c r="N138" i="3"/>
  <c r="O139" i="3"/>
  <c r="M141" i="3"/>
  <c r="N142" i="3"/>
  <c r="O143" i="3"/>
  <c r="M145" i="3"/>
  <c r="N146" i="3"/>
  <c r="O147" i="3"/>
  <c r="M149" i="3"/>
  <c r="N150" i="3"/>
  <c r="O151" i="3"/>
  <c r="M153" i="3"/>
  <c r="N154" i="3"/>
  <c r="O76" i="3"/>
  <c r="M78" i="3"/>
  <c r="N79" i="3"/>
  <c r="O80" i="3"/>
  <c r="N126" i="3"/>
  <c r="O127" i="3"/>
  <c r="N134" i="3"/>
  <c r="O135" i="3"/>
  <c r="M137" i="3"/>
  <c r="O138" i="3"/>
  <c r="M140" i="3"/>
  <c r="N141" i="3"/>
  <c r="O142" i="3"/>
  <c r="M144" i="3"/>
  <c r="N145" i="3"/>
  <c r="O146" i="3"/>
  <c r="M148" i="3"/>
  <c r="N149" i="3"/>
  <c r="O150" i="3"/>
  <c r="M152" i="3"/>
  <c r="N153" i="3"/>
  <c r="O154" i="3"/>
  <c r="M77" i="3"/>
  <c r="M133" i="3"/>
  <c r="N137" i="3"/>
  <c r="M139" i="3"/>
  <c r="N140" i="3"/>
  <c r="O141" i="3"/>
  <c r="N148" i="3"/>
  <c r="O149" i="3"/>
  <c r="N77" i="3"/>
  <c r="M82" i="3"/>
  <c r="N83" i="3"/>
  <c r="O84" i="3"/>
  <c r="O82" i="3"/>
  <c r="M147" i="3"/>
  <c r="M76" i="3"/>
  <c r="N78" i="3"/>
  <c r="M81" i="3"/>
  <c r="N82" i="3"/>
  <c r="O83" i="3"/>
  <c r="M84" i="3"/>
  <c r="N144" i="3"/>
  <c r="O145" i="3"/>
  <c r="N152" i="3"/>
  <c r="O153" i="3"/>
  <c r="O78" i="3"/>
  <c r="M79" i="3"/>
  <c r="N81" i="3"/>
  <c r="M143" i="3"/>
  <c r="M151" i="3"/>
  <c r="O79" i="3"/>
  <c r="N80" i="3"/>
  <c r="O81" i="3"/>
  <c r="M83" i="3"/>
  <c r="N84" i="3"/>
  <c r="M80" i="3"/>
  <c r="BF122" i="1"/>
  <c r="BD123" i="1"/>
  <c r="O9" i="2" a="1"/>
  <c r="O9" i="2" s="1"/>
  <c r="O10" i="2" s="1" a="1"/>
  <c r="O10" i="2" s="1"/>
  <c r="I15" i="2"/>
  <c r="N54" i="3"/>
  <c r="O55" i="3"/>
  <c r="O54" i="3"/>
  <c r="M56" i="3"/>
  <c r="N57" i="3"/>
  <c r="O58" i="3"/>
  <c r="M55" i="3"/>
  <c r="N56" i="3"/>
  <c r="O57" i="3"/>
  <c r="M59" i="3"/>
  <c r="N60" i="3"/>
  <c r="O61" i="3"/>
  <c r="M58" i="3"/>
  <c r="M60" i="3"/>
  <c r="M61" i="3"/>
  <c r="M63" i="3"/>
  <c r="N64" i="3"/>
  <c r="O65" i="3"/>
  <c r="N55" i="3"/>
  <c r="O56" i="3"/>
  <c r="N58" i="3"/>
  <c r="O60" i="3"/>
  <c r="N61" i="3"/>
  <c r="M62" i="3"/>
  <c r="N63" i="3"/>
  <c r="O64" i="3"/>
  <c r="M54" i="3"/>
  <c r="N59" i="3"/>
  <c r="N62" i="3"/>
  <c r="O63" i="3"/>
  <c r="O59" i="3"/>
  <c r="O62" i="3"/>
  <c r="M67" i="3"/>
  <c r="N68" i="3"/>
  <c r="O69" i="3"/>
  <c r="M71" i="3"/>
  <c r="M66" i="3"/>
  <c r="N67" i="3"/>
  <c r="O68" i="3"/>
  <c r="M70" i="3"/>
  <c r="N71" i="3"/>
  <c r="M65" i="3"/>
  <c r="N66" i="3"/>
  <c r="O67" i="3"/>
  <c r="M64" i="3"/>
  <c r="N69" i="3"/>
  <c r="O71" i="3"/>
  <c r="O72" i="3"/>
  <c r="M74" i="3"/>
  <c r="N75" i="3"/>
  <c r="N70" i="3"/>
  <c r="M73" i="3"/>
  <c r="N74" i="3"/>
  <c r="O75" i="3"/>
  <c r="N65" i="3"/>
  <c r="M57" i="3"/>
  <c r="M68" i="3"/>
  <c r="O70" i="3"/>
  <c r="M72" i="3"/>
  <c r="N73" i="3"/>
  <c r="O74" i="3"/>
  <c r="O66" i="3"/>
  <c r="M69" i="3"/>
  <c r="N72" i="3"/>
  <c r="M75" i="3"/>
  <c r="O73" i="3"/>
  <c r="G16" i="2"/>
  <c r="E8" i="2"/>
  <c r="I18" i="3"/>
  <c r="I16" i="3"/>
  <c r="I8" i="3"/>
  <c r="I9" i="3"/>
  <c r="I10" i="3"/>
  <c r="I11" i="3"/>
  <c r="I12" i="3"/>
  <c r="I13" i="3"/>
  <c r="I14" i="3"/>
  <c r="I15" i="3"/>
  <c r="I17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51" i="3"/>
  <c r="F52" i="3"/>
  <c r="F53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51" i="3"/>
  <c r="E52" i="3"/>
  <c r="E53" i="3"/>
  <c r="U6" i="11"/>
  <c r="T6" i="11"/>
  <c r="Q86" i="3" l="1"/>
  <c r="Q88" i="3"/>
  <c r="Q90" i="3"/>
  <c r="Q92" i="3"/>
  <c r="P85" i="3"/>
  <c r="R86" i="3"/>
  <c r="P87" i="3"/>
  <c r="R88" i="3"/>
  <c r="P89" i="3"/>
  <c r="R90" i="3"/>
  <c r="P91" i="3"/>
  <c r="R92" i="3"/>
  <c r="Q85" i="3"/>
  <c r="Q87" i="3"/>
  <c r="Q89" i="3"/>
  <c r="Q91" i="3"/>
  <c r="R85" i="3"/>
  <c r="P90" i="3"/>
  <c r="P88" i="3"/>
  <c r="R91" i="3"/>
  <c r="R87" i="3"/>
  <c r="P92" i="3"/>
  <c r="P86" i="3"/>
  <c r="R89" i="3"/>
  <c r="R155" i="3"/>
  <c r="P157" i="3"/>
  <c r="Q93" i="3"/>
  <c r="R94" i="3"/>
  <c r="P96" i="3"/>
  <c r="Q97" i="3"/>
  <c r="P156" i="3"/>
  <c r="Q157" i="3"/>
  <c r="R93" i="3"/>
  <c r="P95" i="3"/>
  <c r="Q96" i="3"/>
  <c r="R97" i="3"/>
  <c r="P99" i="3"/>
  <c r="Q100" i="3"/>
  <c r="R101" i="3"/>
  <c r="P103" i="3"/>
  <c r="Q104" i="3"/>
  <c r="R105" i="3"/>
  <c r="P155" i="3"/>
  <c r="Q156" i="3"/>
  <c r="R157" i="3"/>
  <c r="P94" i="3"/>
  <c r="Q95" i="3"/>
  <c r="R96" i="3"/>
  <c r="R95" i="3"/>
  <c r="R98" i="3"/>
  <c r="R99" i="3"/>
  <c r="R100" i="3"/>
  <c r="P101" i="3"/>
  <c r="P102" i="3"/>
  <c r="P93" i="3"/>
  <c r="Q94" i="3"/>
  <c r="Q101" i="3"/>
  <c r="Q102" i="3"/>
  <c r="Q103" i="3"/>
  <c r="P104" i="3"/>
  <c r="P106" i="3"/>
  <c r="R156" i="3"/>
  <c r="P98" i="3"/>
  <c r="R102" i="3"/>
  <c r="R103" i="3"/>
  <c r="R104" i="3"/>
  <c r="P105" i="3"/>
  <c r="Q107" i="3"/>
  <c r="R108" i="3"/>
  <c r="P110" i="3"/>
  <c r="Q111" i="3"/>
  <c r="Q155" i="3"/>
  <c r="Q98" i="3"/>
  <c r="Q99" i="3"/>
  <c r="P100" i="3"/>
  <c r="R107" i="3"/>
  <c r="P109" i="3"/>
  <c r="Q110" i="3"/>
  <c r="R111" i="3"/>
  <c r="Q106" i="3"/>
  <c r="P108" i="3"/>
  <c r="R106" i="3"/>
  <c r="R110" i="3"/>
  <c r="R112" i="3"/>
  <c r="P114" i="3"/>
  <c r="Q115" i="3"/>
  <c r="R116" i="3"/>
  <c r="P118" i="3"/>
  <c r="Q119" i="3"/>
  <c r="R120" i="3"/>
  <c r="P122" i="3"/>
  <c r="Q123" i="3"/>
  <c r="R124" i="3"/>
  <c r="P97" i="3"/>
  <c r="P113" i="3"/>
  <c r="Q114" i="3"/>
  <c r="R115" i="3"/>
  <c r="P117" i="3"/>
  <c r="Q118" i="3"/>
  <c r="R119" i="3"/>
  <c r="Q105" i="3"/>
  <c r="Q109" i="3"/>
  <c r="P111" i="3"/>
  <c r="P112" i="3"/>
  <c r="Q113" i="3"/>
  <c r="R114" i="3"/>
  <c r="P116" i="3"/>
  <c r="Q117" i="3"/>
  <c r="R118" i="3"/>
  <c r="P120" i="3"/>
  <c r="Q121" i="3"/>
  <c r="R122" i="3"/>
  <c r="P124" i="3"/>
  <c r="R117" i="3"/>
  <c r="R121" i="3"/>
  <c r="R123" i="3"/>
  <c r="Q125" i="3"/>
  <c r="P127" i="3"/>
  <c r="Q128" i="3"/>
  <c r="R129" i="3"/>
  <c r="P131" i="3"/>
  <c r="Q132" i="3"/>
  <c r="R133" i="3"/>
  <c r="P135" i="3"/>
  <c r="Q136" i="3"/>
  <c r="P107" i="3"/>
  <c r="Q108" i="3"/>
  <c r="P115" i="3"/>
  <c r="Q116" i="3"/>
  <c r="R125" i="3"/>
  <c r="P126" i="3"/>
  <c r="Q127" i="3"/>
  <c r="R128" i="3"/>
  <c r="P130" i="3"/>
  <c r="Q131" i="3"/>
  <c r="R132" i="3"/>
  <c r="P134" i="3"/>
  <c r="Q135" i="3"/>
  <c r="R136" i="3"/>
  <c r="R109" i="3"/>
  <c r="R113" i="3"/>
  <c r="Q122" i="3"/>
  <c r="Q124" i="3"/>
  <c r="Q126" i="3"/>
  <c r="R127" i="3"/>
  <c r="P129" i="3"/>
  <c r="Q130" i="3"/>
  <c r="R131" i="3"/>
  <c r="P133" i="3"/>
  <c r="Q134" i="3"/>
  <c r="R135" i="3"/>
  <c r="P119" i="3"/>
  <c r="Q120" i="3"/>
  <c r="P123" i="3"/>
  <c r="P132" i="3"/>
  <c r="Q133" i="3"/>
  <c r="P137" i="3"/>
  <c r="Q138" i="3"/>
  <c r="R139" i="3"/>
  <c r="P141" i="3"/>
  <c r="Q142" i="3"/>
  <c r="R143" i="3"/>
  <c r="P145" i="3"/>
  <c r="Q146" i="3"/>
  <c r="R147" i="3"/>
  <c r="P149" i="3"/>
  <c r="Q150" i="3"/>
  <c r="R151" i="3"/>
  <c r="P153" i="3"/>
  <c r="Q154" i="3"/>
  <c r="R76" i="3"/>
  <c r="P125" i="3"/>
  <c r="R130" i="3"/>
  <c r="Q137" i="3"/>
  <c r="R138" i="3"/>
  <c r="P140" i="3"/>
  <c r="Q141" i="3"/>
  <c r="R142" i="3"/>
  <c r="P144" i="3"/>
  <c r="Q145" i="3"/>
  <c r="R146" i="3"/>
  <c r="P148" i="3"/>
  <c r="Q149" i="3"/>
  <c r="R150" i="3"/>
  <c r="P152" i="3"/>
  <c r="Q153" i="3"/>
  <c r="R154" i="3"/>
  <c r="P77" i="3"/>
  <c r="Q78" i="3"/>
  <c r="R79" i="3"/>
  <c r="Q112" i="3"/>
  <c r="P128" i="3"/>
  <c r="Q129" i="3"/>
  <c r="P136" i="3"/>
  <c r="R137" i="3"/>
  <c r="P139" i="3"/>
  <c r="Q140" i="3"/>
  <c r="R141" i="3"/>
  <c r="P143" i="3"/>
  <c r="Q144" i="3"/>
  <c r="R145" i="3"/>
  <c r="P147" i="3"/>
  <c r="Q148" i="3"/>
  <c r="R149" i="3"/>
  <c r="P151" i="3"/>
  <c r="Q152" i="3"/>
  <c r="R153" i="3"/>
  <c r="P76" i="3"/>
  <c r="Q77" i="3"/>
  <c r="P121" i="3"/>
  <c r="R126" i="3"/>
  <c r="R134" i="3"/>
  <c r="P138" i="3"/>
  <c r="Q139" i="3"/>
  <c r="R140" i="3"/>
  <c r="P142" i="3"/>
  <c r="Q143" i="3"/>
  <c r="P150" i="3"/>
  <c r="Q151" i="3"/>
  <c r="R78" i="3"/>
  <c r="P79" i="3"/>
  <c r="P80" i="3"/>
  <c r="P81" i="3"/>
  <c r="Q82" i="3"/>
  <c r="R83" i="3"/>
  <c r="R148" i="3"/>
  <c r="R77" i="3"/>
  <c r="Q79" i="3"/>
  <c r="Q80" i="3"/>
  <c r="Q81" i="3"/>
  <c r="R82" i="3"/>
  <c r="P84" i="3"/>
  <c r="P83" i="3"/>
  <c r="P146" i="3"/>
  <c r="Q147" i="3"/>
  <c r="P154" i="3"/>
  <c r="Q76" i="3"/>
  <c r="R80" i="3"/>
  <c r="Q84" i="3"/>
  <c r="R144" i="3"/>
  <c r="R152" i="3"/>
  <c r="P78" i="3"/>
  <c r="P82" i="3"/>
  <c r="Q83" i="3"/>
  <c r="R84" i="3"/>
  <c r="R81" i="3"/>
  <c r="BD124" i="1"/>
  <c r="BF123" i="1"/>
  <c r="O11" i="2" a="1"/>
  <c r="O11" i="2" s="1"/>
  <c r="R54" i="3"/>
  <c r="P55" i="3"/>
  <c r="Q56" i="3"/>
  <c r="R57" i="3"/>
  <c r="P59" i="3"/>
  <c r="P54" i="3"/>
  <c r="Q55" i="3"/>
  <c r="R56" i="3"/>
  <c r="P58" i="3"/>
  <c r="Q59" i="3"/>
  <c r="R60" i="3"/>
  <c r="P57" i="3"/>
  <c r="R59" i="3"/>
  <c r="R61" i="3"/>
  <c r="P62" i="3"/>
  <c r="Q63" i="3"/>
  <c r="R64" i="3"/>
  <c r="Q57" i="3"/>
  <c r="Q62" i="3"/>
  <c r="R63" i="3"/>
  <c r="R55" i="3"/>
  <c r="P56" i="3"/>
  <c r="Q58" i="3"/>
  <c r="P60" i="3"/>
  <c r="P61" i="3"/>
  <c r="R62" i="3"/>
  <c r="P64" i="3"/>
  <c r="Q60" i="3"/>
  <c r="Q61" i="3"/>
  <c r="P63" i="3"/>
  <c r="Q64" i="3"/>
  <c r="P65" i="3"/>
  <c r="P66" i="3"/>
  <c r="Q67" i="3"/>
  <c r="R68" i="3"/>
  <c r="P70" i="3"/>
  <c r="Q71" i="3"/>
  <c r="Q54" i="3"/>
  <c r="Q65" i="3"/>
  <c r="Q66" i="3"/>
  <c r="R67" i="3"/>
  <c r="P69" i="3"/>
  <c r="Q70" i="3"/>
  <c r="R71" i="3"/>
  <c r="R58" i="3"/>
  <c r="R65" i="3"/>
  <c r="R66" i="3"/>
  <c r="Q68" i="3"/>
  <c r="P73" i="3"/>
  <c r="Q74" i="3"/>
  <c r="R75" i="3"/>
  <c r="Q69" i="3"/>
  <c r="P71" i="3"/>
  <c r="P72" i="3"/>
  <c r="Q73" i="3"/>
  <c r="R74" i="3"/>
  <c r="R69" i="3"/>
  <c r="Q72" i="3"/>
  <c r="R73" i="3"/>
  <c r="P75" i="3"/>
  <c r="P67" i="3"/>
  <c r="P68" i="3"/>
  <c r="R70" i="3"/>
  <c r="P74" i="3"/>
  <c r="Q75" i="3"/>
  <c r="R72" i="3"/>
  <c r="R12" i="3"/>
  <c r="R28" i="3"/>
  <c r="R44" i="3"/>
  <c r="Q14" i="3"/>
  <c r="Q30" i="3"/>
  <c r="Q46" i="3"/>
  <c r="Q51" i="3"/>
  <c r="R35" i="3"/>
  <c r="Q33" i="3"/>
  <c r="R17" i="3"/>
  <c r="R33" i="3"/>
  <c r="R49" i="3"/>
  <c r="Q19" i="3"/>
  <c r="Q39" i="3"/>
  <c r="R43" i="3"/>
  <c r="Q49" i="3"/>
  <c r="R22" i="3"/>
  <c r="R38" i="3"/>
  <c r="Q8" i="3"/>
  <c r="Q24" i="3"/>
  <c r="Q40" i="3"/>
  <c r="R27" i="3"/>
  <c r="Q25" i="3"/>
  <c r="R16" i="3"/>
  <c r="R32" i="3"/>
  <c r="R48" i="3"/>
  <c r="Q18" i="3"/>
  <c r="Q34" i="3"/>
  <c r="Q50" i="3"/>
  <c r="Q48" i="3"/>
  <c r="R47" i="3"/>
  <c r="Q53" i="3"/>
  <c r="R21" i="3"/>
  <c r="R37" i="3"/>
  <c r="R53" i="3"/>
  <c r="Q23" i="3"/>
  <c r="Q47" i="3"/>
  <c r="Q17" i="3"/>
  <c r="R10" i="3"/>
  <c r="R26" i="3"/>
  <c r="R42" i="3"/>
  <c r="Q12" i="3"/>
  <c r="Q28" i="3"/>
  <c r="Q44" i="3"/>
  <c r="R39" i="3"/>
  <c r="Q37" i="3"/>
  <c r="Q26" i="3"/>
  <c r="R23" i="3"/>
  <c r="R13" i="3"/>
  <c r="R29" i="3"/>
  <c r="Q15" i="3"/>
  <c r="R31" i="3"/>
  <c r="R18" i="3"/>
  <c r="R50" i="3"/>
  <c r="Q36" i="3"/>
  <c r="Q13" i="3"/>
  <c r="R20" i="3"/>
  <c r="R36" i="3"/>
  <c r="R52" i="3"/>
  <c r="Q22" i="3"/>
  <c r="Q38" i="3"/>
  <c r="Q35" i="3"/>
  <c r="R11" i="3"/>
  <c r="Q9" i="3"/>
  <c r="R9" i="3"/>
  <c r="R25" i="3"/>
  <c r="R41" i="3"/>
  <c r="Q11" i="3"/>
  <c r="Q27" i="3"/>
  <c r="R19" i="3"/>
  <c r="Q29" i="3"/>
  <c r="R14" i="3"/>
  <c r="R30" i="3"/>
  <c r="R46" i="3"/>
  <c r="Q16" i="3"/>
  <c r="Q32" i="3"/>
  <c r="Q52" i="3"/>
  <c r="R51" i="3"/>
  <c r="Q45" i="3"/>
  <c r="R8" i="3"/>
  <c r="R24" i="3"/>
  <c r="R40" i="3"/>
  <c r="Q10" i="3"/>
  <c r="Q42" i="3"/>
  <c r="Q43" i="3"/>
  <c r="Q21" i="3"/>
  <c r="R45" i="3"/>
  <c r="Q31" i="3"/>
  <c r="Q41" i="3"/>
  <c r="R34" i="3"/>
  <c r="Q20" i="3"/>
  <c r="R15" i="3"/>
  <c r="E9" i="2"/>
  <c r="L4" i="2"/>
  <c r="G53" i="3"/>
  <c r="D53" i="3"/>
  <c r="C53" i="3"/>
  <c r="B53" i="3"/>
  <c r="G52" i="3"/>
  <c r="D52" i="3"/>
  <c r="C52" i="3"/>
  <c r="B52" i="3"/>
  <c r="V6" i="11"/>
  <c r="S85" i="3" l="1"/>
  <c r="U86" i="3"/>
  <c r="S87" i="3"/>
  <c r="U88" i="3"/>
  <c r="S89" i="3"/>
  <c r="U90" i="3"/>
  <c r="S91" i="3"/>
  <c r="U92" i="3"/>
  <c r="T85" i="3"/>
  <c r="T87" i="3"/>
  <c r="T89" i="3"/>
  <c r="T91" i="3"/>
  <c r="U85" i="3"/>
  <c r="S86" i="3"/>
  <c r="U87" i="3"/>
  <c r="S88" i="3"/>
  <c r="U89" i="3"/>
  <c r="S90" i="3"/>
  <c r="U91" i="3"/>
  <c r="S92" i="3"/>
  <c r="T88" i="3"/>
  <c r="T86" i="3"/>
  <c r="T90" i="3"/>
  <c r="T92" i="3"/>
  <c r="S156" i="3"/>
  <c r="T157" i="3"/>
  <c r="U93" i="3"/>
  <c r="S95" i="3"/>
  <c r="T96" i="3"/>
  <c r="U97" i="3"/>
  <c r="S155" i="3"/>
  <c r="T156" i="3"/>
  <c r="U157" i="3"/>
  <c r="S94" i="3"/>
  <c r="T95" i="3"/>
  <c r="U96" i="3"/>
  <c r="S98" i="3"/>
  <c r="T99" i="3"/>
  <c r="U100" i="3"/>
  <c r="S102" i="3"/>
  <c r="T103" i="3"/>
  <c r="U104" i="3"/>
  <c r="T155" i="3"/>
  <c r="U156" i="3"/>
  <c r="S93" i="3"/>
  <c r="T94" i="3"/>
  <c r="U95" i="3"/>
  <c r="S97" i="3"/>
  <c r="U155" i="3"/>
  <c r="S96" i="3"/>
  <c r="T97" i="3"/>
  <c r="U101" i="3"/>
  <c r="U102" i="3"/>
  <c r="U103" i="3"/>
  <c r="T104" i="3"/>
  <c r="S105" i="3"/>
  <c r="T98" i="3"/>
  <c r="S99" i="3"/>
  <c r="S100" i="3"/>
  <c r="T105" i="3"/>
  <c r="T106" i="3"/>
  <c r="S157" i="3"/>
  <c r="T93" i="3"/>
  <c r="U94" i="3"/>
  <c r="U98" i="3"/>
  <c r="U99" i="3"/>
  <c r="T100" i="3"/>
  <c r="S101" i="3"/>
  <c r="U105" i="3"/>
  <c r="T102" i="3"/>
  <c r="S106" i="3"/>
  <c r="U107" i="3"/>
  <c r="S109" i="3"/>
  <c r="T110" i="3"/>
  <c r="U111" i="3"/>
  <c r="S103" i="3"/>
  <c r="U106" i="3"/>
  <c r="S108" i="3"/>
  <c r="T109" i="3"/>
  <c r="U110" i="3"/>
  <c r="S104" i="3"/>
  <c r="S107" i="3"/>
  <c r="T108" i="3"/>
  <c r="T107" i="3"/>
  <c r="U108" i="3"/>
  <c r="U109" i="3"/>
  <c r="T111" i="3"/>
  <c r="S113" i="3"/>
  <c r="T114" i="3"/>
  <c r="U115" i="3"/>
  <c r="S117" i="3"/>
  <c r="T118" i="3"/>
  <c r="U119" i="3"/>
  <c r="S121" i="3"/>
  <c r="T122" i="3"/>
  <c r="U123" i="3"/>
  <c r="S125" i="3"/>
  <c r="S110" i="3"/>
  <c r="S112" i="3"/>
  <c r="T113" i="3"/>
  <c r="U114" i="3"/>
  <c r="S116" i="3"/>
  <c r="T117" i="3"/>
  <c r="U118" i="3"/>
  <c r="S120" i="3"/>
  <c r="T101" i="3"/>
  <c r="T112" i="3"/>
  <c r="U113" i="3"/>
  <c r="S115" i="3"/>
  <c r="T116" i="3"/>
  <c r="U117" i="3"/>
  <c r="S119" i="3"/>
  <c r="T120" i="3"/>
  <c r="U121" i="3"/>
  <c r="S123" i="3"/>
  <c r="T124" i="3"/>
  <c r="U112" i="3"/>
  <c r="S118" i="3"/>
  <c r="T119" i="3"/>
  <c r="U120" i="3"/>
  <c r="U122" i="3"/>
  <c r="U124" i="3"/>
  <c r="S126" i="3"/>
  <c r="T127" i="3"/>
  <c r="U128" i="3"/>
  <c r="S130" i="3"/>
  <c r="T131" i="3"/>
  <c r="U132" i="3"/>
  <c r="S134" i="3"/>
  <c r="T135" i="3"/>
  <c r="U136" i="3"/>
  <c r="T121" i="3"/>
  <c r="T123" i="3"/>
  <c r="T126" i="3"/>
  <c r="U127" i="3"/>
  <c r="S129" i="3"/>
  <c r="T130" i="3"/>
  <c r="U131" i="3"/>
  <c r="S133" i="3"/>
  <c r="T134" i="3"/>
  <c r="U135" i="3"/>
  <c r="S137" i="3"/>
  <c r="S114" i="3"/>
  <c r="T115" i="3"/>
  <c r="U116" i="3"/>
  <c r="T125" i="3"/>
  <c r="U126" i="3"/>
  <c r="S128" i="3"/>
  <c r="T129" i="3"/>
  <c r="U130" i="3"/>
  <c r="S132" i="3"/>
  <c r="T133" i="3"/>
  <c r="U134" i="3"/>
  <c r="S136" i="3"/>
  <c r="U137" i="3"/>
  <c r="U138" i="3"/>
  <c r="S140" i="3"/>
  <c r="T141" i="3"/>
  <c r="U142" i="3"/>
  <c r="S144" i="3"/>
  <c r="T145" i="3"/>
  <c r="U146" i="3"/>
  <c r="S148" i="3"/>
  <c r="T149" i="3"/>
  <c r="U150" i="3"/>
  <c r="S152" i="3"/>
  <c r="T153" i="3"/>
  <c r="U154" i="3"/>
  <c r="S77" i="3"/>
  <c r="S131" i="3"/>
  <c r="T132" i="3"/>
  <c r="U133" i="3"/>
  <c r="S139" i="3"/>
  <c r="T140" i="3"/>
  <c r="U141" i="3"/>
  <c r="S143" i="3"/>
  <c r="T144" i="3"/>
  <c r="U145" i="3"/>
  <c r="S147" i="3"/>
  <c r="T148" i="3"/>
  <c r="U149" i="3"/>
  <c r="S151" i="3"/>
  <c r="T152" i="3"/>
  <c r="U153" i="3"/>
  <c r="S76" i="3"/>
  <c r="T77" i="3"/>
  <c r="U78" i="3"/>
  <c r="S80" i="3"/>
  <c r="S122" i="3"/>
  <c r="U125" i="3"/>
  <c r="S138" i="3"/>
  <c r="T139" i="3"/>
  <c r="U140" i="3"/>
  <c r="S142" i="3"/>
  <c r="T143" i="3"/>
  <c r="U144" i="3"/>
  <c r="S146" i="3"/>
  <c r="T147" i="3"/>
  <c r="U148" i="3"/>
  <c r="S150" i="3"/>
  <c r="T151" i="3"/>
  <c r="U152" i="3"/>
  <c r="S154" i="3"/>
  <c r="T76" i="3"/>
  <c r="S111" i="3"/>
  <c r="S124" i="3"/>
  <c r="S127" i="3"/>
  <c r="T128" i="3"/>
  <c r="U129" i="3"/>
  <c r="S135" i="3"/>
  <c r="T136" i="3"/>
  <c r="T137" i="3"/>
  <c r="T138" i="3"/>
  <c r="U139" i="3"/>
  <c r="S141" i="3"/>
  <c r="U79" i="3"/>
  <c r="U80" i="3"/>
  <c r="T81" i="3"/>
  <c r="U82" i="3"/>
  <c r="S84" i="3"/>
  <c r="T83" i="3"/>
  <c r="U84" i="3"/>
  <c r="T142" i="3"/>
  <c r="U143" i="3"/>
  <c r="S149" i="3"/>
  <c r="T150" i="3"/>
  <c r="U151" i="3"/>
  <c r="S78" i="3"/>
  <c r="U81" i="3"/>
  <c r="S83" i="3"/>
  <c r="T84" i="3"/>
  <c r="S82" i="3"/>
  <c r="U77" i="3"/>
  <c r="T78" i="3"/>
  <c r="S79" i="3"/>
  <c r="S145" i="3"/>
  <c r="T146" i="3"/>
  <c r="U147" i="3"/>
  <c r="S153" i="3"/>
  <c r="T154" i="3"/>
  <c r="U76" i="3"/>
  <c r="T79" i="3"/>
  <c r="T80" i="3"/>
  <c r="S81" i="3"/>
  <c r="T82" i="3"/>
  <c r="U83" i="3"/>
  <c r="BF124" i="1"/>
  <c r="BD125" i="1"/>
  <c r="O12" i="2" a="1"/>
  <c r="O12" i="2" s="1"/>
  <c r="L5" i="2" a="1"/>
  <c r="L5" i="2" s="1"/>
  <c r="L6" i="2" s="1" a="1"/>
  <c r="L6" i="2" s="1"/>
  <c r="S55" i="3"/>
  <c r="S54" i="3"/>
  <c r="T55" i="3"/>
  <c r="U56" i="3"/>
  <c r="S58" i="3"/>
  <c r="T59" i="3"/>
  <c r="T54" i="3"/>
  <c r="U55" i="3"/>
  <c r="S57" i="3"/>
  <c r="T58" i="3"/>
  <c r="U59" i="3"/>
  <c r="S61" i="3"/>
  <c r="U54" i="3"/>
  <c r="T56" i="3"/>
  <c r="U58" i="3"/>
  <c r="S60" i="3"/>
  <c r="T62" i="3"/>
  <c r="U63" i="3"/>
  <c r="S65" i="3"/>
  <c r="S59" i="3"/>
  <c r="T60" i="3"/>
  <c r="T61" i="3"/>
  <c r="U62" i="3"/>
  <c r="S64" i="3"/>
  <c r="T57" i="3"/>
  <c r="U60" i="3"/>
  <c r="U61" i="3"/>
  <c r="S63" i="3"/>
  <c r="T64" i="3"/>
  <c r="U57" i="3"/>
  <c r="U65" i="3"/>
  <c r="T66" i="3"/>
  <c r="U67" i="3"/>
  <c r="S69" i="3"/>
  <c r="T70" i="3"/>
  <c r="U71" i="3"/>
  <c r="S62" i="3"/>
  <c r="T63" i="3"/>
  <c r="U64" i="3"/>
  <c r="U66" i="3"/>
  <c r="S68" i="3"/>
  <c r="T69" i="3"/>
  <c r="U70" i="3"/>
  <c r="S56" i="3"/>
  <c r="S67" i="3"/>
  <c r="S66" i="3"/>
  <c r="T67" i="3"/>
  <c r="S70" i="3"/>
  <c r="S72" i="3"/>
  <c r="T73" i="3"/>
  <c r="U74" i="3"/>
  <c r="T68" i="3"/>
  <c r="T72" i="3"/>
  <c r="U73" i="3"/>
  <c r="S75" i="3"/>
  <c r="T65" i="3"/>
  <c r="U68" i="3"/>
  <c r="S71" i="3"/>
  <c r="U72" i="3"/>
  <c r="S74" i="3"/>
  <c r="T75" i="3"/>
  <c r="U69" i="3"/>
  <c r="T71" i="3"/>
  <c r="S73" i="3"/>
  <c r="T74" i="3"/>
  <c r="U75" i="3"/>
  <c r="G17" i="2"/>
  <c r="I16" i="2"/>
  <c r="E10" i="2"/>
  <c r="A9" i="3"/>
  <c r="B30" i="3"/>
  <c r="C30" i="3"/>
  <c r="D30" i="3"/>
  <c r="G30" i="3"/>
  <c r="B31" i="3"/>
  <c r="C31" i="3"/>
  <c r="D31" i="3"/>
  <c r="G31" i="3"/>
  <c r="B32" i="3"/>
  <c r="C32" i="3"/>
  <c r="D32" i="3"/>
  <c r="G32" i="3"/>
  <c r="B33" i="3"/>
  <c r="C33" i="3"/>
  <c r="D33" i="3"/>
  <c r="G33" i="3"/>
  <c r="B34" i="3"/>
  <c r="C34" i="3"/>
  <c r="D34" i="3"/>
  <c r="G34" i="3"/>
  <c r="B35" i="3"/>
  <c r="C35" i="3"/>
  <c r="D35" i="3"/>
  <c r="G35" i="3"/>
  <c r="B36" i="3"/>
  <c r="C36" i="3"/>
  <c r="D36" i="3"/>
  <c r="G36" i="3"/>
  <c r="B37" i="3"/>
  <c r="C37" i="3"/>
  <c r="D37" i="3"/>
  <c r="G37" i="3"/>
  <c r="B38" i="3"/>
  <c r="C38" i="3"/>
  <c r="D38" i="3"/>
  <c r="G38" i="3"/>
  <c r="B39" i="3"/>
  <c r="C39" i="3"/>
  <c r="D39" i="3"/>
  <c r="G39" i="3"/>
  <c r="B40" i="3"/>
  <c r="C40" i="3"/>
  <c r="D40" i="3"/>
  <c r="G40" i="3"/>
  <c r="B41" i="3"/>
  <c r="C41" i="3"/>
  <c r="D41" i="3"/>
  <c r="G41" i="3"/>
  <c r="B42" i="3"/>
  <c r="C42" i="3"/>
  <c r="D42" i="3"/>
  <c r="G42" i="3"/>
  <c r="B43" i="3"/>
  <c r="C43" i="3"/>
  <c r="D43" i="3"/>
  <c r="G43" i="3"/>
  <c r="B51" i="3"/>
  <c r="C51" i="3"/>
  <c r="D51" i="3"/>
  <c r="G51" i="3"/>
  <c r="B17" i="3"/>
  <c r="C17" i="3"/>
  <c r="D17" i="3"/>
  <c r="G17" i="3"/>
  <c r="B18" i="3"/>
  <c r="C18" i="3"/>
  <c r="D18" i="3"/>
  <c r="G18" i="3"/>
  <c r="B19" i="3"/>
  <c r="C19" i="3"/>
  <c r="D19" i="3"/>
  <c r="G19" i="3"/>
  <c r="B20" i="3"/>
  <c r="C20" i="3"/>
  <c r="D20" i="3"/>
  <c r="G20" i="3"/>
  <c r="B21" i="3"/>
  <c r="C21" i="3"/>
  <c r="D21" i="3"/>
  <c r="G21" i="3"/>
  <c r="B22" i="3"/>
  <c r="C22" i="3"/>
  <c r="D22" i="3"/>
  <c r="G22" i="3"/>
  <c r="B23" i="3"/>
  <c r="C23" i="3"/>
  <c r="D23" i="3"/>
  <c r="G23" i="3"/>
  <c r="B24" i="3"/>
  <c r="C24" i="3"/>
  <c r="D24" i="3"/>
  <c r="G24" i="3"/>
  <c r="B25" i="3"/>
  <c r="C25" i="3"/>
  <c r="D25" i="3"/>
  <c r="G25" i="3"/>
  <c r="B26" i="3"/>
  <c r="C26" i="3"/>
  <c r="D26" i="3"/>
  <c r="G26" i="3"/>
  <c r="B27" i="3"/>
  <c r="C27" i="3"/>
  <c r="D27" i="3"/>
  <c r="G27" i="3"/>
  <c r="B28" i="3"/>
  <c r="C28" i="3"/>
  <c r="D28" i="3"/>
  <c r="G28" i="3"/>
  <c r="B29" i="3"/>
  <c r="C29" i="3"/>
  <c r="D29" i="3"/>
  <c r="G29" i="3"/>
  <c r="B11" i="3"/>
  <c r="C11" i="3"/>
  <c r="D11" i="3"/>
  <c r="G11" i="3"/>
  <c r="B12" i="3"/>
  <c r="C12" i="3"/>
  <c r="D12" i="3"/>
  <c r="G12" i="3"/>
  <c r="B13" i="3"/>
  <c r="C13" i="3"/>
  <c r="D13" i="3"/>
  <c r="G13" i="3"/>
  <c r="B14" i="3"/>
  <c r="C14" i="3"/>
  <c r="D14" i="3"/>
  <c r="G14" i="3"/>
  <c r="B15" i="3"/>
  <c r="C15" i="3"/>
  <c r="D15" i="3"/>
  <c r="G15" i="3"/>
  <c r="B16" i="3"/>
  <c r="C16" i="3"/>
  <c r="D16" i="3"/>
  <c r="G16" i="3"/>
  <c r="D9" i="3"/>
  <c r="G9" i="3"/>
  <c r="D10" i="3"/>
  <c r="G10" i="3"/>
  <c r="G8" i="3"/>
  <c r="J8" i="3"/>
  <c r="D8" i="3"/>
  <c r="B9" i="3"/>
  <c r="C9" i="3"/>
  <c r="B10" i="3"/>
  <c r="C10" i="3"/>
  <c r="C8" i="3"/>
  <c r="B8" i="3"/>
  <c r="B4" i="2"/>
  <c r="W6" i="11"/>
  <c r="BA8" i="3"/>
  <c r="BF8" i="3"/>
  <c r="C114" i="11" l="1"/>
  <c r="C118" i="11"/>
  <c r="D117" i="11"/>
  <c r="E115" i="11"/>
  <c r="E119" i="11"/>
  <c r="F117" i="11"/>
  <c r="G115" i="11"/>
  <c r="H114" i="11"/>
  <c r="H118" i="11"/>
  <c r="I116" i="11"/>
  <c r="J114" i="11"/>
  <c r="J118" i="11"/>
  <c r="K117" i="11"/>
  <c r="L115" i="11"/>
  <c r="L119" i="11"/>
  <c r="M117" i="11"/>
  <c r="N115" i="11"/>
  <c r="N119" i="11"/>
  <c r="O117" i="11"/>
  <c r="P115" i="11"/>
  <c r="P119" i="11"/>
  <c r="D114" i="11"/>
  <c r="D118" i="11"/>
  <c r="E116" i="11"/>
  <c r="F114" i="11"/>
  <c r="F118" i="11"/>
  <c r="G116" i="11"/>
  <c r="H115" i="11"/>
  <c r="H119" i="11"/>
  <c r="I117" i="11"/>
  <c r="J115" i="11"/>
  <c r="K114" i="11"/>
  <c r="K118" i="11"/>
  <c r="L116" i="11"/>
  <c r="M114" i="11"/>
  <c r="M118" i="11"/>
  <c r="N116" i="11"/>
  <c r="O114" i="11"/>
  <c r="O118" i="11"/>
  <c r="C115" i="11"/>
  <c r="C116" i="11"/>
  <c r="D115" i="11"/>
  <c r="D119" i="11"/>
  <c r="E117" i="11"/>
  <c r="F115" i="11"/>
  <c r="F119" i="11"/>
  <c r="G117" i="11"/>
  <c r="H116" i="11"/>
  <c r="I114" i="11"/>
  <c r="I118" i="11"/>
  <c r="J116" i="11"/>
  <c r="K115" i="11"/>
  <c r="K119" i="11"/>
  <c r="L117" i="11"/>
  <c r="M115" i="11"/>
  <c r="M119" i="11"/>
  <c r="N117" i="11"/>
  <c r="O115" i="11"/>
  <c r="O119" i="11"/>
  <c r="P117" i="11"/>
  <c r="D116" i="11"/>
  <c r="E114" i="11"/>
  <c r="E118" i="11"/>
  <c r="F116" i="11"/>
  <c r="G114" i="11"/>
  <c r="G118" i="11"/>
  <c r="H117" i="11"/>
  <c r="I115" i="11"/>
  <c r="I119" i="11"/>
  <c r="J117" i="11"/>
  <c r="K116" i="11"/>
  <c r="L114" i="11"/>
  <c r="L118" i="11"/>
  <c r="M116" i="11"/>
  <c r="N114" i="11"/>
  <c r="N118" i="11"/>
  <c r="O116" i="11"/>
  <c r="P114" i="11"/>
  <c r="P118" i="11"/>
  <c r="P116" i="11"/>
  <c r="C117" i="11"/>
  <c r="C113" i="11"/>
  <c r="E112" i="11"/>
  <c r="G111" i="11"/>
  <c r="I110" i="11"/>
  <c r="H113" i="11"/>
  <c r="N112" i="11"/>
  <c r="P111" i="11"/>
  <c r="D109" i="11"/>
  <c r="F108" i="11"/>
  <c r="H107" i="11"/>
  <c r="J106" i="11"/>
  <c r="K106" i="11"/>
  <c r="P112" i="11"/>
  <c r="F109" i="11"/>
  <c r="J107" i="11"/>
  <c r="K109" i="11"/>
  <c r="O107" i="11"/>
  <c r="M113" i="11"/>
  <c r="I111" i="11"/>
  <c r="K110" i="11"/>
  <c r="M109" i="11"/>
  <c r="O108" i="11"/>
  <c r="O106" i="11"/>
  <c r="F111" i="11"/>
  <c r="J109" i="11"/>
  <c r="D106" i="11"/>
  <c r="I108" i="11"/>
  <c r="M106" i="11"/>
  <c r="D96" i="11"/>
  <c r="E99" i="11"/>
  <c r="F102" i="11"/>
  <c r="G105" i="11"/>
  <c r="I95" i="11"/>
  <c r="J98" i="11"/>
  <c r="K101" i="11"/>
  <c r="L104" i="11"/>
  <c r="N94" i="11"/>
  <c r="O97" i="11"/>
  <c r="P100" i="11"/>
  <c r="C94" i="11"/>
  <c r="D97" i="11"/>
  <c r="E100" i="11"/>
  <c r="F103" i="11"/>
  <c r="H93" i="11"/>
  <c r="I96" i="11"/>
  <c r="J99" i="11"/>
  <c r="K102" i="11"/>
  <c r="L105" i="11"/>
  <c r="N95" i="11"/>
  <c r="O98" i="11"/>
  <c r="P101" i="11"/>
  <c r="N92" i="11"/>
  <c r="C99" i="11"/>
  <c r="D102" i="11"/>
  <c r="E105" i="11"/>
  <c r="G95" i="11"/>
  <c r="H98" i="11"/>
  <c r="I101" i="11"/>
  <c r="J104" i="11"/>
  <c r="L94" i="11"/>
  <c r="M97" i="11"/>
  <c r="N100" i="11"/>
  <c r="O103" i="11"/>
  <c r="C92" i="11"/>
  <c r="E91" i="11"/>
  <c r="K91" i="11"/>
  <c r="C104" i="11"/>
  <c r="E94" i="11"/>
  <c r="F97" i="11"/>
  <c r="G100" i="11"/>
  <c r="H103" i="11"/>
  <c r="J93" i="11"/>
  <c r="K96" i="11"/>
  <c r="L99" i="11"/>
  <c r="M102" i="11"/>
  <c r="N105" i="11"/>
  <c r="P95" i="11"/>
  <c r="H92" i="11"/>
  <c r="J91" i="11"/>
  <c r="G91" i="11"/>
  <c r="D113" i="11"/>
  <c r="G113" i="11"/>
  <c r="I112" i="11"/>
  <c r="K111" i="11"/>
  <c r="M110" i="11"/>
  <c r="L113" i="11"/>
  <c r="D111" i="11"/>
  <c r="F110" i="11"/>
  <c r="H109" i="11"/>
  <c r="J108" i="11"/>
  <c r="L107" i="11"/>
  <c r="N106" i="11"/>
  <c r="F113" i="11"/>
  <c r="J111" i="11"/>
  <c r="N109" i="11"/>
  <c r="N107" i="11"/>
  <c r="E108" i="11"/>
  <c r="I106" i="11"/>
  <c r="K112" i="11"/>
  <c r="M111" i="11"/>
  <c r="O110" i="11"/>
  <c r="C108" i="11"/>
  <c r="E107" i="11"/>
  <c r="J113" i="11"/>
  <c r="N111" i="11"/>
  <c r="D108" i="11"/>
  <c r="L106" i="11"/>
  <c r="C107" i="11"/>
  <c r="C93" i="11"/>
  <c r="D100" i="11"/>
  <c r="E103" i="11"/>
  <c r="G93" i="11"/>
  <c r="H96" i="11"/>
  <c r="I99" i="11"/>
  <c r="J102" i="11"/>
  <c r="K105" i="11"/>
  <c r="M95" i="11"/>
  <c r="N98" i="11"/>
  <c r="O101" i="11"/>
  <c r="E92" i="11"/>
  <c r="C98" i="11"/>
  <c r="D101" i="11"/>
  <c r="E104" i="11"/>
  <c r="G94" i="11"/>
  <c r="H97" i="11"/>
  <c r="I100" i="11"/>
  <c r="J103" i="11"/>
  <c r="L93" i="11"/>
  <c r="M96" i="11"/>
  <c r="N99" i="11"/>
  <c r="O102" i="11"/>
  <c r="P105" i="11"/>
  <c r="D91" i="11"/>
  <c r="C103" i="11"/>
  <c r="E93" i="11"/>
  <c r="F96" i="11"/>
  <c r="G99" i="11"/>
  <c r="H102" i="11"/>
  <c r="I105" i="11"/>
  <c r="K95" i="11"/>
  <c r="L98" i="11"/>
  <c r="M101" i="11"/>
  <c r="N104" i="11"/>
  <c r="P94" i="11"/>
  <c r="G92" i="11"/>
  <c r="I91" i="11"/>
  <c r="P91" i="11"/>
  <c r="D95" i="11"/>
  <c r="E98" i="11"/>
  <c r="F101" i="11"/>
  <c r="G104" i="11"/>
  <c r="I94" i="11"/>
  <c r="J97" i="11"/>
  <c r="K100" i="11"/>
  <c r="L103" i="11"/>
  <c r="N93" i="11"/>
  <c r="O96" i="11"/>
  <c r="P99" i="11"/>
  <c r="L92" i="11"/>
  <c r="N91" i="11"/>
  <c r="L91" i="11"/>
  <c r="P104" i="11"/>
  <c r="O113" i="11"/>
  <c r="E110" i="11"/>
  <c r="F112" i="11"/>
  <c r="L111" i="11"/>
  <c r="K113" i="11"/>
  <c r="M112" i="11"/>
  <c r="O111" i="11"/>
  <c r="C109" i="11"/>
  <c r="P113" i="11"/>
  <c r="H111" i="11"/>
  <c r="J110" i="11"/>
  <c r="L109" i="11"/>
  <c r="N108" i="11"/>
  <c r="P107" i="11"/>
  <c r="I107" i="11"/>
  <c r="N113" i="11"/>
  <c r="D110" i="11"/>
  <c r="H108" i="11"/>
  <c r="H106" i="11"/>
  <c r="M108" i="11"/>
  <c r="E113" i="11"/>
  <c r="O112" i="11"/>
  <c r="C110" i="11"/>
  <c r="E109" i="11"/>
  <c r="G108" i="11"/>
  <c r="M107" i="11"/>
  <c r="D112" i="11"/>
  <c r="H110" i="11"/>
  <c r="L108" i="11"/>
  <c r="G109" i="11"/>
  <c r="K107" i="11"/>
  <c r="C97" i="11"/>
  <c r="D104" i="11"/>
  <c r="F94" i="11"/>
  <c r="G97" i="11"/>
  <c r="H100" i="11"/>
  <c r="I103" i="11"/>
  <c r="K93" i="11"/>
  <c r="L96" i="11"/>
  <c r="M99" i="11"/>
  <c r="N102" i="11"/>
  <c r="O105" i="11"/>
  <c r="C91" i="11"/>
  <c r="C102" i="11"/>
  <c r="D105" i="11"/>
  <c r="F95" i="11"/>
  <c r="G98" i="11"/>
  <c r="H101" i="11"/>
  <c r="I104" i="11"/>
  <c r="K94" i="11"/>
  <c r="L97" i="11"/>
  <c r="M100" i="11"/>
  <c r="N103" i="11"/>
  <c r="P93" i="11"/>
  <c r="F92" i="11"/>
  <c r="H91" i="11"/>
  <c r="D94" i="11"/>
  <c r="E97" i="11"/>
  <c r="F100" i="11"/>
  <c r="G103" i="11"/>
  <c r="I93" i="11"/>
  <c r="J96" i="11"/>
  <c r="K99" i="11"/>
  <c r="L102" i="11"/>
  <c r="M105" i="11"/>
  <c r="O95" i="11"/>
  <c r="P98" i="11"/>
  <c r="K92" i="11"/>
  <c r="M91" i="11"/>
  <c r="C96" i="11"/>
  <c r="D99" i="11"/>
  <c r="E102" i="11"/>
  <c r="F105" i="11"/>
  <c r="H95" i="11"/>
  <c r="I98" i="11"/>
  <c r="J101" i="11"/>
  <c r="K104" i="11"/>
  <c r="M94" i="11"/>
  <c r="N97" i="11"/>
  <c r="O100" i="11"/>
  <c r="P103" i="11"/>
  <c r="P92" i="11"/>
  <c r="C111" i="11"/>
  <c r="N110" i="11"/>
  <c r="P109" i="11"/>
  <c r="H112" i="11"/>
  <c r="G107" i="11"/>
  <c r="I109" i="11"/>
  <c r="P110" i="11"/>
  <c r="C101" i="11"/>
  <c r="H104" i="11"/>
  <c r="M103" i="11"/>
  <c r="D93" i="11"/>
  <c r="H105" i="11"/>
  <c r="M104" i="11"/>
  <c r="C95" i="11"/>
  <c r="H94" i="11"/>
  <c r="M93" i="11"/>
  <c r="O92" i="11"/>
  <c r="F93" i="11"/>
  <c r="J105" i="11"/>
  <c r="O104" i="11"/>
  <c r="G106" i="11"/>
  <c r="K97" i="11"/>
  <c r="F99" i="11"/>
  <c r="P97" i="11"/>
  <c r="J100" i="11"/>
  <c r="H99" i="11"/>
  <c r="C106" i="11"/>
  <c r="L112" i="11"/>
  <c r="O91" i="11"/>
  <c r="J92" i="11"/>
  <c r="P102" i="11"/>
  <c r="N101" i="11"/>
  <c r="D107" i="11"/>
  <c r="L110" i="11"/>
  <c r="I113" i="11"/>
  <c r="K108" i="11"/>
  <c r="F107" i="11"/>
  <c r="E95" i="11"/>
  <c r="J94" i="11"/>
  <c r="O93" i="11"/>
  <c r="E96" i="11"/>
  <c r="J95" i="11"/>
  <c r="O94" i="11"/>
  <c r="D98" i="11"/>
  <c r="I97" i="11"/>
  <c r="N96" i="11"/>
  <c r="M92" i="11"/>
  <c r="G96" i="11"/>
  <c r="L95" i="11"/>
  <c r="D92" i="11"/>
  <c r="F106" i="11"/>
  <c r="P108" i="11"/>
  <c r="O109" i="11"/>
  <c r="F98" i="11"/>
  <c r="P96" i="11"/>
  <c r="K98" i="11"/>
  <c r="E101" i="11"/>
  <c r="C100" i="11"/>
  <c r="M98" i="11"/>
  <c r="P106" i="11"/>
  <c r="E106" i="11"/>
  <c r="L100" i="11"/>
  <c r="L101" i="11"/>
  <c r="K103" i="11"/>
  <c r="I102" i="11"/>
  <c r="E111" i="11"/>
  <c r="O99" i="11"/>
  <c r="F91" i="11"/>
  <c r="G110" i="11"/>
  <c r="G101" i="11"/>
  <c r="G102" i="11"/>
  <c r="F104" i="11"/>
  <c r="D103" i="11"/>
  <c r="I92" i="11"/>
  <c r="B5" i="2"/>
  <c r="V83" i="3"/>
  <c r="BF125" i="1"/>
  <c r="BD126" i="1"/>
  <c r="W85" i="3"/>
  <c r="W87" i="3"/>
  <c r="W89" i="3"/>
  <c r="W91" i="3"/>
  <c r="X85" i="3"/>
  <c r="V86" i="3"/>
  <c r="X87" i="3"/>
  <c r="V88" i="3"/>
  <c r="X89" i="3"/>
  <c r="V90" i="3"/>
  <c r="X91" i="3"/>
  <c r="V92" i="3"/>
  <c r="W86" i="3"/>
  <c r="W88" i="3"/>
  <c r="W90" i="3"/>
  <c r="W92" i="3"/>
  <c r="X86" i="3"/>
  <c r="V91" i="3"/>
  <c r="V85" i="3"/>
  <c r="X88" i="3"/>
  <c r="V89" i="3"/>
  <c r="X92" i="3"/>
  <c r="V87" i="3"/>
  <c r="X90" i="3"/>
  <c r="V155" i="3"/>
  <c r="W156" i="3"/>
  <c r="X157" i="3"/>
  <c r="V94" i="3"/>
  <c r="W95" i="3"/>
  <c r="X96" i="3"/>
  <c r="W155" i="3"/>
  <c r="X156" i="3"/>
  <c r="V93" i="3"/>
  <c r="W94" i="3"/>
  <c r="X95" i="3"/>
  <c r="V97" i="3"/>
  <c r="W98" i="3"/>
  <c r="X99" i="3"/>
  <c r="V101" i="3"/>
  <c r="W102" i="3"/>
  <c r="X103" i="3"/>
  <c r="V105" i="3"/>
  <c r="X155" i="3"/>
  <c r="V157" i="3"/>
  <c r="W93" i="3"/>
  <c r="X94" i="3"/>
  <c r="V96" i="3"/>
  <c r="W97" i="3"/>
  <c r="X98" i="3"/>
  <c r="W99" i="3"/>
  <c r="W100" i="3"/>
  <c r="X105" i="3"/>
  <c r="V95" i="3"/>
  <c r="W96" i="3"/>
  <c r="X97" i="3"/>
  <c r="X100" i="3"/>
  <c r="W101" i="3"/>
  <c r="V102" i="3"/>
  <c r="V103" i="3"/>
  <c r="V104" i="3"/>
  <c r="X101" i="3"/>
  <c r="X102" i="3"/>
  <c r="W103" i="3"/>
  <c r="W104" i="3"/>
  <c r="V156" i="3"/>
  <c r="W157" i="3"/>
  <c r="X93" i="3"/>
  <c r="W105" i="3"/>
  <c r="X106" i="3"/>
  <c r="V108" i="3"/>
  <c r="W109" i="3"/>
  <c r="X110" i="3"/>
  <c r="V107" i="3"/>
  <c r="W108" i="3"/>
  <c r="X109" i="3"/>
  <c r="V111" i="3"/>
  <c r="V98" i="3"/>
  <c r="V99" i="3"/>
  <c r="V100" i="3"/>
  <c r="V106" i="3"/>
  <c r="W107" i="3"/>
  <c r="X108" i="3"/>
  <c r="V112" i="3"/>
  <c r="W113" i="3"/>
  <c r="X114" i="3"/>
  <c r="V116" i="3"/>
  <c r="W117" i="3"/>
  <c r="X118" i="3"/>
  <c r="V120" i="3"/>
  <c r="W121" i="3"/>
  <c r="X122" i="3"/>
  <c r="V124" i="3"/>
  <c r="W125" i="3"/>
  <c r="W106" i="3"/>
  <c r="X107" i="3"/>
  <c r="V109" i="3"/>
  <c r="W111" i="3"/>
  <c r="W112" i="3"/>
  <c r="X113" i="3"/>
  <c r="V115" i="3"/>
  <c r="W116" i="3"/>
  <c r="X117" i="3"/>
  <c r="V119" i="3"/>
  <c r="W120" i="3"/>
  <c r="V110" i="3"/>
  <c r="X111" i="3"/>
  <c r="X112" i="3"/>
  <c r="V114" i="3"/>
  <c r="W115" i="3"/>
  <c r="X116" i="3"/>
  <c r="V118" i="3"/>
  <c r="W119" i="3"/>
  <c r="X120" i="3"/>
  <c r="V122" i="3"/>
  <c r="W123" i="3"/>
  <c r="X124" i="3"/>
  <c r="V125" i="3"/>
  <c r="W126" i="3"/>
  <c r="X127" i="3"/>
  <c r="V129" i="3"/>
  <c r="W130" i="3"/>
  <c r="X131" i="3"/>
  <c r="V133" i="3"/>
  <c r="W134" i="3"/>
  <c r="X135" i="3"/>
  <c r="X104" i="3"/>
  <c r="W110" i="3"/>
  <c r="V117" i="3"/>
  <c r="W118" i="3"/>
  <c r="X119" i="3"/>
  <c r="W122" i="3"/>
  <c r="W124" i="3"/>
  <c r="X125" i="3"/>
  <c r="X126" i="3"/>
  <c r="V128" i="3"/>
  <c r="W129" i="3"/>
  <c r="X130" i="3"/>
  <c r="V132" i="3"/>
  <c r="W133" i="3"/>
  <c r="X134" i="3"/>
  <c r="V136" i="3"/>
  <c r="W137" i="3"/>
  <c r="V121" i="3"/>
  <c r="V123" i="3"/>
  <c r="V127" i="3"/>
  <c r="W128" i="3"/>
  <c r="X129" i="3"/>
  <c r="V131" i="3"/>
  <c r="W132" i="3"/>
  <c r="X133" i="3"/>
  <c r="V135" i="3"/>
  <c r="W136" i="3"/>
  <c r="X121" i="3"/>
  <c r="V126" i="3"/>
  <c r="W127" i="3"/>
  <c r="X128" i="3"/>
  <c r="V134" i="3"/>
  <c r="W135" i="3"/>
  <c r="X136" i="3"/>
  <c r="V139" i="3"/>
  <c r="W140" i="3"/>
  <c r="X141" i="3"/>
  <c r="V143" i="3"/>
  <c r="W144" i="3"/>
  <c r="X145" i="3"/>
  <c r="V147" i="3"/>
  <c r="W148" i="3"/>
  <c r="X149" i="3"/>
  <c r="V151" i="3"/>
  <c r="W152" i="3"/>
  <c r="X153" i="3"/>
  <c r="V76" i="3"/>
  <c r="V113" i="3"/>
  <c r="W114" i="3"/>
  <c r="X115" i="3"/>
  <c r="X123" i="3"/>
  <c r="V137" i="3"/>
  <c r="V138" i="3"/>
  <c r="W139" i="3"/>
  <c r="X140" i="3"/>
  <c r="V142" i="3"/>
  <c r="W143" i="3"/>
  <c r="X144" i="3"/>
  <c r="V146" i="3"/>
  <c r="W147" i="3"/>
  <c r="X148" i="3"/>
  <c r="V150" i="3"/>
  <c r="W151" i="3"/>
  <c r="X152" i="3"/>
  <c r="V154" i="3"/>
  <c r="W76" i="3"/>
  <c r="X77" i="3"/>
  <c r="V79" i="3"/>
  <c r="W80" i="3"/>
  <c r="V130" i="3"/>
  <c r="W131" i="3"/>
  <c r="X132" i="3"/>
  <c r="X137" i="3"/>
  <c r="W138" i="3"/>
  <c r="X139" i="3"/>
  <c r="V141" i="3"/>
  <c r="W142" i="3"/>
  <c r="X143" i="3"/>
  <c r="V145" i="3"/>
  <c r="W146" i="3"/>
  <c r="X147" i="3"/>
  <c r="V149" i="3"/>
  <c r="W150" i="3"/>
  <c r="X151" i="3"/>
  <c r="V153" i="3"/>
  <c r="W154" i="3"/>
  <c r="X76" i="3"/>
  <c r="X138" i="3"/>
  <c r="V140" i="3"/>
  <c r="W141" i="3"/>
  <c r="V144" i="3"/>
  <c r="W145" i="3"/>
  <c r="X146" i="3"/>
  <c r="V152" i="3"/>
  <c r="W153" i="3"/>
  <c r="X154" i="3"/>
  <c r="W77" i="3"/>
  <c r="W78" i="3"/>
  <c r="X81" i="3"/>
  <c r="W84" i="3"/>
  <c r="X78" i="3"/>
  <c r="W79" i="3"/>
  <c r="V80" i="3"/>
  <c r="V82" i="3"/>
  <c r="W83" i="3"/>
  <c r="X84" i="3"/>
  <c r="X79" i="3"/>
  <c r="X80" i="3"/>
  <c r="V81" i="3"/>
  <c r="X142" i="3"/>
  <c r="V148" i="3"/>
  <c r="W149" i="3"/>
  <c r="X150" i="3"/>
  <c r="W82" i="3"/>
  <c r="V77" i="3"/>
  <c r="V78" i="3"/>
  <c r="W81" i="3"/>
  <c r="X82" i="3"/>
  <c r="V84" i="3"/>
  <c r="X83" i="3"/>
  <c r="P90" i="11"/>
  <c r="O90" i="11"/>
  <c r="M90" i="11"/>
  <c r="D89" i="11"/>
  <c r="F89" i="11"/>
  <c r="M89" i="11"/>
  <c r="C89" i="11"/>
  <c r="E89" i="11"/>
  <c r="D90" i="11"/>
  <c r="J89" i="11"/>
  <c r="E90" i="11"/>
  <c r="G89" i="11"/>
  <c r="F90" i="11"/>
  <c r="L89" i="11"/>
  <c r="H90" i="11"/>
  <c r="N89" i="11"/>
  <c r="I90" i="11"/>
  <c r="K89" i="11"/>
  <c r="N90" i="11"/>
  <c r="P89" i="11"/>
  <c r="O89" i="11"/>
  <c r="K90" i="11"/>
  <c r="H89" i="11"/>
  <c r="I89" i="11"/>
  <c r="D88" i="11"/>
  <c r="I88" i="11"/>
  <c r="N88" i="11"/>
  <c r="D87" i="11"/>
  <c r="H87" i="11"/>
  <c r="L87" i="11"/>
  <c r="P87" i="11"/>
  <c r="F86" i="11"/>
  <c r="K86" i="11"/>
  <c r="O86" i="11"/>
  <c r="E85" i="11"/>
  <c r="I85" i="11"/>
  <c r="M85" i="11"/>
  <c r="C84" i="11"/>
  <c r="H84" i="11"/>
  <c r="M84" i="11"/>
  <c r="K88" i="11"/>
  <c r="O88" i="11"/>
  <c r="E87" i="11"/>
  <c r="I87" i="11"/>
  <c r="M87" i="11"/>
  <c r="C86" i="11"/>
  <c r="L86" i="11"/>
  <c r="F85" i="11"/>
  <c r="J85" i="11"/>
  <c r="D84" i="11"/>
  <c r="N84" i="11"/>
  <c r="F84" i="11"/>
  <c r="E88" i="11"/>
  <c r="G86" i="11"/>
  <c r="P86" i="11"/>
  <c r="N85" i="11"/>
  <c r="I84" i="11"/>
  <c r="L85" i="11"/>
  <c r="P84" i="11"/>
  <c r="F88" i="11"/>
  <c r="L88" i="11"/>
  <c r="P88" i="11"/>
  <c r="F87" i="11"/>
  <c r="J87" i="11"/>
  <c r="N87" i="11"/>
  <c r="D86" i="11"/>
  <c r="I86" i="11"/>
  <c r="M86" i="11"/>
  <c r="C85" i="11"/>
  <c r="G85" i="11"/>
  <c r="K85" i="11"/>
  <c r="O85" i="11"/>
  <c r="E84" i="11"/>
  <c r="K84" i="11"/>
  <c r="O84" i="11"/>
  <c r="H88" i="11"/>
  <c r="M88" i="11"/>
  <c r="C87" i="11"/>
  <c r="G87" i="11"/>
  <c r="K87" i="11"/>
  <c r="O87" i="11"/>
  <c r="E86" i="11"/>
  <c r="J86" i="11"/>
  <c r="N86" i="11"/>
  <c r="D85" i="11"/>
  <c r="H85" i="11"/>
  <c r="P85" i="11"/>
  <c r="L84" i="11"/>
  <c r="J84" i="11"/>
  <c r="G84" i="11"/>
  <c r="C82" i="11"/>
  <c r="J80" i="11"/>
  <c r="C83" i="11"/>
  <c r="M81" i="11"/>
  <c r="C80" i="11"/>
  <c r="D80" i="11"/>
  <c r="E80" i="11"/>
  <c r="F80" i="11"/>
  <c r="G80" i="11"/>
  <c r="H81" i="11"/>
  <c r="I81" i="11"/>
  <c r="J81" i="11"/>
  <c r="K82" i="11"/>
  <c r="L82" i="11"/>
  <c r="M82" i="11"/>
  <c r="N82" i="11"/>
  <c r="O82" i="11"/>
  <c r="P82" i="11"/>
  <c r="E83" i="11"/>
  <c r="H80" i="11"/>
  <c r="L81" i="11"/>
  <c r="O81" i="11"/>
  <c r="C81" i="11"/>
  <c r="D81" i="11"/>
  <c r="E81" i="11"/>
  <c r="F81" i="11"/>
  <c r="G81" i="11"/>
  <c r="H82" i="11"/>
  <c r="I82" i="11"/>
  <c r="J82" i="11"/>
  <c r="K83" i="11"/>
  <c r="L83" i="11"/>
  <c r="M83" i="11"/>
  <c r="N83" i="11"/>
  <c r="O83" i="11"/>
  <c r="P83" i="11"/>
  <c r="D82" i="11"/>
  <c r="E82" i="11"/>
  <c r="F82" i="11"/>
  <c r="G82" i="11"/>
  <c r="H83" i="11"/>
  <c r="I83" i="11"/>
  <c r="K80" i="11"/>
  <c r="L80" i="11"/>
  <c r="M80" i="11"/>
  <c r="N80" i="11"/>
  <c r="O80" i="11"/>
  <c r="P80" i="11"/>
  <c r="D83" i="11"/>
  <c r="F83" i="11"/>
  <c r="I80" i="11"/>
  <c r="K81" i="11"/>
  <c r="N81" i="11"/>
  <c r="P81" i="11"/>
  <c r="I79" i="11"/>
  <c r="N79" i="11"/>
  <c r="D78" i="11"/>
  <c r="H78" i="11"/>
  <c r="L78" i="11"/>
  <c r="P78" i="11"/>
  <c r="K79" i="11"/>
  <c r="O79" i="11"/>
  <c r="E78" i="11"/>
  <c r="I78" i="11"/>
  <c r="O78" i="11"/>
  <c r="D79" i="11"/>
  <c r="M78" i="11"/>
  <c r="E79" i="11"/>
  <c r="L79" i="11"/>
  <c r="P79" i="11"/>
  <c r="F78" i="11"/>
  <c r="J78" i="11"/>
  <c r="N78" i="11"/>
  <c r="F79" i="11"/>
  <c r="M79" i="11"/>
  <c r="C78" i="11"/>
  <c r="G78" i="11"/>
  <c r="K78" i="11"/>
  <c r="C77" i="11"/>
  <c r="K76" i="11"/>
  <c r="M75" i="11"/>
  <c r="N77" i="11"/>
  <c r="P76" i="11"/>
  <c r="H75" i="11"/>
  <c r="E76" i="11"/>
  <c r="G75" i="11"/>
  <c r="F77" i="11"/>
  <c r="J76" i="11"/>
  <c r="K75" i="11"/>
  <c r="E75" i="11"/>
  <c r="J75" i="11"/>
  <c r="O75" i="11"/>
  <c r="M77" i="11"/>
  <c r="O76" i="11"/>
  <c r="L75" i="11"/>
  <c r="D76" i="11"/>
  <c r="F75" i="11"/>
  <c r="I76" i="11"/>
  <c r="L77" i="11"/>
  <c r="D77" i="11"/>
  <c r="K77" i="11"/>
  <c r="P77" i="11"/>
  <c r="G76" i="11"/>
  <c r="I75" i="11"/>
  <c r="I77" i="11"/>
  <c r="L76" i="11"/>
  <c r="N75" i="11"/>
  <c r="O77" i="11"/>
  <c r="C75" i="11"/>
  <c r="P75" i="11"/>
  <c r="F76" i="11"/>
  <c r="E77" i="11"/>
  <c r="N76" i="11"/>
  <c r="C76" i="11"/>
  <c r="H76" i="11"/>
  <c r="M76" i="11"/>
  <c r="D75" i="11"/>
  <c r="L7" i="2" a="1"/>
  <c r="L7" i="2" s="1"/>
  <c r="L8" i="2" s="1" a="1"/>
  <c r="L8" i="2" s="1"/>
  <c r="D74" i="11"/>
  <c r="K74" i="11"/>
  <c r="O74" i="11"/>
  <c r="E73" i="11"/>
  <c r="I73" i="11"/>
  <c r="M73" i="11"/>
  <c r="C72" i="11"/>
  <c r="G72" i="11"/>
  <c r="K72" i="11"/>
  <c r="O72" i="11"/>
  <c r="L74" i="11"/>
  <c r="P74" i="11"/>
  <c r="F73" i="11"/>
  <c r="N73" i="11"/>
  <c r="D72" i="11"/>
  <c r="L72" i="11"/>
  <c r="D73" i="11"/>
  <c r="P73" i="11"/>
  <c r="N72" i="11"/>
  <c r="E74" i="11"/>
  <c r="J73" i="11"/>
  <c r="H72" i="11"/>
  <c r="P72" i="11"/>
  <c r="N74" i="11"/>
  <c r="L73" i="11"/>
  <c r="J72" i="11"/>
  <c r="F74" i="11"/>
  <c r="M74" i="11"/>
  <c r="C73" i="11"/>
  <c r="G73" i="11"/>
  <c r="K73" i="11"/>
  <c r="O73" i="11"/>
  <c r="E72" i="11"/>
  <c r="I72" i="11"/>
  <c r="M72" i="11"/>
  <c r="I74" i="11"/>
  <c r="H73" i="11"/>
  <c r="F72" i="11"/>
  <c r="D69" i="11"/>
  <c r="H70" i="11"/>
  <c r="M70" i="11"/>
  <c r="D71" i="11"/>
  <c r="F70" i="11"/>
  <c r="H69" i="11"/>
  <c r="O68" i="11"/>
  <c r="E69" i="11"/>
  <c r="J71" i="11"/>
  <c r="D68" i="11"/>
  <c r="C69" i="11"/>
  <c r="F68" i="11"/>
  <c r="H71" i="11"/>
  <c r="J70" i="11"/>
  <c r="L69" i="11"/>
  <c r="E71" i="11"/>
  <c r="G70" i="11"/>
  <c r="I69" i="11"/>
  <c r="K68" i="11"/>
  <c r="N71" i="11"/>
  <c r="P70" i="11"/>
  <c r="H68" i="11"/>
  <c r="O69" i="11"/>
  <c r="L71" i="11"/>
  <c r="N70" i="11"/>
  <c r="P69" i="11"/>
  <c r="I71" i="11"/>
  <c r="K70" i="11"/>
  <c r="M69" i="11"/>
  <c r="P68" i="11"/>
  <c r="D70" i="11"/>
  <c r="F69" i="11"/>
  <c r="L68" i="11"/>
  <c r="I70" i="11"/>
  <c r="E68" i="11"/>
  <c r="N68" i="11"/>
  <c r="P71" i="11"/>
  <c r="J68" i="11"/>
  <c r="M71" i="11"/>
  <c r="O70" i="11"/>
  <c r="C68" i="11"/>
  <c r="F71" i="11"/>
  <c r="N69" i="11"/>
  <c r="K71" i="11"/>
  <c r="I68" i="11"/>
  <c r="C70" i="11"/>
  <c r="G68" i="11"/>
  <c r="L70" i="11"/>
  <c r="O71" i="11"/>
  <c r="M68" i="11"/>
  <c r="E70" i="11"/>
  <c r="J69" i="11"/>
  <c r="O13" i="2" a="1"/>
  <c r="O13" i="2" s="1"/>
  <c r="O14" i="2" s="1" a="1"/>
  <c r="O14" i="2" s="1"/>
  <c r="D67" i="11"/>
  <c r="H67" i="11"/>
  <c r="P67" i="11"/>
  <c r="E67" i="11"/>
  <c r="I67" i="11"/>
  <c r="M67" i="11"/>
  <c r="F67" i="11"/>
  <c r="J67" i="11"/>
  <c r="N67" i="11"/>
  <c r="G67" i="11"/>
  <c r="K67" i="11"/>
  <c r="O67" i="11"/>
  <c r="E66" i="11"/>
  <c r="L66" i="11"/>
  <c r="P66" i="11"/>
  <c r="F65" i="11"/>
  <c r="J65" i="11"/>
  <c r="N65" i="11"/>
  <c r="F66" i="11"/>
  <c r="M66" i="11"/>
  <c r="C65" i="11"/>
  <c r="G65" i="11"/>
  <c r="K65" i="11"/>
  <c r="O65" i="11"/>
  <c r="C66" i="11"/>
  <c r="H66" i="11"/>
  <c r="N66" i="11"/>
  <c r="D65" i="11"/>
  <c r="H65" i="11"/>
  <c r="L65" i="11"/>
  <c r="P65" i="11"/>
  <c r="D66" i="11"/>
  <c r="I66" i="11"/>
  <c r="O66" i="11"/>
  <c r="E65" i="11"/>
  <c r="I65" i="11"/>
  <c r="M65" i="11"/>
  <c r="P63" i="11"/>
  <c r="N63" i="11"/>
  <c r="L63" i="11"/>
  <c r="J63" i="11"/>
  <c r="D64" i="11"/>
  <c r="P64" i="11"/>
  <c r="N64" i="11"/>
  <c r="L64" i="11"/>
  <c r="I63" i="11"/>
  <c r="G63" i="11"/>
  <c r="E63" i="11"/>
  <c r="C63" i="11"/>
  <c r="K63" i="11"/>
  <c r="G64" i="11"/>
  <c r="C64" i="11"/>
  <c r="M64" i="11"/>
  <c r="H63" i="11"/>
  <c r="D63" i="11"/>
  <c r="F64" i="11"/>
  <c r="O63" i="11"/>
  <c r="M63" i="11"/>
  <c r="I64" i="11"/>
  <c r="E64" i="11"/>
  <c r="O64" i="11"/>
  <c r="K64" i="11"/>
  <c r="F63" i="11"/>
  <c r="F62" i="11"/>
  <c r="I62" i="11"/>
  <c r="M62" i="11"/>
  <c r="K61" i="11"/>
  <c r="M8" i="11"/>
  <c r="C10" i="11"/>
  <c r="E11" i="11"/>
  <c r="K12" i="11"/>
  <c r="M13" i="11"/>
  <c r="D15" i="11"/>
  <c r="F16" i="11"/>
  <c r="K17" i="11"/>
  <c r="P61" i="11"/>
  <c r="E9" i="11"/>
  <c r="H10" i="11"/>
  <c r="J11" i="11"/>
  <c r="P12" i="11"/>
  <c r="G14" i="11"/>
  <c r="I15" i="11"/>
  <c r="K16" i="11"/>
  <c r="P17" i="11"/>
  <c r="E19" i="11"/>
  <c r="H20" i="11"/>
  <c r="J21" i="11"/>
  <c r="N22" i="11"/>
  <c r="P23" i="11"/>
  <c r="H25" i="11"/>
  <c r="J26" i="11"/>
  <c r="N27" i="11"/>
  <c r="P28" i="11"/>
  <c r="H30" i="11"/>
  <c r="K31" i="11"/>
  <c r="C8" i="11"/>
  <c r="F9" i="11"/>
  <c r="I10" i="11"/>
  <c r="K11" i="11"/>
  <c r="C13" i="11"/>
  <c r="H14" i="11"/>
  <c r="J15" i="11"/>
  <c r="L16" i="11"/>
  <c r="D18" i="11"/>
  <c r="F19" i="11"/>
  <c r="I20" i="11"/>
  <c r="K21" i="11"/>
  <c r="O22" i="11"/>
  <c r="C24" i="11"/>
  <c r="I25" i="11"/>
  <c r="K26" i="11"/>
  <c r="O27" i="11"/>
  <c r="F29" i="11"/>
  <c r="I30" i="11"/>
  <c r="L31" i="11"/>
  <c r="N32" i="11"/>
  <c r="L9" i="11"/>
  <c r="M14" i="11"/>
  <c r="M18" i="11"/>
  <c r="D21" i="11"/>
  <c r="J23" i="11"/>
  <c r="D26" i="11"/>
  <c r="J28" i="11"/>
  <c r="E31" i="11"/>
  <c r="O32" i="11"/>
  <c r="F34" i="11"/>
  <c r="L35" i="11"/>
  <c r="N36" i="11"/>
  <c r="P37" i="11"/>
  <c r="J39" i="11"/>
  <c r="O40" i="11"/>
  <c r="C42" i="11"/>
  <c r="G43" i="11"/>
  <c r="I44" i="11"/>
  <c r="N62" i="11"/>
  <c r="O62" i="11"/>
  <c r="L62" i="11"/>
  <c r="O61" i="11"/>
  <c r="D9" i="11"/>
  <c r="G10" i="11"/>
  <c r="I11" i="11"/>
  <c r="O12" i="11"/>
  <c r="F14" i="11"/>
  <c r="H15" i="11"/>
  <c r="J16" i="11"/>
  <c r="D61" i="11"/>
  <c r="F8" i="11"/>
  <c r="J9" i="11"/>
  <c r="L10" i="11"/>
  <c r="N11" i="11"/>
  <c r="F13" i="11"/>
  <c r="K14" i="11"/>
  <c r="M15" i="11"/>
  <c r="O16" i="11"/>
  <c r="G18" i="11"/>
  <c r="I19" i="11"/>
  <c r="L20" i="11"/>
  <c r="N21" i="11"/>
  <c r="D23" i="11"/>
  <c r="F24" i="11"/>
  <c r="L25" i="11"/>
  <c r="N26" i="11"/>
  <c r="D28" i="11"/>
  <c r="J29" i="11"/>
  <c r="L30" i="11"/>
  <c r="E61" i="11"/>
  <c r="G8" i="11"/>
  <c r="K9" i="11"/>
  <c r="M10" i="11"/>
  <c r="O11" i="11"/>
  <c r="G13" i="11"/>
  <c r="L14" i="11"/>
  <c r="N15" i="11"/>
  <c r="P16" i="11"/>
  <c r="H18" i="11"/>
  <c r="J19" i="11"/>
  <c r="M20" i="11"/>
  <c r="O21" i="11"/>
  <c r="E23" i="11"/>
  <c r="G24" i="11"/>
  <c r="M25" i="11"/>
  <c r="O26" i="11"/>
  <c r="E28" i="11"/>
  <c r="K29" i="11"/>
  <c r="M30" i="11"/>
  <c r="P31" i="11"/>
  <c r="E33" i="11"/>
  <c r="N10" i="11"/>
  <c r="O15" i="11"/>
  <c r="G19" i="11"/>
  <c r="L21" i="11"/>
  <c r="D24" i="11"/>
  <c r="L26" i="11"/>
  <c r="H29" i="11"/>
  <c r="P62" i="11"/>
  <c r="D62" i="11"/>
  <c r="C61" i="11"/>
  <c r="E8" i="11"/>
  <c r="I9" i="11"/>
  <c r="K10" i="11"/>
  <c r="M11" i="11"/>
  <c r="E13" i="11"/>
  <c r="J14" i="11"/>
  <c r="L15" i="11"/>
  <c r="N16" i="11"/>
  <c r="H61" i="11"/>
  <c r="J8" i="11"/>
  <c r="N9" i="11"/>
  <c r="P10" i="11"/>
  <c r="H12" i="11"/>
  <c r="J13" i="11"/>
  <c r="O14" i="11"/>
  <c r="C16" i="11"/>
  <c r="H17" i="11"/>
  <c r="K18" i="11"/>
  <c r="M19" i="11"/>
  <c r="P20" i="11"/>
  <c r="E22" i="11"/>
  <c r="H23" i="11"/>
  <c r="J24" i="11"/>
  <c r="P25" i="11"/>
  <c r="E27" i="11"/>
  <c r="H28" i="11"/>
  <c r="N29" i="11"/>
  <c r="P30" i="11"/>
  <c r="I61" i="11"/>
  <c r="K8" i="11"/>
  <c r="O9" i="11"/>
  <c r="C11" i="11"/>
  <c r="I12" i="11"/>
  <c r="K13" i="11"/>
  <c r="P14" i="11"/>
  <c r="D16" i="11"/>
  <c r="I17" i="11"/>
  <c r="L18" i="11"/>
  <c r="N19" i="11"/>
  <c r="C21" i="11"/>
  <c r="F22" i="11"/>
  <c r="I23" i="11"/>
  <c r="K24" i="11"/>
  <c r="C26" i="11"/>
  <c r="F27" i="11"/>
  <c r="I28" i="11"/>
  <c r="O29" i="11"/>
  <c r="D31" i="11"/>
  <c r="F32" i="11"/>
  <c r="F61" i="11"/>
  <c r="P11" i="11"/>
  <c r="C17" i="11"/>
  <c r="O19" i="11"/>
  <c r="G22" i="11"/>
  <c r="L24" i="11"/>
  <c r="G27" i="11"/>
  <c r="P29" i="11"/>
  <c r="D32" i="11"/>
  <c r="L33" i="11"/>
  <c r="N34" i="11"/>
  <c r="F36" i="11"/>
  <c r="H37" i="11"/>
  <c r="P38" i="11"/>
  <c r="G40" i="11"/>
  <c r="I41" i="11"/>
  <c r="K42" i="11"/>
  <c r="O43" i="11"/>
  <c r="C45" i="11"/>
  <c r="E46" i="11"/>
  <c r="J47" i="11"/>
  <c r="D11" i="11"/>
  <c r="E16" i="11"/>
  <c r="H19" i="11"/>
  <c r="M21" i="11"/>
  <c r="E24" i="11"/>
  <c r="M26" i="11"/>
  <c r="I29" i="11"/>
  <c r="N31" i="11"/>
  <c r="I33" i="11"/>
  <c r="K34" i="11"/>
  <c r="C36" i="11"/>
  <c r="E37" i="11"/>
  <c r="C62" i="11"/>
  <c r="M9" i="11"/>
  <c r="N14" i="11"/>
  <c r="N8" i="11"/>
  <c r="N13" i="11"/>
  <c r="O18" i="11"/>
  <c r="L23" i="11"/>
  <c r="L28" i="11"/>
  <c r="O8" i="11"/>
  <c r="O13" i="11"/>
  <c r="P18" i="11"/>
  <c r="M23" i="11"/>
  <c r="M28" i="11"/>
  <c r="H8" i="11"/>
  <c r="P22" i="11"/>
  <c r="M31" i="11"/>
  <c r="J34" i="11"/>
  <c r="D37" i="11"/>
  <c r="N39" i="11"/>
  <c r="G42" i="11"/>
  <c r="M44" i="11"/>
  <c r="I46" i="11"/>
  <c r="L8" i="11"/>
  <c r="C15" i="11"/>
  <c r="P19" i="11"/>
  <c r="C23" i="11"/>
  <c r="E26" i="11"/>
  <c r="C30" i="11"/>
  <c r="K32" i="11"/>
  <c r="G34" i="11"/>
  <c r="G36" i="11"/>
  <c r="M37" i="11"/>
  <c r="G39" i="11"/>
  <c r="L40" i="11"/>
  <c r="N41" i="11"/>
  <c r="P42" i="11"/>
  <c r="F44" i="11"/>
  <c r="H45" i="11"/>
  <c r="J46" i="11"/>
  <c r="O47" i="11"/>
  <c r="N61" i="11"/>
  <c r="N12" i="11"/>
  <c r="N17" i="11"/>
  <c r="F20" i="11"/>
  <c r="L22" i="11"/>
  <c r="P24" i="11"/>
  <c r="L27" i="11"/>
  <c r="F30" i="11"/>
  <c r="G32" i="11"/>
  <c r="N33" i="11"/>
  <c r="P34" i="11"/>
  <c r="H36" i="11"/>
  <c r="J37" i="11"/>
  <c r="D39" i="11"/>
  <c r="I40" i="11"/>
  <c r="K41" i="11"/>
  <c r="M42" i="11"/>
  <c r="C44" i="11"/>
  <c r="E45" i="11"/>
  <c r="G46" i="11"/>
  <c r="L47" i="11"/>
  <c r="D13" i="11"/>
  <c r="F25" i="11"/>
  <c r="O33" i="11"/>
  <c r="E39" i="11"/>
  <c r="D44" i="11"/>
  <c r="G48" i="11"/>
  <c r="K49" i="11"/>
  <c r="E51" i="11"/>
  <c r="G52" i="11"/>
  <c r="I53" i="11"/>
  <c r="O54" i="11"/>
  <c r="C56" i="11"/>
  <c r="L57" i="11"/>
  <c r="N58" i="11"/>
  <c r="I60" i="11"/>
  <c r="K33" i="11"/>
  <c r="D48" i="11"/>
  <c r="F52" i="11"/>
  <c r="P55" i="11"/>
  <c r="L60" i="11"/>
  <c r="O20" i="11"/>
  <c r="O30" i="11"/>
  <c r="M36" i="11"/>
  <c r="P41" i="11"/>
  <c r="E62" i="11"/>
  <c r="O10" i="11"/>
  <c r="P15" i="11"/>
  <c r="D10" i="11"/>
  <c r="E15" i="11"/>
  <c r="D20" i="11"/>
  <c r="N24" i="11"/>
  <c r="D30" i="11"/>
  <c r="E10" i="11"/>
  <c r="F15" i="11"/>
  <c r="E20" i="11"/>
  <c r="O24" i="11"/>
  <c r="E30" i="11"/>
  <c r="H13" i="11"/>
  <c r="J25" i="11"/>
  <c r="I32" i="11"/>
  <c r="G35" i="11"/>
  <c r="L37" i="11"/>
  <c r="K40" i="11"/>
  <c r="O42" i="11"/>
  <c r="G45" i="11"/>
  <c r="M46" i="11"/>
  <c r="P9" i="11"/>
  <c r="J17" i="11"/>
  <c r="K20" i="11"/>
  <c r="K23" i="11"/>
  <c r="I27" i="11"/>
  <c r="K30" i="11"/>
  <c r="P32" i="11"/>
  <c r="O34" i="11"/>
  <c r="K36" i="11"/>
  <c r="F38" i="11"/>
  <c r="K39" i="11"/>
  <c r="P40" i="11"/>
  <c r="D42" i="11"/>
  <c r="H43" i="11"/>
  <c r="J44" i="11"/>
  <c r="L45" i="11"/>
  <c r="N46" i="11"/>
  <c r="E48" i="11"/>
  <c r="P8" i="11"/>
  <c r="P13" i="11"/>
  <c r="I18" i="11"/>
  <c r="N20" i="11"/>
  <c r="F23" i="11"/>
  <c r="N25" i="11"/>
  <c r="F28" i="11"/>
  <c r="N30" i="11"/>
  <c r="L32" i="11"/>
  <c r="D34" i="11"/>
  <c r="J35" i="11"/>
  <c r="L36" i="11"/>
  <c r="N37" i="11"/>
  <c r="H39" i="11"/>
  <c r="M40" i="11"/>
  <c r="O41" i="11"/>
  <c r="C43" i="11"/>
  <c r="G44" i="11"/>
  <c r="I45" i="11"/>
  <c r="K46" i="11"/>
  <c r="P47" i="11"/>
  <c r="O17" i="11"/>
  <c r="M27" i="11"/>
  <c r="F35" i="11"/>
  <c r="J40" i="11"/>
  <c r="F45" i="11"/>
  <c r="L48" i="11"/>
  <c r="O49" i="11"/>
  <c r="I51" i="11"/>
  <c r="K52" i="11"/>
  <c r="M53" i="11"/>
  <c r="E55" i="11"/>
  <c r="G56" i="11"/>
  <c r="P57" i="11"/>
  <c r="D59" i="11"/>
  <c r="G61" i="11"/>
  <c r="F12" i="11"/>
  <c r="F17" i="11"/>
  <c r="F11" i="11"/>
  <c r="G16" i="11"/>
  <c r="F21" i="11"/>
  <c r="F26" i="11"/>
  <c r="G31" i="11"/>
  <c r="G11" i="11"/>
  <c r="H16" i="11"/>
  <c r="G21" i="11"/>
  <c r="G26" i="11"/>
  <c r="H31" i="11"/>
  <c r="E18" i="11"/>
  <c r="P27" i="11"/>
  <c r="H33" i="11"/>
  <c r="P35" i="11"/>
  <c r="L38" i="11"/>
  <c r="E41" i="11"/>
  <c r="K43" i="11"/>
  <c r="K45" i="11"/>
  <c r="F47" i="11"/>
  <c r="J12" i="11"/>
  <c r="F18" i="11"/>
  <c r="E21" i="11"/>
  <c r="M24" i="11"/>
  <c r="C28" i="11"/>
  <c r="F31" i="11"/>
  <c r="M33" i="11"/>
  <c r="I35" i="11"/>
  <c r="O36" i="11"/>
  <c r="M38" i="11"/>
  <c r="O39" i="11"/>
  <c r="F41" i="11"/>
  <c r="H42" i="11"/>
  <c r="L43" i="11"/>
  <c r="N44" i="11"/>
  <c r="P45" i="11"/>
  <c r="G47" i="11"/>
  <c r="I48" i="11"/>
  <c r="F10" i="11"/>
  <c r="G15" i="11"/>
  <c r="C19" i="11"/>
  <c r="H21" i="11"/>
  <c r="N23" i="11"/>
  <c r="H26" i="11"/>
  <c r="N28" i="11"/>
  <c r="I31" i="11"/>
  <c r="D33" i="11"/>
  <c r="H34" i="11"/>
  <c r="N35" i="11"/>
  <c r="P36" i="11"/>
  <c r="J38" i="11"/>
  <c r="L39" i="11"/>
  <c r="C41" i="11"/>
  <c r="E42" i="11"/>
  <c r="I43" i="11"/>
  <c r="K44" i="11"/>
  <c r="M45" i="11"/>
  <c r="O46" i="11"/>
  <c r="F48" i="11"/>
  <c r="G20" i="11"/>
  <c r="G30" i="11"/>
  <c r="I36" i="11"/>
  <c r="L41" i="11"/>
  <c r="H46" i="11"/>
  <c r="C49" i="11"/>
  <c r="K50" i="11"/>
  <c r="M51" i="11"/>
  <c r="O52" i="11"/>
  <c r="F54" i="11"/>
  <c r="I55" i="11"/>
  <c r="K56" i="11"/>
  <c r="F58" i="11"/>
  <c r="L59" i="11"/>
  <c r="L19" i="11"/>
  <c r="H41" i="11"/>
  <c r="I50" i="11"/>
  <c r="P53" i="11"/>
  <c r="E58" i="11"/>
  <c r="I14" i="11"/>
  <c r="O25" i="11"/>
  <c r="E34" i="11"/>
  <c r="I39" i="11"/>
  <c r="H44" i="11"/>
  <c r="H48" i="11"/>
  <c r="L49" i="11"/>
  <c r="F51" i="11"/>
  <c r="H52" i="11"/>
  <c r="J53" i="11"/>
  <c r="P54" i="11"/>
  <c r="D56" i="11"/>
  <c r="M57" i="11"/>
  <c r="O58" i="11"/>
  <c r="F60" i="11"/>
  <c r="D22" i="11"/>
  <c r="J42" i="11"/>
  <c r="N50" i="11"/>
  <c r="N54" i="11"/>
  <c r="M58" i="11"/>
  <c r="J10" i="11"/>
  <c r="O23" i="11"/>
  <c r="F33" i="11"/>
  <c r="K38" i="11"/>
  <c r="J43" i="11"/>
  <c r="C48" i="11"/>
  <c r="I49" i="11"/>
  <c r="C51" i="11"/>
  <c r="E52" i="11"/>
  <c r="G53" i="11"/>
  <c r="M54" i="11"/>
  <c r="O55" i="11"/>
  <c r="F57" i="11"/>
  <c r="I8" i="11"/>
  <c r="I13" i="11"/>
  <c r="L61" i="11"/>
  <c r="L12" i="11"/>
  <c r="L17" i="11"/>
  <c r="J22" i="11"/>
  <c r="J27" i="11"/>
  <c r="M61" i="11"/>
  <c r="K27" i="11"/>
  <c r="P33" i="11"/>
  <c r="E44" i="11"/>
  <c r="N18" i="11"/>
  <c r="E32" i="11"/>
  <c r="C39" i="11"/>
  <c r="P43" i="11"/>
  <c r="M48" i="11"/>
  <c r="P21" i="11"/>
  <c r="O31" i="11"/>
  <c r="F37" i="11"/>
  <c r="I42" i="11"/>
  <c r="H47" i="11"/>
  <c r="K37" i="11"/>
  <c r="O50" i="11"/>
  <c r="M55" i="11"/>
  <c r="M60" i="11"/>
  <c r="F49" i="11"/>
  <c r="N56" i="11"/>
  <c r="G23" i="11"/>
  <c r="O37" i="11"/>
  <c r="L46" i="11"/>
  <c r="H49" i="11"/>
  <c r="J51" i="11"/>
  <c r="P52" i="11"/>
  <c r="L54" i="11"/>
  <c r="H56" i="11"/>
  <c r="M59" i="11"/>
  <c r="M29" i="11"/>
  <c r="L53" i="11"/>
  <c r="D19" i="11"/>
  <c r="M39" i="11"/>
  <c r="E49" i="11"/>
  <c r="M52" i="11"/>
  <c r="E56" i="11"/>
  <c r="F59" i="11"/>
  <c r="C32" i="11"/>
  <c r="L51" i="11"/>
  <c r="G59" i="11"/>
  <c r="M12" i="11"/>
  <c r="J32" i="11"/>
  <c r="J36" i="11"/>
  <c r="O45" i="11"/>
  <c r="I22" i="11"/>
  <c r="C34" i="11"/>
  <c r="H40" i="11"/>
  <c r="D45" i="11"/>
  <c r="H11" i="11"/>
  <c r="H24" i="11"/>
  <c r="J33" i="11"/>
  <c r="N38" i="11"/>
  <c r="M43" i="11"/>
  <c r="D8" i="11"/>
  <c r="N42" i="11"/>
  <c r="C52" i="11"/>
  <c r="O56" i="11"/>
  <c r="D27" i="11"/>
  <c r="H51" i="11"/>
  <c r="O59" i="11"/>
  <c r="G28" i="11"/>
  <c r="N40" i="11"/>
  <c r="N47" i="11"/>
  <c r="P49" i="11"/>
  <c r="N51" i="11"/>
  <c r="F53" i="11"/>
  <c r="F55" i="11"/>
  <c r="L56" i="11"/>
  <c r="K58" i="11"/>
  <c r="J60" i="11"/>
  <c r="M34" i="11"/>
  <c r="J49" i="11"/>
  <c r="L55" i="11"/>
  <c r="H60" i="11"/>
  <c r="I21" i="11"/>
  <c r="I34" i="11"/>
  <c r="D41" i="11"/>
  <c r="P46" i="11"/>
  <c r="M49" i="11"/>
  <c r="K51" i="11"/>
  <c r="C53" i="11"/>
  <c r="C55" i="11"/>
  <c r="I56" i="11"/>
  <c r="H58" i="11"/>
  <c r="J59" i="11"/>
  <c r="O60" i="11"/>
  <c r="E36" i="11"/>
  <c r="P48" i="11"/>
  <c r="J52" i="11"/>
  <c r="F56" i="11"/>
  <c r="M17" i="11"/>
  <c r="J20" i="11"/>
  <c r="F39" i="11"/>
  <c r="J61" i="11"/>
  <c r="K25" i="11"/>
  <c r="M35" i="11"/>
  <c r="J41" i="11"/>
  <c r="F46" i="11"/>
  <c r="I16" i="11"/>
  <c r="P26" i="11"/>
  <c r="L34" i="11"/>
  <c r="P39" i="11"/>
  <c r="O44" i="11"/>
  <c r="M22" i="11"/>
  <c r="M47" i="11"/>
  <c r="E53" i="11"/>
  <c r="J58" i="11"/>
  <c r="G37" i="11"/>
  <c r="D53" i="11"/>
  <c r="H9" i="11"/>
  <c r="M32" i="11"/>
  <c r="F43" i="11"/>
  <c r="N48" i="11"/>
  <c r="L50" i="11"/>
  <c r="D52" i="11"/>
  <c r="N53" i="11"/>
  <c r="J55" i="11"/>
  <c r="P56" i="11"/>
  <c r="E59" i="11"/>
  <c r="N60" i="11"/>
  <c r="O38" i="11"/>
  <c r="P51" i="11"/>
  <c r="J56" i="11"/>
  <c r="P60" i="11"/>
  <c r="I26" i="11"/>
  <c r="O35" i="11"/>
  <c r="F42" i="11"/>
  <c r="J48" i="11"/>
  <c r="F50" i="11"/>
  <c r="O51" i="11"/>
  <c r="K53" i="11"/>
  <c r="G55" i="11"/>
  <c r="M56" i="11"/>
  <c r="L58" i="11"/>
  <c r="N59" i="11"/>
  <c r="M16" i="11"/>
  <c r="F40" i="11"/>
  <c r="N49" i="11"/>
  <c r="H53" i="11"/>
  <c r="I57" i="11"/>
  <c r="K22" i="11"/>
  <c r="J30" i="11"/>
  <c r="M41" i="11"/>
  <c r="L13" i="11"/>
  <c r="K28" i="11"/>
  <c r="I37" i="11"/>
  <c r="L42" i="11"/>
  <c r="K47" i="11"/>
  <c r="K19" i="11"/>
  <c r="L29" i="11"/>
  <c r="D36" i="11"/>
  <c r="G41" i="11"/>
  <c r="C46" i="11"/>
  <c r="H32" i="11"/>
  <c r="G49" i="11"/>
  <c r="K54" i="11"/>
  <c r="P59" i="11"/>
  <c r="P44" i="11"/>
  <c r="D55" i="11"/>
  <c r="J18" i="11"/>
  <c r="K35" i="11"/>
  <c r="J45" i="11"/>
  <c r="D49" i="11"/>
  <c r="P50" i="11"/>
  <c r="L52" i="11"/>
  <c r="G54" i="11"/>
  <c r="N55" i="11"/>
  <c r="C58" i="11"/>
  <c r="I59" i="11"/>
  <c r="L11" i="11"/>
  <c r="D46" i="11"/>
  <c r="N52" i="11"/>
  <c r="O57" i="11"/>
  <c r="K15" i="11"/>
  <c r="O28" i="11"/>
  <c r="C37" i="11"/>
  <c r="L44" i="11"/>
  <c r="O48" i="11"/>
  <c r="M50" i="11"/>
  <c r="I52" i="11"/>
  <c r="O53" i="11"/>
  <c r="K55" i="11"/>
  <c r="N57" i="11"/>
  <c r="P58" i="11"/>
  <c r="G60" i="11"/>
  <c r="I24" i="11"/>
  <c r="N43" i="11"/>
  <c r="D51" i="11"/>
  <c r="J54" i="11"/>
  <c r="I58" i="11"/>
  <c r="G58" i="11"/>
  <c r="K48" i="11"/>
  <c r="K59" i="11"/>
  <c r="J31" i="11"/>
  <c r="N45" i="11"/>
  <c r="G51" i="11"/>
  <c r="I54" i="11"/>
  <c r="D58" i="11"/>
  <c r="K60" i="11"/>
  <c r="I47" i="11"/>
  <c r="H55" i="11"/>
  <c r="J7" i="11"/>
  <c r="N7" i="11"/>
  <c r="K7" i="11"/>
  <c r="O7" i="11"/>
  <c r="L7" i="11"/>
  <c r="P7" i="11"/>
  <c r="G7" i="11"/>
  <c r="I7" i="11"/>
  <c r="M7" i="11"/>
  <c r="H7" i="11"/>
  <c r="W7" i="11"/>
  <c r="W8" i="11" s="1"/>
  <c r="W9" i="11" s="1"/>
  <c r="W10" i="11" s="1"/>
  <c r="W11" i="11" s="1"/>
  <c r="W12" i="11" s="1"/>
  <c r="W13" i="11" s="1"/>
  <c r="W14" i="11" s="1"/>
  <c r="W15" i="11" s="1"/>
  <c r="W16" i="11" s="1"/>
  <c r="W17" i="11" s="1"/>
  <c r="W18" i="11" s="1"/>
  <c r="W19" i="11" s="1"/>
  <c r="W20" i="11" s="1"/>
  <c r="W21" i="11" s="1"/>
  <c r="W22" i="11" s="1"/>
  <c r="W23" i="11" s="1"/>
  <c r="W24" i="11" s="1"/>
  <c r="W25" i="11" s="1"/>
  <c r="W26" i="11" s="1"/>
  <c r="W27" i="11" s="1"/>
  <c r="W28" i="11" s="1"/>
  <c r="W29" i="11" s="1"/>
  <c r="W30" i="11" s="1"/>
  <c r="W31" i="11" s="1"/>
  <c r="W32" i="11" s="1"/>
  <c r="W33" i="11" s="1"/>
  <c r="W34" i="11" s="1"/>
  <c r="W35" i="11" s="1"/>
  <c r="W36" i="11" s="1"/>
  <c r="W37" i="11" s="1"/>
  <c r="U7" i="11"/>
  <c r="U8" i="11" s="1"/>
  <c r="V7" i="11"/>
  <c r="V8" i="11" s="1"/>
  <c r="V9" i="11" s="1"/>
  <c r="V10" i="11" s="1"/>
  <c r="V11" i="11" s="1"/>
  <c r="V12" i="11" s="1"/>
  <c r="V13" i="11" s="1"/>
  <c r="V14" i="11" s="1"/>
  <c r="V15" i="11" s="1"/>
  <c r="V16" i="11" s="1"/>
  <c r="V17" i="11" s="1"/>
  <c r="V18" i="11" s="1"/>
  <c r="V19" i="11" s="1"/>
  <c r="V20" i="11" s="1"/>
  <c r="V21" i="11" s="1"/>
  <c r="E11" i="2"/>
  <c r="V54" i="3"/>
  <c r="W55" i="3"/>
  <c r="W54" i="3"/>
  <c r="X55" i="3"/>
  <c r="V57" i="3"/>
  <c r="W58" i="3"/>
  <c r="X59" i="3"/>
  <c r="X54" i="3"/>
  <c r="V56" i="3"/>
  <c r="W57" i="3"/>
  <c r="X58" i="3"/>
  <c r="V60" i="3"/>
  <c r="W61" i="3"/>
  <c r="X57" i="3"/>
  <c r="X60" i="3"/>
  <c r="X61" i="3"/>
  <c r="X62" i="3"/>
  <c r="V64" i="3"/>
  <c r="W65" i="3"/>
  <c r="W56" i="3"/>
  <c r="V58" i="3"/>
  <c r="V63" i="3"/>
  <c r="W64" i="3"/>
  <c r="X56" i="3"/>
  <c r="V59" i="3"/>
  <c r="V62" i="3"/>
  <c r="W63" i="3"/>
  <c r="X64" i="3"/>
  <c r="V55" i="3"/>
  <c r="X66" i="3"/>
  <c r="V68" i="3"/>
  <c r="W69" i="3"/>
  <c r="X70" i="3"/>
  <c r="W59" i="3"/>
  <c r="W60" i="3"/>
  <c r="V61" i="3"/>
  <c r="V65" i="3"/>
  <c r="V67" i="3"/>
  <c r="W68" i="3"/>
  <c r="X69" i="3"/>
  <c r="V71" i="3"/>
  <c r="W62" i="3"/>
  <c r="X63" i="3"/>
  <c r="X65" i="3"/>
  <c r="V66" i="3"/>
  <c r="W67" i="3"/>
  <c r="V69" i="3"/>
  <c r="W71" i="3"/>
  <c r="X73" i="3"/>
  <c r="V75" i="3"/>
  <c r="X67" i="3"/>
  <c r="V70" i="3"/>
  <c r="X71" i="3"/>
  <c r="W75" i="3"/>
  <c r="W66" i="3"/>
  <c r="W70" i="3"/>
  <c r="V73" i="3"/>
  <c r="W74" i="3"/>
  <c r="X75" i="3"/>
  <c r="X68" i="3"/>
  <c r="W73" i="3"/>
  <c r="BE8" i="3"/>
  <c r="BE9" i="3"/>
  <c r="AZ8" i="3"/>
  <c r="AZ9" i="3"/>
  <c r="L10" i="3"/>
  <c r="L14" i="3"/>
  <c r="L18" i="3"/>
  <c r="L22" i="3"/>
  <c r="L26" i="3"/>
  <c r="L30" i="3"/>
  <c r="L34" i="3"/>
  <c r="L38" i="3"/>
  <c r="L42" i="3"/>
  <c r="L46" i="3"/>
  <c r="L50" i="3"/>
  <c r="K8" i="3"/>
  <c r="K12" i="3"/>
  <c r="K16" i="3"/>
  <c r="K20" i="3"/>
  <c r="K24" i="3"/>
  <c r="K28" i="3"/>
  <c r="K32" i="3"/>
  <c r="K36" i="3"/>
  <c r="K40" i="3"/>
  <c r="K44" i="3"/>
  <c r="K48" i="3"/>
  <c r="K52" i="3"/>
  <c r="L11" i="3"/>
  <c r="L15" i="3"/>
  <c r="L19" i="3"/>
  <c r="L23" i="3"/>
  <c r="L27" i="3"/>
  <c r="L31" i="3"/>
  <c r="L35" i="3"/>
  <c r="L39" i="3"/>
  <c r="L43" i="3"/>
  <c r="L47" i="3"/>
  <c r="L51" i="3"/>
  <c r="K9" i="3"/>
  <c r="K13" i="3"/>
  <c r="K17" i="3"/>
  <c r="K21" i="3"/>
  <c r="K25" i="3"/>
  <c r="K29" i="3"/>
  <c r="K33" i="3"/>
  <c r="K37" i="3"/>
  <c r="K41" i="3"/>
  <c r="K45" i="3"/>
  <c r="K49" i="3"/>
  <c r="K53" i="3"/>
  <c r="L8" i="3"/>
  <c r="L12" i="3"/>
  <c r="L16" i="3"/>
  <c r="L20" i="3"/>
  <c r="L24" i="3"/>
  <c r="L28" i="3"/>
  <c r="L32" i="3"/>
  <c r="L36" i="3"/>
  <c r="L40" i="3"/>
  <c r="L44" i="3"/>
  <c r="L48" i="3"/>
  <c r="L52" i="3"/>
  <c r="K10" i="3"/>
  <c r="K14" i="3"/>
  <c r="K18" i="3"/>
  <c r="K22" i="3"/>
  <c r="K26" i="3"/>
  <c r="K30" i="3"/>
  <c r="K34" i="3"/>
  <c r="K38" i="3"/>
  <c r="K42" i="3"/>
  <c r="K46" i="3"/>
  <c r="K50" i="3"/>
  <c r="L9" i="3"/>
  <c r="L13" i="3"/>
  <c r="L17" i="3"/>
  <c r="L21" i="3"/>
  <c r="L25" i="3"/>
  <c r="L29" i="3"/>
  <c r="L33" i="3"/>
  <c r="L37" i="3"/>
  <c r="L41" i="3"/>
  <c r="L45" i="3"/>
  <c r="L49" i="3"/>
  <c r="L53" i="3"/>
  <c r="K11" i="3"/>
  <c r="K15" i="3"/>
  <c r="K19" i="3"/>
  <c r="K23" i="3"/>
  <c r="K27" i="3"/>
  <c r="K31" i="3"/>
  <c r="K35" i="3"/>
  <c r="K39" i="3"/>
  <c r="K43" i="3"/>
  <c r="K47" i="3"/>
  <c r="K51" i="3"/>
  <c r="J52" i="3"/>
  <c r="J53" i="3"/>
  <c r="J9" i="3"/>
  <c r="J23" i="3"/>
  <c r="J10" i="3"/>
  <c r="J16" i="3"/>
  <c r="J14" i="3"/>
  <c r="J13" i="3"/>
  <c r="J12" i="3"/>
  <c r="J11" i="3"/>
  <c r="J29" i="3"/>
  <c r="J28" i="3"/>
  <c r="J27" i="3"/>
  <c r="J26" i="3"/>
  <c r="J25" i="3"/>
  <c r="J24" i="3"/>
  <c r="J22" i="3"/>
  <c r="J21" i="3"/>
  <c r="J20" i="3"/>
  <c r="J19" i="3"/>
  <c r="J18" i="3"/>
  <c r="J17" i="3"/>
  <c r="J51" i="3"/>
  <c r="J50" i="3"/>
  <c r="J49" i="3"/>
  <c r="J48" i="3"/>
  <c r="J47" i="3"/>
  <c r="J46" i="3"/>
  <c r="J45" i="3"/>
  <c r="J44" i="3"/>
  <c r="J43" i="3"/>
  <c r="J42" i="3"/>
  <c r="J41" i="3"/>
  <c r="J40" i="3"/>
  <c r="J39" i="3"/>
  <c r="J38" i="3"/>
  <c r="J37" i="3"/>
  <c r="J36" i="3"/>
  <c r="J35" i="3"/>
  <c r="J34" i="3"/>
  <c r="J33" i="3"/>
  <c r="J32" i="3"/>
  <c r="J31" i="3"/>
  <c r="J30" i="3"/>
  <c r="A10" i="3"/>
  <c r="X6" i="11"/>
  <c r="L9" i="2" l="1" a="1"/>
  <c r="L9" i="2" s="1"/>
  <c r="L10" i="2" s="1" a="1"/>
  <c r="L10" i="2" s="1"/>
  <c r="AA85" i="3"/>
  <c r="Y86" i="3"/>
  <c r="AA87" i="3"/>
  <c r="Y88" i="3"/>
  <c r="AA89" i="3"/>
  <c r="Y90" i="3"/>
  <c r="AA91" i="3"/>
  <c r="Y92" i="3"/>
  <c r="Z86" i="3"/>
  <c r="Z88" i="3"/>
  <c r="Z90" i="3"/>
  <c r="Z92" i="3"/>
  <c r="Y85" i="3"/>
  <c r="AA86" i="3"/>
  <c r="Y87" i="3"/>
  <c r="AA88" i="3"/>
  <c r="Y89" i="3"/>
  <c r="AA90" i="3"/>
  <c r="Y91" i="3"/>
  <c r="AA92" i="3"/>
  <c r="Z89" i="3"/>
  <c r="Z87" i="3"/>
  <c r="Z91" i="3"/>
  <c r="Z85" i="3"/>
  <c r="Z155" i="3"/>
  <c r="AA156" i="3"/>
  <c r="Y93" i="3"/>
  <c r="Z94" i="3"/>
  <c r="AA95" i="3"/>
  <c r="Y97" i="3"/>
  <c r="AA75" i="3"/>
  <c r="AA155" i="3"/>
  <c r="Y157" i="3"/>
  <c r="Z93" i="3"/>
  <c r="AA94" i="3"/>
  <c r="Y96" i="3"/>
  <c r="Z97" i="3"/>
  <c r="AA98" i="3"/>
  <c r="Y100" i="3"/>
  <c r="Z101" i="3"/>
  <c r="AA102" i="3"/>
  <c r="Y104" i="3"/>
  <c r="Z105" i="3"/>
  <c r="Y156" i="3"/>
  <c r="Z157" i="3"/>
  <c r="AA93" i="3"/>
  <c r="Y95" i="3"/>
  <c r="Z96" i="3"/>
  <c r="Z156" i="3"/>
  <c r="AA157" i="3"/>
  <c r="AA101" i="3"/>
  <c r="Z102" i="3"/>
  <c r="Z103" i="3"/>
  <c r="Z104" i="3"/>
  <c r="Y155" i="3"/>
  <c r="Y98" i="3"/>
  <c r="Y99" i="3"/>
  <c r="AA103" i="3"/>
  <c r="AA104" i="3"/>
  <c r="Y105" i="3"/>
  <c r="Z95" i="3"/>
  <c r="AA96" i="3"/>
  <c r="AA97" i="3"/>
  <c r="Z98" i="3"/>
  <c r="Z99" i="3"/>
  <c r="Z100" i="3"/>
  <c r="AA105" i="3"/>
  <c r="Y94" i="3"/>
  <c r="Y101" i="3"/>
  <c r="Y107" i="3"/>
  <c r="Z108" i="3"/>
  <c r="AA109" i="3"/>
  <c r="Y111" i="3"/>
  <c r="Y102" i="3"/>
  <c r="Y106" i="3"/>
  <c r="Z107" i="3"/>
  <c r="AA108" i="3"/>
  <c r="Y110" i="3"/>
  <c r="Z111" i="3"/>
  <c r="Y103" i="3"/>
  <c r="Z106" i="3"/>
  <c r="AA107" i="3"/>
  <c r="Z110" i="3"/>
  <c r="Z112" i="3"/>
  <c r="AA113" i="3"/>
  <c r="Y115" i="3"/>
  <c r="Z116" i="3"/>
  <c r="AA117" i="3"/>
  <c r="Y119" i="3"/>
  <c r="Z120" i="3"/>
  <c r="AA121" i="3"/>
  <c r="Y123" i="3"/>
  <c r="Z124" i="3"/>
  <c r="AA125" i="3"/>
  <c r="AA99" i="3"/>
  <c r="Y108" i="3"/>
  <c r="AA110" i="3"/>
  <c r="AA112" i="3"/>
  <c r="Y114" i="3"/>
  <c r="Z115" i="3"/>
  <c r="AA116" i="3"/>
  <c r="Y118" i="3"/>
  <c r="Z119" i="3"/>
  <c r="AA120" i="3"/>
  <c r="AA106" i="3"/>
  <c r="Y109" i="3"/>
  <c r="Y113" i="3"/>
  <c r="Z114" i="3"/>
  <c r="AA115" i="3"/>
  <c r="Y117" i="3"/>
  <c r="Z118" i="3"/>
  <c r="AA119" i="3"/>
  <c r="Y121" i="3"/>
  <c r="Z122" i="3"/>
  <c r="AA123" i="3"/>
  <c r="AA111" i="3"/>
  <c r="Z113" i="3"/>
  <c r="AA114" i="3"/>
  <c r="Z121" i="3"/>
  <c r="Z123" i="3"/>
  <c r="AA126" i="3"/>
  <c r="Y128" i="3"/>
  <c r="Z129" i="3"/>
  <c r="AA130" i="3"/>
  <c r="Y132" i="3"/>
  <c r="Z133" i="3"/>
  <c r="AA134" i="3"/>
  <c r="Y136" i="3"/>
  <c r="Y112" i="3"/>
  <c r="Y120" i="3"/>
  <c r="Y127" i="3"/>
  <c r="Z128" i="3"/>
  <c r="AA129" i="3"/>
  <c r="Y131" i="3"/>
  <c r="Z132" i="3"/>
  <c r="AA133" i="3"/>
  <c r="Y135" i="3"/>
  <c r="Z136" i="3"/>
  <c r="AA137" i="3"/>
  <c r="Z117" i="3"/>
  <c r="AA118" i="3"/>
  <c r="Y122" i="3"/>
  <c r="Y124" i="3"/>
  <c r="Y125" i="3"/>
  <c r="Y126" i="3"/>
  <c r="Z127" i="3"/>
  <c r="AA128" i="3"/>
  <c r="Y130" i="3"/>
  <c r="Z131" i="3"/>
  <c r="AA132" i="3"/>
  <c r="Y134" i="3"/>
  <c r="Z135" i="3"/>
  <c r="AA136" i="3"/>
  <c r="AA100" i="3"/>
  <c r="AA124" i="3"/>
  <c r="Y129" i="3"/>
  <c r="Z137" i="3"/>
  <c r="Y138" i="3"/>
  <c r="Z139" i="3"/>
  <c r="AA140" i="3"/>
  <c r="Y142" i="3"/>
  <c r="Z143" i="3"/>
  <c r="AA144" i="3"/>
  <c r="Y146" i="3"/>
  <c r="Z147" i="3"/>
  <c r="AA148" i="3"/>
  <c r="Y150" i="3"/>
  <c r="Z151" i="3"/>
  <c r="AA152" i="3"/>
  <c r="Y154" i="3"/>
  <c r="Z76" i="3"/>
  <c r="Y116" i="3"/>
  <c r="Z126" i="3"/>
  <c r="AA127" i="3"/>
  <c r="Z134" i="3"/>
  <c r="AA135" i="3"/>
  <c r="Z138" i="3"/>
  <c r="AA139" i="3"/>
  <c r="Y141" i="3"/>
  <c r="Z142" i="3"/>
  <c r="AA143" i="3"/>
  <c r="Y145" i="3"/>
  <c r="Z146" i="3"/>
  <c r="AA147" i="3"/>
  <c r="Y149" i="3"/>
  <c r="Z150" i="3"/>
  <c r="AA151" i="3"/>
  <c r="Y153" i="3"/>
  <c r="Z154" i="3"/>
  <c r="AA76" i="3"/>
  <c r="Y78" i="3"/>
  <c r="Z79" i="3"/>
  <c r="AA80" i="3"/>
  <c r="Z109" i="3"/>
  <c r="Y133" i="3"/>
  <c r="AA138" i="3"/>
  <c r="Y140" i="3"/>
  <c r="Z141" i="3"/>
  <c r="AA142" i="3"/>
  <c r="Y144" i="3"/>
  <c r="Z145" i="3"/>
  <c r="AA146" i="3"/>
  <c r="Y148" i="3"/>
  <c r="Z149" i="3"/>
  <c r="AA150" i="3"/>
  <c r="Y152" i="3"/>
  <c r="Z153" i="3"/>
  <c r="AA154" i="3"/>
  <c r="AA122" i="3"/>
  <c r="Z125" i="3"/>
  <c r="Z130" i="3"/>
  <c r="AA131" i="3"/>
  <c r="Y137" i="3"/>
  <c r="Y139" i="3"/>
  <c r="Z140" i="3"/>
  <c r="AA141" i="3"/>
  <c r="Y147" i="3"/>
  <c r="Y76" i="3"/>
  <c r="AA79" i="3"/>
  <c r="Z80" i="3"/>
  <c r="Y82" i="3"/>
  <c r="Z83" i="3"/>
  <c r="AA84" i="3"/>
  <c r="Z81" i="3"/>
  <c r="Z144" i="3"/>
  <c r="AA145" i="3"/>
  <c r="Z152" i="3"/>
  <c r="AA153" i="3"/>
  <c r="Y77" i="3"/>
  <c r="Y81" i="3"/>
  <c r="Z82" i="3"/>
  <c r="AA83" i="3"/>
  <c r="Y143" i="3"/>
  <c r="Y151" i="3"/>
  <c r="Z77" i="3"/>
  <c r="Z78" i="3"/>
  <c r="Z148" i="3"/>
  <c r="AA149" i="3"/>
  <c r="AA77" i="3"/>
  <c r="AA78" i="3"/>
  <c r="Y79" i="3"/>
  <c r="Y80" i="3"/>
  <c r="AA81" i="3"/>
  <c r="Y83" i="3"/>
  <c r="Z84" i="3"/>
  <c r="AA82" i="3"/>
  <c r="Y84" i="3"/>
  <c r="BD127" i="1"/>
  <c r="BF126" i="1"/>
  <c r="B6" i="2"/>
  <c r="AB102" i="3"/>
  <c r="L11" i="2" a="1"/>
  <c r="L11" i="2" s="1"/>
  <c r="L12" i="2" s="1" a="1"/>
  <c r="L12" i="2" s="1"/>
  <c r="O15" i="2" a="1"/>
  <c r="O15" i="2" s="1"/>
  <c r="X7" i="11"/>
  <c r="X8" i="11" s="1"/>
  <c r="X9" i="11" s="1"/>
  <c r="X10" i="11" s="1"/>
  <c r="X11" i="11" s="1"/>
  <c r="X12" i="11" s="1"/>
  <c r="X13" i="11" s="1"/>
  <c r="X14" i="11" s="1"/>
  <c r="X15" i="11" s="1"/>
  <c r="X16" i="11" s="1"/>
  <c r="X17" i="11" s="1"/>
  <c r="X18" i="11" s="1"/>
  <c r="X19" i="11" s="1"/>
  <c r="X20" i="11" s="1"/>
  <c r="X21" i="11" s="1"/>
  <c r="X22" i="11" s="1"/>
  <c r="X23" i="11" s="1"/>
  <c r="X24" i="11" s="1"/>
  <c r="X25" i="11" s="1"/>
  <c r="X26" i="11" s="1"/>
  <c r="X27" i="11" s="1"/>
  <c r="X28" i="11" s="1"/>
  <c r="X29" i="11" s="1"/>
  <c r="X30" i="11" s="1"/>
  <c r="X31" i="11" s="1"/>
  <c r="X32" i="11" s="1"/>
  <c r="X33" i="11" s="1"/>
  <c r="X34" i="11" s="1"/>
  <c r="X35" i="11" s="1"/>
  <c r="X36" i="11" s="1"/>
  <c r="X37" i="11" s="1"/>
  <c r="X38" i="11" s="1"/>
  <c r="X39" i="11" s="1"/>
  <c r="X40" i="11" s="1"/>
  <c r="X41" i="11" s="1"/>
  <c r="X42" i="11" s="1"/>
  <c r="X43" i="11" s="1"/>
  <c r="X44" i="11" s="1"/>
  <c r="X45" i="11" s="1"/>
  <c r="X46" i="11" s="1"/>
  <c r="X47" i="11" s="1"/>
  <c r="X48" i="11" s="1"/>
  <c r="X49" i="11" s="1"/>
  <c r="Z54" i="3"/>
  <c r="AA54" i="3"/>
  <c r="Y56" i="3"/>
  <c r="Z57" i="3"/>
  <c r="AA58" i="3"/>
  <c r="Y55" i="3"/>
  <c r="Z56" i="3"/>
  <c r="AA57" i="3"/>
  <c r="Y59" i="3"/>
  <c r="Z60" i="3"/>
  <c r="AA61" i="3"/>
  <c r="Z55" i="3"/>
  <c r="Z59" i="3"/>
  <c r="Y63" i="3"/>
  <c r="Z64" i="3"/>
  <c r="AA65" i="3"/>
  <c r="Y54" i="3"/>
  <c r="AA55" i="3"/>
  <c r="Y57" i="3"/>
  <c r="AA59" i="3"/>
  <c r="Y60" i="3"/>
  <c r="Y61" i="3"/>
  <c r="Y62" i="3"/>
  <c r="Z63" i="3"/>
  <c r="AA64" i="3"/>
  <c r="Y58" i="3"/>
  <c r="AA60" i="3"/>
  <c r="Z61" i="3"/>
  <c r="Z62" i="3"/>
  <c r="AA63" i="3"/>
  <c r="Z65" i="3"/>
  <c r="Y67" i="3"/>
  <c r="Z68" i="3"/>
  <c r="AA69" i="3"/>
  <c r="Y71" i="3"/>
  <c r="Y66" i="3"/>
  <c r="Z67" i="3"/>
  <c r="AA68" i="3"/>
  <c r="Y70" i="3"/>
  <c r="Z71" i="3"/>
  <c r="Y64" i="3"/>
  <c r="Z66" i="3"/>
  <c r="AA67" i="3"/>
  <c r="AA56" i="3"/>
  <c r="Y68" i="3"/>
  <c r="AA70" i="3"/>
  <c r="AA72" i="3"/>
  <c r="Y74" i="3"/>
  <c r="Z75" i="3"/>
  <c r="Y69" i="3"/>
  <c r="Y73" i="3"/>
  <c r="Z74" i="3"/>
  <c r="Z58" i="3"/>
  <c r="AA62" i="3"/>
  <c r="AA66" i="3"/>
  <c r="Z69" i="3"/>
  <c r="AA71" i="3"/>
  <c r="Y72" i="3"/>
  <c r="Z73" i="3"/>
  <c r="AA74" i="3"/>
  <c r="Y65" i="3"/>
  <c r="Z70" i="3"/>
  <c r="Y75" i="3"/>
  <c r="Z72" i="3"/>
  <c r="AA73" i="3"/>
  <c r="G18" i="2"/>
  <c r="E12" i="2"/>
  <c r="I17" i="2"/>
  <c r="BE10" i="3"/>
  <c r="AZ10" i="3"/>
  <c r="A11" i="3"/>
  <c r="O10" i="3"/>
  <c r="O14" i="3"/>
  <c r="O18" i="3"/>
  <c r="O22" i="3"/>
  <c r="O26" i="3"/>
  <c r="O30" i="3"/>
  <c r="O34" i="3"/>
  <c r="O38" i="3"/>
  <c r="O42" i="3"/>
  <c r="O46" i="3"/>
  <c r="O50" i="3"/>
  <c r="N9" i="3"/>
  <c r="N13" i="3"/>
  <c r="N17" i="3"/>
  <c r="N21" i="3"/>
  <c r="N25" i="3"/>
  <c r="N29" i="3"/>
  <c r="N33" i="3"/>
  <c r="N37" i="3"/>
  <c r="N41" i="3"/>
  <c r="N45" i="3"/>
  <c r="N49" i="3"/>
  <c r="N53" i="3"/>
  <c r="O11" i="3"/>
  <c r="O15" i="3"/>
  <c r="O19" i="3"/>
  <c r="O23" i="3"/>
  <c r="O27" i="3"/>
  <c r="O31" i="3"/>
  <c r="O35" i="3"/>
  <c r="O39" i="3"/>
  <c r="O43" i="3"/>
  <c r="O47" i="3"/>
  <c r="O51" i="3"/>
  <c r="N10" i="3"/>
  <c r="N14" i="3"/>
  <c r="N18" i="3"/>
  <c r="N22" i="3"/>
  <c r="N26" i="3"/>
  <c r="N30" i="3"/>
  <c r="N34" i="3"/>
  <c r="N38" i="3"/>
  <c r="N42" i="3"/>
  <c r="N46" i="3"/>
  <c r="N50" i="3"/>
  <c r="N8" i="3"/>
  <c r="O8" i="3"/>
  <c r="O12" i="3"/>
  <c r="O16" i="3"/>
  <c r="O20" i="3"/>
  <c r="O24" i="3"/>
  <c r="O28" i="3"/>
  <c r="O32" i="3"/>
  <c r="O36" i="3"/>
  <c r="O40" i="3"/>
  <c r="O44" i="3"/>
  <c r="O48" i="3"/>
  <c r="O52" i="3"/>
  <c r="N11" i="3"/>
  <c r="N15" i="3"/>
  <c r="N19" i="3"/>
  <c r="N23" i="3"/>
  <c r="N27" i="3"/>
  <c r="N31" i="3"/>
  <c r="N35" i="3"/>
  <c r="N39" i="3"/>
  <c r="N43" i="3"/>
  <c r="N47" i="3"/>
  <c r="N51" i="3"/>
  <c r="O9" i="3"/>
  <c r="O13" i="3"/>
  <c r="O17" i="3"/>
  <c r="O21" i="3"/>
  <c r="O25" i="3"/>
  <c r="O29" i="3"/>
  <c r="O33" i="3"/>
  <c r="O37" i="3"/>
  <c r="O41" i="3"/>
  <c r="O45" i="3"/>
  <c r="O49" i="3"/>
  <c r="O53" i="3"/>
  <c r="N12" i="3"/>
  <c r="N16" i="3"/>
  <c r="N20" i="3"/>
  <c r="N24" i="3"/>
  <c r="N28" i="3"/>
  <c r="N32" i="3"/>
  <c r="N36" i="3"/>
  <c r="N40" i="3"/>
  <c r="N44" i="3"/>
  <c r="N48" i="3"/>
  <c r="N52" i="3"/>
  <c r="M53" i="3"/>
  <c r="M52" i="3"/>
  <c r="M9" i="3"/>
  <c r="M30" i="3"/>
  <c r="M31" i="3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17" i="3"/>
  <c r="M18" i="3"/>
  <c r="M19" i="3"/>
  <c r="M20" i="3"/>
  <c r="M21" i="3"/>
  <c r="M22" i="3"/>
  <c r="M10" i="3"/>
  <c r="M24" i="3"/>
  <c r="M25" i="3"/>
  <c r="M26" i="3"/>
  <c r="M27" i="3"/>
  <c r="M28" i="3"/>
  <c r="M29" i="3"/>
  <c r="M11" i="3"/>
  <c r="M12" i="3"/>
  <c r="M13" i="3"/>
  <c r="M14" i="3"/>
  <c r="M23" i="3"/>
  <c r="M8" i="3"/>
  <c r="M15" i="3"/>
  <c r="M16" i="3"/>
  <c r="Y6" i="11"/>
  <c r="B7" i="2" l="1"/>
  <c r="X72" i="3"/>
  <c r="X74" i="3"/>
  <c r="V72" i="3"/>
  <c r="W72" i="3"/>
  <c r="BF127" i="1"/>
  <c r="BD128" i="1"/>
  <c r="AC86" i="3"/>
  <c r="AC88" i="3"/>
  <c r="AC90" i="3"/>
  <c r="AC92" i="3"/>
  <c r="AB85" i="3"/>
  <c r="AD86" i="3"/>
  <c r="AB87" i="3"/>
  <c r="AD88" i="3"/>
  <c r="AB89" i="3"/>
  <c r="AD90" i="3"/>
  <c r="AB91" i="3"/>
  <c r="AD92" i="3"/>
  <c r="AC85" i="3"/>
  <c r="AC87" i="3"/>
  <c r="AC89" i="3"/>
  <c r="AC91" i="3"/>
  <c r="AD87" i="3"/>
  <c r="AB92" i="3"/>
  <c r="AD85" i="3"/>
  <c r="AB90" i="3"/>
  <c r="AB86" i="3"/>
  <c r="AD89" i="3"/>
  <c r="AB88" i="3"/>
  <c r="AD91" i="3"/>
  <c r="AD155" i="3"/>
  <c r="AB157" i="3"/>
  <c r="AC93" i="3"/>
  <c r="AD94" i="3"/>
  <c r="AB96" i="3"/>
  <c r="AC97" i="3"/>
  <c r="AB156" i="3"/>
  <c r="AC157" i="3"/>
  <c r="AD93" i="3"/>
  <c r="AB95" i="3"/>
  <c r="AC96" i="3"/>
  <c r="AD97" i="3"/>
  <c r="AB99" i="3"/>
  <c r="AC100" i="3"/>
  <c r="AD101" i="3"/>
  <c r="AB103" i="3"/>
  <c r="AC104" i="3"/>
  <c r="AD105" i="3"/>
  <c r="AB155" i="3"/>
  <c r="AC156" i="3"/>
  <c r="AD157" i="3"/>
  <c r="AB94" i="3"/>
  <c r="AC95" i="3"/>
  <c r="AD96" i="3"/>
  <c r="AB93" i="3"/>
  <c r="AC94" i="3"/>
  <c r="AC98" i="3"/>
  <c r="AC99" i="3"/>
  <c r="AB100" i="3"/>
  <c r="AD156" i="3"/>
  <c r="AD98" i="3"/>
  <c r="AD99" i="3"/>
  <c r="AD100" i="3"/>
  <c r="AB101" i="3"/>
  <c r="AC155" i="3"/>
  <c r="AC101" i="3"/>
  <c r="AC102" i="3"/>
  <c r="AC103" i="3"/>
  <c r="AB104" i="3"/>
  <c r="AD95" i="3"/>
  <c r="AB97" i="3"/>
  <c r="AD104" i="3"/>
  <c r="AB106" i="3"/>
  <c r="AC107" i="3"/>
  <c r="AD108" i="3"/>
  <c r="AB110" i="3"/>
  <c r="AC111" i="3"/>
  <c r="AB105" i="3"/>
  <c r="AC106" i="3"/>
  <c r="AD107" i="3"/>
  <c r="AB109" i="3"/>
  <c r="AC110" i="3"/>
  <c r="AD111" i="3"/>
  <c r="AD102" i="3"/>
  <c r="AC105" i="3"/>
  <c r="AD106" i="3"/>
  <c r="AB108" i="3"/>
  <c r="AC109" i="3"/>
  <c r="AB111" i="3"/>
  <c r="AD112" i="3"/>
  <c r="AB114" i="3"/>
  <c r="AC115" i="3"/>
  <c r="AD116" i="3"/>
  <c r="AB118" i="3"/>
  <c r="AC119" i="3"/>
  <c r="AD120" i="3"/>
  <c r="AB122" i="3"/>
  <c r="AC123" i="3"/>
  <c r="AD124" i="3"/>
  <c r="AD103" i="3"/>
  <c r="AD109" i="3"/>
  <c r="AB113" i="3"/>
  <c r="AC114" i="3"/>
  <c r="AD115" i="3"/>
  <c r="AB117" i="3"/>
  <c r="AC118" i="3"/>
  <c r="AD119" i="3"/>
  <c r="AB107" i="3"/>
  <c r="AC108" i="3"/>
  <c r="AD110" i="3"/>
  <c r="AB112" i="3"/>
  <c r="AC113" i="3"/>
  <c r="AD114" i="3"/>
  <c r="AB116" i="3"/>
  <c r="AC117" i="3"/>
  <c r="AD118" i="3"/>
  <c r="AB120" i="3"/>
  <c r="AC121" i="3"/>
  <c r="AD122" i="3"/>
  <c r="AB124" i="3"/>
  <c r="AB98" i="3"/>
  <c r="AB115" i="3"/>
  <c r="AC116" i="3"/>
  <c r="AC122" i="3"/>
  <c r="AC124" i="3"/>
  <c r="AB125" i="3"/>
  <c r="AB127" i="3"/>
  <c r="AC128" i="3"/>
  <c r="AD129" i="3"/>
  <c r="AB131" i="3"/>
  <c r="AC132" i="3"/>
  <c r="AD133" i="3"/>
  <c r="AB135" i="3"/>
  <c r="AC136" i="3"/>
  <c r="AD113" i="3"/>
  <c r="AB121" i="3"/>
  <c r="AB123" i="3"/>
  <c r="AC125" i="3"/>
  <c r="AB126" i="3"/>
  <c r="AC127" i="3"/>
  <c r="AD128" i="3"/>
  <c r="AB130" i="3"/>
  <c r="AC131" i="3"/>
  <c r="AD132" i="3"/>
  <c r="AB134" i="3"/>
  <c r="AC135" i="3"/>
  <c r="AD136" i="3"/>
  <c r="AC112" i="3"/>
  <c r="AB119" i="3"/>
  <c r="AC120" i="3"/>
  <c r="AD121" i="3"/>
  <c r="AD123" i="3"/>
  <c r="AD125" i="3"/>
  <c r="AC126" i="3"/>
  <c r="AD127" i="3"/>
  <c r="AB129" i="3"/>
  <c r="AC130" i="3"/>
  <c r="AD131" i="3"/>
  <c r="AB133" i="3"/>
  <c r="AC134" i="3"/>
  <c r="AD135" i="3"/>
  <c r="AD130" i="3"/>
  <c r="AC138" i="3"/>
  <c r="AD139" i="3"/>
  <c r="AB141" i="3"/>
  <c r="AC142" i="3"/>
  <c r="AD143" i="3"/>
  <c r="AB145" i="3"/>
  <c r="AC146" i="3"/>
  <c r="AD147" i="3"/>
  <c r="AB149" i="3"/>
  <c r="AC150" i="3"/>
  <c r="AD151" i="3"/>
  <c r="AB153" i="3"/>
  <c r="AC154" i="3"/>
  <c r="AD76" i="3"/>
  <c r="AD117" i="3"/>
  <c r="AB128" i="3"/>
  <c r="AC129" i="3"/>
  <c r="AB136" i="3"/>
  <c r="AB137" i="3"/>
  <c r="AD138" i="3"/>
  <c r="AB140" i="3"/>
  <c r="AC141" i="3"/>
  <c r="AD142" i="3"/>
  <c r="AB144" i="3"/>
  <c r="AC145" i="3"/>
  <c r="AD146" i="3"/>
  <c r="AB148" i="3"/>
  <c r="AC149" i="3"/>
  <c r="AD150" i="3"/>
  <c r="AB152" i="3"/>
  <c r="AC153" i="3"/>
  <c r="AD154" i="3"/>
  <c r="AB77" i="3"/>
  <c r="AC78" i="3"/>
  <c r="AD79" i="3"/>
  <c r="AD126" i="3"/>
  <c r="AD134" i="3"/>
  <c r="AC137" i="3"/>
  <c r="AB139" i="3"/>
  <c r="AC140" i="3"/>
  <c r="AD141" i="3"/>
  <c r="AB143" i="3"/>
  <c r="AC144" i="3"/>
  <c r="AD145" i="3"/>
  <c r="AB147" i="3"/>
  <c r="AC148" i="3"/>
  <c r="AD149" i="3"/>
  <c r="AB151" i="3"/>
  <c r="AC152" i="3"/>
  <c r="AD153" i="3"/>
  <c r="AB76" i="3"/>
  <c r="AB132" i="3"/>
  <c r="AC133" i="3"/>
  <c r="AD137" i="3"/>
  <c r="AB138" i="3"/>
  <c r="AC139" i="3"/>
  <c r="AD140" i="3"/>
  <c r="AD148" i="3"/>
  <c r="AC77" i="3"/>
  <c r="AB78" i="3"/>
  <c r="AB81" i="3"/>
  <c r="AC82" i="3"/>
  <c r="AD83" i="3"/>
  <c r="AC80" i="3"/>
  <c r="AB146" i="3"/>
  <c r="AC147" i="3"/>
  <c r="AB154" i="3"/>
  <c r="AC76" i="3"/>
  <c r="AD77" i="3"/>
  <c r="AD78" i="3"/>
  <c r="AB79" i="3"/>
  <c r="AB80" i="3"/>
  <c r="AC81" i="3"/>
  <c r="AD82" i="3"/>
  <c r="AB84" i="3"/>
  <c r="AC84" i="3"/>
  <c r="AD144" i="3"/>
  <c r="AD152" i="3"/>
  <c r="AC79" i="3"/>
  <c r="AB83" i="3"/>
  <c r="AB142" i="3"/>
  <c r="AC143" i="3"/>
  <c r="AB150" i="3"/>
  <c r="AC151" i="3"/>
  <c r="AD80" i="3"/>
  <c r="AB82" i="3"/>
  <c r="AC83" i="3"/>
  <c r="AD84" i="3"/>
  <c r="AD81" i="3"/>
  <c r="L13" i="2" a="1"/>
  <c r="L13" i="2" s="1"/>
  <c r="L14" i="2" s="1" a="1"/>
  <c r="L14" i="2" s="1"/>
  <c r="O16" i="2" a="1"/>
  <c r="O16" i="2" s="1"/>
  <c r="O17" i="2" s="1" a="1"/>
  <c r="O17" i="2" s="1"/>
  <c r="O18" i="2" s="1" a="1"/>
  <c r="O18" i="2" s="1"/>
  <c r="O19" i="2" s="1" a="1"/>
  <c r="O19" i="2" s="1"/>
  <c r="O20" i="2" s="1" a="1"/>
  <c r="O20" i="2" s="1"/>
  <c r="O21" i="2" s="1" a="1"/>
  <c r="O21" i="2" s="1"/>
  <c r="O22" i="2" s="1" a="1"/>
  <c r="O22" i="2" s="1"/>
  <c r="O23" i="2" s="1" a="1"/>
  <c r="O23" i="2" s="1"/>
  <c r="O24" i="2" s="1" a="1"/>
  <c r="O24" i="2" s="1"/>
  <c r="O25" i="2" s="1" a="1"/>
  <c r="O25" i="2" s="1"/>
  <c r="BE11" i="3"/>
  <c r="Y7" i="11"/>
  <c r="Y8" i="11" s="1"/>
  <c r="Y9" i="11" s="1"/>
  <c r="Y10" i="11" s="1"/>
  <c r="Y11" i="11" s="1"/>
  <c r="Y12" i="11" s="1"/>
  <c r="Y13" i="11" s="1"/>
  <c r="Y14" i="11" s="1"/>
  <c r="Y15" i="11" s="1"/>
  <c r="Y16" i="11" s="1"/>
  <c r="Y17" i="11" s="1"/>
  <c r="Y18" i="11" s="1"/>
  <c r="Y19" i="11" s="1"/>
  <c r="Y20" i="11" s="1"/>
  <c r="Y21" i="11" s="1"/>
  <c r="Y22" i="11" s="1"/>
  <c r="Y23" i="11" s="1"/>
  <c r="Y24" i="11" s="1"/>
  <c r="Y25" i="11" s="1"/>
  <c r="Y26" i="11" s="1"/>
  <c r="Y27" i="11" s="1"/>
  <c r="Y28" i="11" s="1"/>
  <c r="Y29" i="11" s="1"/>
  <c r="Y30" i="11" s="1"/>
  <c r="Y31" i="11" s="1"/>
  <c r="Y32" i="11" s="1"/>
  <c r="Y33" i="11" s="1"/>
  <c r="Y34" i="11" s="1"/>
  <c r="Y35" i="11" s="1"/>
  <c r="Y36" i="11" s="1"/>
  <c r="Y37" i="11" s="1"/>
  <c r="Y38" i="11" s="1"/>
  <c r="Y39" i="11" s="1"/>
  <c r="Y40" i="11" s="1"/>
  <c r="Y41" i="11" s="1"/>
  <c r="Y42" i="11" s="1"/>
  <c r="Y43" i="11" s="1"/>
  <c r="Y44" i="11" s="1"/>
  <c r="Y45" i="11" s="1"/>
  <c r="Y46" i="11" s="1"/>
  <c r="Y47" i="11" s="1"/>
  <c r="Y48" i="11" s="1"/>
  <c r="Y49" i="11" s="1"/>
  <c r="Y50" i="11" s="1"/>
  <c r="Y51" i="11" s="1"/>
  <c r="Y52" i="11" s="1"/>
  <c r="Y53" i="11" s="1"/>
  <c r="Y54" i="11" s="1"/>
  <c r="Y55" i="11" s="1"/>
  <c r="Y56" i="11" s="1"/>
  <c r="E13" i="2"/>
  <c r="AD54" i="3"/>
  <c r="AB55" i="3"/>
  <c r="AC56" i="3"/>
  <c r="AD57" i="3"/>
  <c r="AB59" i="3"/>
  <c r="AB54" i="3"/>
  <c r="AC55" i="3"/>
  <c r="AD56" i="3"/>
  <c r="AB58" i="3"/>
  <c r="AC59" i="3"/>
  <c r="AD60" i="3"/>
  <c r="AB56" i="3"/>
  <c r="AC58" i="3"/>
  <c r="AC60" i="3"/>
  <c r="AC61" i="3"/>
  <c r="AB62" i="3"/>
  <c r="AC63" i="3"/>
  <c r="AD64" i="3"/>
  <c r="AD58" i="3"/>
  <c r="AD61" i="3"/>
  <c r="AC62" i="3"/>
  <c r="AD63" i="3"/>
  <c r="AC54" i="3"/>
  <c r="AD55" i="3"/>
  <c r="AB57" i="3"/>
  <c r="AD59" i="3"/>
  <c r="AD62" i="3"/>
  <c r="AB64" i="3"/>
  <c r="AB66" i="3"/>
  <c r="AC67" i="3"/>
  <c r="AD68" i="3"/>
  <c r="AB70" i="3"/>
  <c r="AC71" i="3"/>
  <c r="AC57" i="3"/>
  <c r="AB65" i="3"/>
  <c r="AC66" i="3"/>
  <c r="AD67" i="3"/>
  <c r="AB69" i="3"/>
  <c r="AC70" i="3"/>
  <c r="AD71" i="3"/>
  <c r="AB60" i="3"/>
  <c r="AB61" i="3"/>
  <c r="AC65" i="3"/>
  <c r="AD66" i="3"/>
  <c r="AD65" i="3"/>
  <c r="AD69" i="3"/>
  <c r="AB73" i="3"/>
  <c r="AC74" i="3"/>
  <c r="AD75" i="3"/>
  <c r="AB68" i="3"/>
  <c r="AD70" i="3"/>
  <c r="AB72" i="3"/>
  <c r="AC73" i="3"/>
  <c r="AD74" i="3"/>
  <c r="AB63" i="3"/>
  <c r="AC64" i="3"/>
  <c r="AB67" i="3"/>
  <c r="AC68" i="3"/>
  <c r="AC72" i="3"/>
  <c r="AD73" i="3"/>
  <c r="AB75" i="3"/>
  <c r="AC69" i="3"/>
  <c r="AB71" i="3"/>
  <c r="AB74" i="3"/>
  <c r="AC75" i="3"/>
  <c r="AD72" i="3"/>
  <c r="AZ11" i="3"/>
  <c r="A12" i="3"/>
  <c r="P52" i="3"/>
  <c r="P53" i="3"/>
  <c r="P23" i="3"/>
  <c r="P9" i="3"/>
  <c r="P30" i="3"/>
  <c r="P31" i="3"/>
  <c r="P32" i="3"/>
  <c r="P33" i="3"/>
  <c r="P34" i="3"/>
  <c r="P35" i="3"/>
  <c r="P36" i="3"/>
  <c r="P37" i="3"/>
  <c r="P38" i="3"/>
  <c r="P39" i="3"/>
  <c r="P40" i="3"/>
  <c r="P41" i="3"/>
  <c r="P42" i="3"/>
  <c r="P43" i="3"/>
  <c r="P44" i="3"/>
  <c r="P45" i="3"/>
  <c r="P46" i="3"/>
  <c r="P47" i="3"/>
  <c r="P48" i="3"/>
  <c r="P49" i="3"/>
  <c r="P50" i="3"/>
  <c r="P51" i="3"/>
  <c r="P17" i="3"/>
  <c r="P18" i="3"/>
  <c r="P19" i="3"/>
  <c r="P20" i="3"/>
  <c r="P21" i="3"/>
  <c r="P22" i="3"/>
  <c r="P24" i="3"/>
  <c r="P25" i="3"/>
  <c r="P26" i="3"/>
  <c r="P27" i="3"/>
  <c r="P28" i="3"/>
  <c r="P29" i="3"/>
  <c r="P11" i="3"/>
  <c r="P12" i="3"/>
  <c r="P13" i="3"/>
  <c r="P14" i="3"/>
  <c r="P15" i="3"/>
  <c r="P16" i="3"/>
  <c r="P10" i="3"/>
  <c r="P8" i="3"/>
  <c r="Z6" i="11"/>
  <c r="AE85" i="3" l="1"/>
  <c r="AG86" i="3"/>
  <c r="AE87" i="3"/>
  <c r="AG88" i="3"/>
  <c r="AE89" i="3"/>
  <c r="AG90" i="3"/>
  <c r="AE91" i="3"/>
  <c r="AG92" i="3"/>
  <c r="AF85" i="3"/>
  <c r="AF87" i="3"/>
  <c r="AF89" i="3"/>
  <c r="AF91" i="3"/>
  <c r="AG85" i="3"/>
  <c r="AE86" i="3"/>
  <c r="AG87" i="3"/>
  <c r="AE88" i="3"/>
  <c r="AG89" i="3"/>
  <c r="AE90" i="3"/>
  <c r="AG91" i="3"/>
  <c r="AE92" i="3"/>
  <c r="AF90" i="3"/>
  <c r="AF92" i="3"/>
  <c r="AF88" i="3"/>
  <c r="AF86" i="3"/>
  <c r="AE156" i="3"/>
  <c r="AF157" i="3"/>
  <c r="AG93" i="3"/>
  <c r="AE95" i="3"/>
  <c r="AF96" i="3"/>
  <c r="AG97" i="3"/>
  <c r="AE155" i="3"/>
  <c r="AF156" i="3"/>
  <c r="AG157" i="3"/>
  <c r="AE94" i="3"/>
  <c r="AF95" i="3"/>
  <c r="AG96" i="3"/>
  <c r="AE98" i="3"/>
  <c r="AF99" i="3"/>
  <c r="AG100" i="3"/>
  <c r="AF103" i="3"/>
  <c r="AG104" i="3"/>
  <c r="AF155" i="3"/>
  <c r="AG156" i="3"/>
  <c r="AF94" i="3"/>
  <c r="AG95" i="3"/>
  <c r="AE97" i="3"/>
  <c r="AF101" i="3"/>
  <c r="AF102" i="3"/>
  <c r="AE104" i="3"/>
  <c r="AE157" i="3"/>
  <c r="AF93" i="3"/>
  <c r="AG94" i="3"/>
  <c r="AF97" i="3"/>
  <c r="AG101" i="3"/>
  <c r="AG102" i="3"/>
  <c r="AG103" i="3"/>
  <c r="AF104" i="3"/>
  <c r="AE105" i="3"/>
  <c r="AF98" i="3"/>
  <c r="AE99" i="3"/>
  <c r="AF105" i="3"/>
  <c r="AE96" i="3"/>
  <c r="AG98" i="3"/>
  <c r="AG99" i="3"/>
  <c r="AF100" i="3"/>
  <c r="AF106" i="3"/>
  <c r="AG107" i="3"/>
  <c r="AE109" i="3"/>
  <c r="AG111" i="3"/>
  <c r="AE101" i="3"/>
  <c r="AG106" i="3"/>
  <c r="AE108" i="3"/>
  <c r="AF109" i="3"/>
  <c r="AG110" i="3"/>
  <c r="AG155" i="3"/>
  <c r="AE107" i="3"/>
  <c r="AF108" i="3"/>
  <c r="AE113" i="3"/>
  <c r="AF114" i="3"/>
  <c r="AG115" i="3"/>
  <c r="AE117" i="3"/>
  <c r="AF118" i="3"/>
  <c r="AG119" i="3"/>
  <c r="AE121" i="3"/>
  <c r="AF122" i="3"/>
  <c r="AG123" i="3"/>
  <c r="AE125" i="3"/>
  <c r="AE111" i="3"/>
  <c r="AE112" i="3"/>
  <c r="AF113" i="3"/>
  <c r="AG114" i="3"/>
  <c r="AE116" i="3"/>
  <c r="AF117" i="3"/>
  <c r="AG118" i="3"/>
  <c r="AE120" i="3"/>
  <c r="AG109" i="3"/>
  <c r="AF111" i="3"/>
  <c r="AF112" i="3"/>
  <c r="AG113" i="3"/>
  <c r="AE115" i="3"/>
  <c r="AF116" i="3"/>
  <c r="AG117" i="3"/>
  <c r="AE119" i="3"/>
  <c r="AF120" i="3"/>
  <c r="AG121" i="3"/>
  <c r="AE123" i="3"/>
  <c r="AF124" i="3"/>
  <c r="AG125" i="3"/>
  <c r="AE126" i="3"/>
  <c r="AF127" i="3"/>
  <c r="AG128" i="3"/>
  <c r="AE130" i="3"/>
  <c r="AF131" i="3"/>
  <c r="AG132" i="3"/>
  <c r="AE134" i="3"/>
  <c r="AF135" i="3"/>
  <c r="AG136" i="3"/>
  <c r="AE114" i="3"/>
  <c r="AF115" i="3"/>
  <c r="AG116" i="3"/>
  <c r="AE122" i="3"/>
  <c r="AE124" i="3"/>
  <c r="AF126" i="3"/>
  <c r="AG127" i="3"/>
  <c r="AE129" i="3"/>
  <c r="AF130" i="3"/>
  <c r="AG131" i="3"/>
  <c r="AE133" i="3"/>
  <c r="AF134" i="3"/>
  <c r="AG135" i="3"/>
  <c r="AE137" i="3"/>
  <c r="AE106" i="3"/>
  <c r="AF107" i="3"/>
  <c r="AG108" i="3"/>
  <c r="AE110" i="3"/>
  <c r="AG122" i="3"/>
  <c r="AG124" i="3"/>
  <c r="AG126" i="3"/>
  <c r="AE128" i="3"/>
  <c r="AF129" i="3"/>
  <c r="AG130" i="3"/>
  <c r="AE132" i="3"/>
  <c r="AF133" i="3"/>
  <c r="AG134" i="3"/>
  <c r="AE136" i="3"/>
  <c r="AF125" i="3"/>
  <c r="AE131" i="3"/>
  <c r="AF132" i="3"/>
  <c r="AG133" i="3"/>
  <c r="AF137" i="3"/>
  <c r="AG138" i="3"/>
  <c r="AE140" i="3"/>
  <c r="AF141" i="3"/>
  <c r="AG142" i="3"/>
  <c r="AE144" i="3"/>
  <c r="AF145" i="3"/>
  <c r="AG146" i="3"/>
  <c r="AE148" i="3"/>
  <c r="AF149" i="3"/>
  <c r="AG150" i="3"/>
  <c r="AE152" i="3"/>
  <c r="AF153" i="3"/>
  <c r="AG154" i="3"/>
  <c r="AE118" i="3"/>
  <c r="AF119" i="3"/>
  <c r="AG120" i="3"/>
  <c r="AF121" i="3"/>
  <c r="AG137" i="3"/>
  <c r="AE139" i="3"/>
  <c r="AF140" i="3"/>
  <c r="AG141" i="3"/>
  <c r="AE143" i="3"/>
  <c r="AF144" i="3"/>
  <c r="AG145" i="3"/>
  <c r="AE147" i="3"/>
  <c r="AF148" i="3"/>
  <c r="AG149" i="3"/>
  <c r="AE151" i="3"/>
  <c r="AF152" i="3"/>
  <c r="AG153" i="3"/>
  <c r="AE76" i="3"/>
  <c r="AF77" i="3"/>
  <c r="AG78" i="3"/>
  <c r="AE80" i="3"/>
  <c r="AG105" i="3"/>
  <c r="AF123" i="3"/>
  <c r="AE127" i="3"/>
  <c r="AF128" i="3"/>
  <c r="AG129" i="3"/>
  <c r="AE135" i="3"/>
  <c r="AF136" i="3"/>
  <c r="AE138" i="3"/>
  <c r="AF139" i="3"/>
  <c r="AG140" i="3"/>
  <c r="AE142" i="3"/>
  <c r="AF143" i="3"/>
  <c r="AG144" i="3"/>
  <c r="AE146" i="3"/>
  <c r="AF147" i="3"/>
  <c r="AG148" i="3"/>
  <c r="AE150" i="3"/>
  <c r="AF151" i="3"/>
  <c r="AG152" i="3"/>
  <c r="AE154" i="3"/>
  <c r="AF76" i="3"/>
  <c r="AG112" i="3"/>
  <c r="AF138" i="3"/>
  <c r="AG139" i="3"/>
  <c r="AE141" i="3"/>
  <c r="AF142" i="3"/>
  <c r="AG143" i="3"/>
  <c r="AE149" i="3"/>
  <c r="AF150" i="3"/>
  <c r="AG151" i="3"/>
  <c r="AF79" i="3"/>
  <c r="AF80" i="3"/>
  <c r="AF81" i="3"/>
  <c r="AG82" i="3"/>
  <c r="AE82" i="3"/>
  <c r="AG79" i="3"/>
  <c r="AG80" i="3"/>
  <c r="AG81" i="3"/>
  <c r="AE83" i="3"/>
  <c r="AF84" i="3"/>
  <c r="AF83" i="3"/>
  <c r="AE145" i="3"/>
  <c r="AF146" i="3"/>
  <c r="AG147" i="3"/>
  <c r="AE153" i="3"/>
  <c r="AF154" i="3"/>
  <c r="AG76" i="3"/>
  <c r="AE77" i="3"/>
  <c r="AE78" i="3"/>
  <c r="AG84" i="3"/>
  <c r="AG77" i="3"/>
  <c r="AF78" i="3"/>
  <c r="AE79" i="3"/>
  <c r="AE81" i="3"/>
  <c r="AF82" i="3"/>
  <c r="AG83" i="3"/>
  <c r="AE84" i="3"/>
  <c r="AE100" i="3"/>
  <c r="BD129" i="1"/>
  <c r="BF128" i="1"/>
  <c r="B8" i="2"/>
  <c r="AF110" i="3" s="1"/>
  <c r="AE93" i="3"/>
  <c r="AE103" i="3"/>
  <c r="V74" i="3"/>
  <c r="J15" i="3"/>
  <c r="L15" i="2" a="1"/>
  <c r="L15" i="2" s="1"/>
  <c r="L16" i="2" s="1" a="1"/>
  <c r="L16" i="2" s="1"/>
  <c r="L17" i="2" s="1" a="1"/>
  <c r="L17" i="2" s="1"/>
  <c r="L18" i="2" s="1" a="1"/>
  <c r="L18" i="2" s="1"/>
  <c r="L19" i="2" s="1" a="1"/>
  <c r="L19" i="2" s="1"/>
  <c r="L20" i="2" s="1" a="1"/>
  <c r="L20" i="2" s="1"/>
  <c r="L21" i="2" s="1" a="1"/>
  <c r="L21" i="2" s="1"/>
  <c r="L22" i="2" s="1" a="1"/>
  <c r="L22" i="2" s="1"/>
  <c r="L23" i="2" s="1" a="1"/>
  <c r="L23" i="2" s="1"/>
  <c r="L24" i="2" s="1" a="1"/>
  <c r="L24" i="2" s="1"/>
  <c r="L25" i="2" s="1" a="1"/>
  <c r="L25" i="2" s="1"/>
  <c r="L26" i="2" s="1" a="1"/>
  <c r="L26" i="2" s="1"/>
  <c r="L27" i="2" s="1" a="1"/>
  <c r="L27" i="2" s="1"/>
  <c r="L28" i="2" s="1" a="1"/>
  <c r="L28" i="2" s="1"/>
  <c r="L29" i="2" s="1" a="1"/>
  <c r="L29" i="2" s="1"/>
  <c r="L30" i="2" s="1" a="1"/>
  <c r="L30" i="2" s="1"/>
  <c r="L31" i="2" s="1" a="1"/>
  <c r="L31" i="2" s="1"/>
  <c r="L32" i="2" s="1" a="1"/>
  <c r="L32" i="2" s="1"/>
  <c r="L33" i="2" s="1" a="1"/>
  <c r="L33" i="2" s="1"/>
  <c r="L34" i="2" s="1" a="1"/>
  <c r="L34" i="2" s="1"/>
  <c r="L35" i="2" s="1" a="1"/>
  <c r="L35" i="2" s="1"/>
  <c r="L36" i="2" s="1" a="1"/>
  <c r="L36" i="2" s="1"/>
  <c r="L37" i="2" s="1" a="1"/>
  <c r="L37" i="2" s="1"/>
  <c r="L38" i="2" s="1" a="1"/>
  <c r="L38" i="2" s="1"/>
  <c r="L39" i="2" s="1" a="1"/>
  <c r="L39" i="2" s="1"/>
  <c r="L40" i="2" s="1" a="1"/>
  <c r="L40" i="2" s="1"/>
  <c r="L41" i="2" s="1" a="1"/>
  <c r="L41" i="2" s="1"/>
  <c r="L42" i="2" s="1" a="1"/>
  <c r="L42" i="2" s="1"/>
  <c r="L43" i="2" s="1" a="1"/>
  <c r="L43" i="2" s="1"/>
  <c r="L44" i="2" s="1" a="1"/>
  <c r="L44" i="2" s="1"/>
  <c r="L45" i="2" s="1" a="1"/>
  <c r="L45" i="2" s="1"/>
  <c r="L46" i="2" s="1" a="1"/>
  <c r="L46" i="2" s="1"/>
  <c r="L47" i="2" s="1" a="1"/>
  <c r="L47" i="2" s="1"/>
  <c r="L48" i="2" s="1" a="1"/>
  <c r="L48" i="2" s="1"/>
  <c r="L49" i="2" s="1" a="1"/>
  <c r="L49" i="2" s="1"/>
  <c r="L50" i="2" s="1" a="1"/>
  <c r="L50" i="2" s="1"/>
  <c r="O26" i="2" a="1"/>
  <c r="O26" i="2" s="1"/>
  <c r="O27" i="2" s="1" a="1"/>
  <c r="O27" i="2" s="1"/>
  <c r="Z7" i="11"/>
  <c r="Z8" i="11" s="1"/>
  <c r="Z9" i="11" s="1"/>
  <c r="Z10" i="11" s="1"/>
  <c r="Z11" i="11" s="1"/>
  <c r="Z12" i="11" s="1"/>
  <c r="Z13" i="11" s="1"/>
  <c r="Z14" i="11" s="1"/>
  <c r="Z15" i="11" s="1"/>
  <c r="Z16" i="11" s="1"/>
  <c r="Z17" i="11" s="1"/>
  <c r="Z18" i="11" s="1"/>
  <c r="Z19" i="11" s="1"/>
  <c r="Z20" i="11" s="1"/>
  <c r="Z21" i="11" s="1"/>
  <c r="Z22" i="11" s="1"/>
  <c r="Z23" i="11" s="1"/>
  <c r="Z24" i="11" s="1"/>
  <c r="Z25" i="11" s="1"/>
  <c r="Z26" i="11" s="1"/>
  <c r="Z27" i="11" s="1"/>
  <c r="Z28" i="11" s="1"/>
  <c r="Z29" i="11" s="1"/>
  <c r="Z30" i="11" s="1"/>
  <c r="Z31" i="11" s="1"/>
  <c r="Z32" i="11" s="1"/>
  <c r="Z33" i="11" s="1"/>
  <c r="Z34" i="11" s="1"/>
  <c r="Z35" i="11" s="1"/>
  <c r="Z36" i="11" s="1"/>
  <c r="Z37" i="11" s="1"/>
  <c r="Z38" i="11" s="1"/>
  <c r="Z39" i="11" s="1"/>
  <c r="Z40" i="11" s="1"/>
  <c r="Z41" i="11" s="1"/>
  <c r="Z42" i="11" s="1"/>
  <c r="Z43" i="11" s="1"/>
  <c r="Z44" i="11" s="1"/>
  <c r="Z45" i="11" s="1"/>
  <c r="Z46" i="11" s="1"/>
  <c r="Z47" i="11" s="1"/>
  <c r="Z48" i="11" s="1"/>
  <c r="Z49" i="11" s="1"/>
  <c r="Z50" i="11" s="1"/>
  <c r="Z51" i="11" s="1"/>
  <c r="Z52" i="11" s="1"/>
  <c r="Z53" i="11" s="1"/>
  <c r="Z54" i="11" s="1"/>
  <c r="Z55" i="11" s="1"/>
  <c r="Z56" i="11" s="1"/>
  <c r="Z57" i="11" s="1"/>
  <c r="Z58" i="11" s="1"/>
  <c r="Z59" i="11" s="1"/>
  <c r="Z60" i="11" s="1"/>
  <c r="Z61" i="11" s="1"/>
  <c r="Z62" i="11" s="1"/>
  <c r="Z63" i="11" s="1"/>
  <c r="Z64" i="11" s="1"/>
  <c r="Z65" i="11" s="1"/>
  <c r="Z66" i="11" s="1"/>
  <c r="AE54" i="3"/>
  <c r="AF55" i="3"/>
  <c r="AG56" i="3"/>
  <c r="AE58" i="3"/>
  <c r="AF59" i="3"/>
  <c r="AF54" i="3"/>
  <c r="AG55" i="3"/>
  <c r="AE57" i="3"/>
  <c r="AF58" i="3"/>
  <c r="AG59" i="3"/>
  <c r="AE61" i="3"/>
  <c r="AF57" i="3"/>
  <c r="AF62" i="3"/>
  <c r="AG63" i="3"/>
  <c r="AE65" i="3"/>
  <c r="AE56" i="3"/>
  <c r="AG57" i="3"/>
  <c r="AE60" i="3"/>
  <c r="AG62" i="3"/>
  <c r="AE64" i="3"/>
  <c r="AF56" i="3"/>
  <c r="AG58" i="3"/>
  <c r="AF60" i="3"/>
  <c r="AF61" i="3"/>
  <c r="AE63" i="3"/>
  <c r="AF64" i="3"/>
  <c r="AE62" i="3"/>
  <c r="AF63" i="3"/>
  <c r="AG64" i="3"/>
  <c r="AF65" i="3"/>
  <c r="AF66" i="3"/>
  <c r="AG67" i="3"/>
  <c r="AE69" i="3"/>
  <c r="AF70" i="3"/>
  <c r="AG71" i="3"/>
  <c r="AE55" i="3"/>
  <c r="AG65" i="3"/>
  <c r="AG66" i="3"/>
  <c r="AE68" i="3"/>
  <c r="AF69" i="3"/>
  <c r="AG70" i="3"/>
  <c r="AG54" i="3"/>
  <c r="AE59" i="3"/>
  <c r="AE67" i="3"/>
  <c r="AG68" i="3"/>
  <c r="AE71" i="3"/>
  <c r="AE72" i="3"/>
  <c r="AF73" i="3"/>
  <c r="AG74" i="3"/>
  <c r="AG69" i="3"/>
  <c r="AF71" i="3"/>
  <c r="AF72" i="3"/>
  <c r="AG73" i="3"/>
  <c r="AE75" i="3"/>
  <c r="AG61" i="3"/>
  <c r="AE70" i="3"/>
  <c r="AG72" i="3"/>
  <c r="AE74" i="3"/>
  <c r="AF75" i="3"/>
  <c r="AG60" i="3"/>
  <c r="AE66" i="3"/>
  <c r="AF67" i="3"/>
  <c r="AF68" i="3"/>
  <c r="AE73" i="3"/>
  <c r="AF74" i="3"/>
  <c r="AG75" i="3"/>
  <c r="E14" i="2"/>
  <c r="I18" i="2"/>
  <c r="G19" i="2"/>
  <c r="BE12" i="3"/>
  <c r="AZ12" i="3"/>
  <c r="A13" i="3"/>
  <c r="U9" i="3"/>
  <c r="U13" i="3"/>
  <c r="U17" i="3"/>
  <c r="U21" i="3"/>
  <c r="U25" i="3"/>
  <c r="U29" i="3"/>
  <c r="U33" i="3"/>
  <c r="U37" i="3"/>
  <c r="U41" i="3"/>
  <c r="U45" i="3"/>
  <c r="U49" i="3"/>
  <c r="U53" i="3"/>
  <c r="U10" i="3"/>
  <c r="U15" i="3"/>
  <c r="U20" i="3"/>
  <c r="U26" i="3"/>
  <c r="U31" i="3"/>
  <c r="U36" i="3"/>
  <c r="U42" i="3"/>
  <c r="U47" i="3"/>
  <c r="U52" i="3"/>
  <c r="T8" i="3"/>
  <c r="T12" i="3"/>
  <c r="T16" i="3"/>
  <c r="T20" i="3"/>
  <c r="T24" i="3"/>
  <c r="T28" i="3"/>
  <c r="T32" i="3"/>
  <c r="T36" i="3"/>
  <c r="T40" i="3"/>
  <c r="T44" i="3"/>
  <c r="T48" i="3"/>
  <c r="T52" i="3"/>
  <c r="U11" i="3"/>
  <c r="U16" i="3"/>
  <c r="U22" i="3"/>
  <c r="U27" i="3"/>
  <c r="U32" i="3"/>
  <c r="U38" i="3"/>
  <c r="U43" i="3"/>
  <c r="U48" i="3"/>
  <c r="T9" i="3"/>
  <c r="T13" i="3"/>
  <c r="T17" i="3"/>
  <c r="T21" i="3"/>
  <c r="T25" i="3"/>
  <c r="T29" i="3"/>
  <c r="T33" i="3"/>
  <c r="T37" i="3"/>
  <c r="T41" i="3"/>
  <c r="T45" i="3"/>
  <c r="T49" i="3"/>
  <c r="T53" i="3"/>
  <c r="U12" i="3"/>
  <c r="U18" i="3"/>
  <c r="U23" i="3"/>
  <c r="U28" i="3"/>
  <c r="U34" i="3"/>
  <c r="U39" i="3"/>
  <c r="U44" i="3"/>
  <c r="U50" i="3"/>
  <c r="T10" i="3"/>
  <c r="T14" i="3"/>
  <c r="T18" i="3"/>
  <c r="T22" i="3"/>
  <c r="T26" i="3"/>
  <c r="T30" i="3"/>
  <c r="T34" i="3"/>
  <c r="T38" i="3"/>
  <c r="T42" i="3"/>
  <c r="T46" i="3"/>
  <c r="T50" i="3"/>
  <c r="U8" i="3"/>
  <c r="U14" i="3"/>
  <c r="U19" i="3"/>
  <c r="U24" i="3"/>
  <c r="U30" i="3"/>
  <c r="U35" i="3"/>
  <c r="U40" i="3"/>
  <c r="U46" i="3"/>
  <c r="U51" i="3"/>
  <c r="T11" i="3"/>
  <c r="T15" i="3"/>
  <c r="T19" i="3"/>
  <c r="T23" i="3"/>
  <c r="T27" i="3"/>
  <c r="T31" i="3"/>
  <c r="T35" i="3"/>
  <c r="T39" i="3"/>
  <c r="T43" i="3"/>
  <c r="T47" i="3"/>
  <c r="T51" i="3"/>
  <c r="S22" i="3"/>
  <c r="S23" i="3"/>
  <c r="S52" i="3"/>
  <c r="S53" i="3"/>
  <c r="S24" i="3"/>
  <c r="S25" i="3"/>
  <c r="S26" i="3"/>
  <c r="S27" i="3"/>
  <c r="S28" i="3"/>
  <c r="S29" i="3"/>
  <c r="S11" i="3"/>
  <c r="S12" i="3"/>
  <c r="S13" i="3"/>
  <c r="S14" i="3"/>
  <c r="S15" i="3"/>
  <c r="S16" i="3"/>
  <c r="S10" i="3"/>
  <c r="S8" i="3"/>
  <c r="S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17" i="3"/>
  <c r="S18" i="3"/>
  <c r="S19" i="3"/>
  <c r="S20" i="3"/>
  <c r="S21" i="3"/>
  <c r="AA6" i="11"/>
  <c r="BF129" i="1" l="1"/>
  <c r="BD130" i="1"/>
  <c r="AI85" i="3"/>
  <c r="AI87" i="3"/>
  <c r="AI89" i="3"/>
  <c r="AI91" i="3"/>
  <c r="AJ85" i="3"/>
  <c r="AH86" i="3"/>
  <c r="AJ87" i="3"/>
  <c r="AH88" i="3"/>
  <c r="AJ89" i="3"/>
  <c r="AH90" i="3"/>
  <c r="AJ91" i="3"/>
  <c r="AH92" i="3"/>
  <c r="AI86" i="3"/>
  <c r="AI88" i="3"/>
  <c r="AI90" i="3"/>
  <c r="AI92" i="3"/>
  <c r="AH85" i="3"/>
  <c r="AJ88" i="3"/>
  <c r="AJ86" i="3"/>
  <c r="AH87" i="3"/>
  <c r="AJ90" i="3"/>
  <c r="AH91" i="3"/>
  <c r="AH89" i="3"/>
  <c r="AJ92" i="3"/>
  <c r="AH155" i="3"/>
  <c r="AI156" i="3"/>
  <c r="AJ157" i="3"/>
  <c r="AH94" i="3"/>
  <c r="AI95" i="3"/>
  <c r="AJ96" i="3"/>
  <c r="AI155" i="3"/>
  <c r="AJ156" i="3"/>
  <c r="AH93" i="3"/>
  <c r="AI94" i="3"/>
  <c r="AJ95" i="3"/>
  <c r="AH97" i="3"/>
  <c r="AI98" i="3"/>
  <c r="AJ99" i="3"/>
  <c r="AH101" i="3"/>
  <c r="AI102" i="3"/>
  <c r="AJ103" i="3"/>
  <c r="AH105" i="3"/>
  <c r="AJ155" i="3"/>
  <c r="AH157" i="3"/>
  <c r="AI93" i="3"/>
  <c r="AJ94" i="3"/>
  <c r="AH96" i="3"/>
  <c r="AH95" i="3"/>
  <c r="AI96" i="3"/>
  <c r="AH99" i="3"/>
  <c r="AH100" i="3"/>
  <c r="AJ104" i="3"/>
  <c r="AJ98" i="3"/>
  <c r="AI99" i="3"/>
  <c r="AI100" i="3"/>
  <c r="AJ105" i="3"/>
  <c r="AH156" i="3"/>
  <c r="AI157" i="3"/>
  <c r="AJ93" i="3"/>
  <c r="AI97" i="3"/>
  <c r="AJ100" i="3"/>
  <c r="AI101" i="3"/>
  <c r="AH102" i="3"/>
  <c r="AH103" i="3"/>
  <c r="AH104" i="3"/>
  <c r="AI103" i="3"/>
  <c r="AI105" i="3"/>
  <c r="AJ106" i="3"/>
  <c r="AH108" i="3"/>
  <c r="AI109" i="3"/>
  <c r="AJ110" i="3"/>
  <c r="AJ97" i="3"/>
  <c r="AI104" i="3"/>
  <c r="AH107" i="3"/>
  <c r="AI108" i="3"/>
  <c r="AJ109" i="3"/>
  <c r="AH111" i="3"/>
  <c r="AJ101" i="3"/>
  <c r="AH106" i="3"/>
  <c r="AI107" i="3"/>
  <c r="AJ108" i="3"/>
  <c r="AI106" i="3"/>
  <c r="AJ107" i="3"/>
  <c r="AH110" i="3"/>
  <c r="AJ111" i="3"/>
  <c r="AH112" i="3"/>
  <c r="AI113" i="3"/>
  <c r="AJ114" i="3"/>
  <c r="AH116" i="3"/>
  <c r="AI117" i="3"/>
  <c r="AJ118" i="3"/>
  <c r="AH120" i="3"/>
  <c r="AI121" i="3"/>
  <c r="AJ122" i="3"/>
  <c r="AH124" i="3"/>
  <c r="AI125" i="3"/>
  <c r="AI110" i="3"/>
  <c r="AI112" i="3"/>
  <c r="AJ113" i="3"/>
  <c r="AH115" i="3"/>
  <c r="AI116" i="3"/>
  <c r="AJ117" i="3"/>
  <c r="AH119" i="3"/>
  <c r="AI120" i="3"/>
  <c r="AJ102" i="3"/>
  <c r="AJ112" i="3"/>
  <c r="AH114" i="3"/>
  <c r="AI115" i="3"/>
  <c r="AJ116" i="3"/>
  <c r="AH118" i="3"/>
  <c r="AI119" i="3"/>
  <c r="AJ120" i="3"/>
  <c r="AH122" i="3"/>
  <c r="AI123" i="3"/>
  <c r="AJ124" i="3"/>
  <c r="AH109" i="3"/>
  <c r="AH117" i="3"/>
  <c r="AI118" i="3"/>
  <c r="AJ119" i="3"/>
  <c r="AH121" i="3"/>
  <c r="AH123" i="3"/>
  <c r="AI126" i="3"/>
  <c r="AJ127" i="3"/>
  <c r="AH129" i="3"/>
  <c r="AI130" i="3"/>
  <c r="AJ131" i="3"/>
  <c r="AH133" i="3"/>
  <c r="AI134" i="3"/>
  <c r="AJ135" i="3"/>
  <c r="AI111" i="3"/>
  <c r="AJ121" i="3"/>
  <c r="AJ123" i="3"/>
  <c r="AH125" i="3"/>
  <c r="AJ126" i="3"/>
  <c r="AH128" i="3"/>
  <c r="AI129" i="3"/>
  <c r="AJ130" i="3"/>
  <c r="AH132" i="3"/>
  <c r="AI133" i="3"/>
  <c r="AJ134" i="3"/>
  <c r="AH136" i="3"/>
  <c r="AH113" i="3"/>
  <c r="AI114" i="3"/>
  <c r="AJ115" i="3"/>
  <c r="AJ125" i="3"/>
  <c r="AH127" i="3"/>
  <c r="AI128" i="3"/>
  <c r="AJ129" i="3"/>
  <c r="AH131" i="3"/>
  <c r="AI132" i="3"/>
  <c r="AJ133" i="3"/>
  <c r="AH135" i="3"/>
  <c r="AI122" i="3"/>
  <c r="AJ136" i="3"/>
  <c r="AJ137" i="3"/>
  <c r="AH139" i="3"/>
  <c r="AI140" i="3"/>
  <c r="AJ141" i="3"/>
  <c r="AH143" i="3"/>
  <c r="AI144" i="3"/>
  <c r="AJ145" i="3"/>
  <c r="AH147" i="3"/>
  <c r="AI148" i="3"/>
  <c r="AJ149" i="3"/>
  <c r="AH151" i="3"/>
  <c r="AI152" i="3"/>
  <c r="AJ153" i="3"/>
  <c r="AH76" i="3"/>
  <c r="AI124" i="3"/>
  <c r="AH130" i="3"/>
  <c r="AI131" i="3"/>
  <c r="AJ132" i="3"/>
  <c r="AH138" i="3"/>
  <c r="AI139" i="3"/>
  <c r="AJ140" i="3"/>
  <c r="AH142" i="3"/>
  <c r="AI143" i="3"/>
  <c r="AJ144" i="3"/>
  <c r="AH146" i="3"/>
  <c r="AI147" i="3"/>
  <c r="AJ148" i="3"/>
  <c r="AH150" i="3"/>
  <c r="AI151" i="3"/>
  <c r="AJ152" i="3"/>
  <c r="AH154" i="3"/>
  <c r="AI76" i="3"/>
  <c r="AJ77" i="3"/>
  <c r="AH79" i="3"/>
  <c r="AI80" i="3"/>
  <c r="AH137" i="3"/>
  <c r="AI138" i="3"/>
  <c r="AJ139" i="3"/>
  <c r="AH141" i="3"/>
  <c r="AI142" i="3"/>
  <c r="AJ143" i="3"/>
  <c r="AH145" i="3"/>
  <c r="AI146" i="3"/>
  <c r="AJ147" i="3"/>
  <c r="AH149" i="3"/>
  <c r="AI150" i="3"/>
  <c r="AJ151" i="3"/>
  <c r="AH153" i="3"/>
  <c r="AI154" i="3"/>
  <c r="AJ76" i="3"/>
  <c r="AH126" i="3"/>
  <c r="AI127" i="3"/>
  <c r="AJ128" i="3"/>
  <c r="AH134" i="3"/>
  <c r="AI135" i="3"/>
  <c r="AI136" i="3"/>
  <c r="AI137" i="3"/>
  <c r="AJ138" i="3"/>
  <c r="AH140" i="3"/>
  <c r="AH77" i="3"/>
  <c r="AH78" i="3"/>
  <c r="AJ81" i="3"/>
  <c r="AH83" i="3"/>
  <c r="AI84" i="3"/>
  <c r="AJ83" i="3"/>
  <c r="AI141" i="3"/>
  <c r="AJ142" i="3"/>
  <c r="AH148" i="3"/>
  <c r="AI149" i="3"/>
  <c r="AJ150" i="3"/>
  <c r="AI77" i="3"/>
  <c r="AI78" i="3"/>
  <c r="AH82" i="3"/>
  <c r="AI83" i="3"/>
  <c r="AJ84" i="3"/>
  <c r="AI82" i="3"/>
  <c r="AJ78" i="3"/>
  <c r="AI79" i="3"/>
  <c r="AH80" i="3"/>
  <c r="AH81" i="3"/>
  <c r="AH144" i="3"/>
  <c r="AI145" i="3"/>
  <c r="AJ146" i="3"/>
  <c r="AH152" i="3"/>
  <c r="AI153" i="3"/>
  <c r="AJ154" i="3"/>
  <c r="AJ79" i="3"/>
  <c r="AJ80" i="3"/>
  <c r="AI81" i="3"/>
  <c r="AJ82" i="3"/>
  <c r="AH84" i="3"/>
  <c r="AH98" i="3"/>
  <c r="B9" i="2"/>
  <c r="AE102" i="3"/>
  <c r="O28" i="2" a="1"/>
  <c r="O28" i="2" s="1"/>
  <c r="O29" i="2" s="1" a="1"/>
  <c r="O29" i="2" s="1"/>
  <c r="AA7" i="11"/>
  <c r="AA8" i="11" s="1"/>
  <c r="AA9" i="11" s="1"/>
  <c r="AA10" i="11" s="1"/>
  <c r="AA11" i="11" s="1"/>
  <c r="AA12" i="11" s="1"/>
  <c r="AA13" i="11" s="1"/>
  <c r="AA14" i="11" s="1"/>
  <c r="AA15" i="11" s="1"/>
  <c r="AA16" i="11" s="1"/>
  <c r="AA17" i="11" s="1"/>
  <c r="AA18" i="11" s="1"/>
  <c r="AA19" i="11" s="1"/>
  <c r="AA20" i="11" s="1"/>
  <c r="AA21" i="11" s="1"/>
  <c r="AA22" i="11" s="1"/>
  <c r="AA23" i="11" s="1"/>
  <c r="AA24" i="11" s="1"/>
  <c r="AA25" i="11" s="1"/>
  <c r="AA26" i="11" s="1"/>
  <c r="AA27" i="11" s="1"/>
  <c r="AA28" i="11" s="1"/>
  <c r="AA29" i="11" s="1"/>
  <c r="AA30" i="11" s="1"/>
  <c r="AA31" i="11" s="1"/>
  <c r="AA32" i="11" s="1"/>
  <c r="AA33" i="11" s="1"/>
  <c r="AA34" i="11" s="1"/>
  <c r="AA35" i="11" s="1"/>
  <c r="AA36" i="11" s="1"/>
  <c r="AA37" i="11" s="1"/>
  <c r="AA38" i="11" s="1"/>
  <c r="AA39" i="11" s="1"/>
  <c r="AA40" i="11" s="1"/>
  <c r="AA41" i="11" s="1"/>
  <c r="AA42" i="11" s="1"/>
  <c r="AA43" i="11" s="1"/>
  <c r="AA44" i="11" s="1"/>
  <c r="AA45" i="11" s="1"/>
  <c r="AA46" i="11" s="1"/>
  <c r="AA47" i="11" s="1"/>
  <c r="AA48" i="11" s="1"/>
  <c r="AA49" i="11" s="1"/>
  <c r="AA50" i="11" s="1"/>
  <c r="AA51" i="11" s="1"/>
  <c r="AA52" i="11" s="1"/>
  <c r="AA53" i="11" s="1"/>
  <c r="AA54" i="11" s="1"/>
  <c r="AA55" i="11" s="1"/>
  <c r="AA56" i="11" s="1"/>
  <c r="AA57" i="11" s="1"/>
  <c r="AA58" i="11" s="1"/>
  <c r="AA59" i="11" s="1"/>
  <c r="AA60" i="11" s="1"/>
  <c r="AA61" i="11" s="1"/>
  <c r="AA62" i="11" s="1"/>
  <c r="AA63" i="11" s="1"/>
  <c r="AA64" i="11" s="1"/>
  <c r="AA65" i="11" s="1"/>
  <c r="AA66" i="11" s="1"/>
  <c r="AA67" i="11" s="1"/>
  <c r="AA68" i="11" s="1"/>
  <c r="AA69" i="11" s="1"/>
  <c r="AA70" i="11" s="1"/>
  <c r="AA71" i="11" s="1"/>
  <c r="AA72" i="11" s="1"/>
  <c r="AA73" i="11" s="1"/>
  <c r="AA74" i="11" s="1"/>
  <c r="AA75" i="11" s="1"/>
  <c r="AA76" i="11" s="1"/>
  <c r="AA77" i="11" s="1"/>
  <c r="AA78" i="11" s="1"/>
  <c r="AA79" i="11" s="1"/>
  <c r="AA80" i="11" s="1"/>
  <c r="AA81" i="11" s="1"/>
  <c r="AA82" i="11" s="1"/>
  <c r="AA83" i="11" s="1"/>
  <c r="AA84" i="11" s="1"/>
  <c r="AA85" i="11" s="1"/>
  <c r="AA86" i="11" s="1"/>
  <c r="AA87" i="11" s="1"/>
  <c r="AA88" i="11" s="1"/>
  <c r="AA89" i="11" s="1"/>
  <c r="AA90" i="11" s="1"/>
  <c r="AA91" i="11" s="1"/>
  <c r="AA92" i="11" s="1"/>
  <c r="AA93" i="11" s="1"/>
  <c r="AA94" i="11" s="1"/>
  <c r="AA95" i="11" s="1"/>
  <c r="AA96" i="11" s="1"/>
  <c r="AA97" i="11" s="1"/>
  <c r="AA98" i="11" s="1"/>
  <c r="AA99" i="11" s="1"/>
  <c r="AA100" i="11" s="1"/>
  <c r="AA101" i="11" s="1"/>
  <c r="AA102" i="11" s="1"/>
  <c r="AA103" i="11" s="1"/>
  <c r="AA104" i="11" s="1"/>
  <c r="AA105" i="11" s="1"/>
  <c r="AA106" i="11" s="1"/>
  <c r="AA107" i="11" s="1"/>
  <c r="AA108" i="11" s="1"/>
  <c r="AA109" i="11" s="1"/>
  <c r="AA110" i="11" s="1"/>
  <c r="AA111" i="11" s="1"/>
  <c r="AA112" i="11" s="1"/>
  <c r="AA113" i="11" s="1"/>
  <c r="AA114" i="11" s="1"/>
  <c r="AA115" i="11" s="1"/>
  <c r="AA116" i="11" s="1"/>
  <c r="AA117" i="11" s="1"/>
  <c r="AA118" i="11" s="1"/>
  <c r="AA119" i="11" s="1"/>
  <c r="AA120" i="11" s="1"/>
  <c r="AA121" i="11" s="1"/>
  <c r="AA122" i="11" s="1"/>
  <c r="AA123" i="11" s="1"/>
  <c r="AA124" i="11" s="1"/>
  <c r="AA125" i="11" s="1"/>
  <c r="AA126" i="11" s="1"/>
  <c r="AA127" i="11" s="1"/>
  <c r="AA128" i="11" s="1"/>
  <c r="AA129" i="11" s="1"/>
  <c r="AA130" i="11" s="1"/>
  <c r="AA131" i="11" s="1"/>
  <c r="AA132" i="11" s="1"/>
  <c r="AA133" i="11" s="1"/>
  <c r="AA134" i="11" s="1"/>
  <c r="AA135" i="11" s="1"/>
  <c r="AA136" i="11" s="1"/>
  <c r="AA137" i="11" s="1"/>
  <c r="AA138" i="11" s="1"/>
  <c r="AA139" i="11" s="1"/>
  <c r="AA140" i="11" s="1"/>
  <c r="AA141" i="11" s="1"/>
  <c r="AA142" i="11" s="1"/>
  <c r="AA143" i="11" s="1"/>
  <c r="AA144" i="11" s="1"/>
  <c r="AA145" i="11" s="1"/>
  <c r="AA146" i="11" s="1"/>
  <c r="AA147" i="11" s="1"/>
  <c r="AA148" i="11" s="1"/>
  <c r="AA149" i="11" s="1"/>
  <c r="AA150" i="11" s="1"/>
  <c r="AA151" i="11" s="1"/>
  <c r="AA152" i="11" s="1"/>
  <c r="AA153" i="11" s="1"/>
  <c r="AA154" i="11" s="1"/>
  <c r="AA155" i="11" s="1"/>
  <c r="AA156" i="11" s="1"/>
  <c r="AA157" i="11" s="1"/>
  <c r="AA158" i="11" s="1"/>
  <c r="AA159" i="11" s="1"/>
  <c r="AA160" i="11" s="1"/>
  <c r="AA161" i="11" s="1"/>
  <c r="AA162" i="11" s="1"/>
  <c r="AA163" i="11" s="1"/>
  <c r="AA164" i="11" s="1"/>
  <c r="AA165" i="11" s="1"/>
  <c r="AA166" i="11" s="1"/>
  <c r="AA167" i="11" s="1"/>
  <c r="AA168" i="11" s="1"/>
  <c r="AA169" i="11" s="1"/>
  <c r="AA170" i="11" s="1"/>
  <c r="AA171" i="11" s="1"/>
  <c r="AA172" i="11" s="1"/>
  <c r="AA173" i="11" s="1"/>
  <c r="AA174" i="11" s="1"/>
  <c r="AA175" i="11" s="1"/>
  <c r="AA176" i="11" s="1"/>
  <c r="AH54" i="3"/>
  <c r="AI54" i="3"/>
  <c r="AJ55" i="3"/>
  <c r="AH57" i="3"/>
  <c r="AI58" i="3"/>
  <c r="AJ59" i="3"/>
  <c r="AJ54" i="3"/>
  <c r="AH56" i="3"/>
  <c r="AI57" i="3"/>
  <c r="AJ58" i="3"/>
  <c r="AH60" i="3"/>
  <c r="AI61" i="3"/>
  <c r="AH55" i="3"/>
  <c r="AJ56" i="3"/>
  <c r="AH59" i="3"/>
  <c r="AI60" i="3"/>
  <c r="AH61" i="3"/>
  <c r="AJ62" i="3"/>
  <c r="AH64" i="3"/>
  <c r="AI65" i="3"/>
  <c r="AI55" i="3"/>
  <c r="AI59" i="3"/>
  <c r="AJ60" i="3"/>
  <c r="AJ61" i="3"/>
  <c r="AH63" i="3"/>
  <c r="AI64" i="3"/>
  <c r="AJ57" i="3"/>
  <c r="AH62" i="3"/>
  <c r="AI63" i="3"/>
  <c r="AJ64" i="3"/>
  <c r="AI56" i="3"/>
  <c r="AH58" i="3"/>
  <c r="AJ66" i="3"/>
  <c r="AH68" i="3"/>
  <c r="AI69" i="3"/>
  <c r="AJ70" i="3"/>
  <c r="AI62" i="3"/>
  <c r="AJ63" i="3"/>
  <c r="AH67" i="3"/>
  <c r="AI68" i="3"/>
  <c r="AJ69" i="3"/>
  <c r="AH71" i="3"/>
  <c r="AH65" i="3"/>
  <c r="AH66" i="3"/>
  <c r="AI67" i="3"/>
  <c r="AI66" i="3"/>
  <c r="AJ67" i="3"/>
  <c r="AI70" i="3"/>
  <c r="AI72" i="3"/>
  <c r="AJ73" i="3"/>
  <c r="AH75" i="3"/>
  <c r="AJ68" i="3"/>
  <c r="AJ72" i="3"/>
  <c r="AH74" i="3"/>
  <c r="AJ65" i="3"/>
  <c r="AI75" i="3"/>
  <c r="AH69" i="3"/>
  <c r="AI71" i="3"/>
  <c r="AH73" i="3"/>
  <c r="AI74" i="3"/>
  <c r="AJ75" i="3"/>
  <c r="AH70" i="3"/>
  <c r="AJ71" i="3"/>
  <c r="AH72" i="3"/>
  <c r="AI73" i="3"/>
  <c r="AJ74" i="3"/>
  <c r="E15" i="2"/>
  <c r="BE13" i="3"/>
  <c r="AZ13" i="3"/>
  <c r="A14" i="3"/>
  <c r="X8" i="3"/>
  <c r="X12" i="3"/>
  <c r="X16" i="3"/>
  <c r="X20" i="3"/>
  <c r="X24" i="3"/>
  <c r="X28" i="3"/>
  <c r="X32" i="3"/>
  <c r="X36" i="3"/>
  <c r="X40" i="3"/>
  <c r="X44" i="3"/>
  <c r="X48" i="3"/>
  <c r="X52" i="3"/>
  <c r="X9" i="3"/>
  <c r="X13" i="3"/>
  <c r="X17" i="3"/>
  <c r="X21" i="3"/>
  <c r="X25" i="3"/>
  <c r="X29" i="3"/>
  <c r="X11" i="3"/>
  <c r="X15" i="3"/>
  <c r="X19" i="3"/>
  <c r="X23" i="3"/>
  <c r="X27" i="3"/>
  <c r="X31" i="3"/>
  <c r="X35" i="3"/>
  <c r="X39" i="3"/>
  <c r="X43" i="3"/>
  <c r="X47" i="3"/>
  <c r="X51" i="3"/>
  <c r="W9" i="3"/>
  <c r="W13" i="3"/>
  <c r="W17" i="3"/>
  <c r="W21" i="3"/>
  <c r="W25" i="3"/>
  <c r="W29" i="3"/>
  <c r="W33" i="3"/>
  <c r="W37" i="3"/>
  <c r="W41" i="3"/>
  <c r="W45" i="3"/>
  <c r="W49" i="3"/>
  <c r="W53" i="3"/>
  <c r="X22" i="3"/>
  <c r="X34" i="3"/>
  <c r="X42" i="3"/>
  <c r="X50" i="3"/>
  <c r="W8" i="3"/>
  <c r="W14" i="3"/>
  <c r="W19" i="3"/>
  <c r="W24" i="3"/>
  <c r="W30" i="3"/>
  <c r="W35" i="3"/>
  <c r="W40" i="3"/>
  <c r="W46" i="3"/>
  <c r="W51" i="3"/>
  <c r="X10" i="3"/>
  <c r="X26" i="3"/>
  <c r="X37" i="3"/>
  <c r="X45" i="3"/>
  <c r="X53" i="3"/>
  <c r="W10" i="3"/>
  <c r="W15" i="3"/>
  <c r="W20" i="3"/>
  <c r="W26" i="3"/>
  <c r="W31" i="3"/>
  <c r="W36" i="3"/>
  <c r="W42" i="3"/>
  <c r="W47" i="3"/>
  <c r="W52" i="3"/>
  <c r="X14" i="3"/>
  <c r="X30" i="3"/>
  <c r="X38" i="3"/>
  <c r="X46" i="3"/>
  <c r="W11" i="3"/>
  <c r="W16" i="3"/>
  <c r="W22" i="3"/>
  <c r="W27" i="3"/>
  <c r="W32" i="3"/>
  <c r="W38" i="3"/>
  <c r="W43" i="3"/>
  <c r="W48" i="3"/>
  <c r="X18" i="3"/>
  <c r="X33" i="3"/>
  <c r="X41" i="3"/>
  <c r="X49" i="3"/>
  <c r="W12" i="3"/>
  <c r="W18" i="3"/>
  <c r="W23" i="3"/>
  <c r="W28" i="3"/>
  <c r="W34" i="3"/>
  <c r="W39" i="3"/>
  <c r="W44" i="3"/>
  <c r="W50" i="3"/>
  <c r="V22" i="3"/>
  <c r="V53" i="3"/>
  <c r="V52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17" i="3"/>
  <c r="V18" i="3"/>
  <c r="V19" i="3"/>
  <c r="V20" i="3"/>
  <c r="V21" i="3"/>
  <c r="V23" i="3"/>
  <c r="V24" i="3"/>
  <c r="V25" i="3"/>
  <c r="V26" i="3"/>
  <c r="V27" i="3"/>
  <c r="V28" i="3"/>
  <c r="V29" i="3"/>
  <c r="V11" i="3"/>
  <c r="V12" i="3"/>
  <c r="V13" i="3"/>
  <c r="V14" i="3"/>
  <c r="V15" i="3"/>
  <c r="V16" i="3"/>
  <c r="V10" i="3"/>
  <c r="V8" i="3"/>
  <c r="V9" i="3"/>
  <c r="AB6" i="11"/>
  <c r="AM85" i="3" l="1"/>
  <c r="AK86" i="3"/>
  <c r="AM87" i="3"/>
  <c r="AK88" i="3"/>
  <c r="AM89" i="3"/>
  <c r="AK90" i="3"/>
  <c r="AM91" i="3"/>
  <c r="AK92" i="3"/>
  <c r="AL86" i="3"/>
  <c r="AL88" i="3"/>
  <c r="AL90" i="3"/>
  <c r="AL92" i="3"/>
  <c r="AK85" i="3"/>
  <c r="AM86" i="3"/>
  <c r="AK87" i="3"/>
  <c r="AM88" i="3"/>
  <c r="AK89" i="3"/>
  <c r="AM90" i="3"/>
  <c r="AK91" i="3"/>
  <c r="AM92" i="3"/>
  <c r="AL91" i="3"/>
  <c r="AL89" i="3"/>
  <c r="AL85" i="3"/>
  <c r="AL87" i="3"/>
  <c r="AM75" i="3"/>
  <c r="AL155" i="3"/>
  <c r="AM156" i="3"/>
  <c r="AK93" i="3"/>
  <c r="AL94" i="3"/>
  <c r="AM95" i="3"/>
  <c r="AK97" i="3"/>
  <c r="AM155" i="3"/>
  <c r="AK157" i="3"/>
  <c r="AL93" i="3"/>
  <c r="AM94" i="3"/>
  <c r="AK96" i="3"/>
  <c r="AL97" i="3"/>
  <c r="AM98" i="3"/>
  <c r="AK100" i="3"/>
  <c r="AL101" i="3"/>
  <c r="AM102" i="3"/>
  <c r="AK104" i="3"/>
  <c r="AL105" i="3"/>
  <c r="AK156" i="3"/>
  <c r="AL157" i="3"/>
  <c r="AM93" i="3"/>
  <c r="AK95" i="3"/>
  <c r="AL96" i="3"/>
  <c r="AK155" i="3"/>
  <c r="AM97" i="3"/>
  <c r="AM99" i="3"/>
  <c r="AM100" i="3"/>
  <c r="AK101" i="3"/>
  <c r="AK102" i="3"/>
  <c r="AK103" i="3"/>
  <c r="AL95" i="3"/>
  <c r="AM96" i="3"/>
  <c r="AM101" i="3"/>
  <c r="AL102" i="3"/>
  <c r="AL103" i="3"/>
  <c r="AL104" i="3"/>
  <c r="AK94" i="3"/>
  <c r="AK98" i="3"/>
  <c r="AK99" i="3"/>
  <c r="AM103" i="3"/>
  <c r="AM104" i="3"/>
  <c r="AK105" i="3"/>
  <c r="AK107" i="3"/>
  <c r="AL108" i="3"/>
  <c r="AM109" i="3"/>
  <c r="AK111" i="3"/>
  <c r="AL156" i="3"/>
  <c r="AM157" i="3"/>
  <c r="AL98" i="3"/>
  <c r="AL99" i="3"/>
  <c r="AL100" i="3"/>
  <c r="AM105" i="3"/>
  <c r="AK106" i="3"/>
  <c r="AL107" i="3"/>
  <c r="AM108" i="3"/>
  <c r="AK110" i="3"/>
  <c r="AL111" i="3"/>
  <c r="AL106" i="3"/>
  <c r="AM107" i="3"/>
  <c r="AK108" i="3"/>
  <c r="AK109" i="3"/>
  <c r="AL112" i="3"/>
  <c r="AM113" i="3"/>
  <c r="AK115" i="3"/>
  <c r="AL116" i="3"/>
  <c r="AM117" i="3"/>
  <c r="AK119" i="3"/>
  <c r="AL120" i="3"/>
  <c r="AM121" i="3"/>
  <c r="AK123" i="3"/>
  <c r="AL124" i="3"/>
  <c r="AM106" i="3"/>
  <c r="AL109" i="3"/>
  <c r="AM111" i="3"/>
  <c r="AM112" i="3"/>
  <c r="AK114" i="3"/>
  <c r="AL115" i="3"/>
  <c r="AM116" i="3"/>
  <c r="AK118" i="3"/>
  <c r="AL119" i="3"/>
  <c r="AM120" i="3"/>
  <c r="AL110" i="3"/>
  <c r="AK113" i="3"/>
  <c r="AL114" i="3"/>
  <c r="AM115" i="3"/>
  <c r="AK117" i="3"/>
  <c r="AL118" i="3"/>
  <c r="AM119" i="3"/>
  <c r="AK121" i="3"/>
  <c r="AL122" i="3"/>
  <c r="AM123" i="3"/>
  <c r="AK112" i="3"/>
  <c r="AK120" i="3"/>
  <c r="AK122" i="3"/>
  <c r="AK124" i="3"/>
  <c r="AL125" i="3"/>
  <c r="AM126" i="3"/>
  <c r="AK128" i="3"/>
  <c r="AL129" i="3"/>
  <c r="AM130" i="3"/>
  <c r="AK132" i="3"/>
  <c r="AL133" i="3"/>
  <c r="AM134" i="3"/>
  <c r="AK136" i="3"/>
  <c r="AL117" i="3"/>
  <c r="AM118" i="3"/>
  <c r="AM122" i="3"/>
  <c r="AM124" i="3"/>
  <c r="AM125" i="3"/>
  <c r="AK127" i="3"/>
  <c r="AL128" i="3"/>
  <c r="AM129" i="3"/>
  <c r="AK131" i="3"/>
  <c r="AL132" i="3"/>
  <c r="AM133" i="3"/>
  <c r="AK135" i="3"/>
  <c r="AL136" i="3"/>
  <c r="AK116" i="3"/>
  <c r="AL121" i="3"/>
  <c r="AL123" i="3"/>
  <c r="AK126" i="3"/>
  <c r="AL127" i="3"/>
  <c r="AM128" i="3"/>
  <c r="AK130" i="3"/>
  <c r="AL131" i="3"/>
  <c r="AM132" i="3"/>
  <c r="AK134" i="3"/>
  <c r="AL135" i="3"/>
  <c r="AL126" i="3"/>
  <c r="AM127" i="3"/>
  <c r="AL134" i="3"/>
  <c r="AM135" i="3"/>
  <c r="AK138" i="3"/>
  <c r="AL139" i="3"/>
  <c r="AM140" i="3"/>
  <c r="AK142" i="3"/>
  <c r="AL143" i="3"/>
  <c r="AM144" i="3"/>
  <c r="AK146" i="3"/>
  <c r="AL147" i="3"/>
  <c r="AM148" i="3"/>
  <c r="AK150" i="3"/>
  <c r="AL151" i="3"/>
  <c r="AM152" i="3"/>
  <c r="AK154" i="3"/>
  <c r="AL76" i="3"/>
  <c r="AM110" i="3"/>
  <c r="AK125" i="3"/>
  <c r="AK133" i="3"/>
  <c r="AM136" i="3"/>
  <c r="AK137" i="3"/>
  <c r="AL138" i="3"/>
  <c r="AM139" i="3"/>
  <c r="AK141" i="3"/>
  <c r="AL142" i="3"/>
  <c r="AM143" i="3"/>
  <c r="AK145" i="3"/>
  <c r="AL146" i="3"/>
  <c r="AM147" i="3"/>
  <c r="AK149" i="3"/>
  <c r="AL150" i="3"/>
  <c r="AM151" i="3"/>
  <c r="AK153" i="3"/>
  <c r="AL154" i="3"/>
  <c r="AM76" i="3"/>
  <c r="AK78" i="3"/>
  <c r="AL79" i="3"/>
  <c r="AM80" i="3"/>
  <c r="AL113" i="3"/>
  <c r="AM114" i="3"/>
  <c r="AL130" i="3"/>
  <c r="AM131" i="3"/>
  <c r="AL137" i="3"/>
  <c r="AM138" i="3"/>
  <c r="AK140" i="3"/>
  <c r="AL141" i="3"/>
  <c r="AM142" i="3"/>
  <c r="AK144" i="3"/>
  <c r="AL145" i="3"/>
  <c r="AM146" i="3"/>
  <c r="AK148" i="3"/>
  <c r="AL149" i="3"/>
  <c r="AM150" i="3"/>
  <c r="AK152" i="3"/>
  <c r="AL153" i="3"/>
  <c r="AM154" i="3"/>
  <c r="AK129" i="3"/>
  <c r="AM137" i="3"/>
  <c r="AK139" i="3"/>
  <c r="AL140" i="3"/>
  <c r="AL144" i="3"/>
  <c r="AM145" i="3"/>
  <c r="AL152" i="3"/>
  <c r="AM153" i="3"/>
  <c r="AM77" i="3"/>
  <c r="AM78" i="3"/>
  <c r="AK79" i="3"/>
  <c r="AK80" i="3"/>
  <c r="AK82" i="3"/>
  <c r="AL83" i="3"/>
  <c r="AM84" i="3"/>
  <c r="AK143" i="3"/>
  <c r="AK151" i="3"/>
  <c r="AM79" i="3"/>
  <c r="AL80" i="3"/>
  <c r="AK81" i="3"/>
  <c r="AL82" i="3"/>
  <c r="AM83" i="3"/>
  <c r="AL81" i="3"/>
  <c r="AM141" i="3"/>
  <c r="AL148" i="3"/>
  <c r="AM149" i="3"/>
  <c r="AK77" i="3"/>
  <c r="AM82" i="3"/>
  <c r="AK147" i="3"/>
  <c r="AK76" i="3"/>
  <c r="AL77" i="3"/>
  <c r="AL78" i="3"/>
  <c r="AM81" i="3"/>
  <c r="AK83" i="3"/>
  <c r="AL84" i="3"/>
  <c r="AK84" i="3"/>
  <c r="BD131" i="1"/>
  <c r="BF130" i="1"/>
  <c r="O30" i="2" a="1"/>
  <c r="O30" i="2" s="1"/>
  <c r="O31" i="2" s="1" a="1"/>
  <c r="O31" i="2" s="1"/>
  <c r="BE14" i="3"/>
  <c r="AB7" i="11"/>
  <c r="AB8" i="11" s="1"/>
  <c r="AB9" i="11" s="1"/>
  <c r="AB10" i="11" s="1"/>
  <c r="AB11" i="11" s="1"/>
  <c r="AB12" i="11" s="1"/>
  <c r="AB13" i="11" s="1"/>
  <c r="AB14" i="11" s="1"/>
  <c r="AB15" i="11" s="1"/>
  <c r="AB16" i="11" s="1"/>
  <c r="AB17" i="11" s="1"/>
  <c r="AB18" i="11" s="1"/>
  <c r="AB19" i="11" s="1"/>
  <c r="AB20" i="11" s="1"/>
  <c r="AB21" i="11" s="1"/>
  <c r="AB22" i="11" s="1"/>
  <c r="AB23" i="11" s="1"/>
  <c r="AB24" i="11" s="1"/>
  <c r="AB25" i="11" s="1"/>
  <c r="AB26" i="11" s="1"/>
  <c r="AB27" i="11" s="1"/>
  <c r="AB28" i="11" s="1"/>
  <c r="AB29" i="11" s="1"/>
  <c r="AB30" i="11" s="1"/>
  <c r="AB31" i="11" s="1"/>
  <c r="AB32" i="11" s="1"/>
  <c r="AB33" i="11" s="1"/>
  <c r="AB34" i="11" s="1"/>
  <c r="AB35" i="11" s="1"/>
  <c r="AB36" i="11" s="1"/>
  <c r="AB37" i="11" s="1"/>
  <c r="AB38" i="11" s="1"/>
  <c r="AB39" i="11" s="1"/>
  <c r="AB40" i="11" s="1"/>
  <c r="AB41" i="11" s="1"/>
  <c r="AB42" i="11" s="1"/>
  <c r="AB43" i="11" s="1"/>
  <c r="AB44" i="11" s="1"/>
  <c r="AB45" i="11" s="1"/>
  <c r="AB46" i="11" s="1"/>
  <c r="AB47" i="11" s="1"/>
  <c r="AB48" i="11" s="1"/>
  <c r="AB49" i="11" s="1"/>
  <c r="AB50" i="11" s="1"/>
  <c r="AB51" i="11" s="1"/>
  <c r="AB52" i="11" s="1"/>
  <c r="AB53" i="11" s="1"/>
  <c r="AB54" i="11" s="1"/>
  <c r="AB55" i="11" s="1"/>
  <c r="AB56" i="11" s="1"/>
  <c r="AB57" i="11" s="1"/>
  <c r="AB58" i="11" s="1"/>
  <c r="AB59" i="11" s="1"/>
  <c r="AB60" i="11" s="1"/>
  <c r="AB61" i="11" s="1"/>
  <c r="AB62" i="11" s="1"/>
  <c r="AB63" i="11" s="1"/>
  <c r="AB64" i="11" s="1"/>
  <c r="AB65" i="11" s="1"/>
  <c r="AB66" i="11" s="1"/>
  <c r="AB67" i="11" s="1"/>
  <c r="AB68" i="11" s="1"/>
  <c r="AB69" i="11" s="1"/>
  <c r="AB70" i="11" s="1"/>
  <c r="AB71" i="11" s="1"/>
  <c r="AB72" i="11" s="1"/>
  <c r="AB73" i="11" s="1"/>
  <c r="AB74" i="11" s="1"/>
  <c r="AB75" i="11" s="1"/>
  <c r="AB76" i="11" s="1"/>
  <c r="AB77" i="11" s="1"/>
  <c r="AB78" i="11" s="1"/>
  <c r="AB79" i="11" s="1"/>
  <c r="AB80" i="11" s="1"/>
  <c r="AB81" i="11" s="1"/>
  <c r="AB82" i="11" s="1"/>
  <c r="AB83" i="11" s="1"/>
  <c r="AB84" i="11" s="1"/>
  <c r="AB85" i="11" s="1"/>
  <c r="AB86" i="11" s="1"/>
  <c r="AB87" i="11" s="1"/>
  <c r="AB88" i="11" s="1"/>
  <c r="AB89" i="11" s="1"/>
  <c r="AB90" i="11" s="1"/>
  <c r="AB91" i="11" s="1"/>
  <c r="AB92" i="11" s="1"/>
  <c r="AB93" i="11" s="1"/>
  <c r="AB94" i="11" s="1"/>
  <c r="AB95" i="11" s="1"/>
  <c r="AB96" i="11" s="1"/>
  <c r="AB97" i="11" s="1"/>
  <c r="AB98" i="11" s="1"/>
  <c r="AB99" i="11" s="1"/>
  <c r="AB100" i="11" s="1"/>
  <c r="AB101" i="11" s="1"/>
  <c r="AB102" i="11" s="1"/>
  <c r="AB103" i="11" s="1"/>
  <c r="AB104" i="11" s="1"/>
  <c r="AB105" i="11" s="1"/>
  <c r="AB106" i="11" s="1"/>
  <c r="AB107" i="11" s="1"/>
  <c r="AB108" i="11" s="1"/>
  <c r="AB109" i="11" s="1"/>
  <c r="AB110" i="11" s="1"/>
  <c r="AB111" i="11" s="1"/>
  <c r="AB112" i="11" s="1"/>
  <c r="AB113" i="11" s="1"/>
  <c r="AB114" i="11" s="1"/>
  <c r="AB115" i="11" s="1"/>
  <c r="AB116" i="11" s="1"/>
  <c r="AB117" i="11" s="1"/>
  <c r="AB118" i="11" s="1"/>
  <c r="AB119" i="11" s="1"/>
  <c r="AB120" i="11" s="1"/>
  <c r="AB121" i="11" s="1"/>
  <c r="AB122" i="11" s="1"/>
  <c r="AB123" i="11" s="1"/>
  <c r="AB124" i="11" s="1"/>
  <c r="AB125" i="11" s="1"/>
  <c r="AB126" i="11" s="1"/>
  <c r="AB127" i="11" s="1"/>
  <c r="AB128" i="11" s="1"/>
  <c r="AB129" i="11" s="1"/>
  <c r="AB130" i="11" s="1"/>
  <c r="AB131" i="11" s="1"/>
  <c r="AB132" i="11" s="1"/>
  <c r="AB133" i="11" s="1"/>
  <c r="AB134" i="11" s="1"/>
  <c r="AB135" i="11" s="1"/>
  <c r="AB136" i="11" s="1"/>
  <c r="AB137" i="11" s="1"/>
  <c r="AB138" i="11" s="1"/>
  <c r="AB139" i="11" s="1"/>
  <c r="AB140" i="11" s="1"/>
  <c r="AB141" i="11" s="1"/>
  <c r="AB142" i="11" s="1"/>
  <c r="AB143" i="11" s="1"/>
  <c r="AB144" i="11" s="1"/>
  <c r="AB145" i="11" s="1"/>
  <c r="AB146" i="11" s="1"/>
  <c r="AB147" i="11" s="1"/>
  <c r="AB148" i="11" s="1"/>
  <c r="AB149" i="11" s="1"/>
  <c r="AB150" i="11" s="1"/>
  <c r="AB151" i="11" s="1"/>
  <c r="AB152" i="11" s="1"/>
  <c r="AB153" i="11" s="1"/>
  <c r="AB154" i="11" s="1"/>
  <c r="AB155" i="11" s="1"/>
  <c r="AB156" i="11" s="1"/>
  <c r="AB157" i="11" s="1"/>
  <c r="AB158" i="11" s="1"/>
  <c r="AB159" i="11" s="1"/>
  <c r="AB160" i="11" s="1"/>
  <c r="AB161" i="11" s="1"/>
  <c r="AB162" i="11" s="1"/>
  <c r="AB163" i="11" s="1"/>
  <c r="AB164" i="11" s="1"/>
  <c r="AB165" i="11" s="1"/>
  <c r="AB166" i="11" s="1"/>
  <c r="AB167" i="11" s="1"/>
  <c r="AB168" i="11" s="1"/>
  <c r="AB169" i="11" s="1"/>
  <c r="AB170" i="11" s="1"/>
  <c r="AB171" i="11" s="1"/>
  <c r="AB172" i="11" s="1"/>
  <c r="AB173" i="11" s="1"/>
  <c r="AB174" i="11" s="1"/>
  <c r="AB175" i="11" s="1"/>
  <c r="AB176" i="11" s="1"/>
  <c r="E16" i="2"/>
  <c r="AL54" i="3"/>
  <c r="AM54" i="3"/>
  <c r="AK56" i="3"/>
  <c r="AL57" i="3"/>
  <c r="AM58" i="3"/>
  <c r="AK55" i="3"/>
  <c r="AL56" i="3"/>
  <c r="AM57" i="3"/>
  <c r="AK59" i="3"/>
  <c r="AL60" i="3"/>
  <c r="AM61" i="3"/>
  <c r="AK54" i="3"/>
  <c r="AK58" i="3"/>
  <c r="AK63" i="3"/>
  <c r="AL64" i="3"/>
  <c r="AM65" i="3"/>
  <c r="AM56" i="3"/>
  <c r="AL58" i="3"/>
  <c r="AK62" i="3"/>
  <c r="AL63" i="3"/>
  <c r="AM64" i="3"/>
  <c r="AL55" i="3"/>
  <c r="AL59" i="3"/>
  <c r="AK60" i="3"/>
  <c r="AK61" i="3"/>
  <c r="AL62" i="3"/>
  <c r="AM63" i="3"/>
  <c r="AM60" i="3"/>
  <c r="AL61" i="3"/>
  <c r="AK65" i="3"/>
  <c r="AK67" i="3"/>
  <c r="AL68" i="3"/>
  <c r="AM69" i="3"/>
  <c r="AK71" i="3"/>
  <c r="AK64" i="3"/>
  <c r="AL65" i="3"/>
  <c r="AK66" i="3"/>
  <c r="AL67" i="3"/>
  <c r="AM68" i="3"/>
  <c r="AK70" i="3"/>
  <c r="AM55" i="3"/>
  <c r="AK57" i="3"/>
  <c r="AM62" i="3"/>
  <c r="AL66" i="3"/>
  <c r="AM67" i="3"/>
  <c r="AM59" i="3"/>
  <c r="AL69" i="3"/>
  <c r="AL71" i="3"/>
  <c r="AM72" i="3"/>
  <c r="AK74" i="3"/>
  <c r="AL75" i="3"/>
  <c r="AM66" i="3"/>
  <c r="AL70" i="3"/>
  <c r="AM71" i="3"/>
  <c r="AK73" i="3"/>
  <c r="AL74" i="3"/>
  <c r="AK68" i="3"/>
  <c r="AM70" i="3"/>
  <c r="AK72" i="3"/>
  <c r="AL73" i="3"/>
  <c r="AM74" i="3"/>
  <c r="AK69" i="3"/>
  <c r="AL72" i="3"/>
  <c r="AM73" i="3"/>
  <c r="AK75" i="3"/>
  <c r="I19" i="2"/>
  <c r="G20" i="2"/>
  <c r="AZ14" i="3"/>
  <c r="A15" i="3"/>
  <c r="AA8" i="3"/>
  <c r="AA12" i="3"/>
  <c r="AA16" i="3"/>
  <c r="AA20" i="3"/>
  <c r="AA24" i="3"/>
  <c r="AA28" i="3"/>
  <c r="AA32" i="3"/>
  <c r="AA36" i="3"/>
  <c r="AA40" i="3"/>
  <c r="AA44" i="3"/>
  <c r="AA48" i="3"/>
  <c r="AA52" i="3"/>
  <c r="Z10" i="3"/>
  <c r="Z14" i="3"/>
  <c r="Z18" i="3"/>
  <c r="Z22" i="3"/>
  <c r="Z26" i="3"/>
  <c r="Z30" i="3"/>
  <c r="Z34" i="3"/>
  <c r="Z38" i="3"/>
  <c r="Z42" i="3"/>
  <c r="Z46" i="3"/>
  <c r="Z50" i="3"/>
  <c r="AA9" i="3"/>
  <c r="AA13" i="3"/>
  <c r="AA17" i="3"/>
  <c r="AA21" i="3"/>
  <c r="AA25" i="3"/>
  <c r="AA29" i="3"/>
  <c r="AA33" i="3"/>
  <c r="AA37" i="3"/>
  <c r="AA41" i="3"/>
  <c r="AA45" i="3"/>
  <c r="AA49" i="3"/>
  <c r="AA53" i="3"/>
  <c r="Z11" i="3"/>
  <c r="Z15" i="3"/>
  <c r="Z19" i="3"/>
  <c r="Z23" i="3"/>
  <c r="Z27" i="3"/>
  <c r="Z31" i="3"/>
  <c r="Z35" i="3"/>
  <c r="Z39" i="3"/>
  <c r="Z43" i="3"/>
  <c r="Z47" i="3"/>
  <c r="Z51" i="3"/>
  <c r="AA10" i="3"/>
  <c r="AA14" i="3"/>
  <c r="AA18" i="3"/>
  <c r="AA22" i="3"/>
  <c r="AA26" i="3"/>
  <c r="AA30" i="3"/>
  <c r="AA34" i="3"/>
  <c r="AA38" i="3"/>
  <c r="AA42" i="3"/>
  <c r="AA46" i="3"/>
  <c r="AA50" i="3"/>
  <c r="Z8" i="3"/>
  <c r="Z12" i="3"/>
  <c r="Z16" i="3"/>
  <c r="Z20" i="3"/>
  <c r="Z24" i="3"/>
  <c r="Z28" i="3"/>
  <c r="Z32" i="3"/>
  <c r="Z36" i="3"/>
  <c r="Z40" i="3"/>
  <c r="Z44" i="3"/>
  <c r="Z48" i="3"/>
  <c r="Z52" i="3"/>
  <c r="AA11" i="3"/>
  <c r="AA15" i="3"/>
  <c r="AA19" i="3"/>
  <c r="AA23" i="3"/>
  <c r="AA27" i="3"/>
  <c r="AA31" i="3"/>
  <c r="AA35" i="3"/>
  <c r="AA39" i="3"/>
  <c r="AA43" i="3"/>
  <c r="AA47" i="3"/>
  <c r="AA51" i="3"/>
  <c r="Z9" i="3"/>
  <c r="Z13" i="3"/>
  <c r="Z17" i="3"/>
  <c r="Z21" i="3"/>
  <c r="Z25" i="3"/>
  <c r="Z29" i="3"/>
  <c r="Z33" i="3"/>
  <c r="Z37" i="3"/>
  <c r="Z41" i="3"/>
  <c r="Z45" i="3"/>
  <c r="Z49" i="3"/>
  <c r="Z53" i="3"/>
  <c r="Y52" i="3"/>
  <c r="Y53" i="3"/>
  <c r="Y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17" i="3"/>
  <c r="Y18" i="3"/>
  <c r="Y19" i="3"/>
  <c r="Y20" i="3"/>
  <c r="Y21" i="3"/>
  <c r="Y13" i="3"/>
  <c r="Y14" i="3"/>
  <c r="Y15" i="3"/>
  <c r="Y16" i="3"/>
  <c r="Y23" i="3"/>
  <c r="Y24" i="3"/>
  <c r="Y25" i="3"/>
  <c r="Y26" i="3"/>
  <c r="Y27" i="3"/>
  <c r="Y28" i="3"/>
  <c r="Y29" i="3"/>
  <c r="Y11" i="3"/>
  <c r="Y12" i="3"/>
  <c r="Y10" i="3"/>
  <c r="Y22" i="3"/>
  <c r="Y8" i="3"/>
  <c r="AC6" i="11"/>
  <c r="BF131" i="1" l="1"/>
  <c r="BD132" i="1"/>
  <c r="AO86" i="3"/>
  <c r="AO88" i="3"/>
  <c r="AO90" i="3"/>
  <c r="AO92" i="3"/>
  <c r="AN85" i="3"/>
  <c r="AP86" i="3"/>
  <c r="AN87" i="3"/>
  <c r="AP88" i="3"/>
  <c r="AN89" i="3"/>
  <c r="AP90" i="3"/>
  <c r="AN91" i="3"/>
  <c r="AP92" i="3"/>
  <c r="AO85" i="3"/>
  <c r="AO87" i="3"/>
  <c r="AO89" i="3"/>
  <c r="AO91" i="3"/>
  <c r="AN86" i="3"/>
  <c r="AP89" i="3"/>
  <c r="AN92" i="3"/>
  <c r="AN88" i="3"/>
  <c r="AP91" i="3"/>
  <c r="AP87" i="3"/>
  <c r="AP85" i="3"/>
  <c r="AP155" i="3"/>
  <c r="AN157" i="3"/>
  <c r="AO93" i="3"/>
  <c r="AP94" i="3"/>
  <c r="AN96" i="3"/>
  <c r="AO97" i="3"/>
  <c r="AN156" i="3"/>
  <c r="AO157" i="3"/>
  <c r="AP93" i="3"/>
  <c r="AN95" i="3"/>
  <c r="AO96" i="3"/>
  <c r="AP97" i="3"/>
  <c r="AO100" i="3"/>
  <c r="AP101" i="3"/>
  <c r="AN103" i="3"/>
  <c r="AO104" i="3"/>
  <c r="AP105" i="3"/>
  <c r="AN155" i="3"/>
  <c r="AO156" i="3"/>
  <c r="AP157" i="3"/>
  <c r="AN94" i="3"/>
  <c r="AO95" i="3"/>
  <c r="AP96" i="3"/>
  <c r="AP156" i="3"/>
  <c r="AN98" i="3"/>
  <c r="AP102" i="3"/>
  <c r="AP103" i="3"/>
  <c r="AP104" i="3"/>
  <c r="AO155" i="3"/>
  <c r="AN97" i="3"/>
  <c r="AO98" i="3"/>
  <c r="AN100" i="3"/>
  <c r="AO105" i="3"/>
  <c r="AP95" i="3"/>
  <c r="AP98" i="3"/>
  <c r="AP99" i="3"/>
  <c r="AP100" i="3"/>
  <c r="AN101" i="3"/>
  <c r="AN102" i="3"/>
  <c r="AO102" i="3"/>
  <c r="AN106" i="3"/>
  <c r="AO107" i="3"/>
  <c r="AP108" i="3"/>
  <c r="AN110" i="3"/>
  <c r="AO111" i="3"/>
  <c r="AN93" i="3"/>
  <c r="AO94" i="3"/>
  <c r="AO103" i="3"/>
  <c r="AO106" i="3"/>
  <c r="AP107" i="3"/>
  <c r="AN109" i="3"/>
  <c r="AO110" i="3"/>
  <c r="AP111" i="3"/>
  <c r="AN104" i="3"/>
  <c r="AN105" i="3"/>
  <c r="AP106" i="3"/>
  <c r="AN108" i="3"/>
  <c r="AP110" i="3"/>
  <c r="AP112" i="3"/>
  <c r="AN114" i="3"/>
  <c r="AO115" i="3"/>
  <c r="AP116" i="3"/>
  <c r="AN118" i="3"/>
  <c r="AO119" i="3"/>
  <c r="AP120" i="3"/>
  <c r="AN122" i="3"/>
  <c r="AO123" i="3"/>
  <c r="AP124" i="3"/>
  <c r="AN107" i="3"/>
  <c r="AO108" i="3"/>
  <c r="AN113" i="3"/>
  <c r="AO114" i="3"/>
  <c r="AP115" i="3"/>
  <c r="AN117" i="3"/>
  <c r="AO118" i="3"/>
  <c r="AP119" i="3"/>
  <c r="AO109" i="3"/>
  <c r="AN111" i="3"/>
  <c r="AN112" i="3"/>
  <c r="AO113" i="3"/>
  <c r="AP114" i="3"/>
  <c r="AN116" i="3"/>
  <c r="AO117" i="3"/>
  <c r="AP118" i="3"/>
  <c r="AN120" i="3"/>
  <c r="AO121" i="3"/>
  <c r="AP122" i="3"/>
  <c r="AN124" i="3"/>
  <c r="AP113" i="3"/>
  <c r="AP121" i="3"/>
  <c r="AP123" i="3"/>
  <c r="AP125" i="3"/>
  <c r="AN127" i="3"/>
  <c r="AO128" i="3"/>
  <c r="AP129" i="3"/>
  <c r="AN131" i="3"/>
  <c r="AO132" i="3"/>
  <c r="AP133" i="3"/>
  <c r="AN135" i="3"/>
  <c r="AO101" i="3"/>
  <c r="AP109" i="3"/>
  <c r="AO112" i="3"/>
  <c r="AN119" i="3"/>
  <c r="AO120" i="3"/>
  <c r="AN126" i="3"/>
  <c r="AO127" i="3"/>
  <c r="AP128" i="3"/>
  <c r="AN130" i="3"/>
  <c r="AO131" i="3"/>
  <c r="AP132" i="3"/>
  <c r="AN134" i="3"/>
  <c r="AO135" i="3"/>
  <c r="AP136" i="3"/>
  <c r="AP117" i="3"/>
  <c r="AO122" i="3"/>
  <c r="AO124" i="3"/>
  <c r="AN125" i="3"/>
  <c r="AO126" i="3"/>
  <c r="AP127" i="3"/>
  <c r="AN129" i="3"/>
  <c r="AO130" i="3"/>
  <c r="AP131" i="3"/>
  <c r="AN133" i="3"/>
  <c r="AO134" i="3"/>
  <c r="AP135" i="3"/>
  <c r="AN128" i="3"/>
  <c r="AO129" i="3"/>
  <c r="AN137" i="3"/>
  <c r="AO138" i="3"/>
  <c r="AP139" i="3"/>
  <c r="AN141" i="3"/>
  <c r="AO142" i="3"/>
  <c r="AP143" i="3"/>
  <c r="AN145" i="3"/>
  <c r="AO146" i="3"/>
  <c r="AP147" i="3"/>
  <c r="AN149" i="3"/>
  <c r="AO150" i="3"/>
  <c r="AP151" i="3"/>
  <c r="AN153" i="3"/>
  <c r="AO154" i="3"/>
  <c r="AP76" i="3"/>
  <c r="AP126" i="3"/>
  <c r="AP134" i="3"/>
  <c r="AO137" i="3"/>
  <c r="AP138" i="3"/>
  <c r="AN140" i="3"/>
  <c r="AO141" i="3"/>
  <c r="AP142" i="3"/>
  <c r="AN144" i="3"/>
  <c r="AO145" i="3"/>
  <c r="AP146" i="3"/>
  <c r="AN148" i="3"/>
  <c r="AO149" i="3"/>
  <c r="AP150" i="3"/>
  <c r="AN152" i="3"/>
  <c r="AO153" i="3"/>
  <c r="AP154" i="3"/>
  <c r="AN77" i="3"/>
  <c r="AO78" i="3"/>
  <c r="AP79" i="3"/>
  <c r="AN115" i="3"/>
  <c r="AO116" i="3"/>
  <c r="AN121" i="3"/>
  <c r="AO125" i="3"/>
  <c r="AN132" i="3"/>
  <c r="AO133" i="3"/>
  <c r="AN136" i="3"/>
  <c r="AP137" i="3"/>
  <c r="AN139" i="3"/>
  <c r="AO140" i="3"/>
  <c r="AP141" i="3"/>
  <c r="AN143" i="3"/>
  <c r="AO144" i="3"/>
  <c r="AP145" i="3"/>
  <c r="AN147" i="3"/>
  <c r="AO148" i="3"/>
  <c r="AP149" i="3"/>
  <c r="AN151" i="3"/>
  <c r="AO152" i="3"/>
  <c r="AP153" i="3"/>
  <c r="AN76" i="3"/>
  <c r="AN123" i="3"/>
  <c r="AP130" i="3"/>
  <c r="AO136" i="3"/>
  <c r="AN138" i="3"/>
  <c r="AO139" i="3"/>
  <c r="AP140" i="3"/>
  <c r="AN146" i="3"/>
  <c r="AO147" i="3"/>
  <c r="AN154" i="3"/>
  <c r="AO76" i="3"/>
  <c r="AP80" i="3"/>
  <c r="AN81" i="3"/>
  <c r="AO82" i="3"/>
  <c r="AP83" i="3"/>
  <c r="AP81" i="3"/>
  <c r="AO84" i="3"/>
  <c r="AP144" i="3"/>
  <c r="AP152" i="3"/>
  <c r="AO77" i="3"/>
  <c r="AN78" i="3"/>
  <c r="AO81" i="3"/>
  <c r="AP82" i="3"/>
  <c r="AN84" i="3"/>
  <c r="AN79" i="3"/>
  <c r="AN80" i="3"/>
  <c r="AN142" i="3"/>
  <c r="AO143" i="3"/>
  <c r="AN150" i="3"/>
  <c r="AO151" i="3"/>
  <c r="AP77" i="3"/>
  <c r="AP78" i="3"/>
  <c r="AP148" i="3"/>
  <c r="AO79" i="3"/>
  <c r="AO80" i="3"/>
  <c r="AO83" i="3"/>
  <c r="AP84" i="3"/>
  <c r="AN83" i="3"/>
  <c r="AN90" i="3"/>
  <c r="AN99" i="3"/>
  <c r="AO99" i="3"/>
  <c r="AN82" i="3"/>
  <c r="O32" i="2" a="1"/>
  <c r="O32" i="2" s="1"/>
  <c r="O33" i="2" s="1" a="1"/>
  <c r="O33" i="2" s="1"/>
  <c r="AC7" i="11"/>
  <c r="AC8" i="11" s="1"/>
  <c r="AC9" i="11" s="1"/>
  <c r="AC10" i="11" s="1"/>
  <c r="AC11" i="11" s="1"/>
  <c r="AC12" i="11" s="1"/>
  <c r="AC13" i="11" s="1"/>
  <c r="AC14" i="11" s="1"/>
  <c r="AC15" i="11" s="1"/>
  <c r="AC16" i="11" s="1"/>
  <c r="AC17" i="11" s="1"/>
  <c r="AC18" i="11" s="1"/>
  <c r="AC19" i="11" s="1"/>
  <c r="AC20" i="11" s="1"/>
  <c r="AC21" i="11" s="1"/>
  <c r="AC22" i="11" s="1"/>
  <c r="AC23" i="11" s="1"/>
  <c r="AC24" i="11" s="1"/>
  <c r="AC25" i="11" s="1"/>
  <c r="AC26" i="11" s="1"/>
  <c r="AC27" i="11" s="1"/>
  <c r="AC28" i="11" s="1"/>
  <c r="AC29" i="11" s="1"/>
  <c r="AC30" i="11" s="1"/>
  <c r="AC31" i="11" s="1"/>
  <c r="AC32" i="11" s="1"/>
  <c r="AC33" i="11" s="1"/>
  <c r="AC34" i="11" s="1"/>
  <c r="AC35" i="11" s="1"/>
  <c r="AC36" i="11" s="1"/>
  <c r="AC37" i="11" s="1"/>
  <c r="AC38" i="11" s="1"/>
  <c r="AC39" i="11" s="1"/>
  <c r="AC40" i="11" s="1"/>
  <c r="AC41" i="11" s="1"/>
  <c r="AC42" i="11" s="1"/>
  <c r="AC43" i="11" s="1"/>
  <c r="AC44" i="11" s="1"/>
  <c r="AC45" i="11" s="1"/>
  <c r="AC46" i="11" s="1"/>
  <c r="AC47" i="11" s="1"/>
  <c r="AC48" i="11" s="1"/>
  <c r="AC49" i="11" s="1"/>
  <c r="AC50" i="11" s="1"/>
  <c r="AC51" i="11" s="1"/>
  <c r="AC52" i="11" s="1"/>
  <c r="AC53" i="11" s="1"/>
  <c r="AC54" i="11" s="1"/>
  <c r="AC55" i="11" s="1"/>
  <c r="AC56" i="11" s="1"/>
  <c r="AC57" i="11" s="1"/>
  <c r="AC58" i="11" s="1"/>
  <c r="AC59" i="11" s="1"/>
  <c r="AC60" i="11" s="1"/>
  <c r="AC61" i="11" s="1"/>
  <c r="AC62" i="11" s="1"/>
  <c r="AC63" i="11" s="1"/>
  <c r="AC64" i="11" s="1"/>
  <c r="AC65" i="11" s="1"/>
  <c r="AC66" i="11" s="1"/>
  <c r="AC67" i="11" s="1"/>
  <c r="AC68" i="11" s="1"/>
  <c r="AC69" i="11" s="1"/>
  <c r="AC70" i="11" s="1"/>
  <c r="AC71" i="11" s="1"/>
  <c r="AC72" i="11" s="1"/>
  <c r="AC73" i="11" s="1"/>
  <c r="AC74" i="11" s="1"/>
  <c r="AC75" i="11" s="1"/>
  <c r="AC76" i="11" s="1"/>
  <c r="AC77" i="11" s="1"/>
  <c r="AC78" i="11" s="1"/>
  <c r="AC79" i="11" s="1"/>
  <c r="AC80" i="11" s="1"/>
  <c r="AC81" i="11" s="1"/>
  <c r="AC82" i="11" s="1"/>
  <c r="AC83" i="11" s="1"/>
  <c r="AC84" i="11" s="1"/>
  <c r="AC85" i="11" s="1"/>
  <c r="AC86" i="11" s="1"/>
  <c r="AC87" i="11" s="1"/>
  <c r="AC88" i="11" s="1"/>
  <c r="AC89" i="11" s="1"/>
  <c r="AC90" i="11" s="1"/>
  <c r="AC91" i="11" s="1"/>
  <c r="AC92" i="11" s="1"/>
  <c r="AC93" i="11" s="1"/>
  <c r="AC94" i="11" s="1"/>
  <c r="AC95" i="11" s="1"/>
  <c r="AC96" i="11" s="1"/>
  <c r="AC97" i="11" s="1"/>
  <c r="AC98" i="11" s="1"/>
  <c r="AC99" i="11" s="1"/>
  <c r="AC100" i="11" s="1"/>
  <c r="AC101" i="11" s="1"/>
  <c r="AC102" i="11" s="1"/>
  <c r="AC103" i="11" s="1"/>
  <c r="AC104" i="11" s="1"/>
  <c r="AC105" i="11" s="1"/>
  <c r="AC106" i="11" s="1"/>
  <c r="AC107" i="11" s="1"/>
  <c r="AC108" i="11" s="1"/>
  <c r="AC109" i="11" s="1"/>
  <c r="AC110" i="11" s="1"/>
  <c r="AC111" i="11" s="1"/>
  <c r="AC112" i="11" s="1"/>
  <c r="AC113" i="11" s="1"/>
  <c r="AC114" i="11" s="1"/>
  <c r="AC115" i="11" s="1"/>
  <c r="AC116" i="11" s="1"/>
  <c r="AC117" i="11" s="1"/>
  <c r="AC118" i="11" s="1"/>
  <c r="AC119" i="11" s="1"/>
  <c r="AC120" i="11" s="1"/>
  <c r="AC121" i="11" s="1"/>
  <c r="AC122" i="11" s="1"/>
  <c r="AC123" i="11" s="1"/>
  <c r="AC124" i="11" s="1"/>
  <c r="AC125" i="11" s="1"/>
  <c r="AC126" i="11" s="1"/>
  <c r="AC127" i="11" s="1"/>
  <c r="AC128" i="11" s="1"/>
  <c r="AC129" i="11" s="1"/>
  <c r="AC130" i="11" s="1"/>
  <c r="AC131" i="11" s="1"/>
  <c r="AC132" i="11" s="1"/>
  <c r="AC133" i="11" s="1"/>
  <c r="AC134" i="11" s="1"/>
  <c r="AC135" i="11" s="1"/>
  <c r="AC136" i="11" s="1"/>
  <c r="AC137" i="11" s="1"/>
  <c r="AC138" i="11" s="1"/>
  <c r="AC139" i="11" s="1"/>
  <c r="AC140" i="11" s="1"/>
  <c r="AC141" i="11" s="1"/>
  <c r="AC142" i="11" s="1"/>
  <c r="AC143" i="11" s="1"/>
  <c r="AC144" i="11" s="1"/>
  <c r="AC145" i="11" s="1"/>
  <c r="AC146" i="11" s="1"/>
  <c r="AC147" i="11" s="1"/>
  <c r="AC148" i="11" s="1"/>
  <c r="AC149" i="11" s="1"/>
  <c r="AC150" i="11" s="1"/>
  <c r="AC151" i="11" s="1"/>
  <c r="AC152" i="11" s="1"/>
  <c r="AC153" i="11" s="1"/>
  <c r="AC154" i="11" s="1"/>
  <c r="AC155" i="11" s="1"/>
  <c r="AC156" i="11" s="1"/>
  <c r="AC157" i="11" s="1"/>
  <c r="AC158" i="11" s="1"/>
  <c r="AC159" i="11" s="1"/>
  <c r="AC160" i="11" s="1"/>
  <c r="AC161" i="11" s="1"/>
  <c r="AC162" i="11" s="1"/>
  <c r="AC163" i="11" s="1"/>
  <c r="AC164" i="11" s="1"/>
  <c r="AC165" i="11" s="1"/>
  <c r="AC166" i="11" s="1"/>
  <c r="AC167" i="11" s="1"/>
  <c r="AC168" i="11" s="1"/>
  <c r="AC169" i="11" s="1"/>
  <c r="AC170" i="11" s="1"/>
  <c r="AC171" i="11" s="1"/>
  <c r="AC172" i="11" s="1"/>
  <c r="AC173" i="11" s="1"/>
  <c r="AC174" i="11" s="1"/>
  <c r="AC175" i="11" s="1"/>
  <c r="AC176" i="11" s="1"/>
  <c r="AP54" i="3"/>
  <c r="AN55" i="3"/>
  <c r="AO56" i="3"/>
  <c r="AP57" i="3"/>
  <c r="AN59" i="3"/>
  <c r="AN54" i="3"/>
  <c r="AO55" i="3"/>
  <c r="AP56" i="3"/>
  <c r="AN58" i="3"/>
  <c r="AO59" i="3"/>
  <c r="AP60" i="3"/>
  <c r="AP55" i="3"/>
  <c r="AN57" i="3"/>
  <c r="AP59" i="3"/>
  <c r="AN60" i="3"/>
  <c r="AN61" i="3"/>
  <c r="AN62" i="3"/>
  <c r="AO63" i="3"/>
  <c r="AP64" i="3"/>
  <c r="AO54" i="3"/>
  <c r="AO57" i="3"/>
  <c r="AO60" i="3"/>
  <c r="AO61" i="3"/>
  <c r="AO62" i="3"/>
  <c r="AP63" i="3"/>
  <c r="AN56" i="3"/>
  <c r="AO58" i="3"/>
  <c r="AP61" i="3"/>
  <c r="AP62" i="3"/>
  <c r="AN64" i="3"/>
  <c r="AP65" i="3"/>
  <c r="AN66" i="3"/>
  <c r="AO67" i="3"/>
  <c r="AP68" i="3"/>
  <c r="AN70" i="3"/>
  <c r="AP58" i="3"/>
  <c r="AO66" i="3"/>
  <c r="AP67" i="3"/>
  <c r="AN69" i="3"/>
  <c r="AO70" i="3"/>
  <c r="AN63" i="3"/>
  <c r="AO64" i="3"/>
  <c r="AN65" i="3"/>
  <c r="AP66" i="3"/>
  <c r="AO68" i="3"/>
  <c r="AP71" i="3"/>
  <c r="AN73" i="3"/>
  <c r="AO74" i="3"/>
  <c r="AP75" i="3"/>
  <c r="AN67" i="3"/>
  <c r="AO69" i="3"/>
  <c r="AN72" i="3"/>
  <c r="AO73" i="3"/>
  <c r="AP74" i="3"/>
  <c r="AO65" i="3"/>
  <c r="AP69" i="3"/>
  <c r="AN71" i="3"/>
  <c r="AO72" i="3"/>
  <c r="AP73" i="3"/>
  <c r="AN75" i="3"/>
  <c r="AN68" i="3"/>
  <c r="AP70" i="3"/>
  <c r="AO71" i="3"/>
  <c r="AN74" i="3"/>
  <c r="AO75" i="3"/>
  <c r="AP72" i="3"/>
  <c r="E17" i="2"/>
  <c r="BE15" i="3"/>
  <c r="AZ15" i="3"/>
  <c r="A16" i="3"/>
  <c r="AD8" i="3"/>
  <c r="AD12" i="3"/>
  <c r="AD16" i="3"/>
  <c r="AD20" i="3"/>
  <c r="AD24" i="3"/>
  <c r="AD28" i="3"/>
  <c r="AD32" i="3"/>
  <c r="AD36" i="3"/>
  <c r="AD40" i="3"/>
  <c r="AD44" i="3"/>
  <c r="AD48" i="3"/>
  <c r="AD52" i="3"/>
  <c r="AC10" i="3"/>
  <c r="AC14" i="3"/>
  <c r="AC18" i="3"/>
  <c r="AC22" i="3"/>
  <c r="AC26" i="3"/>
  <c r="AC30" i="3"/>
  <c r="AC34" i="3"/>
  <c r="AC38" i="3"/>
  <c r="AC42" i="3"/>
  <c r="AC46" i="3"/>
  <c r="AC50" i="3"/>
  <c r="AD9" i="3"/>
  <c r="AD13" i="3"/>
  <c r="AD17" i="3"/>
  <c r="AD21" i="3"/>
  <c r="AD25" i="3"/>
  <c r="AD29" i="3"/>
  <c r="AD33" i="3"/>
  <c r="AD37" i="3"/>
  <c r="AD41" i="3"/>
  <c r="AD45" i="3"/>
  <c r="AD49" i="3"/>
  <c r="AD53" i="3"/>
  <c r="AC11" i="3"/>
  <c r="AC15" i="3"/>
  <c r="AC19" i="3"/>
  <c r="AC23" i="3"/>
  <c r="AC27" i="3"/>
  <c r="AC31" i="3"/>
  <c r="AC35" i="3"/>
  <c r="AC39" i="3"/>
  <c r="AC43" i="3"/>
  <c r="AC47" i="3"/>
  <c r="AC51" i="3"/>
  <c r="AD10" i="3"/>
  <c r="AD14" i="3"/>
  <c r="AD18" i="3"/>
  <c r="AD22" i="3"/>
  <c r="AD26" i="3"/>
  <c r="AD30" i="3"/>
  <c r="AD34" i="3"/>
  <c r="AD38" i="3"/>
  <c r="AD42" i="3"/>
  <c r="AD46" i="3"/>
  <c r="AD50" i="3"/>
  <c r="AC8" i="3"/>
  <c r="AC12" i="3"/>
  <c r="AC16" i="3"/>
  <c r="AC20" i="3"/>
  <c r="AC24" i="3"/>
  <c r="AC28" i="3"/>
  <c r="AC32" i="3"/>
  <c r="AC36" i="3"/>
  <c r="AC40" i="3"/>
  <c r="AC44" i="3"/>
  <c r="AC48" i="3"/>
  <c r="AC52" i="3"/>
  <c r="AD11" i="3"/>
  <c r="AD15" i="3"/>
  <c r="AD19" i="3"/>
  <c r="AD23" i="3"/>
  <c r="AD27" i="3"/>
  <c r="AD31" i="3"/>
  <c r="AD35" i="3"/>
  <c r="AD39" i="3"/>
  <c r="AD43" i="3"/>
  <c r="AD47" i="3"/>
  <c r="AD51" i="3"/>
  <c r="AC9" i="3"/>
  <c r="AC13" i="3"/>
  <c r="AC17" i="3"/>
  <c r="AC21" i="3"/>
  <c r="AC25" i="3"/>
  <c r="AC29" i="3"/>
  <c r="AC33" i="3"/>
  <c r="AC37" i="3"/>
  <c r="AC41" i="3"/>
  <c r="AC45" i="3"/>
  <c r="AC49" i="3"/>
  <c r="AC53" i="3"/>
  <c r="AB53" i="3"/>
  <c r="AB52" i="3"/>
  <c r="AB22" i="3"/>
  <c r="AB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17" i="3"/>
  <c r="AB18" i="3"/>
  <c r="AB19" i="3"/>
  <c r="AB20" i="3"/>
  <c r="AB21" i="3"/>
  <c r="AB23" i="3"/>
  <c r="AB24" i="3"/>
  <c r="AB25" i="3"/>
  <c r="AB26" i="3"/>
  <c r="AB27" i="3"/>
  <c r="AB28" i="3"/>
  <c r="AB29" i="3"/>
  <c r="AB11" i="3"/>
  <c r="AB12" i="3"/>
  <c r="AB13" i="3"/>
  <c r="AB14" i="3"/>
  <c r="AB15" i="3"/>
  <c r="AB16" i="3"/>
  <c r="AB10" i="3"/>
  <c r="AB8" i="3"/>
  <c r="AD6" i="11"/>
  <c r="AQ85" i="3" l="1"/>
  <c r="AS86" i="3"/>
  <c r="AQ87" i="3"/>
  <c r="AS88" i="3"/>
  <c r="AQ89" i="3"/>
  <c r="AS90" i="3"/>
  <c r="AQ91" i="3"/>
  <c r="AR85" i="3"/>
  <c r="AR87" i="3"/>
  <c r="AR89" i="3"/>
  <c r="AR91" i="3"/>
  <c r="AS85" i="3"/>
  <c r="AQ86" i="3"/>
  <c r="AS87" i="3"/>
  <c r="AQ88" i="3"/>
  <c r="AS89" i="3"/>
  <c r="AQ90" i="3"/>
  <c r="AS91" i="3"/>
  <c r="AQ92" i="3"/>
  <c r="AR92" i="3"/>
  <c r="AR86" i="3"/>
  <c r="AS92" i="3"/>
  <c r="AR90" i="3"/>
  <c r="AR88" i="3"/>
  <c r="AQ156" i="3"/>
  <c r="AR157" i="3"/>
  <c r="AS93" i="3"/>
  <c r="AQ95" i="3"/>
  <c r="AR96" i="3"/>
  <c r="AQ155" i="3"/>
  <c r="AR156" i="3"/>
  <c r="AS157" i="3"/>
  <c r="AQ94" i="3"/>
  <c r="AR95" i="3"/>
  <c r="AS96" i="3"/>
  <c r="AQ98" i="3"/>
  <c r="AR99" i="3"/>
  <c r="AS100" i="3"/>
  <c r="AQ102" i="3"/>
  <c r="AR103" i="3"/>
  <c r="AS104" i="3"/>
  <c r="AR155" i="3"/>
  <c r="AS156" i="3"/>
  <c r="AQ93" i="3"/>
  <c r="AR94" i="3"/>
  <c r="AS95" i="3"/>
  <c r="AQ157" i="3"/>
  <c r="AR93" i="3"/>
  <c r="AS94" i="3"/>
  <c r="AS97" i="3"/>
  <c r="AS98" i="3"/>
  <c r="AS99" i="3"/>
  <c r="AR100" i="3"/>
  <c r="AQ101" i="3"/>
  <c r="AR101" i="3"/>
  <c r="AR102" i="3"/>
  <c r="AQ103" i="3"/>
  <c r="AQ104" i="3"/>
  <c r="AS155" i="3"/>
  <c r="AQ96" i="3"/>
  <c r="AQ97" i="3"/>
  <c r="AS101" i="3"/>
  <c r="AS102" i="3"/>
  <c r="AS103" i="3"/>
  <c r="AR104" i="3"/>
  <c r="AQ105" i="3"/>
  <c r="AS105" i="3"/>
  <c r="AR106" i="3"/>
  <c r="AS107" i="3"/>
  <c r="AQ109" i="3"/>
  <c r="AR110" i="3"/>
  <c r="AS106" i="3"/>
  <c r="AQ108" i="3"/>
  <c r="AR109" i="3"/>
  <c r="AS110" i="3"/>
  <c r="AR97" i="3"/>
  <c r="AR98" i="3"/>
  <c r="AQ99" i="3"/>
  <c r="AQ100" i="3"/>
  <c r="AQ107" i="3"/>
  <c r="AR105" i="3"/>
  <c r="AS109" i="3"/>
  <c r="AR111" i="3"/>
  <c r="AQ113" i="3"/>
  <c r="AR114" i="3"/>
  <c r="AS115" i="3"/>
  <c r="AQ117" i="3"/>
  <c r="AR118" i="3"/>
  <c r="AS119" i="3"/>
  <c r="AQ121" i="3"/>
  <c r="AR122" i="3"/>
  <c r="AS123" i="3"/>
  <c r="AQ110" i="3"/>
  <c r="AS111" i="3"/>
  <c r="AQ112" i="3"/>
  <c r="AR113" i="3"/>
  <c r="AS114" i="3"/>
  <c r="AQ116" i="3"/>
  <c r="AR117" i="3"/>
  <c r="AS118" i="3"/>
  <c r="AQ120" i="3"/>
  <c r="AQ106" i="3"/>
  <c r="AR107" i="3"/>
  <c r="AR108" i="3"/>
  <c r="AR112" i="3"/>
  <c r="AS113" i="3"/>
  <c r="AQ115" i="3"/>
  <c r="AR116" i="3"/>
  <c r="AS117" i="3"/>
  <c r="AQ119" i="3"/>
  <c r="AR120" i="3"/>
  <c r="AS121" i="3"/>
  <c r="AQ123" i="3"/>
  <c r="AR124" i="3"/>
  <c r="AQ114" i="3"/>
  <c r="AR115" i="3"/>
  <c r="AS116" i="3"/>
  <c r="AS122" i="3"/>
  <c r="AS124" i="3"/>
  <c r="AQ126" i="3"/>
  <c r="AR127" i="3"/>
  <c r="AS128" i="3"/>
  <c r="AQ130" i="3"/>
  <c r="AR131" i="3"/>
  <c r="AS132" i="3"/>
  <c r="AQ134" i="3"/>
  <c r="AR135" i="3"/>
  <c r="AR121" i="3"/>
  <c r="AR123" i="3"/>
  <c r="AQ125" i="3"/>
  <c r="AR126" i="3"/>
  <c r="AS127" i="3"/>
  <c r="AQ129" i="3"/>
  <c r="AR130" i="3"/>
  <c r="AS131" i="3"/>
  <c r="AQ133" i="3"/>
  <c r="AR134" i="3"/>
  <c r="AS135" i="3"/>
  <c r="AQ111" i="3"/>
  <c r="AS112" i="3"/>
  <c r="AQ118" i="3"/>
  <c r="AR119" i="3"/>
  <c r="AS120" i="3"/>
  <c r="AR125" i="3"/>
  <c r="AS126" i="3"/>
  <c r="AQ128" i="3"/>
  <c r="AR129" i="3"/>
  <c r="AS130" i="3"/>
  <c r="AQ132" i="3"/>
  <c r="AR133" i="3"/>
  <c r="AS134" i="3"/>
  <c r="AS108" i="3"/>
  <c r="AQ136" i="3"/>
  <c r="AR137" i="3"/>
  <c r="AS138" i="3"/>
  <c r="AQ140" i="3"/>
  <c r="AR141" i="3"/>
  <c r="AS142" i="3"/>
  <c r="AQ144" i="3"/>
  <c r="AR145" i="3"/>
  <c r="AS146" i="3"/>
  <c r="AQ148" i="3"/>
  <c r="AR149" i="3"/>
  <c r="AS150" i="3"/>
  <c r="AQ152" i="3"/>
  <c r="AR153" i="3"/>
  <c r="AS154" i="3"/>
  <c r="AQ122" i="3"/>
  <c r="AQ127" i="3"/>
  <c r="AR128" i="3"/>
  <c r="AS129" i="3"/>
  <c r="AQ135" i="3"/>
  <c r="AR136" i="3"/>
  <c r="AS137" i="3"/>
  <c r="AQ139" i="3"/>
  <c r="AR140" i="3"/>
  <c r="AS141" i="3"/>
  <c r="AQ143" i="3"/>
  <c r="AR144" i="3"/>
  <c r="AS145" i="3"/>
  <c r="AQ147" i="3"/>
  <c r="AR148" i="3"/>
  <c r="AS149" i="3"/>
  <c r="AQ151" i="3"/>
  <c r="AR152" i="3"/>
  <c r="AS153" i="3"/>
  <c r="AQ76" i="3"/>
  <c r="AR77" i="3"/>
  <c r="AS78" i="3"/>
  <c r="AQ80" i="3"/>
  <c r="AQ124" i="3"/>
  <c r="AS136" i="3"/>
  <c r="AQ138" i="3"/>
  <c r="AR139" i="3"/>
  <c r="AS140" i="3"/>
  <c r="AQ142" i="3"/>
  <c r="AR143" i="3"/>
  <c r="AS144" i="3"/>
  <c r="AQ146" i="3"/>
  <c r="AR147" i="3"/>
  <c r="AS148" i="3"/>
  <c r="AQ150" i="3"/>
  <c r="AR151" i="3"/>
  <c r="AS152" i="3"/>
  <c r="AQ154" i="3"/>
  <c r="AR76" i="3"/>
  <c r="AS125" i="3"/>
  <c r="AQ131" i="3"/>
  <c r="AR132" i="3"/>
  <c r="AS133" i="3"/>
  <c r="AQ137" i="3"/>
  <c r="AR138" i="3"/>
  <c r="AS139" i="3"/>
  <c r="AS77" i="3"/>
  <c r="AR78" i="3"/>
  <c r="AQ79" i="3"/>
  <c r="AR81" i="3"/>
  <c r="AS82" i="3"/>
  <c r="AQ145" i="3"/>
  <c r="AR146" i="3"/>
  <c r="AS147" i="3"/>
  <c r="AQ153" i="3"/>
  <c r="AR154" i="3"/>
  <c r="AS76" i="3"/>
  <c r="AR79" i="3"/>
  <c r="AR80" i="3"/>
  <c r="AS81" i="3"/>
  <c r="AQ83" i="3"/>
  <c r="AR84" i="3"/>
  <c r="AR83" i="3"/>
  <c r="AS84" i="3"/>
  <c r="AS79" i="3"/>
  <c r="AQ141" i="3"/>
  <c r="AR142" i="3"/>
  <c r="AS143" i="3"/>
  <c r="AQ149" i="3"/>
  <c r="AR150" i="3"/>
  <c r="AS151" i="3"/>
  <c r="AQ77" i="3"/>
  <c r="AQ78" i="3"/>
  <c r="AQ81" i="3"/>
  <c r="AR82" i="3"/>
  <c r="AS83" i="3"/>
  <c r="AQ84" i="3"/>
  <c r="AS80" i="3"/>
  <c r="AQ82" i="3"/>
  <c r="BD133" i="1"/>
  <c r="BF132" i="1"/>
  <c r="O34" i="2" a="1"/>
  <c r="O34" i="2" s="1"/>
  <c r="O35" i="2" s="1" a="1"/>
  <c r="O35" i="2" s="1"/>
  <c r="AD7" i="11"/>
  <c r="AD8" i="11" s="1"/>
  <c r="AD9" i="11" s="1"/>
  <c r="AD10" i="11" s="1"/>
  <c r="AD11" i="11" s="1"/>
  <c r="AD12" i="11" s="1"/>
  <c r="AD13" i="11" s="1"/>
  <c r="AD14" i="11" s="1"/>
  <c r="AD15" i="11" s="1"/>
  <c r="AD16" i="11" s="1"/>
  <c r="AD17" i="11" s="1"/>
  <c r="AD18" i="11" s="1"/>
  <c r="AD19" i="11" s="1"/>
  <c r="AD20" i="11" s="1"/>
  <c r="AD21" i="11" s="1"/>
  <c r="AD22" i="11" s="1"/>
  <c r="AD23" i="11" s="1"/>
  <c r="AD24" i="11" s="1"/>
  <c r="AD25" i="11" s="1"/>
  <c r="AD26" i="11" s="1"/>
  <c r="AD27" i="11" s="1"/>
  <c r="AD28" i="11" s="1"/>
  <c r="AD29" i="11" s="1"/>
  <c r="AD30" i="11" s="1"/>
  <c r="AD31" i="11" s="1"/>
  <c r="AD32" i="11" s="1"/>
  <c r="AD33" i="11" s="1"/>
  <c r="AD34" i="11" s="1"/>
  <c r="AD35" i="11" s="1"/>
  <c r="AD36" i="11" s="1"/>
  <c r="AD37" i="11" s="1"/>
  <c r="AD38" i="11" s="1"/>
  <c r="AD39" i="11" s="1"/>
  <c r="AD40" i="11" s="1"/>
  <c r="AD41" i="11" s="1"/>
  <c r="AD42" i="11" s="1"/>
  <c r="AD43" i="11" s="1"/>
  <c r="AD44" i="11" s="1"/>
  <c r="AD45" i="11" s="1"/>
  <c r="AD46" i="11" s="1"/>
  <c r="AD47" i="11" s="1"/>
  <c r="AD48" i="11" s="1"/>
  <c r="AD49" i="11" s="1"/>
  <c r="AD50" i="11" s="1"/>
  <c r="AD51" i="11" s="1"/>
  <c r="AD52" i="11" s="1"/>
  <c r="AD53" i="11" s="1"/>
  <c r="AD54" i="11" s="1"/>
  <c r="AD55" i="11" s="1"/>
  <c r="AD56" i="11" s="1"/>
  <c r="AD57" i="11" s="1"/>
  <c r="AD58" i="11" s="1"/>
  <c r="AD59" i="11" s="1"/>
  <c r="AD60" i="11" s="1"/>
  <c r="AD61" i="11" s="1"/>
  <c r="AD62" i="11" s="1"/>
  <c r="AD63" i="11" s="1"/>
  <c r="AD64" i="11" s="1"/>
  <c r="AD65" i="11" s="1"/>
  <c r="AD66" i="11" s="1"/>
  <c r="AD67" i="11" s="1"/>
  <c r="AD68" i="11" s="1"/>
  <c r="AD69" i="11" s="1"/>
  <c r="AD70" i="11" s="1"/>
  <c r="AD71" i="11" s="1"/>
  <c r="AD72" i="11" s="1"/>
  <c r="AD73" i="11" s="1"/>
  <c r="AD74" i="11" s="1"/>
  <c r="AD75" i="11" s="1"/>
  <c r="AD76" i="11" s="1"/>
  <c r="AD77" i="11" s="1"/>
  <c r="AD78" i="11" s="1"/>
  <c r="AD79" i="11" s="1"/>
  <c r="AD80" i="11" s="1"/>
  <c r="AD81" i="11" s="1"/>
  <c r="AD82" i="11" s="1"/>
  <c r="AD83" i="11" s="1"/>
  <c r="AD84" i="11" s="1"/>
  <c r="AD85" i="11" s="1"/>
  <c r="AD86" i="11" s="1"/>
  <c r="AD87" i="11" s="1"/>
  <c r="AD88" i="11" s="1"/>
  <c r="AD89" i="11" s="1"/>
  <c r="AD90" i="11" s="1"/>
  <c r="AD91" i="11" s="1"/>
  <c r="AD92" i="11" s="1"/>
  <c r="AD93" i="11" s="1"/>
  <c r="AD94" i="11" s="1"/>
  <c r="AD95" i="11" s="1"/>
  <c r="AD96" i="11" s="1"/>
  <c r="AD97" i="11" s="1"/>
  <c r="AD98" i="11" s="1"/>
  <c r="AD99" i="11" s="1"/>
  <c r="AD100" i="11" s="1"/>
  <c r="AD101" i="11" s="1"/>
  <c r="AD102" i="11" s="1"/>
  <c r="AD103" i="11" s="1"/>
  <c r="AD104" i="11" s="1"/>
  <c r="AD105" i="11" s="1"/>
  <c r="AD106" i="11" s="1"/>
  <c r="AD107" i="11" s="1"/>
  <c r="AD108" i="11" s="1"/>
  <c r="AD109" i="11" s="1"/>
  <c r="AD110" i="11" s="1"/>
  <c r="AD111" i="11" s="1"/>
  <c r="AD112" i="11" s="1"/>
  <c r="AD113" i="11" s="1"/>
  <c r="AD114" i="11" s="1"/>
  <c r="AD115" i="11" s="1"/>
  <c r="AD116" i="11" s="1"/>
  <c r="AD117" i="11" s="1"/>
  <c r="AD118" i="11" s="1"/>
  <c r="AD119" i="11" s="1"/>
  <c r="AD120" i="11" s="1"/>
  <c r="AD121" i="11" s="1"/>
  <c r="AD122" i="11" s="1"/>
  <c r="AD123" i="11" s="1"/>
  <c r="AD124" i="11" s="1"/>
  <c r="AD125" i="11" s="1"/>
  <c r="AD126" i="11" s="1"/>
  <c r="AD127" i="11" s="1"/>
  <c r="AD128" i="11" s="1"/>
  <c r="AD129" i="11" s="1"/>
  <c r="AD130" i="11" s="1"/>
  <c r="AD131" i="11" s="1"/>
  <c r="AD132" i="11" s="1"/>
  <c r="AD133" i="11" s="1"/>
  <c r="AD134" i="11" s="1"/>
  <c r="AD135" i="11" s="1"/>
  <c r="AD136" i="11" s="1"/>
  <c r="AD137" i="11" s="1"/>
  <c r="AD138" i="11" s="1"/>
  <c r="AD139" i="11" s="1"/>
  <c r="AD140" i="11" s="1"/>
  <c r="AD141" i="11" s="1"/>
  <c r="AD142" i="11" s="1"/>
  <c r="AD143" i="11" s="1"/>
  <c r="AD144" i="11" s="1"/>
  <c r="AD145" i="11" s="1"/>
  <c r="AD146" i="11" s="1"/>
  <c r="AD147" i="11" s="1"/>
  <c r="AD148" i="11" s="1"/>
  <c r="AD149" i="11" s="1"/>
  <c r="AD150" i="11" s="1"/>
  <c r="AD151" i="11" s="1"/>
  <c r="AD152" i="11" s="1"/>
  <c r="AD153" i="11" s="1"/>
  <c r="AD154" i="11" s="1"/>
  <c r="AD155" i="11" s="1"/>
  <c r="AD156" i="11" s="1"/>
  <c r="AD157" i="11" s="1"/>
  <c r="AD158" i="11" s="1"/>
  <c r="AD159" i="11" s="1"/>
  <c r="AD160" i="11" s="1"/>
  <c r="AD161" i="11" s="1"/>
  <c r="AD162" i="11" s="1"/>
  <c r="AD163" i="11" s="1"/>
  <c r="AD164" i="11" s="1"/>
  <c r="AD165" i="11" s="1"/>
  <c r="AD166" i="11" s="1"/>
  <c r="AD167" i="11" s="1"/>
  <c r="AD168" i="11" s="1"/>
  <c r="AD169" i="11" s="1"/>
  <c r="AD170" i="11" s="1"/>
  <c r="AD171" i="11" s="1"/>
  <c r="AD172" i="11" s="1"/>
  <c r="AD173" i="11" s="1"/>
  <c r="AD174" i="11" s="1"/>
  <c r="AD175" i="11" s="1"/>
  <c r="AD176" i="11" s="1"/>
  <c r="E18" i="2"/>
  <c r="AQ54" i="3"/>
  <c r="AR55" i="3"/>
  <c r="AS56" i="3"/>
  <c r="AQ58" i="3"/>
  <c r="AR54" i="3"/>
  <c r="AS55" i="3"/>
  <c r="AQ57" i="3"/>
  <c r="AR58" i="3"/>
  <c r="AS59" i="3"/>
  <c r="AQ61" i="3"/>
  <c r="AR56" i="3"/>
  <c r="AS58" i="3"/>
  <c r="AS60" i="3"/>
  <c r="AS61" i="3"/>
  <c r="AR62" i="3"/>
  <c r="AS63" i="3"/>
  <c r="AQ65" i="3"/>
  <c r="AQ55" i="3"/>
  <c r="AQ59" i="3"/>
  <c r="AS62" i="3"/>
  <c r="AQ64" i="3"/>
  <c r="AS54" i="3"/>
  <c r="AR57" i="3"/>
  <c r="AR59" i="3"/>
  <c r="AQ60" i="3"/>
  <c r="AQ63" i="3"/>
  <c r="AR64" i="3"/>
  <c r="AR66" i="3"/>
  <c r="AS67" i="3"/>
  <c r="AQ69" i="3"/>
  <c r="AR70" i="3"/>
  <c r="AQ56" i="3"/>
  <c r="AR60" i="3"/>
  <c r="AR61" i="3"/>
  <c r="AR65" i="3"/>
  <c r="AS66" i="3"/>
  <c r="AQ68" i="3"/>
  <c r="AR69" i="3"/>
  <c r="AS70" i="3"/>
  <c r="AS65" i="3"/>
  <c r="AQ67" i="3"/>
  <c r="AQ70" i="3"/>
  <c r="AQ72" i="3"/>
  <c r="AR73" i="3"/>
  <c r="AS74" i="3"/>
  <c r="AR68" i="3"/>
  <c r="AQ71" i="3"/>
  <c r="AR72" i="3"/>
  <c r="AS73" i="3"/>
  <c r="AQ75" i="3"/>
  <c r="AQ62" i="3"/>
  <c r="AR63" i="3"/>
  <c r="AS64" i="3"/>
  <c r="AQ66" i="3"/>
  <c r="AR67" i="3"/>
  <c r="AS68" i="3"/>
  <c r="AR71" i="3"/>
  <c r="AS72" i="3"/>
  <c r="AQ74" i="3"/>
  <c r="AR75" i="3"/>
  <c r="AS57" i="3"/>
  <c r="AS69" i="3"/>
  <c r="AS71" i="3"/>
  <c r="AQ73" i="3"/>
  <c r="AR74" i="3"/>
  <c r="AS75" i="3"/>
  <c r="I20" i="2"/>
  <c r="G21" i="2"/>
  <c r="BE16" i="3"/>
  <c r="AZ16" i="3"/>
  <c r="A17" i="3"/>
  <c r="AG9" i="3"/>
  <c r="AG13" i="3"/>
  <c r="AG17" i="3"/>
  <c r="AG21" i="3"/>
  <c r="AG25" i="3"/>
  <c r="AG29" i="3"/>
  <c r="AG33" i="3"/>
  <c r="AG37" i="3"/>
  <c r="AG41" i="3"/>
  <c r="AG8" i="3"/>
  <c r="AG12" i="3"/>
  <c r="AG16" i="3"/>
  <c r="AG20" i="3"/>
  <c r="AG24" i="3"/>
  <c r="AG28" i="3"/>
  <c r="AG32" i="3"/>
  <c r="AG36" i="3"/>
  <c r="AG40" i="3"/>
  <c r="AG44" i="3"/>
  <c r="AG48" i="3"/>
  <c r="AG52" i="3"/>
  <c r="AF10" i="3"/>
  <c r="AF14" i="3"/>
  <c r="AF18" i="3"/>
  <c r="AF22" i="3"/>
  <c r="AF26" i="3"/>
  <c r="AF30" i="3"/>
  <c r="AF34" i="3"/>
  <c r="AF38" i="3"/>
  <c r="AF42" i="3"/>
  <c r="AF46" i="3"/>
  <c r="AF50" i="3"/>
  <c r="AG11" i="3"/>
  <c r="AG19" i="3"/>
  <c r="AG27" i="3"/>
  <c r="AG35" i="3"/>
  <c r="AG43" i="3"/>
  <c r="AG49" i="3"/>
  <c r="AF9" i="3"/>
  <c r="AF15" i="3"/>
  <c r="AF20" i="3"/>
  <c r="AF25" i="3"/>
  <c r="AF31" i="3"/>
  <c r="AF36" i="3"/>
  <c r="AF41" i="3"/>
  <c r="AF47" i="3"/>
  <c r="AF52" i="3"/>
  <c r="AG14" i="3"/>
  <c r="AG22" i="3"/>
  <c r="AG30" i="3"/>
  <c r="AG38" i="3"/>
  <c r="AG45" i="3"/>
  <c r="AG50" i="3"/>
  <c r="AF11" i="3"/>
  <c r="AF16" i="3"/>
  <c r="AF21" i="3"/>
  <c r="AF27" i="3"/>
  <c r="AF32" i="3"/>
  <c r="AF37" i="3"/>
  <c r="AF43" i="3"/>
  <c r="AF48" i="3"/>
  <c r="AF53" i="3"/>
  <c r="AG15" i="3"/>
  <c r="AG23" i="3"/>
  <c r="AG31" i="3"/>
  <c r="AG39" i="3"/>
  <c r="AG46" i="3"/>
  <c r="AG51" i="3"/>
  <c r="AF12" i="3"/>
  <c r="AF17" i="3"/>
  <c r="AF23" i="3"/>
  <c r="AF28" i="3"/>
  <c r="AF33" i="3"/>
  <c r="AF39" i="3"/>
  <c r="AF44" i="3"/>
  <c r="AF49" i="3"/>
  <c r="AG10" i="3"/>
  <c r="AG18" i="3"/>
  <c r="AG26" i="3"/>
  <c r="AG34" i="3"/>
  <c r="AG42" i="3"/>
  <c r="AG47" i="3"/>
  <c r="AG53" i="3"/>
  <c r="AF8" i="3"/>
  <c r="AF13" i="3"/>
  <c r="AF19" i="3"/>
  <c r="AF24" i="3"/>
  <c r="AF29" i="3"/>
  <c r="AF35" i="3"/>
  <c r="AF40" i="3"/>
  <c r="AF45" i="3"/>
  <c r="AF51" i="3"/>
  <c r="AE53" i="3"/>
  <c r="AE52" i="3"/>
  <c r="AE23" i="3"/>
  <c r="AE24" i="3"/>
  <c r="AE25" i="3"/>
  <c r="AE26" i="3"/>
  <c r="AE27" i="3"/>
  <c r="AE28" i="3"/>
  <c r="AE29" i="3"/>
  <c r="AE11" i="3"/>
  <c r="AE12" i="3"/>
  <c r="AE13" i="3"/>
  <c r="AE14" i="3"/>
  <c r="AE15" i="3"/>
  <c r="AE16" i="3"/>
  <c r="AE22" i="3"/>
  <c r="AE8" i="3"/>
  <c r="AE9" i="3"/>
  <c r="AE30" i="3"/>
  <c r="AE31" i="3"/>
  <c r="AE32" i="3"/>
  <c r="AE33" i="3"/>
  <c r="AE34" i="3"/>
  <c r="AE35" i="3"/>
  <c r="AE36" i="3"/>
  <c r="AE37" i="3"/>
  <c r="AE38" i="3"/>
  <c r="AE39" i="3"/>
  <c r="AE40" i="3"/>
  <c r="AE41" i="3"/>
  <c r="AE42" i="3"/>
  <c r="AE43" i="3"/>
  <c r="AE44" i="3"/>
  <c r="AE45" i="3"/>
  <c r="AE46" i="3"/>
  <c r="AE47" i="3"/>
  <c r="AE48" i="3"/>
  <c r="AE49" i="3"/>
  <c r="AE50" i="3"/>
  <c r="AE51" i="3"/>
  <c r="AE17" i="3"/>
  <c r="AE18" i="3"/>
  <c r="AE19" i="3"/>
  <c r="AE20" i="3"/>
  <c r="AE21" i="3"/>
  <c r="AE10" i="3"/>
  <c r="BF133" i="1" l="1"/>
  <c r="BD134" i="1"/>
  <c r="AU85" i="3"/>
  <c r="AU87" i="3"/>
  <c r="AU89" i="3"/>
  <c r="AU91" i="3"/>
  <c r="AV85" i="3"/>
  <c r="AT86" i="3"/>
  <c r="AV87" i="3"/>
  <c r="AT88" i="3"/>
  <c r="AV89" i="3"/>
  <c r="AT90" i="3"/>
  <c r="AV91" i="3"/>
  <c r="AT92" i="3"/>
  <c r="AU86" i="3"/>
  <c r="AU88" i="3"/>
  <c r="AU90" i="3"/>
  <c r="AT87" i="3"/>
  <c r="AV90" i="3"/>
  <c r="AU92" i="3"/>
  <c r="AV88" i="3"/>
  <c r="AT89" i="3"/>
  <c r="AT85" i="3"/>
  <c r="AV92" i="3"/>
  <c r="AV86" i="3"/>
  <c r="AT91" i="3"/>
  <c r="AT155" i="3"/>
  <c r="AU156" i="3"/>
  <c r="AV157" i="3"/>
  <c r="AT94" i="3"/>
  <c r="AU95" i="3"/>
  <c r="AV96" i="3"/>
  <c r="AU155" i="3"/>
  <c r="AV156" i="3"/>
  <c r="AT93" i="3"/>
  <c r="AU94" i="3"/>
  <c r="AV95" i="3"/>
  <c r="AT97" i="3"/>
  <c r="AU98" i="3"/>
  <c r="AV99" i="3"/>
  <c r="AT101" i="3"/>
  <c r="AU102" i="3"/>
  <c r="AV103" i="3"/>
  <c r="AT105" i="3"/>
  <c r="AV155" i="3"/>
  <c r="AT157" i="3"/>
  <c r="AU93" i="3"/>
  <c r="AV94" i="3"/>
  <c r="AT96" i="3"/>
  <c r="AV101" i="3"/>
  <c r="AV102" i="3"/>
  <c r="AU103" i="3"/>
  <c r="AU104" i="3"/>
  <c r="AT156" i="3"/>
  <c r="AU157" i="3"/>
  <c r="AV93" i="3"/>
  <c r="AU97" i="3"/>
  <c r="AT98" i="3"/>
  <c r="AT99" i="3"/>
  <c r="AT100" i="3"/>
  <c r="AV104" i="3"/>
  <c r="AU105" i="3"/>
  <c r="AV97" i="3"/>
  <c r="AV98" i="3"/>
  <c r="AU99" i="3"/>
  <c r="AU100" i="3"/>
  <c r="AU101" i="3"/>
  <c r="AV106" i="3"/>
  <c r="AT108" i="3"/>
  <c r="AU109" i="3"/>
  <c r="AV110" i="3"/>
  <c r="AT95" i="3"/>
  <c r="AU96" i="3"/>
  <c r="AT102" i="3"/>
  <c r="AV105" i="3"/>
  <c r="AT107" i="3"/>
  <c r="AU108" i="3"/>
  <c r="AV109" i="3"/>
  <c r="AT111" i="3"/>
  <c r="AT103" i="3"/>
  <c r="AT106" i="3"/>
  <c r="AU107" i="3"/>
  <c r="AV100" i="3"/>
  <c r="AT104" i="3"/>
  <c r="AV108" i="3"/>
  <c r="AT112" i="3"/>
  <c r="AU113" i="3"/>
  <c r="AV114" i="3"/>
  <c r="AT116" i="3"/>
  <c r="AU117" i="3"/>
  <c r="AV118" i="3"/>
  <c r="AT120" i="3"/>
  <c r="AU121" i="3"/>
  <c r="AV122" i="3"/>
  <c r="AT124" i="3"/>
  <c r="AT109" i="3"/>
  <c r="AU112" i="3"/>
  <c r="AV113" i="3"/>
  <c r="AT115" i="3"/>
  <c r="AU116" i="3"/>
  <c r="AV117" i="3"/>
  <c r="AT119" i="3"/>
  <c r="AU120" i="3"/>
  <c r="AT110" i="3"/>
  <c r="AU111" i="3"/>
  <c r="AV112" i="3"/>
  <c r="AT114" i="3"/>
  <c r="AU115" i="3"/>
  <c r="AV116" i="3"/>
  <c r="AT118" i="3"/>
  <c r="AU119" i="3"/>
  <c r="AV120" i="3"/>
  <c r="AT122" i="3"/>
  <c r="AU123" i="3"/>
  <c r="AV124" i="3"/>
  <c r="AU110" i="3"/>
  <c r="AT125" i="3"/>
  <c r="AU126" i="3"/>
  <c r="AV127" i="3"/>
  <c r="AT129" i="3"/>
  <c r="AU130" i="3"/>
  <c r="AV131" i="3"/>
  <c r="AT133" i="3"/>
  <c r="AU134" i="3"/>
  <c r="AV135" i="3"/>
  <c r="AT113" i="3"/>
  <c r="AU114" i="3"/>
  <c r="AV115" i="3"/>
  <c r="AU122" i="3"/>
  <c r="AU124" i="3"/>
  <c r="AU125" i="3"/>
  <c r="AV126" i="3"/>
  <c r="AT128" i="3"/>
  <c r="AU129" i="3"/>
  <c r="AV130" i="3"/>
  <c r="AT132" i="3"/>
  <c r="AU133" i="3"/>
  <c r="AV134" i="3"/>
  <c r="AT136" i="3"/>
  <c r="AT121" i="3"/>
  <c r="AT123" i="3"/>
  <c r="AV125" i="3"/>
  <c r="AT127" i="3"/>
  <c r="AU128" i="3"/>
  <c r="AV129" i="3"/>
  <c r="AT131" i="3"/>
  <c r="AU132" i="3"/>
  <c r="AV133" i="3"/>
  <c r="AT135" i="3"/>
  <c r="AU106" i="3"/>
  <c r="AV111" i="3"/>
  <c r="AV123" i="3"/>
  <c r="AT130" i="3"/>
  <c r="AU131" i="3"/>
  <c r="AV132" i="3"/>
  <c r="AV136" i="3"/>
  <c r="AV137" i="3"/>
  <c r="AT139" i="3"/>
  <c r="AU140" i="3"/>
  <c r="AV141" i="3"/>
  <c r="AT143" i="3"/>
  <c r="AU144" i="3"/>
  <c r="AV145" i="3"/>
  <c r="AT147" i="3"/>
  <c r="AU148" i="3"/>
  <c r="AV149" i="3"/>
  <c r="AT151" i="3"/>
  <c r="AU152" i="3"/>
  <c r="AV153" i="3"/>
  <c r="AT76" i="3"/>
  <c r="AT138" i="3"/>
  <c r="AU139" i="3"/>
  <c r="AV140" i="3"/>
  <c r="AT142" i="3"/>
  <c r="AU143" i="3"/>
  <c r="AV144" i="3"/>
  <c r="AT146" i="3"/>
  <c r="AU147" i="3"/>
  <c r="AV148" i="3"/>
  <c r="AT150" i="3"/>
  <c r="AU151" i="3"/>
  <c r="AV152" i="3"/>
  <c r="AT154" i="3"/>
  <c r="AU76" i="3"/>
  <c r="AV77" i="3"/>
  <c r="AT79" i="3"/>
  <c r="AV107" i="3"/>
  <c r="AT117" i="3"/>
  <c r="AU118" i="3"/>
  <c r="AV119" i="3"/>
  <c r="AT126" i="3"/>
  <c r="AU127" i="3"/>
  <c r="AV128" i="3"/>
  <c r="AT134" i="3"/>
  <c r="AU135" i="3"/>
  <c r="AT137" i="3"/>
  <c r="AU138" i="3"/>
  <c r="AV139" i="3"/>
  <c r="AT141" i="3"/>
  <c r="AU142" i="3"/>
  <c r="AV143" i="3"/>
  <c r="AT145" i="3"/>
  <c r="AU146" i="3"/>
  <c r="AV147" i="3"/>
  <c r="AT149" i="3"/>
  <c r="AU150" i="3"/>
  <c r="AV151" i="3"/>
  <c r="AT153" i="3"/>
  <c r="AU154" i="3"/>
  <c r="AV76" i="3"/>
  <c r="AV121" i="3"/>
  <c r="AU136" i="3"/>
  <c r="AU137" i="3"/>
  <c r="AV138" i="3"/>
  <c r="AT140" i="3"/>
  <c r="AU141" i="3"/>
  <c r="AV142" i="3"/>
  <c r="AT148" i="3"/>
  <c r="AU149" i="3"/>
  <c r="AV150" i="3"/>
  <c r="AV79" i="3"/>
  <c r="AU80" i="3"/>
  <c r="AV81" i="3"/>
  <c r="AT83" i="3"/>
  <c r="AU84" i="3"/>
  <c r="AU82" i="3"/>
  <c r="AT77" i="3"/>
  <c r="AT78" i="3"/>
  <c r="AV80" i="3"/>
  <c r="AT82" i="3"/>
  <c r="AU83" i="3"/>
  <c r="AV84" i="3"/>
  <c r="AT144" i="3"/>
  <c r="AU145" i="3"/>
  <c r="AV146" i="3"/>
  <c r="AT152" i="3"/>
  <c r="AU153" i="3"/>
  <c r="AV154" i="3"/>
  <c r="AU77" i="3"/>
  <c r="AU78" i="3"/>
  <c r="AV83" i="3"/>
  <c r="AV78" i="3"/>
  <c r="AU79" i="3"/>
  <c r="AT80" i="3"/>
  <c r="AU81" i="3"/>
  <c r="AV82" i="3"/>
  <c r="AT84" i="3"/>
  <c r="AT81" i="3"/>
  <c r="O36" i="2" a="1"/>
  <c r="O36" i="2" s="1"/>
  <c r="O37" i="2" s="1" a="1"/>
  <c r="O37" i="2" s="1"/>
  <c r="AT54" i="3"/>
  <c r="AU54" i="3"/>
  <c r="AV55" i="3"/>
  <c r="AT57" i="3"/>
  <c r="AU58" i="3"/>
  <c r="AV54" i="3"/>
  <c r="AT56" i="3"/>
  <c r="AU57" i="3"/>
  <c r="AV58" i="3"/>
  <c r="AT60" i="3"/>
  <c r="AU61" i="3"/>
  <c r="AV57" i="3"/>
  <c r="AU59" i="3"/>
  <c r="AV62" i="3"/>
  <c r="AT64" i="3"/>
  <c r="AU56" i="3"/>
  <c r="AT58" i="3"/>
  <c r="AV59" i="3"/>
  <c r="AU60" i="3"/>
  <c r="AT61" i="3"/>
  <c r="AT63" i="3"/>
  <c r="AU64" i="3"/>
  <c r="AT55" i="3"/>
  <c r="AV56" i="3"/>
  <c r="AV60" i="3"/>
  <c r="AV61" i="3"/>
  <c r="AT62" i="3"/>
  <c r="AU63" i="3"/>
  <c r="AT59" i="3"/>
  <c r="AU62" i="3"/>
  <c r="AV63" i="3"/>
  <c r="AV64" i="3"/>
  <c r="AU65" i="3"/>
  <c r="AV66" i="3"/>
  <c r="AT68" i="3"/>
  <c r="AU69" i="3"/>
  <c r="AV70" i="3"/>
  <c r="AV65" i="3"/>
  <c r="AT67" i="3"/>
  <c r="AU68" i="3"/>
  <c r="AV69" i="3"/>
  <c r="AT66" i="3"/>
  <c r="AU67" i="3"/>
  <c r="AT69" i="3"/>
  <c r="AT71" i="3"/>
  <c r="AU72" i="3"/>
  <c r="AV73" i="3"/>
  <c r="AT75" i="3"/>
  <c r="AT70" i="3"/>
  <c r="AU71" i="3"/>
  <c r="AV72" i="3"/>
  <c r="AT74" i="3"/>
  <c r="AU75" i="3"/>
  <c r="AU55" i="3"/>
  <c r="AU70" i="3"/>
  <c r="AV71" i="3"/>
  <c r="AT73" i="3"/>
  <c r="AU74" i="3"/>
  <c r="AV75" i="3"/>
  <c r="AT65" i="3"/>
  <c r="AU66" i="3"/>
  <c r="AV67" i="3"/>
  <c r="AV68" i="3"/>
  <c r="AT72" i="3"/>
  <c r="AV74" i="3"/>
  <c r="AU73" i="3"/>
  <c r="E19" i="2"/>
  <c r="A18" i="3"/>
  <c r="AJ10" i="3"/>
  <c r="AJ14" i="3"/>
  <c r="AJ18" i="3"/>
  <c r="AJ22" i="3"/>
  <c r="AJ26" i="3"/>
  <c r="AJ30" i="3"/>
  <c r="AJ34" i="3"/>
  <c r="AJ38" i="3"/>
  <c r="AJ42" i="3"/>
  <c r="AJ46" i="3"/>
  <c r="AJ50" i="3"/>
  <c r="AI8" i="3"/>
  <c r="AI12" i="3"/>
  <c r="AI16" i="3"/>
  <c r="AI20" i="3"/>
  <c r="AI24" i="3"/>
  <c r="AI28" i="3"/>
  <c r="AI32" i="3"/>
  <c r="AI36" i="3"/>
  <c r="AI40" i="3"/>
  <c r="AI44" i="3"/>
  <c r="AI48" i="3"/>
  <c r="AI52" i="3"/>
  <c r="AJ11" i="3"/>
  <c r="AJ15" i="3"/>
  <c r="AJ19" i="3"/>
  <c r="AJ23" i="3"/>
  <c r="AJ27" i="3"/>
  <c r="AJ31" i="3"/>
  <c r="AJ35" i="3"/>
  <c r="AJ39" i="3"/>
  <c r="AJ43" i="3"/>
  <c r="AJ47" i="3"/>
  <c r="AJ51" i="3"/>
  <c r="AI9" i="3"/>
  <c r="AJ8" i="3"/>
  <c r="AJ12" i="3"/>
  <c r="AJ16" i="3"/>
  <c r="AJ20" i="3"/>
  <c r="AJ24" i="3"/>
  <c r="AJ28" i="3"/>
  <c r="AJ32" i="3"/>
  <c r="AJ36" i="3"/>
  <c r="AJ40" i="3"/>
  <c r="AJ44" i="3"/>
  <c r="AJ48" i="3"/>
  <c r="AJ52" i="3"/>
  <c r="AI10" i="3"/>
  <c r="AI14" i="3"/>
  <c r="AJ9" i="3"/>
  <c r="AJ13" i="3"/>
  <c r="AJ17" i="3"/>
  <c r="AJ21" i="3"/>
  <c r="AJ25" i="3"/>
  <c r="AJ29" i="3"/>
  <c r="AJ33" i="3"/>
  <c r="AJ37" i="3"/>
  <c r="AJ41" i="3"/>
  <c r="AJ45" i="3"/>
  <c r="AJ49" i="3"/>
  <c r="AJ53" i="3"/>
  <c r="AI11" i="3"/>
  <c r="AI15" i="3"/>
  <c r="AI19" i="3"/>
  <c r="AI23" i="3"/>
  <c r="AI27" i="3"/>
  <c r="AI31" i="3"/>
  <c r="AI35" i="3"/>
  <c r="AI39" i="3"/>
  <c r="AI43" i="3"/>
  <c r="AI47" i="3"/>
  <c r="AI51" i="3"/>
  <c r="AI13" i="3"/>
  <c r="AI22" i="3"/>
  <c r="AI30" i="3"/>
  <c r="AI38" i="3"/>
  <c r="AI46" i="3"/>
  <c r="AI17" i="3"/>
  <c r="AI25" i="3"/>
  <c r="AI33" i="3"/>
  <c r="AI41" i="3"/>
  <c r="AI49" i="3"/>
  <c r="AI18" i="3"/>
  <c r="AI26" i="3"/>
  <c r="AI34" i="3"/>
  <c r="AI42" i="3"/>
  <c r="AI50" i="3"/>
  <c r="AH8" i="3"/>
  <c r="AI21" i="3"/>
  <c r="AI29" i="3"/>
  <c r="AI37" i="3"/>
  <c r="AI45" i="3"/>
  <c r="AI53" i="3"/>
  <c r="AH52" i="3"/>
  <c r="AH53" i="3"/>
  <c r="AH30" i="3"/>
  <c r="AH31" i="3"/>
  <c r="AH32" i="3"/>
  <c r="AH33" i="3"/>
  <c r="AH34" i="3"/>
  <c r="AH35" i="3"/>
  <c r="AH36" i="3"/>
  <c r="AH37" i="3"/>
  <c r="AH38" i="3"/>
  <c r="AH39" i="3"/>
  <c r="AH40" i="3"/>
  <c r="AH41" i="3"/>
  <c r="AH42" i="3"/>
  <c r="AH43" i="3"/>
  <c r="AH44" i="3"/>
  <c r="AH45" i="3"/>
  <c r="AH46" i="3"/>
  <c r="AH47" i="3"/>
  <c r="AH48" i="3"/>
  <c r="AH49" i="3"/>
  <c r="AH50" i="3"/>
  <c r="AH51" i="3"/>
  <c r="AH17" i="3"/>
  <c r="AH18" i="3"/>
  <c r="AH19" i="3"/>
  <c r="AH20" i="3"/>
  <c r="AH21" i="3"/>
  <c r="AH23" i="3"/>
  <c r="AH24" i="3"/>
  <c r="AH25" i="3"/>
  <c r="AH26" i="3"/>
  <c r="AH27" i="3"/>
  <c r="AH28" i="3"/>
  <c r="AH29" i="3"/>
  <c r="AH11" i="3"/>
  <c r="AH12" i="3"/>
  <c r="AH13" i="3"/>
  <c r="AH14" i="3"/>
  <c r="AH15" i="3"/>
  <c r="AH16" i="3"/>
  <c r="AH10" i="3"/>
  <c r="AH22" i="3"/>
  <c r="AH9" i="3"/>
  <c r="BD135" i="1" l="1"/>
  <c r="BF134" i="1"/>
  <c r="O38" i="2" a="1"/>
  <c r="O38" i="2" s="1"/>
  <c r="E20" i="2"/>
  <c r="E21" i="2" s="1"/>
  <c r="I22" i="2" s="1"/>
  <c r="G22" i="2"/>
  <c r="I21" i="2"/>
  <c r="BE18" i="3"/>
  <c r="AZ18" i="3"/>
  <c r="A19" i="3"/>
  <c r="AM10" i="3"/>
  <c r="AM14" i="3"/>
  <c r="AM18" i="3"/>
  <c r="AM22" i="3"/>
  <c r="AM26" i="3"/>
  <c r="AM30" i="3"/>
  <c r="AM34" i="3"/>
  <c r="AM38" i="3"/>
  <c r="AM42" i="3"/>
  <c r="AM46" i="3"/>
  <c r="AM8" i="3"/>
  <c r="AM13" i="3"/>
  <c r="AM19" i="3"/>
  <c r="AM24" i="3"/>
  <c r="AM29" i="3"/>
  <c r="AM35" i="3"/>
  <c r="AM40" i="3"/>
  <c r="AM45" i="3"/>
  <c r="AM50" i="3"/>
  <c r="AL8" i="3"/>
  <c r="AL12" i="3"/>
  <c r="AL16" i="3"/>
  <c r="AL20" i="3"/>
  <c r="AL24" i="3"/>
  <c r="AL28" i="3"/>
  <c r="AL32" i="3"/>
  <c r="AL36" i="3"/>
  <c r="AL40" i="3"/>
  <c r="AL44" i="3"/>
  <c r="AL48" i="3"/>
  <c r="AL52" i="3"/>
  <c r="AM9" i="3"/>
  <c r="AM15" i="3"/>
  <c r="AM20" i="3"/>
  <c r="AM25" i="3"/>
  <c r="AM31" i="3"/>
  <c r="AM36" i="3"/>
  <c r="AM41" i="3"/>
  <c r="AM47" i="3"/>
  <c r="AM51" i="3"/>
  <c r="AL9" i="3"/>
  <c r="AL13" i="3"/>
  <c r="AL17" i="3"/>
  <c r="AL21" i="3"/>
  <c r="AL25" i="3"/>
  <c r="AL29" i="3"/>
  <c r="AL33" i="3"/>
  <c r="AL37" i="3"/>
  <c r="AL41" i="3"/>
  <c r="AL45" i="3"/>
  <c r="AL49" i="3"/>
  <c r="AL53" i="3"/>
  <c r="AM11" i="3"/>
  <c r="AM16" i="3"/>
  <c r="AM21" i="3"/>
  <c r="AM27" i="3"/>
  <c r="AM32" i="3"/>
  <c r="AM37" i="3"/>
  <c r="AM43" i="3"/>
  <c r="AM48" i="3"/>
  <c r="AM52" i="3"/>
  <c r="AL10" i="3"/>
  <c r="AL14" i="3"/>
  <c r="AL18" i="3"/>
  <c r="AL22" i="3"/>
  <c r="AL26" i="3"/>
  <c r="AL30" i="3"/>
  <c r="AL34" i="3"/>
  <c r="AL38" i="3"/>
  <c r="AL42" i="3"/>
  <c r="AL46" i="3"/>
  <c r="AL50" i="3"/>
  <c r="AM12" i="3"/>
  <c r="AM17" i="3"/>
  <c r="AM23" i="3"/>
  <c r="AM28" i="3"/>
  <c r="AM33" i="3"/>
  <c r="AM39" i="3"/>
  <c r="AM44" i="3"/>
  <c r="AM49" i="3"/>
  <c r="AM53" i="3"/>
  <c r="AL11" i="3"/>
  <c r="AL15" i="3"/>
  <c r="AL19" i="3"/>
  <c r="AL23" i="3"/>
  <c r="AL27" i="3"/>
  <c r="AL31" i="3"/>
  <c r="AL35" i="3"/>
  <c r="AL39" i="3"/>
  <c r="AL43" i="3"/>
  <c r="AL47" i="3"/>
  <c r="AL51" i="3"/>
  <c r="AK53" i="3"/>
  <c r="AK52" i="3"/>
  <c r="AK9" i="3"/>
  <c r="AK30" i="3"/>
  <c r="AK31" i="3"/>
  <c r="AK32" i="3"/>
  <c r="AK33" i="3"/>
  <c r="AK34" i="3"/>
  <c r="AK35" i="3"/>
  <c r="AK36" i="3"/>
  <c r="AK37" i="3"/>
  <c r="AK38" i="3"/>
  <c r="AK39" i="3"/>
  <c r="AK40" i="3"/>
  <c r="AK41" i="3"/>
  <c r="AK42" i="3"/>
  <c r="AK43" i="3"/>
  <c r="AK44" i="3"/>
  <c r="AK45" i="3"/>
  <c r="AK46" i="3"/>
  <c r="AK47" i="3"/>
  <c r="AK48" i="3"/>
  <c r="AK49" i="3"/>
  <c r="AK50" i="3"/>
  <c r="AK51" i="3"/>
  <c r="AK17" i="3"/>
  <c r="AK18" i="3"/>
  <c r="AK19" i="3"/>
  <c r="AK20" i="3"/>
  <c r="AK21" i="3"/>
  <c r="AK23" i="3"/>
  <c r="AK24" i="3"/>
  <c r="AK25" i="3"/>
  <c r="AK26" i="3"/>
  <c r="AK27" i="3"/>
  <c r="AK28" i="3"/>
  <c r="AK29" i="3"/>
  <c r="AK11" i="3"/>
  <c r="AK12" i="3"/>
  <c r="AK14" i="3"/>
  <c r="AK15" i="3"/>
  <c r="AK16" i="3"/>
  <c r="AK22" i="3"/>
  <c r="AK13" i="3"/>
  <c r="AK10" i="3"/>
  <c r="AK8" i="3"/>
  <c r="BF135" i="1" l="1"/>
  <c r="BD136" i="1"/>
  <c r="O39" i="2" a="1"/>
  <c r="O39" i="2" s="1"/>
  <c r="BE19" i="3"/>
  <c r="AZ19" i="3"/>
  <c r="A20" i="3"/>
  <c r="AP9" i="3"/>
  <c r="AP13" i="3"/>
  <c r="AP17" i="3"/>
  <c r="AP21" i="3"/>
  <c r="AP25" i="3"/>
  <c r="AP29" i="3"/>
  <c r="AP33" i="3"/>
  <c r="AP37" i="3"/>
  <c r="AP41" i="3"/>
  <c r="AP45" i="3"/>
  <c r="AP49" i="3"/>
  <c r="AP53" i="3"/>
  <c r="AO11" i="3"/>
  <c r="AO15" i="3"/>
  <c r="AO19" i="3"/>
  <c r="AO23" i="3"/>
  <c r="AO27" i="3"/>
  <c r="AO31" i="3"/>
  <c r="AP10" i="3"/>
  <c r="AP14" i="3"/>
  <c r="AP18" i="3"/>
  <c r="AP22" i="3"/>
  <c r="AP26" i="3"/>
  <c r="AP30" i="3"/>
  <c r="AP34" i="3"/>
  <c r="AP38" i="3"/>
  <c r="AP42" i="3"/>
  <c r="AP46" i="3"/>
  <c r="AP50" i="3"/>
  <c r="AO8" i="3"/>
  <c r="AO12" i="3"/>
  <c r="AO16" i="3"/>
  <c r="AO20" i="3"/>
  <c r="AO24" i="3"/>
  <c r="AO28" i="3"/>
  <c r="AO32" i="3"/>
  <c r="AO36" i="3"/>
  <c r="AO40" i="3"/>
  <c r="AO44" i="3"/>
  <c r="AO48" i="3"/>
  <c r="AO52" i="3"/>
  <c r="AP11" i="3"/>
  <c r="AP15" i="3"/>
  <c r="AP19" i="3"/>
  <c r="AP23" i="3"/>
  <c r="AP27" i="3"/>
  <c r="AP31" i="3"/>
  <c r="AP35" i="3"/>
  <c r="AP39" i="3"/>
  <c r="AP43" i="3"/>
  <c r="AP47" i="3"/>
  <c r="AP51" i="3"/>
  <c r="AP12" i="3"/>
  <c r="AP28" i="3"/>
  <c r="AP44" i="3"/>
  <c r="AO14" i="3"/>
  <c r="AO22" i="3"/>
  <c r="AO30" i="3"/>
  <c r="AO37" i="3"/>
  <c r="AO42" i="3"/>
  <c r="AO47" i="3"/>
  <c r="AO53" i="3"/>
  <c r="AP16" i="3"/>
  <c r="AP32" i="3"/>
  <c r="AP48" i="3"/>
  <c r="AO9" i="3"/>
  <c r="AO17" i="3"/>
  <c r="AO25" i="3"/>
  <c r="AO33" i="3"/>
  <c r="AO38" i="3"/>
  <c r="AO43" i="3"/>
  <c r="AO49" i="3"/>
  <c r="AP20" i="3"/>
  <c r="AP36" i="3"/>
  <c r="AP52" i="3"/>
  <c r="AO10" i="3"/>
  <c r="AO18" i="3"/>
  <c r="AO26" i="3"/>
  <c r="AO34" i="3"/>
  <c r="AO39" i="3"/>
  <c r="AO45" i="3"/>
  <c r="AO50" i="3"/>
  <c r="AP8" i="3"/>
  <c r="AP24" i="3"/>
  <c r="AP40" i="3"/>
  <c r="AO13" i="3"/>
  <c r="AO21" i="3"/>
  <c r="AO29" i="3"/>
  <c r="AO35" i="3"/>
  <c r="AO41" i="3"/>
  <c r="AO46" i="3"/>
  <c r="AO51" i="3"/>
  <c r="AN53" i="3"/>
  <c r="AN52" i="3"/>
  <c r="AN22" i="3"/>
  <c r="AN9" i="3"/>
  <c r="AN30" i="3"/>
  <c r="AN31" i="3"/>
  <c r="AN32" i="3"/>
  <c r="AN33" i="3"/>
  <c r="AN34" i="3"/>
  <c r="AN35" i="3"/>
  <c r="AN36" i="3"/>
  <c r="AN37" i="3"/>
  <c r="AN38" i="3"/>
  <c r="AN39" i="3"/>
  <c r="AN40" i="3"/>
  <c r="AN41" i="3"/>
  <c r="AN42" i="3"/>
  <c r="AN43" i="3"/>
  <c r="AN44" i="3"/>
  <c r="AN45" i="3"/>
  <c r="AN46" i="3"/>
  <c r="AN47" i="3"/>
  <c r="AN48" i="3"/>
  <c r="AN49" i="3"/>
  <c r="AN50" i="3"/>
  <c r="AN51" i="3"/>
  <c r="AN17" i="3"/>
  <c r="AN18" i="3"/>
  <c r="AN19" i="3"/>
  <c r="AN20" i="3"/>
  <c r="AN21" i="3"/>
  <c r="AN23" i="3"/>
  <c r="AN24" i="3"/>
  <c r="AN25" i="3"/>
  <c r="AN26" i="3"/>
  <c r="AN27" i="3"/>
  <c r="AN28" i="3"/>
  <c r="AN29" i="3"/>
  <c r="AN11" i="3"/>
  <c r="AN12" i="3"/>
  <c r="AN13" i="3"/>
  <c r="AN14" i="3"/>
  <c r="AN15" i="3"/>
  <c r="AN16" i="3"/>
  <c r="AN10" i="3"/>
  <c r="AN8" i="3"/>
  <c r="A9" i="1"/>
  <c r="BD137" i="1" l="1"/>
  <c r="BF136" i="1"/>
  <c r="O40" i="2" a="1"/>
  <c r="O40" i="2" s="1"/>
  <c r="A10" i="1"/>
  <c r="A21" i="3"/>
  <c r="AS8" i="3"/>
  <c r="AS12" i="3"/>
  <c r="AS16" i="3"/>
  <c r="AS20" i="3"/>
  <c r="AS24" i="3"/>
  <c r="AS28" i="3"/>
  <c r="AS32" i="3"/>
  <c r="AS36" i="3"/>
  <c r="AS40" i="3"/>
  <c r="AS44" i="3"/>
  <c r="AS48" i="3"/>
  <c r="AS52" i="3"/>
  <c r="AR10" i="3"/>
  <c r="AR14" i="3"/>
  <c r="AR18" i="3"/>
  <c r="AR22" i="3"/>
  <c r="AR26" i="3"/>
  <c r="AR30" i="3"/>
  <c r="AR34" i="3"/>
  <c r="AR38" i="3"/>
  <c r="AR42" i="3"/>
  <c r="AS9" i="3"/>
  <c r="AS13" i="3"/>
  <c r="AS17" i="3"/>
  <c r="AS21" i="3"/>
  <c r="AS25" i="3"/>
  <c r="AS29" i="3"/>
  <c r="AS33" i="3"/>
  <c r="AS37" i="3"/>
  <c r="AS41" i="3"/>
  <c r="AS45" i="3"/>
  <c r="AS49" i="3"/>
  <c r="AS53" i="3"/>
  <c r="AR11" i="3"/>
  <c r="AR15" i="3"/>
  <c r="AR19" i="3"/>
  <c r="AR23" i="3"/>
  <c r="AR27" i="3"/>
  <c r="AR31" i="3"/>
  <c r="AR35" i="3"/>
  <c r="AR39" i="3"/>
  <c r="AR43" i="3"/>
  <c r="AR47" i="3"/>
  <c r="AR51" i="3"/>
  <c r="AS10" i="3"/>
  <c r="AS14" i="3"/>
  <c r="AS18" i="3"/>
  <c r="AS22" i="3"/>
  <c r="AS26" i="3"/>
  <c r="AS30" i="3"/>
  <c r="AS34" i="3"/>
  <c r="AS38" i="3"/>
  <c r="AS42" i="3"/>
  <c r="AS46" i="3"/>
  <c r="AS50" i="3"/>
  <c r="AR8" i="3"/>
  <c r="AR12" i="3"/>
  <c r="AR16" i="3"/>
  <c r="AR20" i="3"/>
  <c r="AR24" i="3"/>
  <c r="AR28" i="3"/>
  <c r="AR32" i="3"/>
  <c r="AR36" i="3"/>
  <c r="AR40" i="3"/>
  <c r="AR44" i="3"/>
  <c r="AR48" i="3"/>
  <c r="AR52" i="3"/>
  <c r="AS11" i="3"/>
  <c r="AS15" i="3"/>
  <c r="AS19" i="3"/>
  <c r="AS23" i="3"/>
  <c r="AS27" i="3"/>
  <c r="AS31" i="3"/>
  <c r="AS35" i="3"/>
  <c r="AS39" i="3"/>
  <c r="AS43" i="3"/>
  <c r="AS47" i="3"/>
  <c r="AS51" i="3"/>
  <c r="AR9" i="3"/>
  <c r="AR13" i="3"/>
  <c r="AR17" i="3"/>
  <c r="AR21" i="3"/>
  <c r="AR25" i="3"/>
  <c r="AR29" i="3"/>
  <c r="AR33" i="3"/>
  <c r="AR37" i="3"/>
  <c r="AR41" i="3"/>
  <c r="AR45" i="3"/>
  <c r="AR49" i="3"/>
  <c r="AR53" i="3"/>
  <c r="AR46" i="3"/>
  <c r="AR50" i="3"/>
  <c r="AQ53" i="3"/>
  <c r="AQ52" i="3"/>
  <c r="AQ23" i="3"/>
  <c r="AQ24" i="3"/>
  <c r="AQ25" i="3"/>
  <c r="AQ26" i="3"/>
  <c r="AQ27" i="3"/>
  <c r="AQ28" i="3"/>
  <c r="AQ29" i="3"/>
  <c r="AQ11" i="3"/>
  <c r="AQ12" i="3"/>
  <c r="AQ13" i="3"/>
  <c r="AQ14" i="3"/>
  <c r="AQ15" i="3"/>
  <c r="AQ16" i="3"/>
  <c r="AQ22" i="3"/>
  <c r="AQ30" i="3"/>
  <c r="AQ31" i="3"/>
  <c r="AQ32" i="3"/>
  <c r="AQ33" i="3"/>
  <c r="AQ34" i="3"/>
  <c r="AQ35" i="3"/>
  <c r="AQ36" i="3"/>
  <c r="AQ37" i="3"/>
  <c r="AQ38" i="3"/>
  <c r="AQ39" i="3"/>
  <c r="AQ40" i="3"/>
  <c r="AQ41" i="3"/>
  <c r="AQ42" i="3"/>
  <c r="AQ43" i="3"/>
  <c r="AQ44" i="3"/>
  <c r="AQ45" i="3"/>
  <c r="AQ46" i="3"/>
  <c r="AQ47" i="3"/>
  <c r="AQ48" i="3"/>
  <c r="AQ49" i="3"/>
  <c r="AQ50" i="3"/>
  <c r="AQ51" i="3"/>
  <c r="AQ17" i="3"/>
  <c r="AQ18" i="3"/>
  <c r="AQ19" i="3"/>
  <c r="AQ20" i="3"/>
  <c r="AQ21" i="3"/>
  <c r="AQ10" i="3"/>
  <c r="AQ8" i="3"/>
  <c r="AQ9" i="3"/>
  <c r="BF137" i="1" l="1"/>
  <c r="BD138" i="1"/>
  <c r="O41" i="2" a="1"/>
  <c r="O41" i="2" s="1"/>
  <c r="A11" i="1"/>
  <c r="A22" i="3"/>
  <c r="AV8" i="3"/>
  <c r="AV12" i="3"/>
  <c r="AV16" i="3"/>
  <c r="AV20" i="3"/>
  <c r="AV24" i="3"/>
  <c r="AV28" i="3"/>
  <c r="AV32" i="3"/>
  <c r="AV36" i="3"/>
  <c r="AV40" i="3"/>
  <c r="AV44" i="3"/>
  <c r="AV48" i="3"/>
  <c r="AV52" i="3"/>
  <c r="AU10" i="3"/>
  <c r="AU14" i="3"/>
  <c r="AU18" i="3"/>
  <c r="AU22" i="3"/>
  <c r="AU26" i="3"/>
  <c r="AU30" i="3"/>
  <c r="AU34" i="3"/>
  <c r="AU38" i="3"/>
  <c r="AU42" i="3"/>
  <c r="AU46" i="3"/>
  <c r="AU50" i="3"/>
  <c r="AV9" i="3"/>
  <c r="AV13" i="3"/>
  <c r="AV17" i="3"/>
  <c r="AV21" i="3"/>
  <c r="AV25" i="3"/>
  <c r="AV29" i="3"/>
  <c r="AV33" i="3"/>
  <c r="AV37" i="3"/>
  <c r="AV41" i="3"/>
  <c r="AV45" i="3"/>
  <c r="AV49" i="3"/>
  <c r="AV53" i="3"/>
  <c r="AU11" i="3"/>
  <c r="AU15" i="3"/>
  <c r="AU19" i="3"/>
  <c r="AU23" i="3"/>
  <c r="AU27" i="3"/>
  <c r="AU31" i="3"/>
  <c r="AU35" i="3"/>
  <c r="AU39" i="3"/>
  <c r="AU43" i="3"/>
  <c r="AU47" i="3"/>
  <c r="AU51" i="3"/>
  <c r="AV10" i="3"/>
  <c r="AV14" i="3"/>
  <c r="AV18" i="3"/>
  <c r="AV22" i="3"/>
  <c r="AV26" i="3"/>
  <c r="AV30" i="3"/>
  <c r="AV34" i="3"/>
  <c r="AV38" i="3"/>
  <c r="AV42" i="3"/>
  <c r="AV46" i="3"/>
  <c r="AV50" i="3"/>
  <c r="AU8" i="3"/>
  <c r="AU12" i="3"/>
  <c r="AU16" i="3"/>
  <c r="AU20" i="3"/>
  <c r="AU24" i="3"/>
  <c r="AU28" i="3"/>
  <c r="AU32" i="3"/>
  <c r="AU36" i="3"/>
  <c r="AU40" i="3"/>
  <c r="AU44" i="3"/>
  <c r="AU48" i="3"/>
  <c r="AU52" i="3"/>
  <c r="AV11" i="3"/>
  <c r="AV15" i="3"/>
  <c r="AV19" i="3"/>
  <c r="AV23" i="3"/>
  <c r="AV27" i="3"/>
  <c r="AV31" i="3"/>
  <c r="AV35" i="3"/>
  <c r="AV39" i="3"/>
  <c r="AV43" i="3"/>
  <c r="AV47" i="3"/>
  <c r="AV51" i="3"/>
  <c r="AU9" i="3"/>
  <c r="AU13" i="3"/>
  <c r="AU17" i="3"/>
  <c r="AU21" i="3"/>
  <c r="AU25" i="3"/>
  <c r="AU29" i="3"/>
  <c r="AU33" i="3"/>
  <c r="AU37" i="3"/>
  <c r="AU41" i="3"/>
  <c r="AU45" i="3"/>
  <c r="AU49" i="3"/>
  <c r="AU53" i="3"/>
  <c r="AT53" i="3"/>
  <c r="AT52" i="3"/>
  <c r="AT51" i="3"/>
  <c r="AT47" i="3"/>
  <c r="AT43" i="3"/>
  <c r="AT39" i="3"/>
  <c r="AT35" i="3"/>
  <c r="AT31" i="3"/>
  <c r="AT27" i="3"/>
  <c r="AT23" i="3"/>
  <c r="AT19" i="3"/>
  <c r="AT15" i="3"/>
  <c r="AT11" i="3"/>
  <c r="AT50" i="3"/>
  <c r="AT46" i="3"/>
  <c r="AT42" i="3"/>
  <c r="AT38" i="3"/>
  <c r="AT34" i="3"/>
  <c r="AT30" i="3"/>
  <c r="AT26" i="3"/>
  <c r="AT22" i="3"/>
  <c r="AT18" i="3"/>
  <c r="AT14" i="3"/>
  <c r="AT10" i="3"/>
  <c r="AT49" i="3"/>
  <c r="AT45" i="3"/>
  <c r="AT41" i="3"/>
  <c r="AT37" i="3"/>
  <c r="AT33" i="3"/>
  <c r="AT29" i="3"/>
  <c r="AT25" i="3"/>
  <c r="AT21" i="3"/>
  <c r="AT17" i="3"/>
  <c r="AT13" i="3"/>
  <c r="AT9" i="3"/>
  <c r="AT48" i="3"/>
  <c r="AT44" i="3"/>
  <c r="AT40" i="3"/>
  <c r="AT36" i="3"/>
  <c r="AT32" i="3"/>
  <c r="AT28" i="3"/>
  <c r="AT24" i="3"/>
  <c r="AT20" i="3"/>
  <c r="AT16" i="3"/>
  <c r="AT12" i="3"/>
  <c r="AT8" i="3"/>
  <c r="BD139" i="1" l="1"/>
  <c r="BF138" i="1"/>
  <c r="O42" i="2" a="1"/>
  <c r="O42" i="2" s="1"/>
  <c r="A12" i="1"/>
  <c r="A13" i="1" s="1"/>
  <c r="A14" i="1" s="1"/>
  <c r="A15" i="1" s="1"/>
  <c r="A16" i="1" s="1"/>
  <c r="A17" i="1" s="1"/>
  <c r="A18" i="1" s="1"/>
  <c r="A19" i="1" s="1"/>
  <c r="A20" i="1" s="1"/>
  <c r="A21" i="1" s="1"/>
  <c r="A23" i="3"/>
  <c r="BF139" i="1" l="1"/>
  <c r="BD140" i="1"/>
  <c r="O43" i="2" a="1"/>
  <c r="O43" i="2" s="1"/>
  <c r="A22" i="1"/>
  <c r="A24" i="3"/>
  <c r="BD141" i="1" l="1"/>
  <c r="BF140" i="1"/>
  <c r="O44" i="2" a="1"/>
  <c r="O44" i="2" s="1"/>
  <c r="D38" i="11"/>
  <c r="D14" i="11"/>
  <c r="D35" i="11"/>
  <c r="E40" i="11"/>
  <c r="E17" i="11"/>
  <c r="E47" i="11"/>
  <c r="E12" i="11"/>
  <c r="E43" i="11"/>
  <c r="E25" i="11"/>
  <c r="AZ20" i="3"/>
  <c r="BE24" i="3"/>
  <c r="AZ24" i="3"/>
  <c r="A23" i="1"/>
  <c r="A24" i="1" s="1"/>
  <c r="BP33" i="1"/>
  <c r="A25" i="3"/>
  <c r="BF141" i="1" l="1"/>
  <c r="BD142" i="1"/>
  <c r="O45" i="2" a="1"/>
  <c r="O45" i="2" s="1"/>
  <c r="A25" i="1"/>
  <c r="A26" i="1" s="1"/>
  <c r="A27" i="1" s="1"/>
  <c r="A28" i="1" s="1"/>
  <c r="A29" i="1" s="1"/>
  <c r="A26" i="3"/>
  <c r="BD143" i="1" l="1"/>
  <c r="BF142" i="1"/>
  <c r="O46" i="2" a="1"/>
  <c r="O46" i="2" s="1"/>
  <c r="A30" i="1"/>
  <c r="A27" i="3"/>
  <c r="BD144" i="1" l="1"/>
  <c r="BF143" i="1"/>
  <c r="O47" i="2" a="1"/>
  <c r="O47" i="2" s="1"/>
  <c r="A31" i="1"/>
  <c r="A28" i="3"/>
  <c r="BD145" i="1" l="1"/>
  <c r="BF144" i="1"/>
  <c r="O48" i="2" a="1"/>
  <c r="O48" i="2" s="1"/>
  <c r="A32" i="1"/>
  <c r="A29" i="3"/>
  <c r="BF145" i="1" l="1"/>
  <c r="BD146" i="1"/>
  <c r="O49" i="2" a="1"/>
  <c r="O49" i="2" s="1"/>
  <c r="BE29" i="3"/>
  <c r="AZ29" i="3"/>
  <c r="A33" i="1"/>
  <c r="A30" i="3"/>
  <c r="BD147" i="1" l="1"/>
  <c r="BF146" i="1"/>
  <c r="O50" i="2" a="1"/>
  <c r="O50" i="2" s="1"/>
  <c r="A34" i="1"/>
  <c r="A31" i="3"/>
  <c r="BF147" i="1" l="1"/>
  <c r="BD148" i="1"/>
  <c r="A35" i="1"/>
  <c r="A32" i="3"/>
  <c r="BF148" i="1" l="1"/>
  <c r="BD149" i="1"/>
  <c r="BE32" i="3"/>
  <c r="AZ32" i="3"/>
  <c r="A36" i="1"/>
  <c r="A33" i="3"/>
  <c r="BF149" i="1" l="1"/>
  <c r="BD150" i="1"/>
  <c r="A37" i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34" i="3"/>
  <c r="BD151" i="1" l="1"/>
  <c r="BF150" i="1"/>
  <c r="A49" i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35" i="3"/>
  <c r="BD152" i="1" l="1"/>
  <c r="BF151" i="1"/>
  <c r="A91" i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M42" i="2"/>
  <c r="A36" i="3"/>
  <c r="BF152" i="1" l="1"/>
  <c r="BD153" i="1"/>
  <c r="M43" i="2"/>
  <c r="A37" i="3"/>
  <c r="BF153" i="1" l="1"/>
  <c r="BD154" i="1"/>
  <c r="M44" i="2"/>
  <c r="A38" i="3"/>
  <c r="BD155" i="1" l="1"/>
  <c r="BF154" i="1"/>
  <c r="M45" i="2"/>
  <c r="A39" i="3"/>
  <c r="BF155" i="1" l="1"/>
  <c r="BD156" i="1"/>
  <c r="M46" i="2"/>
  <c r="BE39" i="3"/>
  <c r="AZ39" i="3"/>
  <c r="A40" i="3"/>
  <c r="BD157" i="1" l="1"/>
  <c r="BF156" i="1"/>
  <c r="M47" i="2"/>
  <c r="A41" i="3"/>
  <c r="BF157" i="1" l="1"/>
  <c r="BD158" i="1"/>
  <c r="M48" i="2"/>
  <c r="A42" i="3"/>
  <c r="BD159" i="1" l="1"/>
  <c r="BF158" i="1"/>
  <c r="M50" i="2"/>
  <c r="M49" i="2"/>
  <c r="A43" i="3"/>
  <c r="BF159" i="1" l="1"/>
  <c r="BD160" i="1"/>
  <c r="A44" i="3"/>
  <c r="BD161" i="1" l="1"/>
  <c r="BF160" i="1"/>
  <c r="A45" i="3"/>
  <c r="BE44" i="3"/>
  <c r="AZ44" i="3"/>
  <c r="BF161" i="1" l="1"/>
  <c r="BD162" i="1"/>
  <c r="A46" i="3"/>
  <c r="BD163" i="1" l="1"/>
  <c r="BF162" i="1"/>
  <c r="A47" i="3"/>
  <c r="BF163" i="1" l="1"/>
  <c r="BD164" i="1"/>
  <c r="A48" i="3"/>
  <c r="BD165" i="1" l="1"/>
  <c r="BF164" i="1"/>
  <c r="A49" i="3"/>
  <c r="BF165" i="1" l="1"/>
  <c r="BD166" i="1"/>
  <c r="A50" i="3"/>
  <c r="BD167" i="1" l="1"/>
  <c r="BF166" i="1"/>
  <c r="A51" i="3"/>
  <c r="BF167" i="1" l="1"/>
  <c r="BD168" i="1"/>
  <c r="A52" i="3"/>
  <c r="BD169" i="1" l="1"/>
  <c r="BF168" i="1"/>
  <c r="A53" i="3"/>
  <c r="BD170" i="1" l="1"/>
  <c r="BF169" i="1"/>
  <c r="A54" i="3"/>
  <c r="BD171" i="1" l="1"/>
  <c r="BF170" i="1"/>
  <c r="A55" i="3"/>
  <c r="BF171" i="1" l="1"/>
  <c r="BD172" i="1"/>
  <c r="A56" i="3"/>
  <c r="AZ55" i="3"/>
  <c r="BE55" i="3"/>
  <c r="BD173" i="1" l="1"/>
  <c r="BF172" i="1"/>
  <c r="A57" i="3"/>
  <c r="BF173" i="1" l="1"/>
  <c r="BD174" i="1"/>
  <c r="A58" i="3"/>
  <c r="BD175" i="1" l="1"/>
  <c r="BF174" i="1"/>
  <c r="A59" i="3"/>
  <c r="BF175" i="1" l="1"/>
  <c r="BD176" i="1"/>
  <c r="A60" i="3"/>
  <c r="AZ59" i="3"/>
  <c r="BD177" i="1" l="1"/>
  <c r="BF176" i="1"/>
  <c r="A61" i="3"/>
  <c r="BF177" i="1" l="1"/>
  <c r="BD178" i="1"/>
  <c r="A62" i="3"/>
  <c r="AZ61" i="3"/>
  <c r="BE61" i="3"/>
  <c r="BD179" i="1" l="1"/>
  <c r="BF178" i="1"/>
  <c r="A63" i="3"/>
  <c r="BF9" i="3"/>
  <c r="BA9" i="3"/>
  <c r="BF179" i="1" l="1"/>
  <c r="BD180" i="1"/>
  <c r="A64" i="3"/>
  <c r="BD181" i="1" l="1"/>
  <c r="BF180" i="1"/>
  <c r="A65" i="3"/>
  <c r="BF181" i="1" l="1"/>
  <c r="BD182" i="1"/>
  <c r="BF182" i="1" s="1"/>
  <c r="A66" i="3"/>
  <c r="A67" i="3" l="1"/>
  <c r="A68" i="3" l="1"/>
  <c r="A69" i="3" l="1"/>
  <c r="BE68" i="3"/>
  <c r="AZ68" i="3"/>
  <c r="A70" i="3" l="1"/>
  <c r="AZ69" i="3"/>
  <c r="A71" i="3" l="1"/>
  <c r="A72" i="3" l="1"/>
  <c r="A73" i="3" l="1"/>
  <c r="A74" i="3" l="1"/>
  <c r="A75" i="3" l="1"/>
  <c r="A76" i="3" l="1"/>
  <c r="A77" i="3" l="1"/>
  <c r="A78" i="3" l="1"/>
  <c r="A79" i="3" l="1"/>
  <c r="A80" i="3" l="1"/>
  <c r="A81" i="3" l="1"/>
  <c r="A82" i="3" l="1"/>
  <c r="A83" i="3" l="1"/>
  <c r="A84" i="3" l="1"/>
  <c r="A85" i="3" l="1"/>
  <c r="A86" i="3" l="1"/>
  <c r="A87" i="3" l="1"/>
  <c r="A88" i="3" l="1"/>
  <c r="A89" i="3" l="1"/>
  <c r="A90" i="3" l="1"/>
  <c r="A91" i="3" l="1"/>
  <c r="BE69" i="3"/>
  <c r="A92" i="3" l="1"/>
  <c r="BE59" i="3"/>
  <c r="A93" i="3" l="1"/>
  <c r="AZ81" i="3" l="1"/>
  <c r="A94" i="3"/>
  <c r="AZ78" i="3"/>
  <c r="C59" i="11"/>
  <c r="D57" i="11"/>
  <c r="E60" i="11"/>
  <c r="E54" i="11"/>
  <c r="A95" i="3" l="1"/>
  <c r="BE78" i="3"/>
  <c r="A96" i="3" l="1"/>
  <c r="A97" i="3" l="1"/>
  <c r="A98" i="3" l="1"/>
  <c r="A99" i="3" l="1"/>
  <c r="A100" i="3" l="1"/>
  <c r="A101" i="3" l="1"/>
  <c r="A102" i="3" l="1"/>
  <c r="A103" i="3" l="1"/>
  <c r="A104" i="3" l="1"/>
  <c r="A105" i="3" l="1"/>
  <c r="A106" i="3" l="1"/>
  <c r="A107" i="3" l="1"/>
  <c r="A108" i="3" l="1"/>
  <c r="A109" i="3" l="1"/>
  <c r="A110" i="3" l="1"/>
  <c r="A111" i="3" l="1"/>
  <c r="A112" i="3" l="1"/>
  <c r="A113" i="3" l="1"/>
  <c r="A114" i="3" l="1"/>
  <c r="A115" i="3" l="1"/>
  <c r="A116" i="3" l="1"/>
  <c r="A117" i="3" l="1"/>
  <c r="BE75" i="3"/>
  <c r="AZ75" i="3"/>
  <c r="A118" i="3" l="1"/>
  <c r="A119" i="3" l="1"/>
  <c r="A120" i="3" l="1"/>
  <c r="A121" i="3" l="1"/>
  <c r="A122" i="3" l="1"/>
  <c r="BE20" i="3" l="1"/>
  <c r="A123" i="3"/>
  <c r="A124" i="3" l="1"/>
  <c r="A125" i="3" l="1"/>
  <c r="A126" i="3" l="1"/>
  <c r="A127" i="3" l="1"/>
  <c r="A128" i="3" l="1"/>
  <c r="A129" i="3" l="1"/>
  <c r="A130" i="3" l="1"/>
  <c r="A131" i="3" l="1"/>
  <c r="A132" i="3" l="1"/>
  <c r="A133" i="3" l="1"/>
  <c r="A134" i="3" l="1"/>
  <c r="A135" i="3" l="1"/>
  <c r="A136" i="3" l="1"/>
  <c r="A137" i="3" l="1"/>
  <c r="A138" i="3" l="1"/>
  <c r="A139" i="3" l="1"/>
  <c r="A140" i="3" l="1"/>
  <c r="A141" i="3" l="1"/>
  <c r="A142" i="3" l="1"/>
  <c r="A143" i="3" l="1"/>
  <c r="A144" i="3" l="1"/>
  <c r="A145" i="3" l="1"/>
  <c r="A146" i="3" l="1"/>
  <c r="A147" i="3" l="1"/>
  <c r="A148" i="3" l="1"/>
  <c r="A149" i="3" l="1"/>
  <c r="A150" i="3" l="1"/>
  <c r="A151" i="3" l="1"/>
  <c r="A152" i="3" l="1"/>
  <c r="A153" i="3" l="1"/>
  <c r="A154" i="3" l="1"/>
  <c r="A155" i="3" l="1"/>
  <c r="A156" i="3" l="1"/>
  <c r="A157" i="3" l="1"/>
  <c r="P15" i="2" l="1" a="1"/>
  <c r="P15" i="2" s="1"/>
  <c r="P19" i="2" a="1"/>
  <c r="P19" i="2" s="1"/>
  <c r="P23" i="2" a="1"/>
  <c r="P23" i="2" s="1"/>
  <c r="P27" i="2" a="1"/>
  <c r="P27" i="2" s="1"/>
  <c r="P18" i="2" a="1"/>
  <c r="P18" i="2" s="1"/>
  <c r="P17" i="2" a="1"/>
  <c r="P17" i="2" s="1"/>
  <c r="P20" i="2" a="1"/>
  <c r="P20" i="2" s="1"/>
  <c r="P21" i="2" a="1"/>
  <c r="P21" i="2" s="1"/>
  <c r="P28" i="2" a="1"/>
  <c r="P28" i="2" s="1"/>
  <c r="P22" i="2" a="1"/>
  <c r="P22" i="2" s="1"/>
  <c r="P24" i="2" a="1"/>
  <c r="P24" i="2" s="1"/>
  <c r="P26" i="2" a="1"/>
  <c r="P26" i="2" s="1"/>
  <c r="P25" i="2" a="1"/>
  <c r="P25" i="2" s="1"/>
  <c r="P14" i="2" a="1"/>
  <c r="P14" i="2" s="1"/>
  <c r="P16" i="2" a="1"/>
  <c r="P16" i="2" s="1"/>
  <c r="P29" i="2" a="1"/>
  <c r="P29" i="2" s="1"/>
  <c r="P31" i="2" a="1"/>
  <c r="P31" i="2" s="1"/>
  <c r="P30" i="2" a="1"/>
  <c r="P30" i="2" s="1"/>
  <c r="P32" i="2" a="1"/>
  <c r="P32" i="2" s="1"/>
  <c r="P33" i="2" a="1"/>
  <c r="P33" i="2" s="1"/>
  <c r="P34" i="2" a="1"/>
  <c r="P34" i="2" s="1"/>
  <c r="P35" i="2" a="1"/>
  <c r="P35" i="2" s="1"/>
  <c r="P36" i="2" a="1"/>
  <c r="P36" i="2" s="1"/>
  <c r="P37" i="2" a="1"/>
  <c r="P37" i="2" s="1"/>
  <c r="P40" i="2" a="1"/>
  <c r="P40" i="2" s="1"/>
  <c r="P39" i="2" a="1"/>
  <c r="P39" i="2" s="1"/>
  <c r="P38" i="2" a="1"/>
  <c r="P38" i="2" s="1"/>
  <c r="P41" i="2" a="1"/>
  <c r="P41" i="2" s="1"/>
  <c r="P42" i="2" a="1"/>
  <c r="P42" i="2" s="1"/>
  <c r="P43" i="2" a="1"/>
  <c r="P43" i="2" s="1"/>
  <c r="P46" i="2" a="1"/>
  <c r="P46" i="2" s="1"/>
  <c r="P44" i="2" a="1"/>
  <c r="P44" i="2" s="1"/>
  <c r="P45" i="2" a="1"/>
  <c r="P45" i="2" s="1"/>
  <c r="P48" i="2" a="1"/>
  <c r="P48" i="2" s="1"/>
  <c r="P47" i="2" a="1"/>
  <c r="P47" i="2" s="1"/>
  <c r="P50" i="2" a="1"/>
  <c r="P50" i="2" s="1"/>
  <c r="P49" i="2" a="1"/>
  <c r="P49" i="2" s="1"/>
  <c r="BE81" i="3" l="1"/>
  <c r="AZ104" i="3" l="1"/>
  <c r="BR31" i="14" l="1"/>
  <c r="BR38" i="14"/>
  <c r="BE104" i="3" l="1"/>
  <c r="AW101" i="3"/>
  <c r="AW102" i="3"/>
  <c r="AW103" i="3"/>
  <c r="G90" i="11" l="1"/>
  <c r="AW103" i="1"/>
  <c r="AW103" i="6"/>
  <c r="J90" i="11"/>
  <c r="AW102" i="6"/>
  <c r="AW102" i="1"/>
  <c r="C90" i="11"/>
  <c r="AW101" i="1"/>
  <c r="AW101" i="6"/>
  <c r="AW104" i="3"/>
  <c r="L90" i="11" l="1"/>
  <c r="AW104" i="1"/>
  <c r="AW104" i="6"/>
  <c r="M39" i="2"/>
  <c r="AW8" i="3"/>
  <c r="AW25" i="3"/>
  <c r="AW130" i="3"/>
  <c r="AW108" i="3"/>
  <c r="AW63" i="3"/>
  <c r="AW27" i="3"/>
  <c r="AW84" i="3"/>
  <c r="AW149" i="3"/>
  <c r="AW157" i="3"/>
  <c r="AW83" i="3"/>
  <c r="AW126" i="3"/>
  <c r="AW81" i="3"/>
  <c r="AW35" i="3"/>
  <c r="AW117" i="3"/>
  <c r="AW61" i="3"/>
  <c r="AW139" i="3"/>
  <c r="AW46" i="3"/>
  <c r="AW86" i="3"/>
  <c r="AW115" i="3"/>
  <c r="AW151" i="3"/>
  <c r="AW121" i="3"/>
  <c r="AW106" i="3"/>
  <c r="AW17" i="3"/>
  <c r="AW12" i="3"/>
  <c r="AW132" i="3"/>
  <c r="AW155" i="3"/>
  <c r="AW97" i="3"/>
  <c r="AW77" i="3"/>
  <c r="AW42" i="3"/>
  <c r="AW62" i="3"/>
  <c r="AW110" i="3"/>
  <c r="AW31" i="3"/>
  <c r="AW80" i="3"/>
  <c r="AW93" i="3"/>
  <c r="AW21" i="3"/>
  <c r="AW16" i="3"/>
  <c r="AW11" i="3"/>
  <c r="BA12" i="3"/>
  <c r="AW20" i="3"/>
  <c r="AW54" i="3"/>
  <c r="AW40" i="3"/>
  <c r="AW72" i="3"/>
  <c r="AW47" i="3"/>
  <c r="BA47" i="3" s="1"/>
  <c r="AW99" i="3"/>
  <c r="AW67" i="3"/>
  <c r="AW120" i="3"/>
  <c r="AW124" i="3"/>
  <c r="AW154" i="3"/>
  <c r="AW96" i="3"/>
  <c r="AW44" i="3"/>
  <c r="AW107" i="3"/>
  <c r="AW22" i="3"/>
  <c r="AW78" i="3"/>
  <c r="AW127" i="3"/>
  <c r="AW140" i="3"/>
  <c r="AW144" i="3"/>
  <c r="AW73" i="3"/>
  <c r="AW48" i="3"/>
  <c r="AW75" i="3"/>
  <c r="AW92" i="3"/>
  <c r="AW91" i="3"/>
  <c r="AW109" i="3"/>
  <c r="AW19" i="3"/>
  <c r="AW71" i="3"/>
  <c r="AW153" i="3"/>
  <c r="AW59" i="3"/>
  <c r="AW152" i="3"/>
  <c r="AW39" i="3"/>
  <c r="AW129" i="3"/>
  <c r="AW57" i="3"/>
  <c r="AW138" i="3"/>
  <c r="AW69" i="3"/>
  <c r="AW131" i="3"/>
  <c r="AW100" i="3"/>
  <c r="AW50" i="3"/>
  <c r="AW64" i="3"/>
  <c r="AW53" i="3"/>
  <c r="AW43" i="3"/>
  <c r="AW98" i="3"/>
  <c r="AW148" i="3"/>
  <c r="AW26" i="3"/>
  <c r="AW114" i="3"/>
  <c r="AW45" i="3"/>
  <c r="BA48" i="3" s="1"/>
  <c r="AW23" i="3"/>
  <c r="AW116" i="3"/>
  <c r="AW14" i="3"/>
  <c r="BA21" i="3" s="1"/>
  <c r="AW146" i="3"/>
  <c r="AW38" i="3"/>
  <c r="AW15" i="3"/>
  <c r="AW60" i="3"/>
  <c r="AW122" i="3"/>
  <c r="AW142" i="3"/>
  <c r="AW9" i="3"/>
  <c r="AW141" i="3"/>
  <c r="AW34" i="3"/>
  <c r="AW143" i="3"/>
  <c r="AW82" i="3"/>
  <c r="AW36" i="3"/>
  <c r="AW41" i="3"/>
  <c r="AW94" i="3"/>
  <c r="AW13" i="3"/>
  <c r="AW29" i="3"/>
  <c r="AW145" i="3"/>
  <c r="BA17" i="3"/>
  <c r="BA25" i="3"/>
  <c r="BA31" i="3"/>
  <c r="BA23" i="3"/>
  <c r="AW52" i="3"/>
  <c r="AW58" i="3"/>
  <c r="AW112" i="3"/>
  <c r="AW137" i="3"/>
  <c r="BA14" i="3"/>
  <c r="AW37" i="3"/>
  <c r="AW111" i="3"/>
  <c r="AW133" i="3"/>
  <c r="AW56" i="3"/>
  <c r="AW123" i="3"/>
  <c r="AW119" i="3"/>
  <c r="AW32" i="3"/>
  <c r="AW136" i="3"/>
  <c r="AW76" i="3"/>
  <c r="AW74" i="3"/>
  <c r="AW68" i="3"/>
  <c r="AW70" i="3"/>
  <c r="AW65" i="3"/>
  <c r="AW89" i="3"/>
  <c r="AW49" i="3"/>
  <c r="AW105" i="3"/>
  <c r="AW90" i="3"/>
  <c r="AW118" i="3"/>
  <c r="AW95" i="3"/>
  <c r="AW51" i="3"/>
  <c r="AW128" i="3"/>
  <c r="AW147" i="3"/>
  <c r="AW24" i="3"/>
  <c r="AW33" i="3"/>
  <c r="AW113" i="3"/>
  <c r="AW18" i="3"/>
  <c r="AW30" i="3"/>
  <c r="BA35" i="3" s="1"/>
  <c r="AW66" i="3"/>
  <c r="AW87" i="3"/>
  <c r="AW10" i="3"/>
  <c r="AW125" i="3"/>
  <c r="AW79" i="3"/>
  <c r="AW134" i="3"/>
  <c r="BA10" i="3"/>
  <c r="AW85" i="3"/>
  <c r="AW28" i="3"/>
  <c r="AW88" i="3"/>
  <c r="AW135" i="3"/>
  <c r="AW150" i="3"/>
  <c r="AW55" i="3"/>
  <c r="AW156" i="3"/>
  <c r="BA39" i="3"/>
  <c r="BA37" i="3"/>
  <c r="BA40" i="3"/>
  <c r="BA43" i="3"/>
  <c r="BA36" i="3"/>
  <c r="BA32" i="3"/>
  <c r="BA28" i="3"/>
  <c r="BA30" i="3"/>
  <c r="BA34" i="3"/>
  <c r="G119" i="11" l="1"/>
  <c r="C119" i="11"/>
  <c r="J119" i="11"/>
  <c r="M41" i="2"/>
  <c r="J112" i="11"/>
  <c r="G112" i="11"/>
  <c r="AZ106" i="3"/>
  <c r="C112" i="11"/>
  <c r="AZ105" i="3"/>
  <c r="C105" i="11"/>
  <c r="M40" i="2"/>
  <c r="AW128" i="1"/>
  <c r="AW128" i="6"/>
  <c r="AW148" i="1"/>
  <c r="AW148" i="6"/>
  <c r="AW108" i="6"/>
  <c r="AW108" i="1"/>
  <c r="AW76" i="6"/>
  <c r="G66" i="11"/>
  <c r="AW44" i="1"/>
  <c r="I38" i="11"/>
  <c r="W38" i="11"/>
  <c r="W39" i="11" s="1"/>
  <c r="W40" i="11" s="1"/>
  <c r="W41" i="11" s="1"/>
  <c r="W42" i="11" s="1"/>
  <c r="W43" i="11" s="1"/>
  <c r="W44" i="11" s="1"/>
  <c r="W45" i="11" s="1"/>
  <c r="W46" i="11" s="1"/>
  <c r="W47" i="11" s="1"/>
  <c r="W48" i="11" s="1"/>
  <c r="W49" i="11" s="1"/>
  <c r="AX44" i="3"/>
  <c r="AY44" i="3"/>
  <c r="AW44" i="6"/>
  <c r="AW120" i="1"/>
  <c r="AW120" i="6"/>
  <c r="AW80" i="1"/>
  <c r="K69" i="11"/>
  <c r="AW80" i="6"/>
  <c r="C47" i="11"/>
  <c r="AZ63" i="3"/>
  <c r="AW48" i="1"/>
  <c r="AW48" i="6"/>
  <c r="AY48" i="3"/>
  <c r="M21" i="2"/>
  <c r="AX48" i="3"/>
  <c r="M13" i="2"/>
  <c r="AZ35" i="3"/>
  <c r="AW28" i="1"/>
  <c r="AX28" i="3"/>
  <c r="AW28" i="6"/>
  <c r="C27" i="11"/>
  <c r="AY28" i="3"/>
  <c r="AW155" i="1"/>
  <c r="AW155" i="6"/>
  <c r="AW135" i="1"/>
  <c r="AW135" i="6"/>
  <c r="AW119" i="1"/>
  <c r="AW119" i="6"/>
  <c r="C88" i="11"/>
  <c r="AW99" i="1"/>
  <c r="AW99" i="6"/>
  <c r="AW83" i="1"/>
  <c r="AW83" i="6"/>
  <c r="G71" i="11"/>
  <c r="AW51" i="1"/>
  <c r="AX51" i="3"/>
  <c r="C50" i="11"/>
  <c r="AY51" i="3"/>
  <c r="AW51" i="6"/>
  <c r="AW35" i="6"/>
  <c r="AW35" i="1"/>
  <c r="C33" i="11"/>
  <c r="AY35" i="3"/>
  <c r="M16" i="2"/>
  <c r="AZ45" i="3"/>
  <c r="AX35" i="3"/>
  <c r="AY19" i="3"/>
  <c r="AW19" i="1"/>
  <c r="G17" i="11"/>
  <c r="AX19" i="3"/>
  <c r="AZ36" i="3"/>
  <c r="AW19" i="6"/>
  <c r="M8" i="2"/>
  <c r="AW150" i="6"/>
  <c r="AW150" i="1"/>
  <c r="AW134" i="6"/>
  <c r="AW134" i="1"/>
  <c r="AW118" i="6"/>
  <c r="AW118" i="1"/>
  <c r="AW98" i="1"/>
  <c r="J88" i="11"/>
  <c r="AW98" i="6"/>
  <c r="M38" i="2"/>
  <c r="AW82" i="6"/>
  <c r="AW82" i="1"/>
  <c r="M32" i="2"/>
  <c r="C71" i="11"/>
  <c r="AW50" i="1"/>
  <c r="AY50" i="3"/>
  <c r="AW50" i="6"/>
  <c r="D50" i="11"/>
  <c r="AX50" i="3"/>
  <c r="AY34" i="3"/>
  <c r="AW34" i="6"/>
  <c r="M15" i="2"/>
  <c r="AX34" i="3"/>
  <c r="AW34" i="1"/>
  <c r="C31" i="11"/>
  <c r="AZ40" i="3"/>
  <c r="AW18" i="1"/>
  <c r="AW18" i="6"/>
  <c r="AY18" i="3"/>
  <c r="AX18" i="3"/>
  <c r="AZ42" i="3"/>
  <c r="E14" i="11"/>
  <c r="AW149" i="1"/>
  <c r="AW149" i="6"/>
  <c r="AW133" i="1"/>
  <c r="AW133" i="6"/>
  <c r="AW117" i="6"/>
  <c r="AW117" i="1"/>
  <c r="H86" i="11"/>
  <c r="M37" i="2"/>
  <c r="AW97" i="6"/>
  <c r="AW97" i="1"/>
  <c r="AW81" i="6"/>
  <c r="AW81" i="1"/>
  <c r="D47" i="11"/>
  <c r="AW49" i="6"/>
  <c r="AY49" i="3"/>
  <c r="AW49" i="1"/>
  <c r="AX49" i="3"/>
  <c r="AZ66" i="3"/>
  <c r="AY33" i="3"/>
  <c r="AW33" i="6"/>
  <c r="AW33" i="1"/>
  <c r="G29" i="11"/>
  <c r="AX33" i="3"/>
  <c r="AZ52" i="3"/>
  <c r="AY17" i="3"/>
  <c r="AZ23" i="3"/>
  <c r="M7" i="2"/>
  <c r="C14" i="11"/>
  <c r="AW17" i="6"/>
  <c r="AW17" i="1"/>
  <c r="AX17" i="3"/>
  <c r="AW156" i="1"/>
  <c r="AW156" i="6"/>
  <c r="AW132" i="1"/>
  <c r="AW132" i="6"/>
  <c r="G88" i="11"/>
  <c r="AW100" i="1"/>
  <c r="AW100" i="6"/>
  <c r="AW24" i="6"/>
  <c r="AW24" i="1"/>
  <c r="H22" i="11"/>
  <c r="AZ41" i="3"/>
  <c r="V22" i="11"/>
  <c r="V23" i="11" s="1"/>
  <c r="V24" i="11" s="1"/>
  <c r="V25" i="11" s="1"/>
  <c r="V26" i="11" s="1"/>
  <c r="V27" i="11" s="1"/>
  <c r="V28" i="11" s="1"/>
  <c r="V29" i="11" s="1"/>
  <c r="V30" i="11" s="1"/>
  <c r="V31" i="11" s="1"/>
  <c r="V32" i="11" s="1"/>
  <c r="V33" i="11" s="1"/>
  <c r="V34" i="11" s="1"/>
  <c r="V35" i="11" s="1"/>
  <c r="V36" i="11" s="1"/>
  <c r="V37" i="11" s="1"/>
  <c r="V38" i="11" s="1"/>
  <c r="V39" i="11" s="1"/>
  <c r="V40" i="11" s="1"/>
  <c r="V41" i="11" s="1"/>
  <c r="V42" i="11" s="1"/>
  <c r="V43" i="11" s="1"/>
  <c r="V44" i="11" s="1"/>
  <c r="V45" i="11" s="1"/>
  <c r="V46" i="11" s="1"/>
  <c r="V47" i="11" s="1"/>
  <c r="V48" i="11" s="1"/>
  <c r="V49" i="11" s="1"/>
  <c r="AX24" i="3"/>
  <c r="AY24" i="3"/>
  <c r="AW112" i="1"/>
  <c r="AW112" i="6"/>
  <c r="AW40" i="6"/>
  <c r="AY40" i="3"/>
  <c r="AZ51" i="3"/>
  <c r="C38" i="11"/>
  <c r="M18" i="2"/>
  <c r="AX40" i="3"/>
  <c r="AW40" i="1"/>
  <c r="AY20" i="3"/>
  <c r="AW20" i="6"/>
  <c r="AX20" i="3"/>
  <c r="AW20" i="1"/>
  <c r="D17" i="11"/>
  <c r="AZ46" i="3"/>
  <c r="AW151" i="1"/>
  <c r="AW151" i="6"/>
  <c r="AW131" i="6"/>
  <c r="AW131" i="1"/>
  <c r="AW115" i="6"/>
  <c r="AW115" i="1"/>
  <c r="AW95" i="6"/>
  <c r="J83" i="11"/>
  <c r="AW95" i="1"/>
  <c r="M36" i="2"/>
  <c r="AW79" i="6"/>
  <c r="AW79" i="1"/>
  <c r="G69" i="11"/>
  <c r="AW47" i="6"/>
  <c r="AY47" i="3"/>
  <c r="AZ57" i="3"/>
  <c r="D43" i="11"/>
  <c r="M20" i="2"/>
  <c r="AW47" i="1"/>
  <c r="AX47" i="3"/>
  <c r="AW31" i="1"/>
  <c r="AX31" i="3"/>
  <c r="AW31" i="6"/>
  <c r="AZ49" i="3"/>
  <c r="D29" i="11"/>
  <c r="AY31" i="3"/>
  <c r="AY15" i="3"/>
  <c r="AW15" i="6"/>
  <c r="AX15" i="3"/>
  <c r="D12" i="11"/>
  <c r="AW15" i="1"/>
  <c r="AZ31" i="3"/>
  <c r="AW146" i="1"/>
  <c r="AW146" i="6"/>
  <c r="AW130" i="6"/>
  <c r="AW130" i="1"/>
  <c r="AW114" i="1"/>
  <c r="AW114" i="6"/>
  <c r="AW94" i="6"/>
  <c r="AW94" i="1"/>
  <c r="H79" i="11"/>
  <c r="Z67" i="11"/>
  <c r="Z68" i="11" s="1"/>
  <c r="Z69" i="11" s="1"/>
  <c r="Z70" i="11" s="1"/>
  <c r="Z71" i="11" s="1"/>
  <c r="Z72" i="11" s="1"/>
  <c r="Z73" i="11" s="1"/>
  <c r="Z74" i="11" s="1"/>
  <c r="Z75" i="11" s="1"/>
  <c r="Z76" i="11" s="1"/>
  <c r="Z77" i="11" s="1"/>
  <c r="Z78" i="11" s="1"/>
  <c r="Z79" i="11" s="1"/>
  <c r="Z80" i="11" s="1"/>
  <c r="Z81" i="11" s="1"/>
  <c r="Z82" i="11" s="1"/>
  <c r="Z83" i="11" s="1"/>
  <c r="Z84" i="11" s="1"/>
  <c r="Z85" i="11" s="1"/>
  <c r="Z86" i="11" s="1"/>
  <c r="Z87" i="11" s="1"/>
  <c r="Z88" i="11" s="1"/>
  <c r="Z89" i="11" s="1"/>
  <c r="AW78" i="6"/>
  <c r="AW78" i="1"/>
  <c r="L67" i="11"/>
  <c r="D40" i="11"/>
  <c r="AY46" i="3"/>
  <c r="AX46" i="3"/>
  <c r="AZ50" i="3"/>
  <c r="AW46" i="6"/>
  <c r="AW46" i="1"/>
  <c r="M14" i="2"/>
  <c r="AZ37" i="3"/>
  <c r="AY30" i="3"/>
  <c r="AW30" i="1"/>
  <c r="C29" i="11"/>
  <c r="AX30" i="3"/>
  <c r="AW30" i="6"/>
  <c r="C12" i="11"/>
  <c r="AZ22" i="3"/>
  <c r="AY14" i="3"/>
  <c r="AX14" i="3"/>
  <c r="M6" i="2"/>
  <c r="AW14" i="6"/>
  <c r="AW14" i="1"/>
  <c r="AW145" i="6"/>
  <c r="AW145" i="1"/>
  <c r="AW129" i="6"/>
  <c r="AW129" i="1"/>
  <c r="AW113" i="1"/>
  <c r="AW113" i="6"/>
  <c r="AW93" i="1"/>
  <c r="AW93" i="6"/>
  <c r="J79" i="11"/>
  <c r="AW77" i="6"/>
  <c r="C67" i="11"/>
  <c r="M19" i="2"/>
  <c r="C40" i="11"/>
  <c r="AZ56" i="3"/>
  <c r="AW45" i="6"/>
  <c r="AX45" i="3"/>
  <c r="AW45" i="1"/>
  <c r="AY45" i="3"/>
  <c r="AY29" i="3"/>
  <c r="AW29" i="6"/>
  <c r="H27" i="11"/>
  <c r="AW29" i="1"/>
  <c r="AX29" i="3"/>
  <c r="AZ54" i="3"/>
  <c r="G9" i="11"/>
  <c r="U9" i="11"/>
  <c r="U10" i="11" s="1"/>
  <c r="U11" i="11" s="1"/>
  <c r="U12" i="11" s="1"/>
  <c r="U13" i="11" s="1"/>
  <c r="U14" i="11" s="1"/>
  <c r="U15" i="11" s="1"/>
  <c r="U16" i="11" s="1"/>
  <c r="U17" i="11" s="1"/>
  <c r="U18" i="11" s="1"/>
  <c r="U19" i="11" s="1"/>
  <c r="U20" i="11" s="1"/>
  <c r="U21" i="11" s="1"/>
  <c r="U22" i="11" s="1"/>
  <c r="U23" i="11" s="1"/>
  <c r="U24" i="11" s="1"/>
  <c r="U25" i="11" s="1"/>
  <c r="U26" i="11" s="1"/>
  <c r="U27" i="11" s="1"/>
  <c r="U28" i="11" s="1"/>
  <c r="U29" i="11" s="1"/>
  <c r="U30" i="11" s="1"/>
  <c r="U31" i="11" s="1"/>
  <c r="U32" i="11" s="1"/>
  <c r="U33" i="11" s="1"/>
  <c r="U34" i="11" s="1"/>
  <c r="U35" i="11" s="1"/>
  <c r="U36" i="11" s="1"/>
  <c r="U37" i="11" s="1"/>
  <c r="U38" i="11" s="1"/>
  <c r="U39" i="11" s="1"/>
  <c r="U40" i="11" s="1"/>
  <c r="U41" i="11" s="1"/>
  <c r="U42" i="11" s="1"/>
  <c r="U43" i="11" s="1"/>
  <c r="U44" i="11" s="1"/>
  <c r="U45" i="11" s="1"/>
  <c r="U46" i="11" s="1"/>
  <c r="U47" i="11" s="1"/>
  <c r="U48" i="11" s="1"/>
  <c r="U49" i="11" s="1"/>
  <c r="AW13" i="6"/>
  <c r="AZ25" i="3"/>
  <c r="AX13" i="3"/>
  <c r="AY13" i="3"/>
  <c r="AW13" i="1"/>
  <c r="AW140" i="1"/>
  <c r="AW140" i="6"/>
  <c r="AW152" i="1"/>
  <c r="AW152" i="6"/>
  <c r="AW124" i="6"/>
  <c r="AW124" i="1"/>
  <c r="AW143" i="6"/>
  <c r="AW143" i="1"/>
  <c r="AW96" i="1"/>
  <c r="G83" i="11"/>
  <c r="AW96" i="6"/>
  <c r="AY36" i="3"/>
  <c r="AW36" i="1"/>
  <c r="AZ62" i="3"/>
  <c r="G33" i="11"/>
  <c r="AW36" i="6"/>
  <c r="AX36" i="3"/>
  <c r="AW16" i="6"/>
  <c r="AX16" i="3"/>
  <c r="AW16" i="1"/>
  <c r="AZ33" i="3"/>
  <c r="G12" i="11"/>
  <c r="AY16" i="3"/>
  <c r="AW147" i="1"/>
  <c r="AW147" i="6"/>
  <c r="AW127" i="6"/>
  <c r="AW127" i="1"/>
  <c r="AW111" i="1"/>
  <c r="AW111" i="6"/>
  <c r="AW43" i="1"/>
  <c r="AW43" i="6"/>
  <c r="AX43" i="3"/>
  <c r="G38" i="11"/>
  <c r="AY43" i="3"/>
  <c r="AW27" i="1"/>
  <c r="D25" i="11"/>
  <c r="AY27" i="3"/>
  <c r="AX27" i="3"/>
  <c r="AW27" i="6"/>
  <c r="AZ47" i="3"/>
  <c r="T7" i="11"/>
  <c r="T8" i="11" s="1"/>
  <c r="T9" i="11" s="1"/>
  <c r="T10" i="11" s="1"/>
  <c r="T11" i="11" s="1"/>
  <c r="T12" i="11" s="1"/>
  <c r="T13" i="11" s="1"/>
  <c r="T14" i="11" s="1"/>
  <c r="T15" i="11" s="1"/>
  <c r="T16" i="11" s="1"/>
  <c r="T17" i="11" s="1"/>
  <c r="T18" i="11" s="1"/>
  <c r="T19" i="11" s="1"/>
  <c r="T20" i="11" s="1"/>
  <c r="T21" i="11" s="1"/>
  <c r="T22" i="11" s="1"/>
  <c r="T23" i="11" s="1"/>
  <c r="T24" i="11" s="1"/>
  <c r="T25" i="11" s="1"/>
  <c r="T26" i="11" s="1"/>
  <c r="T27" i="11" s="1"/>
  <c r="T28" i="11" s="1"/>
  <c r="T29" i="11" s="1"/>
  <c r="T30" i="11" s="1"/>
  <c r="T31" i="11" s="1"/>
  <c r="T32" i="11" s="1"/>
  <c r="T33" i="11" s="1"/>
  <c r="T34" i="11" s="1"/>
  <c r="T35" i="11" s="1"/>
  <c r="T36" i="11" s="1"/>
  <c r="T37" i="11" s="1"/>
  <c r="T38" i="11" s="1"/>
  <c r="T39" i="11" s="1"/>
  <c r="T40" i="11" s="1"/>
  <c r="T41" i="11" s="1"/>
  <c r="T42" i="11" s="1"/>
  <c r="T43" i="11" s="1"/>
  <c r="T44" i="11" s="1"/>
  <c r="T45" i="11" s="1"/>
  <c r="T46" i="11" s="1"/>
  <c r="T47" i="11" s="1"/>
  <c r="T48" i="11" s="1"/>
  <c r="T49" i="11" s="1"/>
  <c r="T50" i="11" s="1"/>
  <c r="T51" i="11" s="1"/>
  <c r="T52" i="11" s="1"/>
  <c r="T53" i="11" s="1"/>
  <c r="T54" i="11" s="1"/>
  <c r="T55" i="11" s="1"/>
  <c r="T56" i="11" s="1"/>
  <c r="AX11" i="3"/>
  <c r="AY11" i="3"/>
  <c r="F7" i="11"/>
  <c r="AW11" i="1"/>
  <c r="AW11" i="6"/>
  <c r="AW142" i="1"/>
  <c r="AW142" i="6"/>
  <c r="AW126" i="6"/>
  <c r="AW126" i="1"/>
  <c r="AW110" i="1"/>
  <c r="AW110" i="6"/>
  <c r="AW42" i="6"/>
  <c r="AX42" i="3"/>
  <c r="AW42" i="1"/>
  <c r="E38" i="11"/>
  <c r="AY42" i="3"/>
  <c r="AW26" i="1"/>
  <c r="AW26" i="6"/>
  <c r="AX26" i="3"/>
  <c r="AZ34" i="3"/>
  <c r="C25" i="11"/>
  <c r="AY26" i="3"/>
  <c r="AW157" i="1"/>
  <c r="AW157" i="6"/>
  <c r="AW141" i="6"/>
  <c r="AW141" i="1"/>
  <c r="AW125" i="1"/>
  <c r="AW125" i="6"/>
  <c r="AW109" i="6"/>
  <c r="AW109" i="1"/>
  <c r="AW41" i="1"/>
  <c r="H38" i="11"/>
  <c r="AZ60" i="3"/>
  <c r="AW41" i="6"/>
  <c r="AX41" i="3"/>
  <c r="AY41" i="3"/>
  <c r="G25" i="11"/>
  <c r="AX25" i="3"/>
  <c r="AZ43" i="3"/>
  <c r="M12" i="2"/>
  <c r="AY25" i="3"/>
  <c r="AW25" i="1"/>
  <c r="AW25" i="6"/>
  <c r="R7" i="11"/>
  <c r="R8" i="11" s="1"/>
  <c r="R9" i="11" s="1"/>
  <c r="R10" i="11" s="1"/>
  <c r="R11" i="11" s="1"/>
  <c r="R12" i="11" s="1"/>
  <c r="R13" i="11" s="1"/>
  <c r="R14" i="11" s="1"/>
  <c r="R15" i="11" s="1"/>
  <c r="R16" i="11" s="1"/>
  <c r="R17" i="11" s="1"/>
  <c r="R18" i="11" s="1"/>
  <c r="R19" i="11" s="1"/>
  <c r="R20" i="11" s="1"/>
  <c r="R21" i="11" s="1"/>
  <c r="R22" i="11" s="1"/>
  <c r="R23" i="11" s="1"/>
  <c r="R24" i="11" s="1"/>
  <c r="R25" i="11" s="1"/>
  <c r="R26" i="11" s="1"/>
  <c r="R27" i="11" s="1"/>
  <c r="R28" i="11" s="1"/>
  <c r="R29" i="11" s="1"/>
  <c r="R30" i="11" s="1"/>
  <c r="R31" i="11" s="1"/>
  <c r="R32" i="11" s="1"/>
  <c r="R33" i="11" s="1"/>
  <c r="R34" i="11" s="1"/>
  <c r="R35" i="11" s="1"/>
  <c r="R36" i="11" s="1"/>
  <c r="R37" i="11" s="1"/>
  <c r="R38" i="11" s="1"/>
  <c r="R39" i="11" s="1"/>
  <c r="R40" i="11" s="1"/>
  <c r="R41" i="11" s="1"/>
  <c r="R42" i="11" s="1"/>
  <c r="R43" i="11" s="1"/>
  <c r="R44" i="11" s="1"/>
  <c r="R45" i="11" s="1"/>
  <c r="R46" i="11" s="1"/>
  <c r="R47" i="11" s="1"/>
  <c r="R48" i="11" s="1"/>
  <c r="R49" i="11" s="1"/>
  <c r="R50" i="11" s="1"/>
  <c r="R51" i="11" s="1"/>
  <c r="R52" i="11" s="1"/>
  <c r="AW9" i="1"/>
  <c r="AX9" i="3"/>
  <c r="AY9" i="3"/>
  <c r="AW9" i="6"/>
  <c r="D7" i="11"/>
  <c r="AZ27" i="3"/>
  <c r="AW144" i="1"/>
  <c r="AW144" i="6"/>
  <c r="AW136" i="1"/>
  <c r="AW136" i="6"/>
  <c r="AW116" i="6"/>
  <c r="AW116" i="1"/>
  <c r="AW84" i="6"/>
  <c r="AW84" i="1"/>
  <c r="C74" i="11"/>
  <c r="AW52" i="6"/>
  <c r="AW52" i="1"/>
  <c r="AX52" i="3"/>
  <c r="G50" i="11"/>
  <c r="AY52" i="3"/>
  <c r="S7" i="11"/>
  <c r="S8" i="11" s="1"/>
  <c r="S9" i="11" s="1"/>
  <c r="S10" i="11" s="1"/>
  <c r="S11" i="11" s="1"/>
  <c r="S12" i="11" s="1"/>
  <c r="S13" i="11" s="1"/>
  <c r="S14" i="11" s="1"/>
  <c r="S15" i="11" s="1"/>
  <c r="S16" i="11" s="1"/>
  <c r="S17" i="11" s="1"/>
  <c r="S18" i="11" s="1"/>
  <c r="S19" i="11" s="1"/>
  <c r="S20" i="11" s="1"/>
  <c r="S21" i="11" s="1"/>
  <c r="S22" i="11" s="1"/>
  <c r="S23" i="11" s="1"/>
  <c r="S24" i="11" s="1"/>
  <c r="S25" i="11" s="1"/>
  <c r="S26" i="11" s="1"/>
  <c r="S27" i="11" s="1"/>
  <c r="S28" i="11" s="1"/>
  <c r="S29" i="11" s="1"/>
  <c r="S30" i="11" s="1"/>
  <c r="S31" i="11" s="1"/>
  <c r="S32" i="11" s="1"/>
  <c r="S33" i="11" s="1"/>
  <c r="S34" i="11" s="1"/>
  <c r="S35" i="11" s="1"/>
  <c r="S36" i="11" s="1"/>
  <c r="S37" i="11" s="1"/>
  <c r="S38" i="11" s="1"/>
  <c r="S39" i="11" s="1"/>
  <c r="S40" i="11" s="1"/>
  <c r="S41" i="11" s="1"/>
  <c r="S42" i="11" s="1"/>
  <c r="S43" i="11" s="1"/>
  <c r="S44" i="11" s="1"/>
  <c r="S45" i="11" s="1"/>
  <c r="S46" i="11" s="1"/>
  <c r="S47" i="11" s="1"/>
  <c r="S48" i="11" s="1"/>
  <c r="S49" i="11" s="1"/>
  <c r="S50" i="11" s="1"/>
  <c r="S51" i="11" s="1"/>
  <c r="S52" i="11" s="1"/>
  <c r="S53" i="11" s="1"/>
  <c r="AX10" i="3"/>
  <c r="AY10" i="3"/>
  <c r="E7" i="11"/>
  <c r="AW10" i="1"/>
  <c r="AZ38" i="3"/>
  <c r="AW10" i="6"/>
  <c r="E29" i="11"/>
  <c r="AX32" i="3"/>
  <c r="AZ53" i="3"/>
  <c r="AW32" i="6"/>
  <c r="AW32" i="1"/>
  <c r="AY32" i="3"/>
  <c r="C9" i="11"/>
  <c r="AW12" i="6"/>
  <c r="AX12" i="3"/>
  <c r="AW12" i="1"/>
  <c r="M5" i="2"/>
  <c r="AY12" i="3"/>
  <c r="AZ21" i="3"/>
  <c r="AW139" i="6"/>
  <c r="AW139" i="1"/>
  <c r="AW123" i="1"/>
  <c r="AW123" i="6"/>
  <c r="AW107" i="6"/>
  <c r="AW107" i="1"/>
  <c r="AX39" i="3"/>
  <c r="AW39" i="1"/>
  <c r="AY39" i="3"/>
  <c r="H35" i="11"/>
  <c r="AZ58" i="3"/>
  <c r="AW39" i="6"/>
  <c r="C22" i="11"/>
  <c r="AZ30" i="3"/>
  <c r="AX23" i="3"/>
  <c r="AY23" i="3"/>
  <c r="AW23" i="1"/>
  <c r="AW23" i="6"/>
  <c r="M11" i="2"/>
  <c r="AW154" i="1"/>
  <c r="AW154" i="6"/>
  <c r="AW138" i="1"/>
  <c r="AW138" i="6"/>
  <c r="AW122" i="6"/>
  <c r="AW122" i="1"/>
  <c r="AW106" i="1"/>
  <c r="AW106" i="6"/>
  <c r="E35" i="11"/>
  <c r="AY38" i="3"/>
  <c r="AW38" i="1"/>
  <c r="AW38" i="6"/>
  <c r="AX38" i="3"/>
  <c r="AZ64" i="3"/>
  <c r="AW22" i="6"/>
  <c r="AY22" i="3"/>
  <c r="C20" i="11"/>
  <c r="AZ28" i="3"/>
  <c r="M10" i="2"/>
  <c r="AX22" i="3"/>
  <c r="AW22" i="1"/>
  <c r="AW153" i="1"/>
  <c r="AW153" i="6"/>
  <c r="AW137" i="1"/>
  <c r="AW137" i="6"/>
  <c r="AW121" i="1"/>
  <c r="AW121" i="6"/>
  <c r="AW105" i="1"/>
  <c r="AW105" i="6"/>
  <c r="AW53" i="1"/>
  <c r="AX53" i="3"/>
  <c r="AW53" i="6"/>
  <c r="E50" i="11"/>
  <c r="AY53" i="3"/>
  <c r="AW37" i="1"/>
  <c r="C35" i="11"/>
  <c r="AW37" i="6"/>
  <c r="M17" i="2"/>
  <c r="AZ48" i="3"/>
  <c r="AY37" i="3"/>
  <c r="AX37" i="3"/>
  <c r="AZ26" i="3"/>
  <c r="AW21" i="6"/>
  <c r="AY21" i="3"/>
  <c r="AX21" i="3"/>
  <c r="C18" i="11"/>
  <c r="AW21" i="1"/>
  <c r="M9" i="2"/>
  <c r="M4" i="2"/>
  <c r="Q7" i="11"/>
  <c r="C7" i="11"/>
  <c r="Q4" i="11" s="1"/>
  <c r="AW8" i="6"/>
  <c r="AZ17" i="3"/>
  <c r="AW8" i="1"/>
  <c r="AX8" i="3"/>
  <c r="AY8" i="3"/>
  <c r="BA18" i="3"/>
  <c r="BG24" i="3" a="1"/>
  <c r="BA50" i="3"/>
  <c r="BA51" i="3"/>
  <c r="BG10" i="3" a="1"/>
  <c r="BG8" i="3" a="1"/>
  <c r="BA53" i="3"/>
  <c r="BA29" i="3"/>
  <c r="BA44" i="3"/>
  <c r="BA41" i="3"/>
  <c r="BA26" i="3"/>
  <c r="BA42" i="3"/>
  <c r="BA22" i="3"/>
  <c r="BA49" i="3"/>
  <c r="BA45" i="3"/>
  <c r="BA19" i="3"/>
  <c r="BA20" i="3"/>
  <c r="BG11" i="3" a="1"/>
  <c r="BA24" i="3"/>
  <c r="BG16" i="3" a="1"/>
  <c r="BG13" i="3" a="1"/>
  <c r="BA15" i="3"/>
  <c r="BA27" i="3"/>
  <c r="BA38" i="3"/>
  <c r="BA33" i="3"/>
  <c r="BG9" i="3" a="1"/>
  <c r="BA52" i="3"/>
  <c r="BA16" i="3"/>
  <c r="BG12" i="3" a="1"/>
  <c r="BA11" i="3"/>
  <c r="BA46" i="3"/>
  <c r="BA13" i="3"/>
  <c r="BG10" i="3" l="1"/>
  <c r="BB10" i="3" s="1"/>
  <c r="BG11" i="3"/>
  <c r="BB11" i="3" s="1"/>
  <c r="BG13" i="3"/>
  <c r="BB13" i="3" s="1"/>
  <c r="BG16" i="3"/>
  <c r="BB16" i="3" s="1"/>
  <c r="BG8" i="3"/>
  <c r="BB8" i="3" s="1"/>
  <c r="BG12" i="3"/>
  <c r="BB12" i="3" s="1"/>
  <c r="BG9" i="3"/>
  <c r="BB9" i="3" s="1"/>
  <c r="Q8" i="11"/>
  <c r="B7" i="11"/>
  <c r="R53" i="11"/>
  <c r="BG24" i="3"/>
  <c r="BB24" i="3" s="1"/>
  <c r="BG32" i="3" a="1"/>
  <c r="Q9" i="11" l="1"/>
  <c r="B8" i="11"/>
  <c r="BG32" i="3"/>
  <c r="BB32" i="3" s="1"/>
  <c r="BG40" i="3" a="1"/>
  <c r="Q10" i="11" l="1"/>
  <c r="B9" i="11"/>
  <c r="BG40" i="3"/>
  <c r="BB40" i="3" s="1"/>
  <c r="BG48" i="3" a="1"/>
  <c r="B10" i="11" l="1"/>
  <c r="Q11" i="11"/>
  <c r="BG48" i="3"/>
  <c r="BB48" i="3" s="1"/>
  <c r="BG25" i="3" a="1"/>
  <c r="B11" i="11" l="1"/>
  <c r="Q12" i="11"/>
  <c r="BG25" i="3"/>
  <c r="BB25" i="3" s="1"/>
  <c r="BG41" i="3" a="1"/>
  <c r="Q13" i="11" l="1"/>
  <c r="B12" i="11"/>
  <c r="BG41" i="3"/>
  <c r="BB41" i="3" s="1"/>
  <c r="BG19" i="3" a="1"/>
  <c r="B13" i="11" l="1"/>
  <c r="Q14" i="11"/>
  <c r="BG19" i="3"/>
  <c r="BB19" i="3" s="1"/>
  <c r="BG35" i="3" a="1"/>
  <c r="B14" i="11" l="1"/>
  <c r="Q15" i="11"/>
  <c r="BG35" i="3"/>
  <c r="BB35" i="3" s="1"/>
  <c r="BG18" i="3" a="1"/>
  <c r="BG51" i="3" a="1"/>
  <c r="B15" i="11" l="1"/>
  <c r="Q16" i="11"/>
  <c r="BG18" i="3"/>
  <c r="BB18" i="3" s="1"/>
  <c r="AX78" i="3"/>
  <c r="BG51" i="3"/>
  <c r="BB51" i="3" s="1"/>
  <c r="BG26" i="3" a="1"/>
  <c r="BG29" i="3" a="1"/>
  <c r="BG50" i="3" a="1"/>
  <c r="BG34" i="3" a="1"/>
  <c r="BG42" i="3" a="1"/>
  <c r="B16" i="11" l="1"/>
  <c r="Q17" i="11"/>
  <c r="BG50" i="3"/>
  <c r="BB50" i="3" s="1"/>
  <c r="BG34" i="3"/>
  <c r="BB34" i="3" s="1"/>
  <c r="BG42" i="3"/>
  <c r="BB42" i="3" s="1"/>
  <c r="BG29" i="3"/>
  <c r="BB29" i="3" s="1"/>
  <c r="BG26" i="3"/>
  <c r="BB26" i="3" s="1"/>
  <c r="BG45" i="3" a="1"/>
  <c r="B17" i="11" l="1"/>
  <c r="Q18" i="11"/>
  <c r="BG45" i="3"/>
  <c r="BB45" i="3" s="1"/>
  <c r="BG23" i="3" a="1"/>
  <c r="B18" i="11" l="1"/>
  <c r="Q19" i="11"/>
  <c r="BG23" i="3"/>
  <c r="BB23" i="3" s="1"/>
  <c r="BG52" i="3" a="1"/>
  <c r="BG36" i="3" a="1"/>
  <c r="BG28" i="3" a="1"/>
  <c r="BG20" i="3" a="1"/>
  <c r="BG44" i="3" a="1"/>
  <c r="BG39" i="3" a="1"/>
  <c r="B19" i="11" l="1"/>
  <c r="Q20" i="11"/>
  <c r="BG39" i="3"/>
  <c r="BB39" i="3" s="1"/>
  <c r="BG44" i="3"/>
  <c r="BB44" i="3" s="1"/>
  <c r="BG36" i="3"/>
  <c r="BB36" i="3" s="1"/>
  <c r="BG28" i="3"/>
  <c r="BB28" i="3" s="1"/>
  <c r="BG20" i="3"/>
  <c r="BB20" i="3" s="1"/>
  <c r="BG52" i="3"/>
  <c r="BB52" i="3" s="1"/>
  <c r="BG17" i="3" a="1"/>
  <c r="B20" i="11" l="1"/>
  <c r="Q21" i="11"/>
  <c r="BG17" i="3"/>
  <c r="BB17" i="3" s="1"/>
  <c r="BG33" i="3" a="1"/>
  <c r="B21" i="11" l="1"/>
  <c r="Q22" i="11"/>
  <c r="AX84" i="3"/>
  <c r="BG33" i="3"/>
  <c r="BB33" i="3" s="1"/>
  <c r="BG49" i="3" a="1"/>
  <c r="B22" i="11" l="1"/>
  <c r="Q23" i="11"/>
  <c r="BG49" i="3"/>
  <c r="BB49" i="3" s="1"/>
  <c r="BG27" i="3" a="1"/>
  <c r="B23" i="11" l="1"/>
  <c r="Q24" i="11"/>
  <c r="BG27" i="3"/>
  <c r="BB27" i="3" s="1"/>
  <c r="BG46" i="3" a="1"/>
  <c r="BG37" i="3" a="1"/>
  <c r="BG22" i="3" a="1"/>
  <c r="BG14" i="3" a="1"/>
  <c r="BG30" i="3" a="1"/>
  <c r="BG15" i="3" a="1"/>
  <c r="BG43" i="3" a="1"/>
  <c r="BG21" i="3" a="1"/>
  <c r="BG38" i="3" a="1"/>
  <c r="BG53" i="3" a="1"/>
  <c r="B24" i="11" l="1"/>
  <c r="Q25" i="11"/>
  <c r="BG14" i="3"/>
  <c r="BB14" i="3" s="1"/>
  <c r="BG53" i="3"/>
  <c r="BB53" i="3" s="1"/>
  <c r="BG38" i="3"/>
  <c r="BB38" i="3" s="1"/>
  <c r="BG21" i="3"/>
  <c r="BB21" i="3" s="1"/>
  <c r="BG37" i="3"/>
  <c r="BB37" i="3" s="1"/>
  <c r="BG43" i="3"/>
  <c r="BB43" i="3" s="1"/>
  <c r="BG22" i="3"/>
  <c r="BB22" i="3" s="1"/>
  <c r="BG30" i="3"/>
  <c r="BB30" i="3" s="1"/>
  <c r="BG46" i="3"/>
  <c r="BB46" i="3" s="1"/>
  <c r="BG15" i="3"/>
  <c r="BB15" i="3" s="1"/>
  <c r="BG31" i="3" a="1"/>
  <c r="B25" i="11" l="1"/>
  <c r="Q26" i="11"/>
  <c r="BG31" i="3"/>
  <c r="BB31" i="3" s="1"/>
  <c r="BG47" i="3" a="1"/>
  <c r="B26" i="11" l="1"/>
  <c r="Q27" i="11"/>
  <c r="BG47" i="3"/>
  <c r="BB47" i="3" s="1"/>
  <c r="BA76" i="3"/>
  <c r="BA77" i="3"/>
  <c r="B27" i="11" l="1"/>
  <c r="Q28" i="11"/>
  <c r="K66" i="11"/>
  <c r="AZ87" i="3"/>
  <c r="J66" i="11"/>
  <c r="AX81" i="3"/>
  <c r="AZ83" i="3"/>
  <c r="AX80" i="3"/>
  <c r="AW68" i="6"/>
  <c r="AW72" i="6"/>
  <c r="AW61" i="6"/>
  <c r="AW64" i="6"/>
  <c r="AW73" i="6"/>
  <c r="AW59" i="6"/>
  <c r="H57" i="11"/>
  <c r="G57" i="11"/>
  <c r="AZ76" i="3"/>
  <c r="AY78" i="3"/>
  <c r="AX77" i="3"/>
  <c r="AW74" i="1"/>
  <c r="AW73" i="1"/>
  <c r="AW70" i="1"/>
  <c r="AW69" i="1"/>
  <c r="E57" i="11"/>
  <c r="J50" i="11"/>
  <c r="H50" i="11"/>
  <c r="S54" i="11"/>
  <c r="S55" i="11" s="1"/>
  <c r="S56" i="11" s="1"/>
  <c r="S57" i="11" s="1"/>
  <c r="S58" i="11" s="1"/>
  <c r="S59" i="11" s="1"/>
  <c r="S60" i="11" s="1"/>
  <c r="S61" i="11" s="1"/>
  <c r="S62" i="11" s="1"/>
  <c r="S63" i="11" s="1"/>
  <c r="S64" i="11" s="1"/>
  <c r="S65" i="11" s="1"/>
  <c r="S66" i="11" s="1"/>
  <c r="S67" i="11" s="1"/>
  <c r="S68" i="11" s="1"/>
  <c r="S69" i="11" s="1"/>
  <c r="S70" i="11" s="1"/>
  <c r="S71" i="11" s="1"/>
  <c r="S72" i="11" s="1"/>
  <c r="S73" i="11" s="1"/>
  <c r="S74" i="11" s="1"/>
  <c r="S75" i="11" s="1"/>
  <c r="S76" i="11" s="1"/>
  <c r="S77" i="11" s="1"/>
  <c r="S78" i="11" s="1"/>
  <c r="S79" i="11" s="1"/>
  <c r="S80" i="11" s="1"/>
  <c r="S81" i="11" s="1"/>
  <c r="S82" i="11" s="1"/>
  <c r="S83" i="11" s="1"/>
  <c r="S84" i="11" s="1"/>
  <c r="S85" i="11" s="1"/>
  <c r="S86" i="11" s="1"/>
  <c r="S87" i="11" s="1"/>
  <c r="S88" i="11" s="1"/>
  <c r="S89" i="11" s="1"/>
  <c r="S90" i="11" s="1"/>
  <c r="S91" i="11" s="1"/>
  <c r="S92" i="11" s="1"/>
  <c r="S93" i="11" s="1"/>
  <c r="S94" i="11" s="1"/>
  <c r="S95" i="11" s="1"/>
  <c r="S96" i="11" s="1"/>
  <c r="S97" i="11" s="1"/>
  <c r="S98" i="11" s="1"/>
  <c r="S99" i="11" s="1"/>
  <c r="S100" i="11" s="1"/>
  <c r="S101" i="11" s="1"/>
  <c r="S102" i="11" s="1"/>
  <c r="S103" i="11" s="1"/>
  <c r="S104" i="11" s="1"/>
  <c r="S105" i="11" s="1"/>
  <c r="S106" i="11" s="1"/>
  <c r="S107" i="11" s="1"/>
  <c r="S108" i="11" s="1"/>
  <c r="S109" i="11" s="1"/>
  <c r="S110" i="11" s="1"/>
  <c r="S111" i="11" s="1"/>
  <c r="S112" i="11" s="1"/>
  <c r="S113" i="11" s="1"/>
  <c r="S114" i="11" s="1"/>
  <c r="S115" i="11" s="1"/>
  <c r="S116" i="11" s="1"/>
  <c r="S117" i="11" s="1"/>
  <c r="S118" i="11" s="1"/>
  <c r="S119" i="11" s="1"/>
  <c r="S120" i="11" s="1"/>
  <c r="S121" i="11" s="1"/>
  <c r="S122" i="11" s="1"/>
  <c r="S123" i="11" s="1"/>
  <c r="S124" i="11" s="1"/>
  <c r="S125" i="11" s="1"/>
  <c r="S126" i="11" s="1"/>
  <c r="S127" i="11" s="1"/>
  <c r="S128" i="11" s="1"/>
  <c r="S129" i="11" s="1"/>
  <c r="S130" i="11" s="1"/>
  <c r="S131" i="11" s="1"/>
  <c r="S132" i="11" s="1"/>
  <c r="S133" i="11" s="1"/>
  <c r="S134" i="11" s="1"/>
  <c r="S135" i="11" s="1"/>
  <c r="S136" i="11" s="1"/>
  <c r="S137" i="11" s="1"/>
  <c r="S138" i="11" s="1"/>
  <c r="S139" i="11" s="1"/>
  <c r="S140" i="11" s="1"/>
  <c r="S141" i="11" s="1"/>
  <c r="S142" i="11" s="1"/>
  <c r="S143" i="11" s="1"/>
  <c r="S144" i="11" s="1"/>
  <c r="S145" i="11" s="1"/>
  <c r="S146" i="11" s="1"/>
  <c r="S147" i="11" s="1"/>
  <c r="S148" i="11" s="1"/>
  <c r="S149" i="11" s="1"/>
  <c r="S150" i="11" s="1"/>
  <c r="S151" i="11" s="1"/>
  <c r="S152" i="11" s="1"/>
  <c r="S153" i="11" s="1"/>
  <c r="S154" i="11" s="1"/>
  <c r="S155" i="11" s="1"/>
  <c r="S156" i="11" s="1"/>
  <c r="S157" i="11" s="1"/>
  <c r="S158" i="11" s="1"/>
  <c r="S159" i="11" s="1"/>
  <c r="S160" i="11" s="1"/>
  <c r="S161" i="11" s="1"/>
  <c r="S162" i="11" s="1"/>
  <c r="S163" i="11" s="1"/>
  <c r="S164" i="11" s="1"/>
  <c r="S165" i="11" s="1"/>
  <c r="S166" i="11" s="1"/>
  <c r="S167" i="11" s="1"/>
  <c r="S168" i="11" s="1"/>
  <c r="S169" i="11" s="1"/>
  <c r="S170" i="11" s="1"/>
  <c r="S171" i="11" s="1"/>
  <c r="S172" i="11" s="1"/>
  <c r="S173" i="11" s="1"/>
  <c r="S174" i="11" s="1"/>
  <c r="S175" i="11" s="1"/>
  <c r="S176" i="11" s="1"/>
  <c r="AW64" i="1"/>
  <c r="AW57" i="1"/>
  <c r="M23" i="2"/>
  <c r="AW56" i="1"/>
  <c r="AW61" i="1"/>
  <c r="R54" i="11"/>
  <c r="R55" i="11" s="1"/>
  <c r="V50" i="11"/>
  <c r="V51" i="11" s="1"/>
  <c r="V52" i="11" s="1"/>
  <c r="V53" i="11" s="1"/>
  <c r="V54" i="11" s="1"/>
  <c r="V55" i="11" s="1"/>
  <c r="V56" i="11" s="1"/>
  <c r="V57" i="11" s="1"/>
  <c r="V58" i="11" s="1"/>
  <c r="V59" i="11" s="1"/>
  <c r="V60" i="11" s="1"/>
  <c r="V61" i="11" s="1"/>
  <c r="V62" i="11" s="1"/>
  <c r="V63" i="11" s="1"/>
  <c r="V64" i="11" s="1"/>
  <c r="V65" i="11" s="1"/>
  <c r="V66" i="11" s="1"/>
  <c r="V67" i="11" s="1"/>
  <c r="V68" i="11" s="1"/>
  <c r="V69" i="11" s="1"/>
  <c r="V70" i="11" s="1"/>
  <c r="V71" i="11" s="1"/>
  <c r="V72" i="11" s="1"/>
  <c r="V73" i="11" s="1"/>
  <c r="AW66" i="1"/>
  <c r="AW60" i="1"/>
  <c r="AW65" i="1"/>
  <c r="AW59" i="1"/>
  <c r="AW71" i="1"/>
  <c r="M27" i="2"/>
  <c r="Y57" i="11"/>
  <c r="Y58" i="11" s="1"/>
  <c r="Y59" i="11" s="1"/>
  <c r="Y60" i="11" s="1"/>
  <c r="Y61" i="11" s="1"/>
  <c r="Y62" i="11" s="1"/>
  <c r="Y63" i="11" s="1"/>
  <c r="Y64" i="11" s="1"/>
  <c r="Y65" i="11" s="1"/>
  <c r="Y66" i="11" s="1"/>
  <c r="Y67" i="11" s="1"/>
  <c r="Y68" i="11" s="1"/>
  <c r="Y69" i="11" s="1"/>
  <c r="Y70" i="11" s="1"/>
  <c r="Y71" i="11" s="1"/>
  <c r="Y72" i="11" s="1"/>
  <c r="Y73" i="11" s="1"/>
  <c r="Y74" i="11" s="1"/>
  <c r="Y75" i="11" s="1"/>
  <c r="Y76" i="11" s="1"/>
  <c r="Y77" i="11" s="1"/>
  <c r="Y78" i="11" s="1"/>
  <c r="Y79" i="11" s="1"/>
  <c r="Y80" i="11" s="1"/>
  <c r="Y81" i="11" s="1"/>
  <c r="Y82" i="11" s="1"/>
  <c r="Y83" i="11" s="1"/>
  <c r="Y84" i="11" s="1"/>
  <c r="Y85" i="11" s="1"/>
  <c r="Y86" i="11" s="1"/>
  <c r="Y87" i="11" s="1"/>
  <c r="Y88" i="11" s="1"/>
  <c r="Y89" i="11" s="1"/>
  <c r="Y90" i="11" s="1"/>
  <c r="Y91" i="11" s="1"/>
  <c r="Y92" i="11" s="1"/>
  <c r="Y93" i="11" s="1"/>
  <c r="Y94" i="11" s="1"/>
  <c r="Y95" i="11" s="1"/>
  <c r="Y96" i="11" s="1"/>
  <c r="Y97" i="11" s="1"/>
  <c r="Y98" i="11" s="1"/>
  <c r="Y99" i="11" s="1"/>
  <c r="Y100" i="11" s="1"/>
  <c r="Y101" i="11" s="1"/>
  <c r="Y102" i="11" s="1"/>
  <c r="Y103" i="11" s="1"/>
  <c r="Y104" i="11" s="1"/>
  <c r="Y105" i="11" s="1"/>
  <c r="Y106" i="11" s="1"/>
  <c r="Y107" i="11" s="1"/>
  <c r="Y108" i="11" s="1"/>
  <c r="Y109" i="11" s="1"/>
  <c r="Y110" i="11" s="1"/>
  <c r="Y111" i="11" s="1"/>
  <c r="Y112" i="11" s="1"/>
  <c r="Y113" i="11" s="1"/>
  <c r="Y114" i="11" s="1"/>
  <c r="Y115" i="11" s="1"/>
  <c r="Y116" i="11" s="1"/>
  <c r="Y117" i="11" s="1"/>
  <c r="Y118" i="11" s="1"/>
  <c r="Y119" i="11" s="1"/>
  <c r="Y120" i="11" s="1"/>
  <c r="Y121" i="11" s="1"/>
  <c r="Y122" i="11" s="1"/>
  <c r="Y123" i="11" s="1"/>
  <c r="Y124" i="11" s="1"/>
  <c r="Y125" i="11" s="1"/>
  <c r="Y126" i="11" s="1"/>
  <c r="Y127" i="11" s="1"/>
  <c r="Y128" i="11" s="1"/>
  <c r="Y129" i="11" s="1"/>
  <c r="Y130" i="11" s="1"/>
  <c r="Y131" i="11" s="1"/>
  <c r="Y132" i="11" s="1"/>
  <c r="Y133" i="11" s="1"/>
  <c r="Y134" i="11" s="1"/>
  <c r="Y135" i="11" s="1"/>
  <c r="Y136" i="11" s="1"/>
  <c r="Y137" i="11" s="1"/>
  <c r="Y138" i="11" s="1"/>
  <c r="Y139" i="11" s="1"/>
  <c r="Y140" i="11" s="1"/>
  <c r="Y141" i="11" s="1"/>
  <c r="Y142" i="11" s="1"/>
  <c r="Y143" i="11" s="1"/>
  <c r="Y144" i="11" s="1"/>
  <c r="Y145" i="11" s="1"/>
  <c r="Y146" i="11" s="1"/>
  <c r="Y147" i="11" s="1"/>
  <c r="Y148" i="11" s="1"/>
  <c r="Y149" i="11" s="1"/>
  <c r="Y150" i="11" s="1"/>
  <c r="Y151" i="11" s="1"/>
  <c r="Y152" i="11" s="1"/>
  <c r="Y153" i="11" s="1"/>
  <c r="Y154" i="11" s="1"/>
  <c r="Y155" i="11" s="1"/>
  <c r="Y156" i="11" s="1"/>
  <c r="Y157" i="11" s="1"/>
  <c r="Y158" i="11" s="1"/>
  <c r="Y159" i="11" s="1"/>
  <c r="Y160" i="11" s="1"/>
  <c r="Y161" i="11" s="1"/>
  <c r="Y162" i="11" s="1"/>
  <c r="Y163" i="11" s="1"/>
  <c r="Y164" i="11" s="1"/>
  <c r="Y165" i="11" s="1"/>
  <c r="Y166" i="11" s="1"/>
  <c r="Y167" i="11" s="1"/>
  <c r="Y168" i="11" s="1"/>
  <c r="Y169" i="11" s="1"/>
  <c r="Y170" i="11" s="1"/>
  <c r="Y171" i="11" s="1"/>
  <c r="Y172" i="11" s="1"/>
  <c r="Y173" i="11" s="1"/>
  <c r="Y174" i="11" s="1"/>
  <c r="Y175" i="11" s="1"/>
  <c r="Y176" i="11" s="1"/>
  <c r="AZ85" i="3"/>
  <c r="AZ88" i="3"/>
  <c r="AY84" i="3"/>
  <c r="AY81" i="3"/>
  <c r="AX79" i="3"/>
  <c r="AY80" i="3"/>
  <c r="AW58" i="6"/>
  <c r="AW57" i="6"/>
  <c r="AW63" i="6"/>
  <c r="AW56" i="6"/>
  <c r="AW69" i="6"/>
  <c r="AW74" i="6"/>
  <c r="H59" i="11"/>
  <c r="AZ65" i="3"/>
  <c r="H64" i="11"/>
  <c r="AY79" i="3"/>
  <c r="AZ79" i="3"/>
  <c r="AX76" i="3"/>
  <c r="AW75" i="1"/>
  <c r="AW72" i="1"/>
  <c r="G62" i="11"/>
  <c r="J62" i="11"/>
  <c r="C54" i="11"/>
  <c r="T57" i="11"/>
  <c r="T58" i="11" s="1"/>
  <c r="T59" i="11" s="1"/>
  <c r="T60" i="11" s="1"/>
  <c r="T61" i="11" s="1"/>
  <c r="T62" i="11" s="1"/>
  <c r="T63" i="11" s="1"/>
  <c r="T64" i="11" s="1"/>
  <c r="T65" i="11" s="1"/>
  <c r="T66" i="11" s="1"/>
  <c r="T67" i="11" s="1"/>
  <c r="T68" i="11" s="1"/>
  <c r="T69" i="11" s="1"/>
  <c r="T70" i="11" s="1"/>
  <c r="T71" i="11" s="1"/>
  <c r="T72" i="11" s="1"/>
  <c r="T73" i="11" s="1"/>
  <c r="T74" i="11" s="1"/>
  <c r="T75" i="11" s="1"/>
  <c r="T76" i="11" s="1"/>
  <c r="T77" i="11" s="1"/>
  <c r="T78" i="11" s="1"/>
  <c r="T79" i="11" s="1"/>
  <c r="T80" i="11" s="1"/>
  <c r="T81" i="11" s="1"/>
  <c r="T82" i="11" s="1"/>
  <c r="T83" i="11" s="1"/>
  <c r="T84" i="11" s="1"/>
  <c r="T85" i="11" s="1"/>
  <c r="T86" i="11" s="1"/>
  <c r="T87" i="11" s="1"/>
  <c r="T88" i="11" s="1"/>
  <c r="T89" i="11" s="1"/>
  <c r="T90" i="11" s="1"/>
  <c r="T91" i="11" s="1"/>
  <c r="T92" i="11" s="1"/>
  <c r="T93" i="11" s="1"/>
  <c r="T94" i="11" s="1"/>
  <c r="T95" i="11" s="1"/>
  <c r="T96" i="11" s="1"/>
  <c r="T97" i="11" s="1"/>
  <c r="T98" i="11" s="1"/>
  <c r="T99" i="11" s="1"/>
  <c r="T100" i="11" s="1"/>
  <c r="T101" i="11" s="1"/>
  <c r="T102" i="11" s="1"/>
  <c r="T103" i="11" s="1"/>
  <c r="T104" i="11" s="1"/>
  <c r="T105" i="11" s="1"/>
  <c r="T106" i="11" s="1"/>
  <c r="T107" i="11" s="1"/>
  <c r="T108" i="11" s="1"/>
  <c r="T109" i="11" s="1"/>
  <c r="T110" i="11" s="1"/>
  <c r="T111" i="11" s="1"/>
  <c r="T112" i="11" s="1"/>
  <c r="T113" i="11" s="1"/>
  <c r="T114" i="11" s="1"/>
  <c r="T115" i="11" s="1"/>
  <c r="T116" i="11" s="1"/>
  <c r="T117" i="11" s="1"/>
  <c r="T118" i="11" s="1"/>
  <c r="T119" i="11" s="1"/>
  <c r="T120" i="11" s="1"/>
  <c r="T121" i="11" s="1"/>
  <c r="T122" i="11" s="1"/>
  <c r="T123" i="11" s="1"/>
  <c r="T124" i="11" s="1"/>
  <c r="T125" i="11" s="1"/>
  <c r="T126" i="11" s="1"/>
  <c r="T127" i="11" s="1"/>
  <c r="T128" i="11" s="1"/>
  <c r="T129" i="11" s="1"/>
  <c r="T130" i="11" s="1"/>
  <c r="T131" i="11" s="1"/>
  <c r="T132" i="11" s="1"/>
  <c r="T133" i="11" s="1"/>
  <c r="T134" i="11" s="1"/>
  <c r="T135" i="11" s="1"/>
  <c r="T136" i="11" s="1"/>
  <c r="T137" i="11" s="1"/>
  <c r="T138" i="11" s="1"/>
  <c r="T139" i="11" s="1"/>
  <c r="T140" i="11" s="1"/>
  <c r="T141" i="11" s="1"/>
  <c r="T142" i="11" s="1"/>
  <c r="T143" i="11" s="1"/>
  <c r="T144" i="11" s="1"/>
  <c r="T145" i="11" s="1"/>
  <c r="T146" i="11" s="1"/>
  <c r="T147" i="11" s="1"/>
  <c r="T148" i="11" s="1"/>
  <c r="T149" i="11" s="1"/>
  <c r="T150" i="11" s="1"/>
  <c r="T151" i="11" s="1"/>
  <c r="T152" i="11" s="1"/>
  <c r="T153" i="11" s="1"/>
  <c r="T154" i="11" s="1"/>
  <c r="T155" i="11" s="1"/>
  <c r="T156" i="11" s="1"/>
  <c r="T157" i="11" s="1"/>
  <c r="T158" i="11" s="1"/>
  <c r="T159" i="11" s="1"/>
  <c r="T160" i="11" s="1"/>
  <c r="T161" i="11" s="1"/>
  <c r="T162" i="11" s="1"/>
  <c r="T163" i="11" s="1"/>
  <c r="T164" i="11" s="1"/>
  <c r="T165" i="11" s="1"/>
  <c r="T166" i="11" s="1"/>
  <c r="T167" i="11" s="1"/>
  <c r="T168" i="11" s="1"/>
  <c r="T169" i="11" s="1"/>
  <c r="T170" i="11" s="1"/>
  <c r="T171" i="11" s="1"/>
  <c r="T172" i="11" s="1"/>
  <c r="T173" i="11" s="1"/>
  <c r="T174" i="11" s="1"/>
  <c r="T175" i="11" s="1"/>
  <c r="T176" i="11" s="1"/>
  <c r="D60" i="11"/>
  <c r="AZ90" i="3"/>
  <c r="AZ86" i="3"/>
  <c r="AZ84" i="3"/>
  <c r="AZ82" i="3"/>
  <c r="M30" i="2"/>
  <c r="AW60" i="6"/>
  <c r="AW62" i="6"/>
  <c r="AW55" i="6"/>
  <c r="AW67" i="6"/>
  <c r="AW71" i="6"/>
  <c r="K62" i="11"/>
  <c r="J64" i="11"/>
  <c r="J57" i="11"/>
  <c r="BK43" i="6"/>
  <c r="AY76" i="3"/>
  <c r="AW54" i="1"/>
  <c r="AW76" i="1"/>
  <c r="M28" i="2"/>
  <c r="AZ67" i="3"/>
  <c r="AW63" i="1"/>
  <c r="AW67" i="1"/>
  <c r="M25" i="2"/>
  <c r="AZ89" i="3"/>
  <c r="AX83" i="3"/>
  <c r="AX82" i="3"/>
  <c r="AY83" i="3"/>
  <c r="AY82" i="3"/>
  <c r="M29" i="2"/>
  <c r="AW65" i="6"/>
  <c r="AW54" i="6"/>
  <c r="AW70" i="6"/>
  <c r="AW75" i="6"/>
  <c r="AW66" i="6"/>
  <c r="H54" i="11"/>
  <c r="D54" i="11"/>
  <c r="C57" i="11"/>
  <c r="K57" i="11"/>
  <c r="AZ80" i="3"/>
  <c r="AY77" i="3"/>
  <c r="AZ77" i="3"/>
  <c r="AW77" i="1"/>
  <c r="M26" i="2"/>
  <c r="H62" i="11"/>
  <c r="C60" i="11"/>
  <c r="W50" i="11"/>
  <c r="W51" i="11" s="1"/>
  <c r="W52" i="11" s="1"/>
  <c r="W53" i="11" s="1"/>
  <c r="W54" i="11" s="1"/>
  <c r="W55" i="11" s="1"/>
  <c r="W56" i="11" s="1"/>
  <c r="W57" i="11" s="1"/>
  <c r="W58" i="11" s="1"/>
  <c r="W59" i="11" s="1"/>
  <c r="W60" i="11" s="1"/>
  <c r="W61" i="11" s="1"/>
  <c r="W62" i="11" s="1"/>
  <c r="W63" i="11" s="1"/>
  <c r="W64" i="11" s="1"/>
  <c r="W65" i="11" s="1"/>
  <c r="W66" i="11" s="1"/>
  <c r="W67" i="11" s="1"/>
  <c r="W68" i="11" s="1"/>
  <c r="W69" i="11" s="1"/>
  <c r="W70" i="11" s="1"/>
  <c r="W71" i="11" s="1"/>
  <c r="W72" i="11" s="1"/>
  <c r="W73" i="11" s="1"/>
  <c r="W74" i="11" s="1"/>
  <c r="W75" i="11" s="1"/>
  <c r="W76" i="11" s="1"/>
  <c r="W77" i="11" s="1"/>
  <c r="W78" i="11" s="1"/>
  <c r="W79" i="11" s="1"/>
  <c r="W80" i="11" s="1"/>
  <c r="W81" i="11" s="1"/>
  <c r="W82" i="11" s="1"/>
  <c r="W83" i="11" s="1"/>
  <c r="W84" i="11" s="1"/>
  <c r="W85" i="11" s="1"/>
  <c r="W86" i="11" s="1"/>
  <c r="W87" i="11" s="1"/>
  <c r="W88" i="11" s="1"/>
  <c r="W89" i="11" s="1"/>
  <c r="W90" i="11" s="1"/>
  <c r="W91" i="11" s="1"/>
  <c r="W92" i="11" s="1"/>
  <c r="W93" i="11" s="1"/>
  <c r="W94" i="11" s="1"/>
  <c r="W95" i="11" s="1"/>
  <c r="W96" i="11" s="1"/>
  <c r="W97" i="11" s="1"/>
  <c r="W98" i="11" s="1"/>
  <c r="W99" i="11" s="1"/>
  <c r="W100" i="11" s="1"/>
  <c r="W101" i="11" s="1"/>
  <c r="W102" i="11" s="1"/>
  <c r="W103" i="11" s="1"/>
  <c r="W104" i="11" s="1"/>
  <c r="W105" i="11" s="1"/>
  <c r="W106" i="11" s="1"/>
  <c r="W107" i="11" s="1"/>
  <c r="W108" i="11" s="1"/>
  <c r="W109" i="11" s="1"/>
  <c r="W110" i="11" s="1"/>
  <c r="W111" i="11" s="1"/>
  <c r="W112" i="11" s="1"/>
  <c r="W113" i="11" s="1"/>
  <c r="W114" i="11" s="1"/>
  <c r="W115" i="11" s="1"/>
  <c r="W116" i="11" s="1"/>
  <c r="W117" i="11" s="1"/>
  <c r="W118" i="11" s="1"/>
  <c r="W119" i="11" s="1"/>
  <c r="W120" i="11" s="1"/>
  <c r="W121" i="11" s="1"/>
  <c r="W122" i="11" s="1"/>
  <c r="W123" i="11" s="1"/>
  <c r="W124" i="11" s="1"/>
  <c r="W125" i="11" s="1"/>
  <c r="W126" i="11" s="1"/>
  <c r="W127" i="11" s="1"/>
  <c r="W128" i="11" s="1"/>
  <c r="W129" i="11" s="1"/>
  <c r="W130" i="11" s="1"/>
  <c r="W131" i="11" s="1"/>
  <c r="W132" i="11" s="1"/>
  <c r="W133" i="11" s="1"/>
  <c r="W134" i="11" s="1"/>
  <c r="W135" i="11" s="1"/>
  <c r="W136" i="11" s="1"/>
  <c r="W137" i="11" s="1"/>
  <c r="W138" i="11" s="1"/>
  <c r="W139" i="11" s="1"/>
  <c r="W140" i="11" s="1"/>
  <c r="W141" i="11" s="1"/>
  <c r="W142" i="11" s="1"/>
  <c r="W143" i="11" s="1"/>
  <c r="W144" i="11" s="1"/>
  <c r="W145" i="11" s="1"/>
  <c r="W146" i="11" s="1"/>
  <c r="W147" i="11" s="1"/>
  <c r="W148" i="11" s="1"/>
  <c r="W149" i="11" s="1"/>
  <c r="W150" i="11" s="1"/>
  <c r="W151" i="11" s="1"/>
  <c r="W152" i="11" s="1"/>
  <c r="W153" i="11" s="1"/>
  <c r="W154" i="11" s="1"/>
  <c r="W155" i="11" s="1"/>
  <c r="W156" i="11" s="1"/>
  <c r="W157" i="11" s="1"/>
  <c r="W158" i="11" s="1"/>
  <c r="W159" i="11" s="1"/>
  <c r="W160" i="11" s="1"/>
  <c r="W161" i="11" s="1"/>
  <c r="W162" i="11" s="1"/>
  <c r="W163" i="11" s="1"/>
  <c r="W164" i="11" s="1"/>
  <c r="W165" i="11" s="1"/>
  <c r="W166" i="11" s="1"/>
  <c r="W167" i="11" s="1"/>
  <c r="W168" i="11" s="1"/>
  <c r="W169" i="11" s="1"/>
  <c r="W170" i="11" s="1"/>
  <c r="W171" i="11" s="1"/>
  <c r="W172" i="11" s="1"/>
  <c r="W173" i="11" s="1"/>
  <c r="W174" i="11" s="1"/>
  <c r="W175" i="11" s="1"/>
  <c r="W176" i="11" s="1"/>
  <c r="U50" i="11"/>
  <c r="U51" i="11" s="1"/>
  <c r="X50" i="11"/>
  <c r="X51" i="11" s="1"/>
  <c r="X52" i="11" s="1"/>
  <c r="X53" i="11" s="1"/>
  <c r="X54" i="11" s="1"/>
  <c r="X55" i="11" s="1"/>
  <c r="X56" i="11" s="1"/>
  <c r="X57" i="11" s="1"/>
  <c r="X58" i="11" s="1"/>
  <c r="X59" i="11" s="1"/>
  <c r="X60" i="11" s="1"/>
  <c r="X61" i="11" s="1"/>
  <c r="X62" i="11" s="1"/>
  <c r="X63" i="11" s="1"/>
  <c r="X64" i="11" s="1"/>
  <c r="X65" i="11" s="1"/>
  <c r="X66" i="11" s="1"/>
  <c r="X67" i="11" s="1"/>
  <c r="X68" i="11" s="1"/>
  <c r="X69" i="11" s="1"/>
  <c r="X70" i="11" s="1"/>
  <c r="X71" i="11" s="1"/>
  <c r="X72" i="11" s="1"/>
  <c r="X73" i="11" s="1"/>
  <c r="AW55" i="1"/>
  <c r="AW58" i="1"/>
  <c r="M22" i="2"/>
  <c r="M24" i="2"/>
  <c r="AW62" i="1"/>
  <c r="AW68" i="1"/>
  <c r="BI15" i="6"/>
  <c r="BJ17" i="6"/>
  <c r="BI17" i="6"/>
  <c r="BJ19" i="6"/>
  <c r="BJ15" i="6"/>
  <c r="BI19" i="6"/>
  <c r="B28" i="11" l="1"/>
  <c r="Q29" i="11"/>
  <c r="BK29" i="6"/>
  <c r="BK17" i="6"/>
  <c r="BK31" i="6"/>
  <c r="BK19" i="6"/>
  <c r="U52" i="11"/>
  <c r="BK27" i="6"/>
  <c r="R56" i="11"/>
  <c r="BK15" i="6"/>
  <c r="BA54" i="3"/>
  <c r="B29" i="11" l="1"/>
  <c r="Q30" i="11"/>
  <c r="AY54" i="3"/>
  <c r="AX54" i="3"/>
  <c r="U53" i="11"/>
  <c r="R57" i="11"/>
  <c r="BA55" i="3"/>
  <c r="B30" i="11" l="1"/>
  <c r="Q31" i="11"/>
  <c r="AY55" i="3"/>
  <c r="AX55" i="3"/>
  <c r="R58" i="11"/>
  <c r="U54" i="11"/>
  <c r="BA56" i="3"/>
  <c r="B31" i="11" l="1"/>
  <c r="Q32" i="11"/>
  <c r="AY56" i="3"/>
  <c r="AX56" i="3"/>
  <c r="U55" i="11"/>
  <c r="R59" i="11"/>
  <c r="R60" i="11" s="1"/>
  <c r="R61" i="11" s="1"/>
  <c r="R62" i="11" s="1"/>
  <c r="R63" i="11" s="1"/>
  <c r="R64" i="11" s="1"/>
  <c r="R65" i="11" s="1"/>
  <c r="R66" i="11" s="1"/>
  <c r="R67" i="11" s="1"/>
  <c r="R68" i="11" s="1"/>
  <c r="R69" i="11" s="1"/>
  <c r="R70" i="11" s="1"/>
  <c r="R71" i="11" s="1"/>
  <c r="R72" i="11" s="1"/>
  <c r="R73" i="11" s="1"/>
  <c r="R74" i="11" s="1"/>
  <c r="R75" i="11" s="1"/>
  <c r="R76" i="11" s="1"/>
  <c r="R77" i="11" s="1"/>
  <c r="R78" i="11" s="1"/>
  <c r="R79" i="11" s="1"/>
  <c r="R80" i="11" s="1"/>
  <c r="R81" i="11" s="1"/>
  <c r="R82" i="11" s="1"/>
  <c r="R83" i="11" s="1"/>
  <c r="R84" i="11" s="1"/>
  <c r="R85" i="11" s="1"/>
  <c r="R86" i="11" s="1"/>
  <c r="R87" i="11" s="1"/>
  <c r="R88" i="11" s="1"/>
  <c r="R89" i="11" s="1"/>
  <c r="R90" i="11" s="1"/>
  <c r="R91" i="11" s="1"/>
  <c r="R92" i="11" s="1"/>
  <c r="R93" i="11" s="1"/>
  <c r="R94" i="11" s="1"/>
  <c r="R95" i="11" s="1"/>
  <c r="R96" i="11" s="1"/>
  <c r="R97" i="11" s="1"/>
  <c r="R98" i="11" s="1"/>
  <c r="R99" i="11" s="1"/>
  <c r="R100" i="11" s="1"/>
  <c r="R101" i="11" s="1"/>
  <c r="R102" i="11" s="1"/>
  <c r="R103" i="11" s="1"/>
  <c r="R104" i="11" s="1"/>
  <c r="R105" i="11" s="1"/>
  <c r="R106" i="11" s="1"/>
  <c r="R107" i="11" s="1"/>
  <c r="R108" i="11" s="1"/>
  <c r="R109" i="11" s="1"/>
  <c r="R110" i="11" s="1"/>
  <c r="R111" i="11" s="1"/>
  <c r="R112" i="11" s="1"/>
  <c r="R113" i="11" s="1"/>
  <c r="R114" i="11" s="1"/>
  <c r="R115" i="11" s="1"/>
  <c r="R116" i="11" s="1"/>
  <c r="R117" i="11" s="1"/>
  <c r="R118" i="11" s="1"/>
  <c r="R119" i="11" s="1"/>
  <c r="R120" i="11" s="1"/>
  <c r="R121" i="11" s="1"/>
  <c r="R122" i="11" s="1"/>
  <c r="R123" i="11" s="1"/>
  <c r="R124" i="11" s="1"/>
  <c r="R125" i="11" s="1"/>
  <c r="R126" i="11" s="1"/>
  <c r="R127" i="11" s="1"/>
  <c r="R128" i="11" s="1"/>
  <c r="R129" i="11" s="1"/>
  <c r="R130" i="11" s="1"/>
  <c r="R131" i="11" s="1"/>
  <c r="R132" i="11" s="1"/>
  <c r="R133" i="11" s="1"/>
  <c r="R134" i="11" s="1"/>
  <c r="R135" i="11" s="1"/>
  <c r="R136" i="11" s="1"/>
  <c r="R137" i="11" s="1"/>
  <c r="R138" i="11" s="1"/>
  <c r="R139" i="11" s="1"/>
  <c r="R140" i="11" s="1"/>
  <c r="R141" i="11" s="1"/>
  <c r="R142" i="11" s="1"/>
  <c r="R143" i="11" s="1"/>
  <c r="R144" i="11" s="1"/>
  <c r="R145" i="11" s="1"/>
  <c r="R146" i="11" s="1"/>
  <c r="R147" i="11" s="1"/>
  <c r="R148" i="11" s="1"/>
  <c r="R149" i="11" s="1"/>
  <c r="R150" i="11" s="1"/>
  <c r="R151" i="11" s="1"/>
  <c r="R152" i="11" s="1"/>
  <c r="R153" i="11" s="1"/>
  <c r="R154" i="11" s="1"/>
  <c r="R155" i="11" s="1"/>
  <c r="R156" i="11" s="1"/>
  <c r="R157" i="11" s="1"/>
  <c r="R158" i="11" s="1"/>
  <c r="R159" i="11" s="1"/>
  <c r="R160" i="11" s="1"/>
  <c r="R161" i="11" s="1"/>
  <c r="R162" i="11" s="1"/>
  <c r="R163" i="11" s="1"/>
  <c r="R164" i="11" s="1"/>
  <c r="R165" i="11" s="1"/>
  <c r="R166" i="11" s="1"/>
  <c r="R167" i="11" s="1"/>
  <c r="R168" i="11" s="1"/>
  <c r="R169" i="11" s="1"/>
  <c r="R170" i="11" s="1"/>
  <c r="R171" i="11" s="1"/>
  <c r="R172" i="11" s="1"/>
  <c r="R173" i="11" s="1"/>
  <c r="R174" i="11" s="1"/>
  <c r="R175" i="11" s="1"/>
  <c r="R176" i="11" s="1"/>
  <c r="BA98" i="3"/>
  <c r="BA57" i="3"/>
  <c r="B32" i="11" l="1"/>
  <c r="Q33" i="11"/>
  <c r="AY57" i="3"/>
  <c r="AX98" i="3"/>
  <c r="U56" i="11"/>
  <c r="AX57" i="3"/>
  <c r="BA58" i="3"/>
  <c r="B33" i="11" l="1"/>
  <c r="Q34" i="11"/>
  <c r="AX58" i="3"/>
  <c r="U57" i="11"/>
  <c r="AY58" i="3"/>
  <c r="BA59" i="3"/>
  <c r="B34" i="11" l="1"/>
  <c r="Q35" i="11"/>
  <c r="AY59" i="3"/>
  <c r="U58" i="11"/>
  <c r="AX59" i="3"/>
  <c r="BA60" i="3"/>
  <c r="B35" i="11" l="1"/>
  <c r="Q36" i="11"/>
  <c r="AY60" i="3"/>
  <c r="U59" i="11"/>
  <c r="U60" i="11" s="1"/>
  <c r="U61" i="11" s="1"/>
  <c r="U62" i="11" s="1"/>
  <c r="U63" i="11" s="1"/>
  <c r="U64" i="11" s="1"/>
  <c r="U65" i="11" s="1"/>
  <c r="U66" i="11" s="1"/>
  <c r="U67" i="11" s="1"/>
  <c r="U68" i="11" s="1"/>
  <c r="U69" i="11" s="1"/>
  <c r="U70" i="11" s="1"/>
  <c r="U71" i="11" s="1"/>
  <c r="U72" i="11" s="1"/>
  <c r="U73" i="11" s="1"/>
  <c r="AX60" i="3"/>
  <c r="BA61" i="3"/>
  <c r="B36" i="11" l="1"/>
  <c r="Q37" i="11"/>
  <c r="AX61" i="3"/>
  <c r="AZ102" i="3"/>
  <c r="AY61" i="3"/>
  <c r="BA62" i="3"/>
  <c r="B37" i="11" l="1"/>
  <c r="Q38" i="11"/>
  <c r="AX62" i="3"/>
  <c r="AY62" i="3"/>
  <c r="BA63" i="3"/>
  <c r="B38" i="11" l="1"/>
  <c r="Q39" i="11"/>
  <c r="AY63" i="3"/>
  <c r="AX63" i="3"/>
  <c r="BA64" i="3"/>
  <c r="B39" i="11" l="1"/>
  <c r="Q40" i="11"/>
  <c r="AX64" i="3"/>
  <c r="AY64" i="3"/>
  <c r="BA65" i="3"/>
  <c r="B40" i="11" l="1"/>
  <c r="Q41" i="11"/>
  <c r="AX65" i="3"/>
  <c r="AY65" i="3"/>
  <c r="BA107" i="3"/>
  <c r="BA66" i="3"/>
  <c r="B41" i="11" l="1"/>
  <c r="Q42" i="11"/>
  <c r="AY66" i="3"/>
  <c r="AX107" i="3"/>
  <c r="AX66" i="3"/>
  <c r="BA67" i="3"/>
  <c r="BA108" i="3"/>
  <c r="B42" i="11" l="1"/>
  <c r="Q43" i="11"/>
  <c r="AX67" i="3"/>
  <c r="AX108" i="3"/>
  <c r="AY67" i="3"/>
  <c r="BA68" i="3"/>
  <c r="BA109" i="3"/>
  <c r="Q44" i="11" l="1"/>
  <c r="B43" i="11"/>
  <c r="AX68" i="3"/>
  <c r="AY109" i="3"/>
  <c r="AY68" i="3"/>
  <c r="AX109" i="3"/>
  <c r="BA110" i="3"/>
  <c r="BA69" i="3"/>
  <c r="Q45" i="11" l="1"/>
  <c r="B44" i="11"/>
  <c r="AX110" i="3"/>
  <c r="AX69" i="3"/>
  <c r="AY69" i="3"/>
  <c r="BA70" i="3"/>
  <c r="BA111" i="3"/>
  <c r="B45" i="11" l="1"/>
  <c r="Q46" i="11"/>
  <c r="AZ111" i="3"/>
  <c r="AX111" i="3"/>
  <c r="AX70" i="3"/>
  <c r="AZ70" i="3"/>
  <c r="AY111" i="3"/>
  <c r="AY70" i="3"/>
  <c r="BA112" i="3"/>
  <c r="BA71" i="3"/>
  <c r="B46" i="11" l="1"/>
  <c r="Q47" i="11"/>
  <c r="AX112" i="3"/>
  <c r="AZ71" i="3"/>
  <c r="AY71" i="3"/>
  <c r="AX71" i="3"/>
  <c r="AY112" i="3"/>
  <c r="BA113" i="3"/>
  <c r="BA72" i="3"/>
  <c r="B47" i="11" l="1"/>
  <c r="Q48" i="11"/>
  <c r="AX113" i="3"/>
  <c r="AY113" i="3"/>
  <c r="AX72" i="3"/>
  <c r="AZ72" i="3"/>
  <c r="AY72" i="3"/>
  <c r="AZ113" i="3"/>
  <c r="BA73" i="3"/>
  <c r="BA114" i="3"/>
  <c r="B48" i="11" l="1"/>
  <c r="Q49" i="11"/>
  <c r="AZ114" i="3"/>
  <c r="AX114" i="3"/>
  <c r="AX73" i="3"/>
  <c r="AZ73" i="3"/>
  <c r="AY73" i="3"/>
  <c r="AY114" i="3"/>
  <c r="BA74" i="3"/>
  <c r="BA115" i="3"/>
  <c r="B49" i="11" l="1"/>
  <c r="Q50" i="11"/>
  <c r="AX74" i="3"/>
  <c r="AY74" i="3"/>
  <c r="AZ74" i="3"/>
  <c r="AX115" i="3"/>
  <c r="BA116" i="3"/>
  <c r="BA75" i="3"/>
  <c r="B50" i="11" l="1"/>
  <c r="Q51" i="11"/>
  <c r="AY116" i="3"/>
  <c r="AX75" i="3"/>
  <c r="AX116" i="3"/>
  <c r="AY75" i="3"/>
  <c r="BG73" i="3" a="1"/>
  <c r="BG74" i="3" a="1"/>
  <c r="BG70" i="3" a="1"/>
  <c r="BG55" i="3" a="1"/>
  <c r="BA117" i="3"/>
  <c r="BG58" i="3" a="1"/>
  <c r="BG62" i="3" a="1"/>
  <c r="B51" i="11" l="1"/>
  <c r="Q52" i="11"/>
  <c r="BG74" i="3"/>
  <c r="BB74" i="3" s="1"/>
  <c r="BG62" i="3"/>
  <c r="BB62" i="3" s="1"/>
  <c r="AX117" i="3"/>
  <c r="BG73" i="3"/>
  <c r="BB73" i="3" s="1"/>
  <c r="BG55" i="3"/>
  <c r="BB55" i="3" s="1"/>
  <c r="BG58" i="3"/>
  <c r="BB58" i="3" s="1"/>
  <c r="BG70" i="3"/>
  <c r="BB70" i="3" s="1"/>
  <c r="AZ117" i="3"/>
  <c r="AY117" i="3"/>
  <c r="BG66" i="3" a="1"/>
  <c r="BA118" i="3"/>
  <c r="B52" i="11" l="1"/>
  <c r="Q53" i="11"/>
  <c r="BG66" i="3"/>
  <c r="BB66" i="3" s="1"/>
  <c r="AZ118" i="3"/>
  <c r="AX118" i="3"/>
  <c r="AY118" i="3"/>
  <c r="BA119" i="3"/>
  <c r="BG71" i="3" a="1"/>
  <c r="B53" i="11" l="1"/>
  <c r="Q54" i="11"/>
  <c r="BG71" i="3"/>
  <c r="BB71" i="3" s="1"/>
  <c r="AX119" i="3"/>
  <c r="AY119" i="3"/>
  <c r="AZ119" i="3"/>
  <c r="BG64" i="3" a="1"/>
  <c r="BA120" i="3"/>
  <c r="B54" i="11" l="1"/>
  <c r="Q55" i="11"/>
  <c r="AX120" i="3"/>
  <c r="BG64" i="3"/>
  <c r="BB64" i="3" s="1"/>
  <c r="BG61" i="3" a="1"/>
  <c r="BA121" i="3"/>
  <c r="B55" i="11" l="1"/>
  <c r="Q56" i="11"/>
  <c r="BG61" i="3"/>
  <c r="BB61" i="3" s="1"/>
  <c r="AZ121" i="3"/>
  <c r="AX121" i="3"/>
  <c r="AY121" i="3"/>
  <c r="BA122" i="3"/>
  <c r="B56" i="11" l="1"/>
  <c r="Q57" i="11"/>
  <c r="AY122" i="3"/>
  <c r="AX122" i="3"/>
  <c r="AZ122" i="3"/>
  <c r="BG59" i="3" a="1"/>
  <c r="BA123" i="3"/>
  <c r="B57" i="11" l="1"/>
  <c r="Q58" i="11"/>
  <c r="BG59" i="3"/>
  <c r="BB59" i="3" s="1"/>
  <c r="AZ123" i="3"/>
  <c r="AY123" i="3"/>
  <c r="AX123" i="3"/>
  <c r="BG75" i="3" a="1"/>
  <c r="BA124" i="3"/>
  <c r="B58" i="11" l="1"/>
  <c r="Q59" i="11"/>
  <c r="BG75" i="3"/>
  <c r="BB75" i="3" s="1"/>
  <c r="AY124" i="3"/>
  <c r="AZ124" i="3"/>
  <c r="AX124" i="3"/>
  <c r="BG57" i="3" a="1"/>
  <c r="BG56" i="3" a="1"/>
  <c r="BG69" i="3" a="1"/>
  <c r="BG63" i="3" a="1"/>
  <c r="BG68" i="3" a="1"/>
  <c r="BA125" i="3"/>
  <c r="B59" i="11" l="1"/>
  <c r="Q60" i="11"/>
  <c r="BG63" i="3"/>
  <c r="BB63" i="3" s="1"/>
  <c r="BG68" i="3"/>
  <c r="BB68" i="3" s="1"/>
  <c r="AZ125" i="3"/>
  <c r="BG69" i="3"/>
  <c r="BB69" i="3" s="1"/>
  <c r="BG57" i="3"/>
  <c r="BB57" i="3" s="1"/>
  <c r="BG56" i="3"/>
  <c r="BB56" i="3" s="1"/>
  <c r="AX125" i="3"/>
  <c r="AY125" i="3"/>
  <c r="BG72" i="3" a="1"/>
  <c r="BA126" i="3"/>
  <c r="Q61" i="11" l="1"/>
  <c r="B60" i="11"/>
  <c r="BG72" i="3"/>
  <c r="BB72" i="3" s="1"/>
  <c r="AY126" i="3"/>
  <c r="AX126" i="3"/>
  <c r="AZ126" i="3"/>
  <c r="BA127" i="3"/>
  <c r="BG67" i="3" a="1"/>
  <c r="Q62" i="11" l="1"/>
  <c r="B61" i="11"/>
  <c r="BG67" i="3"/>
  <c r="BB67" i="3" s="1"/>
  <c r="AZ127" i="3"/>
  <c r="AX127" i="3"/>
  <c r="AY127" i="3"/>
  <c r="BA128" i="3"/>
  <c r="BG60" i="3" a="1"/>
  <c r="Q63" i="11" l="1"/>
  <c r="B62" i="11"/>
  <c r="BG60" i="3"/>
  <c r="BB60" i="3" s="1"/>
  <c r="AY128" i="3"/>
  <c r="AZ128" i="3"/>
  <c r="AX128" i="3"/>
  <c r="BG54" i="3" a="1"/>
  <c r="BG65" i="3" a="1"/>
  <c r="BA129" i="3"/>
  <c r="Q64" i="11" l="1"/>
  <c r="B63" i="11"/>
  <c r="BG65" i="3"/>
  <c r="BB65" i="3" s="1"/>
  <c r="AY129" i="3"/>
  <c r="BG54" i="3"/>
  <c r="BB54" i="3" s="1"/>
  <c r="AZ129" i="3"/>
  <c r="AX129" i="3"/>
  <c r="BA130" i="3"/>
  <c r="Q65" i="11" l="1"/>
  <c r="B64" i="11"/>
  <c r="AY130" i="3"/>
  <c r="AX130" i="3"/>
  <c r="BA131" i="3"/>
  <c r="B65" i="11" l="1"/>
  <c r="Q66" i="11"/>
  <c r="AZ131" i="3"/>
  <c r="AX131" i="3"/>
  <c r="AY131" i="3"/>
  <c r="AX132" i="3"/>
  <c r="AY132" i="3"/>
  <c r="AZ132" i="3"/>
  <c r="AX133" i="3"/>
  <c r="AY133" i="3"/>
  <c r="AZ133" i="3"/>
  <c r="AZ134" i="3"/>
  <c r="AY134" i="3"/>
  <c r="AX134" i="3"/>
  <c r="AX135" i="3"/>
  <c r="AZ135" i="3"/>
  <c r="AY135" i="3"/>
  <c r="AZ136" i="3"/>
  <c r="AY136" i="3"/>
  <c r="AX136" i="3"/>
  <c r="AX137" i="3"/>
  <c r="AZ137" i="3"/>
  <c r="AY137" i="3"/>
  <c r="AZ138" i="3"/>
  <c r="AY138" i="3"/>
  <c r="AX138" i="3"/>
  <c r="AZ139" i="3"/>
  <c r="AX139" i="3"/>
  <c r="AY139" i="3"/>
  <c r="AY140" i="3"/>
  <c r="AZ140" i="3"/>
  <c r="AX140" i="3"/>
  <c r="AX141" i="3"/>
  <c r="AZ141" i="3"/>
  <c r="AY141" i="3"/>
  <c r="AX142" i="3"/>
  <c r="AY142" i="3"/>
  <c r="AZ142" i="3"/>
  <c r="AX143" i="3"/>
  <c r="AY143" i="3"/>
  <c r="AZ143" i="3"/>
  <c r="AZ144" i="3"/>
  <c r="AY144" i="3"/>
  <c r="AX144" i="3"/>
  <c r="AY145" i="3"/>
  <c r="AX145" i="3"/>
  <c r="AZ145" i="3"/>
  <c r="AX146" i="3"/>
  <c r="AY147" i="3"/>
  <c r="AZ147" i="3"/>
  <c r="AX147" i="3"/>
  <c r="AX148" i="3"/>
  <c r="AZ148" i="3"/>
  <c r="AY148" i="3"/>
  <c r="AX149" i="3"/>
  <c r="AZ149" i="3"/>
  <c r="AY149" i="3"/>
  <c r="AZ150" i="3"/>
  <c r="AY150" i="3"/>
  <c r="AX150" i="3"/>
  <c r="BJ31" i="6"/>
  <c r="BJ43" i="6"/>
  <c r="BI43" i="6" s="1"/>
  <c r="AZ151" i="3"/>
  <c r="AY151" i="3"/>
  <c r="AX151" i="3"/>
  <c r="AX152" i="3"/>
  <c r="AX153" i="3"/>
  <c r="AZ153" i="3"/>
  <c r="AY153" i="3"/>
  <c r="AX154" i="3"/>
  <c r="AZ154" i="3"/>
  <c r="AY154" i="3"/>
  <c r="AZ155" i="3"/>
  <c r="BK41" i="6"/>
  <c r="AX155" i="3"/>
  <c r="AY155" i="3"/>
  <c r="BJ41" i="6"/>
  <c r="AZ156" i="3"/>
  <c r="BJ29" i="6"/>
  <c r="AX156" i="3"/>
  <c r="AY156" i="3"/>
  <c r="AY157" i="3"/>
  <c r="BC81" i="3"/>
  <c r="AX81" i="1" s="1"/>
  <c r="AX157" i="3"/>
  <c r="AZ157" i="3"/>
  <c r="AZ100" i="3"/>
  <c r="AZ103" i="3"/>
  <c r="AY98" i="3"/>
  <c r="AZ99" i="3"/>
  <c r="AZ152" i="3"/>
  <c r="AZ112" i="3"/>
  <c r="AY115" i="3"/>
  <c r="AZ130" i="3"/>
  <c r="J74" i="11"/>
  <c r="C79" i="11"/>
  <c r="G77" i="11"/>
  <c r="M31" i="2"/>
  <c r="M34" i="2"/>
  <c r="AW86" i="1"/>
  <c r="AW92" i="6"/>
  <c r="AW89" i="1"/>
  <c r="AY89" i="3"/>
  <c r="AY91" i="3"/>
  <c r="AY92" i="3"/>
  <c r="AY93" i="3"/>
  <c r="V74" i="11"/>
  <c r="V75" i="11" s="1"/>
  <c r="V76" i="11" s="1"/>
  <c r="V77" i="11" s="1"/>
  <c r="V78" i="11" s="1"/>
  <c r="V79" i="11" s="1"/>
  <c r="V80" i="11" s="1"/>
  <c r="V81" i="11" s="1"/>
  <c r="V82" i="11" s="1"/>
  <c r="V83" i="11" s="1"/>
  <c r="V84" i="11" s="1"/>
  <c r="V85" i="11" s="1"/>
  <c r="V86" i="11" s="1"/>
  <c r="V87" i="11" s="1"/>
  <c r="V88" i="11" s="1"/>
  <c r="V89" i="11" s="1"/>
  <c r="V90" i="11" s="1"/>
  <c r="V91" i="11" s="1"/>
  <c r="V92" i="11" s="1"/>
  <c r="V93" i="11" s="1"/>
  <c r="V94" i="11" s="1"/>
  <c r="V95" i="11" s="1"/>
  <c r="V96" i="11" s="1"/>
  <c r="V97" i="11" s="1"/>
  <c r="V98" i="11" s="1"/>
  <c r="V99" i="11" s="1"/>
  <c r="V100" i="11" s="1"/>
  <c r="V101" i="11" s="1"/>
  <c r="V102" i="11" s="1"/>
  <c r="V103" i="11" s="1"/>
  <c r="V104" i="11" s="1"/>
  <c r="V105" i="11" s="1"/>
  <c r="V106" i="11" s="1"/>
  <c r="V107" i="11" s="1"/>
  <c r="V108" i="11" s="1"/>
  <c r="V109" i="11" s="1"/>
  <c r="V110" i="11" s="1"/>
  <c r="V111" i="11" s="1"/>
  <c r="V112" i="11" s="1"/>
  <c r="V113" i="11" s="1"/>
  <c r="V114" i="11" s="1"/>
  <c r="V115" i="11" s="1"/>
  <c r="V116" i="11" s="1"/>
  <c r="V117" i="11" s="1"/>
  <c r="V118" i="11" s="1"/>
  <c r="V119" i="11" s="1"/>
  <c r="V120" i="11" s="1"/>
  <c r="V121" i="11" s="1"/>
  <c r="V122" i="11" s="1"/>
  <c r="V123" i="11" s="1"/>
  <c r="V124" i="11" s="1"/>
  <c r="V125" i="11" s="1"/>
  <c r="V126" i="11" s="1"/>
  <c r="V127" i="11" s="1"/>
  <c r="V128" i="11" s="1"/>
  <c r="V129" i="11" s="1"/>
  <c r="V130" i="11" s="1"/>
  <c r="V131" i="11" s="1"/>
  <c r="V132" i="11" s="1"/>
  <c r="V133" i="11" s="1"/>
  <c r="V134" i="11" s="1"/>
  <c r="V135" i="11" s="1"/>
  <c r="V136" i="11" s="1"/>
  <c r="V137" i="11" s="1"/>
  <c r="V138" i="11" s="1"/>
  <c r="V139" i="11" s="1"/>
  <c r="V140" i="11" s="1"/>
  <c r="V141" i="11" s="1"/>
  <c r="V142" i="11" s="1"/>
  <c r="V143" i="11" s="1"/>
  <c r="V144" i="11" s="1"/>
  <c r="V145" i="11" s="1"/>
  <c r="V146" i="11" s="1"/>
  <c r="V147" i="11" s="1"/>
  <c r="V148" i="11" s="1"/>
  <c r="V149" i="11" s="1"/>
  <c r="V150" i="11" s="1"/>
  <c r="V151" i="11" s="1"/>
  <c r="V152" i="11" s="1"/>
  <c r="V153" i="11" s="1"/>
  <c r="V154" i="11" s="1"/>
  <c r="V155" i="11" s="1"/>
  <c r="V156" i="11" s="1"/>
  <c r="V157" i="11" s="1"/>
  <c r="V158" i="11" s="1"/>
  <c r="V159" i="11" s="1"/>
  <c r="V160" i="11" s="1"/>
  <c r="V161" i="11" s="1"/>
  <c r="V162" i="11" s="1"/>
  <c r="V163" i="11" s="1"/>
  <c r="V164" i="11" s="1"/>
  <c r="V165" i="11" s="1"/>
  <c r="V166" i="11" s="1"/>
  <c r="V167" i="11" s="1"/>
  <c r="V168" i="11" s="1"/>
  <c r="V169" i="11" s="1"/>
  <c r="V170" i="11" s="1"/>
  <c r="V171" i="11" s="1"/>
  <c r="V172" i="11" s="1"/>
  <c r="V173" i="11" s="1"/>
  <c r="V174" i="11" s="1"/>
  <c r="V175" i="11" s="1"/>
  <c r="V176" i="11" s="1"/>
  <c r="AZ94" i="3"/>
  <c r="AY95" i="3"/>
  <c r="U74" i="11"/>
  <c r="U75" i="11" s="1"/>
  <c r="U76" i="11" s="1"/>
  <c r="AZ98" i="3"/>
  <c r="AZ146" i="3"/>
  <c r="AX99" i="3"/>
  <c r="AZ110" i="3"/>
  <c r="AZ115" i="3"/>
  <c r="AY97" i="3"/>
  <c r="AX96" i="3"/>
  <c r="AW92" i="1"/>
  <c r="AW91" i="6"/>
  <c r="AW89" i="6"/>
  <c r="M33" i="2"/>
  <c r="AW90" i="6"/>
  <c r="AW87" i="6"/>
  <c r="AX88" i="3"/>
  <c r="AX89" i="3"/>
  <c r="AZ91" i="3"/>
  <c r="AX92" i="3"/>
  <c r="AY87" i="3"/>
  <c r="AY86" i="3"/>
  <c r="AY94" i="3"/>
  <c r="AZ96" i="3"/>
  <c r="X74" i="11"/>
  <c r="X75" i="11" s="1"/>
  <c r="X76" i="11" s="1"/>
  <c r="X77" i="11" s="1"/>
  <c r="X78" i="11" s="1"/>
  <c r="X79" i="11" s="1"/>
  <c r="X80" i="11" s="1"/>
  <c r="X81" i="11" s="1"/>
  <c r="X82" i="11" s="1"/>
  <c r="X83" i="11" s="1"/>
  <c r="X84" i="11" s="1"/>
  <c r="X85" i="11" s="1"/>
  <c r="X86" i="11" s="1"/>
  <c r="X87" i="11" s="1"/>
  <c r="X88" i="11" s="1"/>
  <c r="X89" i="11" s="1"/>
  <c r="AX100" i="3"/>
  <c r="AZ101" i="3"/>
  <c r="AY146" i="3"/>
  <c r="AY99" i="3"/>
  <c r="AY110" i="3"/>
  <c r="AZ120" i="3"/>
  <c r="AX97" i="3"/>
  <c r="BJ30" i="6" s="1"/>
  <c r="J77" i="11"/>
  <c r="G79" i="11"/>
  <c r="AW91" i="1"/>
  <c r="H77" i="11"/>
  <c r="AW85" i="6"/>
  <c r="AW85" i="1"/>
  <c r="AW87" i="1"/>
  <c r="AW88" i="6"/>
  <c r="AX90" i="3"/>
  <c r="AX91" i="3"/>
  <c r="AX87" i="3"/>
  <c r="AY85" i="3"/>
  <c r="AZ93" i="3"/>
  <c r="AX94" i="3"/>
  <c r="AY96" i="3"/>
  <c r="AX85" i="3"/>
  <c r="AZ95" i="3"/>
  <c r="AY100" i="3"/>
  <c r="AY152" i="3"/>
  <c r="AZ116" i="3"/>
  <c r="AY120" i="3"/>
  <c r="G74" i="11"/>
  <c r="AX95" i="3"/>
  <c r="M35" i="2"/>
  <c r="AW90" i="1"/>
  <c r="AY88" i="3"/>
  <c r="AX86" i="3"/>
  <c r="AW88" i="1"/>
  <c r="H74" i="11"/>
  <c r="AW86" i="6"/>
  <c r="AY90" i="3"/>
  <c r="AZ92" i="3"/>
  <c r="AX93" i="3"/>
  <c r="AZ97" i="3"/>
  <c r="BK42" i="6" s="1"/>
  <c r="BK39" i="6"/>
  <c r="BJ27" i="6"/>
  <c r="BJ39" i="6"/>
  <c r="BA141" i="3"/>
  <c r="BA100" i="3"/>
  <c r="BA80" i="3"/>
  <c r="BJ18" i="6"/>
  <c r="BG90" i="3" a="1"/>
  <c r="BA137" i="3"/>
  <c r="BA99" i="3"/>
  <c r="BG81" i="3" a="1"/>
  <c r="BA90" i="3"/>
  <c r="BA149" i="3"/>
  <c r="BA82" i="3"/>
  <c r="BG99" i="3" a="1"/>
  <c r="BA86" i="3"/>
  <c r="BJ20" i="6"/>
  <c r="BA93" i="3"/>
  <c r="BA148" i="3"/>
  <c r="BG96" i="3" a="1"/>
  <c r="BG95" i="3" a="1"/>
  <c r="BA78" i="3"/>
  <c r="BG86" i="3" a="1"/>
  <c r="BA155" i="3"/>
  <c r="BA88" i="3"/>
  <c r="BA94" i="3"/>
  <c r="BA135" i="3"/>
  <c r="BA132" i="3"/>
  <c r="BA145" i="3"/>
  <c r="BJ14" i="6"/>
  <c r="BA142" i="3"/>
  <c r="BA138" i="3"/>
  <c r="BA92" i="3"/>
  <c r="BA81" i="3"/>
  <c r="BG82" i="3" a="1"/>
  <c r="BA151" i="3"/>
  <c r="BA79" i="3"/>
  <c r="BG91" i="3" a="1"/>
  <c r="BA139" i="3"/>
  <c r="BA97" i="3"/>
  <c r="BG79" i="3" a="1"/>
  <c r="BF81" i="3"/>
  <c r="BA89" i="3"/>
  <c r="BA91" i="3"/>
  <c r="BA156" i="3"/>
  <c r="BG84" i="3" a="1"/>
  <c r="BA144" i="3"/>
  <c r="BA147" i="3"/>
  <c r="BA146" i="3"/>
  <c r="BG98" i="3" a="1"/>
  <c r="BA96" i="3"/>
  <c r="BI18" i="6"/>
  <c r="BA153" i="3"/>
  <c r="BG94" i="3" a="1"/>
  <c r="BA154" i="3"/>
  <c r="BG78" i="3" a="1"/>
  <c r="BA143" i="3"/>
  <c r="BA152" i="3"/>
  <c r="BA84" i="3"/>
  <c r="BA140" i="3"/>
  <c r="BG88" i="3" a="1"/>
  <c r="BA157" i="3"/>
  <c r="BG97" i="3" a="1"/>
  <c r="BG100" i="3" a="1"/>
  <c r="BG93" i="3" a="1"/>
  <c r="BG77" i="3" a="1"/>
  <c r="BA83" i="3"/>
  <c r="BA133" i="3"/>
  <c r="BG89" i="3" a="1"/>
  <c r="BA95" i="3"/>
  <c r="BG80" i="3" a="1"/>
  <c r="BG76" i="3" a="1"/>
  <c r="BA87" i="3"/>
  <c r="BA150" i="3"/>
  <c r="BA136" i="3"/>
  <c r="BA85" i="3"/>
  <c r="BA134" i="3"/>
  <c r="BJ16" i="6"/>
  <c r="BG83" i="3" a="1"/>
  <c r="BJ42" i="6" l="1"/>
  <c r="BI42" i="6" s="1"/>
  <c r="BK30" i="6"/>
  <c r="BD81" i="3"/>
  <c r="AX81" i="6"/>
  <c r="BK18" i="6"/>
  <c r="BG84" i="3"/>
  <c r="BB84" i="3" s="1"/>
  <c r="BG80" i="3"/>
  <c r="BB80" i="3" s="1"/>
  <c r="BG77" i="3"/>
  <c r="BB77" i="3" s="1"/>
  <c r="BG82" i="3"/>
  <c r="BB82" i="3" s="1"/>
  <c r="BG76" i="3"/>
  <c r="BB76" i="3" s="1"/>
  <c r="BG83" i="3"/>
  <c r="BB83" i="3" s="1"/>
  <c r="BJ21" i="6"/>
  <c r="BG79" i="3"/>
  <c r="BB79" i="3" s="1"/>
  <c r="BG78" i="3"/>
  <c r="BB78" i="3" s="1"/>
  <c r="BG81" i="3"/>
  <c r="BB81" i="3" s="1"/>
  <c r="BI41" i="6"/>
  <c r="Q67" i="11"/>
  <c r="B66" i="11"/>
  <c r="BI39" i="6"/>
  <c r="U77" i="11"/>
  <c r="U78" i="11" s="1"/>
  <c r="U79" i="11" s="1"/>
  <c r="U80" i="11" s="1"/>
  <c r="U81" i="11" s="1"/>
  <c r="U82" i="11" s="1"/>
  <c r="U83" i="11" s="1"/>
  <c r="U84" i="11" s="1"/>
  <c r="U85" i="11" s="1"/>
  <c r="U86" i="11" s="1"/>
  <c r="U87" i="11" s="1"/>
  <c r="U88" i="11" s="1"/>
  <c r="U89" i="11" s="1"/>
  <c r="BG94" i="3"/>
  <c r="BB94" i="3" s="1"/>
  <c r="BG95" i="3"/>
  <c r="BB95" i="3" s="1"/>
  <c r="BG86" i="3"/>
  <c r="BB86" i="3" s="1"/>
  <c r="BG90" i="3"/>
  <c r="BB90" i="3" s="1"/>
  <c r="BG99" i="3"/>
  <c r="BB99" i="3" s="1"/>
  <c r="BG96" i="3"/>
  <c r="BB96" i="3" s="1"/>
  <c r="BG100" i="3"/>
  <c r="BB100" i="3" s="1"/>
  <c r="BG97" i="3"/>
  <c r="BB97" i="3" s="1"/>
  <c r="BG89" i="3"/>
  <c r="BB89" i="3" s="1"/>
  <c r="BG98" i="3"/>
  <c r="BB98" i="3" s="1"/>
  <c r="BG91" i="3"/>
  <c r="BB91" i="3" s="1"/>
  <c r="BG93" i="3"/>
  <c r="BB93" i="3" s="1"/>
  <c r="BG88" i="3"/>
  <c r="BB88" i="3" s="1"/>
  <c r="BG87" i="3" a="1"/>
  <c r="B67" i="11" l="1"/>
  <c r="Q68" i="11"/>
  <c r="P5" i="2" a="1"/>
  <c r="P5" i="2" s="1"/>
  <c r="BB39" i="6" s="1"/>
  <c r="BC155" i="3"/>
  <c r="AX155" i="1" s="1"/>
  <c r="BC123" i="3"/>
  <c r="AX123" i="1" s="1"/>
  <c r="BC140" i="3"/>
  <c r="AX140" i="1" s="1"/>
  <c r="BC118" i="3"/>
  <c r="AX118" i="1" s="1"/>
  <c r="BG87" i="3"/>
  <c r="BB87" i="3" s="1"/>
  <c r="BC129" i="3"/>
  <c r="AX129" i="1" s="1"/>
  <c r="BC148" i="3"/>
  <c r="AX148" i="1" s="1"/>
  <c r="BC133" i="3"/>
  <c r="AX133" i="1" s="1"/>
  <c r="BC150" i="3"/>
  <c r="AX150" i="1" s="1"/>
  <c r="BC122" i="3"/>
  <c r="AX122" i="1" s="1"/>
  <c r="BC137" i="3"/>
  <c r="AX137" i="1" s="1"/>
  <c r="BC157" i="3"/>
  <c r="AX157" i="1" s="1"/>
  <c r="BC144" i="3"/>
  <c r="AX144" i="1" s="1"/>
  <c r="BC135" i="3"/>
  <c r="AX135" i="1" s="1"/>
  <c r="BC141" i="3"/>
  <c r="AX141" i="1" s="1"/>
  <c r="BC111" i="3"/>
  <c r="AX111" i="1" s="1"/>
  <c r="BC138" i="3"/>
  <c r="AX138" i="1" s="1"/>
  <c r="BC154" i="3"/>
  <c r="AX154" i="1" s="1"/>
  <c r="BC147" i="3"/>
  <c r="AX147" i="1" s="1"/>
  <c r="BC139" i="3"/>
  <c r="AX139" i="1" s="1"/>
  <c r="BC125" i="3"/>
  <c r="AX125" i="1" s="1"/>
  <c r="BC128" i="3"/>
  <c r="AX128" i="1" s="1"/>
  <c r="BC117" i="3"/>
  <c r="AX117" i="1" s="1"/>
  <c r="BC142" i="3"/>
  <c r="AX142" i="1" s="1"/>
  <c r="BC114" i="3"/>
  <c r="AX114" i="1" s="1"/>
  <c r="BC121" i="3"/>
  <c r="AX121" i="1" s="1"/>
  <c r="BC112" i="3"/>
  <c r="AX112" i="1" s="1"/>
  <c r="BC119" i="3"/>
  <c r="AX119" i="1" s="1"/>
  <c r="BC113" i="3"/>
  <c r="AX113" i="1" s="1"/>
  <c r="BC131" i="3"/>
  <c r="AX131" i="1" s="1"/>
  <c r="BC126" i="3"/>
  <c r="AX126" i="1" s="1"/>
  <c r="BC136" i="3"/>
  <c r="AX136" i="1" s="1"/>
  <c r="P9" i="2" a="1"/>
  <c r="P9" i="2" s="1"/>
  <c r="BB42" i="6" s="1"/>
  <c r="BC130" i="3"/>
  <c r="AX130" i="6" s="1"/>
  <c r="BC115" i="3"/>
  <c r="AX115" i="1" s="1"/>
  <c r="BC149" i="3"/>
  <c r="AX149" i="6" s="1"/>
  <c r="BC156" i="3"/>
  <c r="AX156" i="1" s="1"/>
  <c r="BC120" i="3"/>
  <c r="AX120" i="1" s="1"/>
  <c r="BC145" i="3"/>
  <c r="AX145" i="1" s="1"/>
  <c r="BC132" i="3"/>
  <c r="AX132" i="1" s="1"/>
  <c r="BC151" i="3"/>
  <c r="AX151" i="1" s="1"/>
  <c r="BE126" i="3"/>
  <c r="BC127" i="3"/>
  <c r="AX127" i="1" s="1"/>
  <c r="BC134" i="3"/>
  <c r="AX134" i="1" s="1"/>
  <c r="BC146" i="3"/>
  <c r="BC143" i="3"/>
  <c r="AX143" i="1" s="1"/>
  <c r="BC116" i="3"/>
  <c r="AX116" i="1" s="1"/>
  <c r="BC152" i="3"/>
  <c r="AX152" i="1" s="1"/>
  <c r="BC153" i="3"/>
  <c r="AX153" i="1" s="1"/>
  <c r="BC124" i="3"/>
  <c r="AX124" i="1" s="1"/>
  <c r="BF143" i="3"/>
  <c r="BF144" i="3"/>
  <c r="BF115" i="3"/>
  <c r="BF141" i="3"/>
  <c r="BF150" i="3"/>
  <c r="BF124" i="3"/>
  <c r="BF137" i="3"/>
  <c r="BF157" i="3"/>
  <c r="BF117" i="3"/>
  <c r="BF138" i="3"/>
  <c r="BF128" i="3"/>
  <c r="BF147" i="3"/>
  <c r="BF145" i="3"/>
  <c r="BF113" i="3"/>
  <c r="BF148" i="3"/>
  <c r="BF122" i="3"/>
  <c r="BF135" i="3"/>
  <c r="BF123" i="3"/>
  <c r="BF140" i="3"/>
  <c r="BF120" i="3"/>
  <c r="BF127" i="3"/>
  <c r="BG85" i="3" a="1"/>
  <c r="BF142" i="3"/>
  <c r="BF155" i="3"/>
  <c r="BF112" i="3"/>
  <c r="BI16" i="6"/>
  <c r="BF116" i="3"/>
  <c r="BF130" i="3"/>
  <c r="BF125" i="3"/>
  <c r="BF126" i="3"/>
  <c r="BF121" i="3"/>
  <c r="BF118" i="3"/>
  <c r="BF132" i="3"/>
  <c r="BF133" i="3"/>
  <c r="BF136" i="3"/>
  <c r="BG92" i="3" a="1"/>
  <c r="BF152" i="3"/>
  <c r="BF149" i="3"/>
  <c r="BF119" i="3"/>
  <c r="BF131" i="3"/>
  <c r="BF151" i="3"/>
  <c r="BF153" i="3"/>
  <c r="BF114" i="3"/>
  <c r="BF134" i="3"/>
  <c r="BF156" i="3"/>
  <c r="BF129" i="3"/>
  <c r="BA101" i="3"/>
  <c r="BF146" i="3"/>
  <c r="BF154" i="3"/>
  <c r="BF139" i="3"/>
  <c r="BD146" i="3" l="1"/>
  <c r="BE134" i="3"/>
  <c r="BD123" i="3"/>
  <c r="BD112" i="3"/>
  <c r="AX156" i="6"/>
  <c r="AX151" i="6"/>
  <c r="AX136" i="6"/>
  <c r="BE116" i="3"/>
  <c r="AX125" i="6"/>
  <c r="BD135" i="3"/>
  <c r="BE125" i="3"/>
  <c r="AX143" i="6"/>
  <c r="AX120" i="6"/>
  <c r="BE156" i="3"/>
  <c r="BD114" i="3"/>
  <c r="BE131" i="3"/>
  <c r="BE147" i="3"/>
  <c r="AX134" i="6"/>
  <c r="BD154" i="3"/>
  <c r="BE146" i="3"/>
  <c r="BE139" i="3"/>
  <c r="AX152" i="6"/>
  <c r="BD130" i="3"/>
  <c r="BD143" i="3"/>
  <c r="BD136" i="3"/>
  <c r="BD152" i="3"/>
  <c r="BE138" i="3"/>
  <c r="BD127" i="3"/>
  <c r="AX130" i="1"/>
  <c r="BC29" i="3"/>
  <c r="AX29" i="1" s="1"/>
  <c r="AX149" i="1"/>
  <c r="BC73" i="3"/>
  <c r="AX73" i="6" s="1"/>
  <c r="BC87" i="3"/>
  <c r="BB30" i="6"/>
  <c r="BC41" i="3"/>
  <c r="BD137" i="3"/>
  <c r="AX131" i="6"/>
  <c r="AX116" i="6"/>
  <c r="BD122" i="3"/>
  <c r="AX124" i="6"/>
  <c r="BE137" i="3"/>
  <c r="BD155" i="3"/>
  <c r="BE132" i="3"/>
  <c r="BE129" i="3"/>
  <c r="BE143" i="3"/>
  <c r="BD129" i="3"/>
  <c r="BE118" i="3"/>
  <c r="BD120" i="3"/>
  <c r="AX126" i="6"/>
  <c r="BD124" i="3"/>
  <c r="BD134" i="3"/>
  <c r="BE130" i="3"/>
  <c r="BD125" i="3"/>
  <c r="AX146" i="6"/>
  <c r="BE128" i="3"/>
  <c r="BE153" i="3"/>
  <c r="BD115" i="3"/>
  <c r="BD119" i="3"/>
  <c r="BE122" i="3"/>
  <c r="BD117" i="3"/>
  <c r="BE149" i="3"/>
  <c r="BE150" i="3"/>
  <c r="AX146" i="1"/>
  <c r="BE124" i="3"/>
  <c r="BE145" i="3"/>
  <c r="BD151" i="3"/>
  <c r="BD150" i="3"/>
  <c r="AX115" i="6"/>
  <c r="BE144" i="3"/>
  <c r="AX139" i="6"/>
  <c r="BD139" i="3"/>
  <c r="BD138" i="3"/>
  <c r="BE133" i="3"/>
  <c r="AX142" i="6"/>
  <c r="BD142" i="3"/>
  <c r="BE121" i="3"/>
  <c r="BD153" i="3"/>
  <c r="BE115" i="3"/>
  <c r="BE148" i="3"/>
  <c r="AX127" i="6"/>
  <c r="BE152" i="3"/>
  <c r="BD147" i="3"/>
  <c r="BD128" i="3"/>
  <c r="BD148" i="3"/>
  <c r="BD145" i="3"/>
  <c r="BD144" i="3"/>
  <c r="BD156" i="3"/>
  <c r="BD157" i="3"/>
  <c r="BD131" i="3"/>
  <c r="BC97" i="3"/>
  <c r="AX97" i="1" s="1"/>
  <c r="BE142" i="3"/>
  <c r="BC39" i="3"/>
  <c r="AX154" i="6"/>
  <c r="BD149" i="3"/>
  <c r="BD132" i="3"/>
  <c r="BE135" i="3"/>
  <c r="BE140" i="3"/>
  <c r="BC60" i="3"/>
  <c r="BD113" i="3"/>
  <c r="AX113" i="6"/>
  <c r="BE141" i="3"/>
  <c r="BE127" i="3"/>
  <c r="BD133" i="3"/>
  <c r="AX121" i="6"/>
  <c r="AX117" i="6"/>
  <c r="BE151" i="3"/>
  <c r="BE154" i="3"/>
  <c r="BD121" i="3"/>
  <c r="AX132" i="6"/>
  <c r="BE123" i="3"/>
  <c r="BC94" i="3"/>
  <c r="AX94" i="1" s="1"/>
  <c r="BB18" i="6"/>
  <c r="BC65" i="3"/>
  <c r="AX145" i="6"/>
  <c r="AX119" i="6"/>
  <c r="BD126" i="3"/>
  <c r="AX150" i="6"/>
  <c r="BE136" i="3"/>
  <c r="BE119" i="3"/>
  <c r="BC71" i="3"/>
  <c r="BC89" i="3"/>
  <c r="BE117" i="3"/>
  <c r="BD141" i="3"/>
  <c r="AX112" i="6"/>
  <c r="AX123" i="6"/>
  <c r="AX137" i="6"/>
  <c r="AX122" i="6"/>
  <c r="AX148" i="6"/>
  <c r="AX129" i="6"/>
  <c r="AX135" i="6"/>
  <c r="AX118" i="6"/>
  <c r="AX141" i="6"/>
  <c r="BC27" i="3"/>
  <c r="BD140" i="3"/>
  <c r="AX153" i="6"/>
  <c r="BE155" i="3"/>
  <c r="BE157" i="3"/>
  <c r="BD116" i="3"/>
  <c r="BE120" i="3"/>
  <c r="BC47" i="3"/>
  <c r="BC57" i="3"/>
  <c r="AX140" i="6"/>
  <c r="BC66" i="3"/>
  <c r="BC15" i="3"/>
  <c r="BC31" i="3"/>
  <c r="AX144" i="6"/>
  <c r="AX138" i="6"/>
  <c r="BC24" i="3"/>
  <c r="AX114" i="6"/>
  <c r="BC54" i="3"/>
  <c r="AX128" i="6"/>
  <c r="BC58" i="3"/>
  <c r="AX147" i="6"/>
  <c r="AX155" i="6"/>
  <c r="BB27" i="6"/>
  <c r="BG92" i="3"/>
  <c r="BB92" i="3" s="1"/>
  <c r="BG85" i="3"/>
  <c r="BB85" i="3" s="1"/>
  <c r="BB15" i="6"/>
  <c r="BD118" i="3"/>
  <c r="BC9" i="3"/>
  <c r="AX133" i="6"/>
  <c r="BC49" i="3"/>
  <c r="BC46" i="3"/>
  <c r="Q69" i="11"/>
  <c r="B68" i="11"/>
  <c r="BC50" i="3"/>
  <c r="AX157" i="6"/>
  <c r="BC20" i="3"/>
  <c r="AX111" i="6"/>
  <c r="BK16" i="6"/>
  <c r="BK28" i="6"/>
  <c r="AX101" i="3"/>
  <c r="AY101" i="3"/>
  <c r="P10" i="2" a="1"/>
  <c r="P10" i="2" s="1"/>
  <c r="BC44" i="3" s="1"/>
  <c r="BD44" i="3" s="1"/>
  <c r="P12" i="2" a="1"/>
  <c r="P12" i="2" s="1"/>
  <c r="BC59" i="3" s="1"/>
  <c r="P7" i="2" a="1"/>
  <c r="P7" i="2" s="1"/>
  <c r="BC11" i="3" s="1"/>
  <c r="AX11" i="6" s="1"/>
  <c r="P6" i="2" a="1"/>
  <c r="P6" i="2" s="1"/>
  <c r="BC53" i="3" s="1"/>
  <c r="BF11" i="3"/>
  <c r="BF94" i="3"/>
  <c r="BF58" i="3"/>
  <c r="BF111" i="3"/>
  <c r="BF66" i="3"/>
  <c r="BF31" i="3"/>
  <c r="BF47" i="3"/>
  <c r="BF65" i="3"/>
  <c r="BF46" i="3"/>
  <c r="BF97" i="3"/>
  <c r="BF60" i="3"/>
  <c r="BF89" i="3"/>
  <c r="BF27" i="3"/>
  <c r="BF41" i="3"/>
  <c r="BF49" i="3"/>
  <c r="BF44" i="3"/>
  <c r="BF73" i="3"/>
  <c r="BF29" i="3"/>
  <c r="BF39" i="3"/>
  <c r="BF59" i="3"/>
  <c r="BF54" i="3"/>
  <c r="BF50" i="3"/>
  <c r="BG101" i="3" a="1"/>
  <c r="BF71" i="3"/>
  <c r="BF15" i="3"/>
  <c r="BF24" i="3"/>
  <c r="BF57" i="3"/>
  <c r="BF87" i="3"/>
  <c r="BF20" i="3"/>
  <c r="AX97" i="6" l="1"/>
  <c r="AX29" i="6"/>
  <c r="BD89" i="3"/>
  <c r="AX73" i="1"/>
  <c r="BE97" i="3"/>
  <c r="BE42" i="6" s="1"/>
  <c r="AX87" i="6"/>
  <c r="AX87" i="1"/>
  <c r="AX41" i="6"/>
  <c r="AX41" i="1"/>
  <c r="AX39" i="6"/>
  <c r="AX39" i="1"/>
  <c r="BE60" i="3"/>
  <c r="BD41" i="3"/>
  <c r="AX60" i="6"/>
  <c r="AX60" i="1"/>
  <c r="AX44" i="6"/>
  <c r="AX94" i="6"/>
  <c r="AX65" i="6"/>
  <c r="AX65" i="1"/>
  <c r="AX89" i="6"/>
  <c r="BD97" i="3"/>
  <c r="BD94" i="3"/>
  <c r="AX89" i="1"/>
  <c r="BD87" i="3"/>
  <c r="BD71" i="3"/>
  <c r="BD73" i="3"/>
  <c r="AX71" i="6"/>
  <c r="BE89" i="3"/>
  <c r="BE94" i="3"/>
  <c r="AX71" i="1"/>
  <c r="BC32" i="3"/>
  <c r="AX32" i="6" s="1"/>
  <c r="AX31" i="6"/>
  <c r="AX31" i="1"/>
  <c r="AX57" i="1"/>
  <c r="AX57" i="6"/>
  <c r="AX27" i="6"/>
  <c r="AX27" i="1"/>
  <c r="AX15" i="1"/>
  <c r="AX15" i="6"/>
  <c r="AX47" i="6"/>
  <c r="AX47" i="1"/>
  <c r="AX66" i="6"/>
  <c r="AX66" i="1"/>
  <c r="BD65" i="3"/>
  <c r="BE73" i="3"/>
  <c r="BE71" i="3"/>
  <c r="BE87" i="3"/>
  <c r="AX58" i="1"/>
  <c r="BD60" i="3"/>
  <c r="BD58" i="3"/>
  <c r="AX58" i="6"/>
  <c r="AX24" i="1"/>
  <c r="AX24" i="6"/>
  <c r="BD24" i="3"/>
  <c r="BD29" i="3"/>
  <c r="BE41" i="3"/>
  <c r="BE58" i="3"/>
  <c r="BE54" i="3"/>
  <c r="BD39" i="3"/>
  <c r="BB19" i="6"/>
  <c r="AX54" i="1"/>
  <c r="BD54" i="3"/>
  <c r="AX54" i="6"/>
  <c r="BE65" i="3"/>
  <c r="BC80" i="3"/>
  <c r="BC68" i="3"/>
  <c r="BG101" i="3"/>
  <c r="BB101" i="3" s="1"/>
  <c r="AX59" i="6"/>
  <c r="BD59" i="3"/>
  <c r="BE80" i="3"/>
  <c r="AX59" i="1"/>
  <c r="AX53" i="1"/>
  <c r="AX53" i="6"/>
  <c r="BC18" i="3"/>
  <c r="BB43" i="6"/>
  <c r="BC10" i="3"/>
  <c r="BC75" i="3"/>
  <c r="BB29" i="6"/>
  <c r="AX50" i="1"/>
  <c r="AX50" i="6"/>
  <c r="BD66" i="3"/>
  <c r="BD57" i="3"/>
  <c r="BD50" i="3"/>
  <c r="AX49" i="6"/>
  <c r="BE66" i="3"/>
  <c r="BE39" i="6" s="1"/>
  <c r="BD49" i="3"/>
  <c r="AX49" i="1"/>
  <c r="AX11" i="1"/>
  <c r="BC64" i="3"/>
  <c r="BB31" i="6"/>
  <c r="AX44" i="1"/>
  <c r="BB41" i="6"/>
  <c r="BC42" i="3"/>
  <c r="BC38" i="3"/>
  <c r="BD11" i="3"/>
  <c r="BB17" i="6"/>
  <c r="AX20" i="6"/>
  <c r="AX20" i="1"/>
  <c r="BD20" i="3"/>
  <c r="BE49" i="3"/>
  <c r="BE47" i="3"/>
  <c r="BD31" i="3"/>
  <c r="BD27" i="3"/>
  <c r="BE46" i="3"/>
  <c r="Q70" i="11"/>
  <c r="B69" i="11"/>
  <c r="BE27" i="3"/>
  <c r="AX9" i="6"/>
  <c r="AX9" i="1"/>
  <c r="BD9" i="3"/>
  <c r="BE31" i="3"/>
  <c r="BD15" i="3"/>
  <c r="AX46" i="6"/>
  <c r="BD46" i="3"/>
  <c r="BD47" i="3"/>
  <c r="AX46" i="1"/>
  <c r="BE57" i="3"/>
  <c r="BE50" i="3"/>
  <c r="BD111" i="3"/>
  <c r="BE114" i="3"/>
  <c r="BF80" i="3"/>
  <c r="BF68" i="3"/>
  <c r="BF53" i="3"/>
  <c r="BA102" i="3"/>
  <c r="BF64" i="3"/>
  <c r="BD18" i="6"/>
  <c r="BF38" i="3"/>
  <c r="BC18" i="6"/>
  <c r="BF18" i="3"/>
  <c r="BD15" i="6"/>
  <c r="BF10" i="3"/>
  <c r="BF42" i="3"/>
  <c r="BC15" i="6"/>
  <c r="BF75" i="3"/>
  <c r="BF32" i="3"/>
  <c r="AX32" i="1" l="1"/>
  <c r="BE53" i="3"/>
  <c r="BD30" i="6"/>
  <c r="BD42" i="6"/>
  <c r="BC42" i="6" s="1"/>
  <c r="BE18" i="6"/>
  <c r="BE43" i="6"/>
  <c r="AX80" i="6"/>
  <c r="AX80" i="1"/>
  <c r="BE30" i="6"/>
  <c r="AX68" i="6"/>
  <c r="AX68" i="1"/>
  <c r="BD68" i="3"/>
  <c r="BE15" i="6"/>
  <c r="B70" i="11"/>
  <c r="Q71" i="11"/>
  <c r="AX10" i="6"/>
  <c r="BD10" i="3"/>
  <c r="BE38" i="3"/>
  <c r="AX10" i="1"/>
  <c r="AX42" i="1"/>
  <c r="AX42" i="6"/>
  <c r="BD42" i="3"/>
  <c r="AX64" i="6"/>
  <c r="BD64" i="3"/>
  <c r="AX64" i="1"/>
  <c r="AX18" i="1"/>
  <c r="BE42" i="3"/>
  <c r="BD18" i="3"/>
  <c r="AX18" i="6"/>
  <c r="BD32" i="3"/>
  <c r="AX38" i="1"/>
  <c r="AX38" i="6"/>
  <c r="BE64" i="3"/>
  <c r="BE41" i="6" s="1"/>
  <c r="BD38" i="3"/>
  <c r="BD27" i="6"/>
  <c r="BD39" i="6"/>
  <c r="BC39" i="6" s="1"/>
  <c r="AX75" i="6"/>
  <c r="BD80" i="3"/>
  <c r="AX75" i="1"/>
  <c r="BD75" i="3"/>
  <c r="BD53" i="3"/>
  <c r="AX102" i="3"/>
  <c r="BJ44" i="6" s="1"/>
  <c r="AY102" i="3"/>
  <c r="X90" i="11"/>
  <c r="X91" i="11" s="1"/>
  <c r="X92" i="11" s="1"/>
  <c r="X93" i="11" s="1"/>
  <c r="X94" i="11" s="1"/>
  <c r="X95" i="11" s="1"/>
  <c r="X96" i="11" s="1"/>
  <c r="X97" i="11" s="1"/>
  <c r="X98" i="11" s="1"/>
  <c r="X99" i="11" s="1"/>
  <c r="X100" i="11" s="1"/>
  <c r="X101" i="11" s="1"/>
  <c r="X102" i="11" s="1"/>
  <c r="X103" i="11" s="1"/>
  <c r="X104" i="11" s="1"/>
  <c r="X105" i="11" s="1"/>
  <c r="X106" i="11" s="1"/>
  <c r="X107" i="11" s="1"/>
  <c r="X108" i="11" s="1"/>
  <c r="X109" i="11" s="1"/>
  <c r="X110" i="11" s="1"/>
  <c r="X111" i="11" s="1"/>
  <c r="X112" i="11" s="1"/>
  <c r="X113" i="11" s="1"/>
  <c r="X114" i="11" s="1"/>
  <c r="X115" i="11" s="1"/>
  <c r="X116" i="11" s="1"/>
  <c r="X117" i="11" s="1"/>
  <c r="X118" i="11" s="1"/>
  <c r="X119" i="11" s="1"/>
  <c r="X120" i="11" s="1"/>
  <c r="X121" i="11" s="1"/>
  <c r="X122" i="11" s="1"/>
  <c r="X123" i="11" s="1"/>
  <c r="X124" i="11" s="1"/>
  <c r="X125" i="11" s="1"/>
  <c r="X126" i="11" s="1"/>
  <c r="X127" i="11" s="1"/>
  <c r="X128" i="11" s="1"/>
  <c r="X129" i="11" s="1"/>
  <c r="X130" i="11" s="1"/>
  <c r="X131" i="11" s="1"/>
  <c r="X132" i="11" s="1"/>
  <c r="X133" i="11" s="1"/>
  <c r="X134" i="11" s="1"/>
  <c r="X135" i="11" s="1"/>
  <c r="X136" i="11" s="1"/>
  <c r="X137" i="11" s="1"/>
  <c r="X138" i="11" s="1"/>
  <c r="X139" i="11" s="1"/>
  <c r="X140" i="11" s="1"/>
  <c r="X141" i="11" s="1"/>
  <c r="X142" i="11" s="1"/>
  <c r="X143" i="11" s="1"/>
  <c r="X144" i="11" s="1"/>
  <c r="X145" i="11" s="1"/>
  <c r="X146" i="11" s="1"/>
  <c r="X147" i="11" s="1"/>
  <c r="X148" i="11" s="1"/>
  <c r="X149" i="11" s="1"/>
  <c r="X150" i="11" s="1"/>
  <c r="X151" i="11" s="1"/>
  <c r="X152" i="11" s="1"/>
  <c r="X153" i="11" s="1"/>
  <c r="X154" i="11" s="1"/>
  <c r="X155" i="11" s="1"/>
  <c r="X156" i="11" s="1"/>
  <c r="X157" i="11" s="1"/>
  <c r="X158" i="11" s="1"/>
  <c r="X159" i="11" s="1"/>
  <c r="X160" i="11" s="1"/>
  <c r="X161" i="11" s="1"/>
  <c r="X162" i="11" s="1"/>
  <c r="X163" i="11" s="1"/>
  <c r="X164" i="11" s="1"/>
  <c r="X165" i="11" s="1"/>
  <c r="X166" i="11" s="1"/>
  <c r="X167" i="11" s="1"/>
  <c r="X168" i="11" s="1"/>
  <c r="X169" i="11" s="1"/>
  <c r="X170" i="11" s="1"/>
  <c r="X171" i="11" s="1"/>
  <c r="X172" i="11" s="1"/>
  <c r="X173" i="11" s="1"/>
  <c r="X174" i="11" s="1"/>
  <c r="X175" i="11" s="1"/>
  <c r="X176" i="11" s="1"/>
  <c r="BK32" i="6"/>
  <c r="BI20" i="6"/>
  <c r="BD17" i="6"/>
  <c r="BC19" i="6"/>
  <c r="BC17" i="6"/>
  <c r="BD19" i="6"/>
  <c r="BG102" i="3" a="1"/>
  <c r="BE31" i="6" l="1"/>
  <c r="BK20" i="6"/>
  <c r="BE17" i="6"/>
  <c r="BE19" i="6"/>
  <c r="BG102" i="3"/>
  <c r="BB102" i="3" s="1"/>
  <c r="BD41" i="6"/>
  <c r="BC41" i="6" s="1"/>
  <c r="BD29" i="6"/>
  <c r="BE29" i="6"/>
  <c r="BD31" i="6"/>
  <c r="BD43" i="6"/>
  <c r="BC43" i="6" s="1"/>
  <c r="B71" i="11"/>
  <c r="Q72" i="11"/>
  <c r="BJ32" i="6"/>
  <c r="B72" i="11" l="1"/>
  <c r="Q73" i="11"/>
  <c r="U90" i="11"/>
  <c r="BI14" i="6"/>
  <c r="Q74" i="11" l="1"/>
  <c r="B73" i="11"/>
  <c r="BK14" i="6"/>
  <c r="BK21" i="6" s="1"/>
  <c r="BI21" i="6"/>
  <c r="BK26" i="6"/>
  <c r="BK33" i="6" s="1"/>
  <c r="U91" i="11"/>
  <c r="U92" i="11" s="1"/>
  <c r="U93" i="11" s="1"/>
  <c r="U94" i="11" s="1"/>
  <c r="U95" i="11" s="1"/>
  <c r="U96" i="11" s="1"/>
  <c r="U97" i="11" s="1"/>
  <c r="U98" i="11" s="1"/>
  <c r="U99" i="11" s="1"/>
  <c r="U100" i="11" s="1"/>
  <c r="U101" i="11" s="1"/>
  <c r="U102" i="11" s="1"/>
  <c r="U103" i="11" s="1"/>
  <c r="U104" i="11" s="1"/>
  <c r="U105" i="11" s="1"/>
  <c r="U106" i="11" s="1"/>
  <c r="U107" i="11" s="1"/>
  <c r="U108" i="11" s="1"/>
  <c r="U109" i="11" s="1"/>
  <c r="U110" i="11" s="1"/>
  <c r="U111" i="11" s="1"/>
  <c r="U112" i="11" s="1"/>
  <c r="U113" i="11" s="1"/>
  <c r="U114" i="11" s="1"/>
  <c r="U115" i="11" s="1"/>
  <c r="U116" i="11" s="1"/>
  <c r="U117" i="11" s="1"/>
  <c r="U118" i="11" s="1"/>
  <c r="U119" i="11" s="1"/>
  <c r="U120" i="11" s="1"/>
  <c r="U121" i="11" s="1"/>
  <c r="U122" i="11" s="1"/>
  <c r="U123" i="11" s="1"/>
  <c r="U124" i="11" s="1"/>
  <c r="U125" i="11" s="1"/>
  <c r="U126" i="11" s="1"/>
  <c r="U127" i="11" s="1"/>
  <c r="U128" i="11" s="1"/>
  <c r="U129" i="11" s="1"/>
  <c r="U130" i="11" s="1"/>
  <c r="U131" i="11" s="1"/>
  <c r="U132" i="11" s="1"/>
  <c r="U133" i="11" s="1"/>
  <c r="U134" i="11" s="1"/>
  <c r="U135" i="11" s="1"/>
  <c r="U136" i="11" s="1"/>
  <c r="U137" i="11" s="1"/>
  <c r="U138" i="11" s="1"/>
  <c r="U139" i="11" s="1"/>
  <c r="U140" i="11" s="1"/>
  <c r="U141" i="11" s="1"/>
  <c r="U142" i="11" s="1"/>
  <c r="U143" i="11" s="1"/>
  <c r="U144" i="11" s="1"/>
  <c r="U145" i="11" s="1"/>
  <c r="U146" i="11" s="1"/>
  <c r="U147" i="11" s="1"/>
  <c r="U148" i="11" s="1"/>
  <c r="U149" i="11" s="1"/>
  <c r="U150" i="11" s="1"/>
  <c r="U151" i="11" s="1"/>
  <c r="U152" i="11" s="1"/>
  <c r="U153" i="11" s="1"/>
  <c r="U154" i="11" s="1"/>
  <c r="U155" i="11" s="1"/>
  <c r="U156" i="11" s="1"/>
  <c r="U157" i="11" s="1"/>
  <c r="U158" i="11" s="1"/>
  <c r="U159" i="11" s="1"/>
  <c r="U160" i="11" s="1"/>
  <c r="U161" i="11" s="1"/>
  <c r="U162" i="11" s="1"/>
  <c r="U163" i="11" s="1"/>
  <c r="U164" i="11" s="1"/>
  <c r="U165" i="11" s="1"/>
  <c r="U166" i="11" s="1"/>
  <c r="U167" i="11" s="1"/>
  <c r="U168" i="11" s="1"/>
  <c r="U169" i="11" s="1"/>
  <c r="U170" i="11" s="1"/>
  <c r="U171" i="11" s="1"/>
  <c r="U172" i="11" s="1"/>
  <c r="U173" i="11" s="1"/>
  <c r="U174" i="11" s="1"/>
  <c r="U175" i="11" s="1"/>
  <c r="U176" i="11" s="1"/>
  <c r="AX103" i="3"/>
  <c r="AY103" i="3"/>
  <c r="BG103" i="3" a="1"/>
  <c r="BA103" i="3"/>
  <c r="Q75" i="11" l="1"/>
  <c r="B74" i="11"/>
  <c r="BG103" i="3"/>
  <c r="BB103" i="3" s="1"/>
  <c r="Q76" i="11" l="1"/>
  <c r="B75" i="11"/>
  <c r="Q77" i="11" l="1"/>
  <c r="B76" i="11"/>
  <c r="Z90" i="11"/>
  <c r="BA106" i="3"/>
  <c r="Q78" i="11" l="1"/>
  <c r="B77" i="11"/>
  <c r="Z91" i="11"/>
  <c r="Z92" i="11" s="1"/>
  <c r="Z93" i="11" s="1"/>
  <c r="Z94" i="11" s="1"/>
  <c r="Z95" i="11" s="1"/>
  <c r="Z96" i="11" s="1"/>
  <c r="Z97" i="11" s="1"/>
  <c r="Z98" i="11" s="1"/>
  <c r="Z99" i="11" s="1"/>
  <c r="Z100" i="11" s="1"/>
  <c r="Z101" i="11" s="1"/>
  <c r="Z102" i="11" s="1"/>
  <c r="Z103" i="11" s="1"/>
  <c r="Z104" i="11" s="1"/>
  <c r="Z105" i="11" s="1"/>
  <c r="Z106" i="11" s="1"/>
  <c r="Z107" i="11" s="1"/>
  <c r="Z108" i="11" s="1"/>
  <c r="Z109" i="11" s="1"/>
  <c r="Z110" i="11" s="1"/>
  <c r="Z111" i="11" s="1"/>
  <c r="Z112" i="11" s="1"/>
  <c r="Z113" i="11" s="1"/>
  <c r="Z114" i="11" s="1"/>
  <c r="Z115" i="11" s="1"/>
  <c r="Z116" i="11" s="1"/>
  <c r="Z117" i="11" s="1"/>
  <c r="Z118" i="11" s="1"/>
  <c r="Z119" i="11" s="1"/>
  <c r="Z120" i="11" s="1"/>
  <c r="Z121" i="11" s="1"/>
  <c r="Z122" i="11" s="1"/>
  <c r="Z123" i="11" s="1"/>
  <c r="Z124" i="11" s="1"/>
  <c r="Z125" i="11" s="1"/>
  <c r="Z126" i="11" s="1"/>
  <c r="Z127" i="11" s="1"/>
  <c r="Z128" i="11" s="1"/>
  <c r="Z129" i="11" s="1"/>
  <c r="Z130" i="11" s="1"/>
  <c r="Z131" i="11" s="1"/>
  <c r="Z132" i="11" s="1"/>
  <c r="Z133" i="11" s="1"/>
  <c r="Z134" i="11" s="1"/>
  <c r="Z135" i="11" s="1"/>
  <c r="Z136" i="11" s="1"/>
  <c r="Z137" i="11" s="1"/>
  <c r="Z138" i="11" s="1"/>
  <c r="Z139" i="11" s="1"/>
  <c r="Z140" i="11" s="1"/>
  <c r="Z141" i="11" s="1"/>
  <c r="Z142" i="11" s="1"/>
  <c r="Z143" i="11" s="1"/>
  <c r="Z144" i="11" s="1"/>
  <c r="Z145" i="11" s="1"/>
  <c r="Z146" i="11" s="1"/>
  <c r="Z147" i="11" s="1"/>
  <c r="Z148" i="11" s="1"/>
  <c r="Z149" i="11" s="1"/>
  <c r="Z150" i="11" s="1"/>
  <c r="Z151" i="11" s="1"/>
  <c r="Z152" i="11" s="1"/>
  <c r="Z153" i="11" s="1"/>
  <c r="Z154" i="11" s="1"/>
  <c r="Z155" i="11" s="1"/>
  <c r="Z156" i="11" s="1"/>
  <c r="Z157" i="11" s="1"/>
  <c r="Z158" i="11" s="1"/>
  <c r="Z159" i="11" s="1"/>
  <c r="Z160" i="11" s="1"/>
  <c r="Z161" i="11" s="1"/>
  <c r="Z162" i="11" s="1"/>
  <c r="Z163" i="11" s="1"/>
  <c r="Z164" i="11" s="1"/>
  <c r="Z165" i="11" s="1"/>
  <c r="Z166" i="11" s="1"/>
  <c r="Z167" i="11" s="1"/>
  <c r="Z168" i="11" s="1"/>
  <c r="Z169" i="11" s="1"/>
  <c r="Z170" i="11" s="1"/>
  <c r="Z171" i="11" s="1"/>
  <c r="Z172" i="11" s="1"/>
  <c r="Z173" i="11" s="1"/>
  <c r="Z174" i="11" s="1"/>
  <c r="Z175" i="11" s="1"/>
  <c r="Z176" i="11" s="1"/>
  <c r="AY108" i="3"/>
  <c r="AX106" i="3"/>
  <c r="AZ109" i="3"/>
  <c r="BK38" i="6" s="1"/>
  <c r="BE27" i="6"/>
  <c r="AX105" i="3"/>
  <c r="AY106" i="3"/>
  <c r="AZ108" i="3"/>
  <c r="BK40" i="6" s="1"/>
  <c r="AX104" i="3"/>
  <c r="AY104" i="3"/>
  <c r="AY105" i="3"/>
  <c r="AZ107" i="3"/>
  <c r="BK44" i="6" s="1"/>
  <c r="AY107" i="3"/>
  <c r="BI30" i="6"/>
  <c r="BI28" i="6"/>
  <c r="BI31" i="6"/>
  <c r="BI26" i="6"/>
  <c r="BI29" i="6"/>
  <c r="BI27" i="6"/>
  <c r="BI32" i="6"/>
  <c r="BG111" i="3" a="1"/>
  <c r="BG131" i="3" a="1"/>
  <c r="BG152" i="3" a="1"/>
  <c r="BA105" i="3"/>
  <c r="BG108" i="3" a="1"/>
  <c r="BG118" i="3" a="1"/>
  <c r="BA104" i="3"/>
  <c r="BG126" i="3" a="1"/>
  <c r="BG139" i="3" a="1"/>
  <c r="BG112" i="3" a="1"/>
  <c r="BG114" i="3" a="1"/>
  <c r="BG107" i="3" a="1"/>
  <c r="BG153" i="3" a="1"/>
  <c r="BG119" i="3" a="1"/>
  <c r="BG149" i="3" a="1"/>
  <c r="BG140" i="3" a="1"/>
  <c r="BG109" i="3" a="1"/>
  <c r="BG145" i="3" a="1"/>
  <c r="BG123" i="3" a="1"/>
  <c r="BG132" i="3" a="1"/>
  <c r="BG110" i="3" a="1"/>
  <c r="BG143" i="3" a="1"/>
  <c r="BG117" i="3" a="1"/>
  <c r="BG115" i="3" a="1"/>
  <c r="BG156" i="3" a="1"/>
  <c r="BG113" i="3" a="1"/>
  <c r="BG105" i="3" a="1"/>
  <c r="BG155" i="3" a="1"/>
  <c r="BG151" i="3" a="1"/>
  <c r="BG136" i="3" a="1"/>
  <c r="BG157" i="3" a="1"/>
  <c r="BG142" i="3" a="1"/>
  <c r="BG133" i="3" a="1"/>
  <c r="BG122" i="3" a="1"/>
  <c r="BG144" i="3" a="1"/>
  <c r="BG127" i="3" a="1"/>
  <c r="BG148" i="3" a="1"/>
  <c r="BG104" i="3" a="1"/>
  <c r="BG147" i="3" a="1"/>
  <c r="BG116" i="3" a="1"/>
  <c r="BG134" i="3" a="1"/>
  <c r="BG137" i="3" a="1"/>
  <c r="BG129" i="3" a="1"/>
  <c r="BG128" i="3" a="1"/>
  <c r="BG146" i="3" a="1"/>
  <c r="BG154" i="3" a="1"/>
  <c r="BG106" i="3" a="1"/>
  <c r="BG138" i="3" a="1"/>
  <c r="BG135" i="3" a="1"/>
  <c r="BG124" i="3" a="1"/>
  <c r="BG121" i="3" a="1"/>
  <c r="BG130" i="3" a="1"/>
  <c r="BG141" i="3" a="1"/>
  <c r="BG150" i="3" a="1"/>
  <c r="BG125" i="3" a="1"/>
  <c r="BG120" i="3" a="1"/>
  <c r="BK45" i="6" l="1"/>
  <c r="BI44" i="6"/>
  <c r="BJ26" i="6"/>
  <c r="BJ38" i="6"/>
  <c r="BI38" i="6" s="1"/>
  <c r="BJ28" i="6"/>
  <c r="BJ40" i="6"/>
  <c r="BI33" i="6"/>
  <c r="BG145" i="3"/>
  <c r="BB145" i="3" s="1"/>
  <c r="BG110" i="3"/>
  <c r="BB110" i="3" s="1"/>
  <c r="BG151" i="3"/>
  <c r="BB151" i="3" s="1"/>
  <c r="BG144" i="3"/>
  <c r="BB144" i="3" s="1"/>
  <c r="BG117" i="3"/>
  <c r="BB117" i="3" s="1"/>
  <c r="BG135" i="3"/>
  <c r="BB135" i="3" s="1"/>
  <c r="BG119" i="3"/>
  <c r="BB119" i="3" s="1"/>
  <c r="BG121" i="3"/>
  <c r="BB121" i="3" s="1"/>
  <c r="BG112" i="3"/>
  <c r="BB112" i="3" s="1"/>
  <c r="BG114" i="3"/>
  <c r="BB114" i="3" s="1"/>
  <c r="BG150" i="3"/>
  <c r="BB150" i="3" s="1"/>
  <c r="BG143" i="3"/>
  <c r="BB143" i="3" s="1"/>
  <c r="BG133" i="3"/>
  <c r="BB133" i="3" s="1"/>
  <c r="BG142" i="3"/>
  <c r="BB142" i="3" s="1"/>
  <c r="BG113" i="3"/>
  <c r="BB113" i="3" s="1"/>
  <c r="BG124" i="3"/>
  <c r="BB124" i="3" s="1"/>
  <c r="BG111" i="3"/>
  <c r="BB111" i="3" s="1"/>
  <c r="BG127" i="3"/>
  <c r="BB127" i="3" s="1"/>
  <c r="BG115" i="3"/>
  <c r="BB115" i="3" s="1"/>
  <c r="BG149" i="3"/>
  <c r="BB149" i="3" s="1"/>
  <c r="BG116" i="3"/>
  <c r="BB116" i="3" s="1"/>
  <c r="BG128" i="3"/>
  <c r="BB128" i="3" s="1"/>
  <c r="BG104" i="3"/>
  <c r="BB104" i="3" s="1"/>
  <c r="P13" i="2" s="1" a="1"/>
  <c r="P13" i="2" s="1"/>
  <c r="BC104" i="3" s="1"/>
  <c r="AX104" i="1" s="1"/>
  <c r="BG107" i="3"/>
  <c r="BB107" i="3" s="1"/>
  <c r="BG120" i="3"/>
  <c r="BB120" i="3" s="1"/>
  <c r="BG153" i="3"/>
  <c r="BB153" i="3" s="1"/>
  <c r="BG147" i="3"/>
  <c r="BB147" i="3" s="1"/>
  <c r="BG105" i="3"/>
  <c r="BB105" i="3" s="1"/>
  <c r="BG156" i="3"/>
  <c r="BB156" i="3" s="1"/>
  <c r="BG157" i="3"/>
  <c r="BB157" i="3" s="1"/>
  <c r="BG152" i="3"/>
  <c r="BB152" i="3" s="1"/>
  <c r="BG129" i="3"/>
  <c r="BB129" i="3" s="1"/>
  <c r="BG108" i="3"/>
  <c r="BB108" i="3" s="1"/>
  <c r="BG136" i="3"/>
  <c r="BB136" i="3" s="1"/>
  <c r="BG155" i="3"/>
  <c r="BB155" i="3" s="1"/>
  <c r="BG141" i="3"/>
  <c r="BB141" i="3" s="1"/>
  <c r="BG132" i="3"/>
  <c r="BB132" i="3" s="1"/>
  <c r="BG148" i="3"/>
  <c r="BB148" i="3" s="1"/>
  <c r="BG126" i="3"/>
  <c r="BB126" i="3" s="1"/>
  <c r="BG130" i="3"/>
  <c r="BB130" i="3" s="1"/>
  <c r="BG138" i="3"/>
  <c r="BB138" i="3" s="1"/>
  <c r="BG139" i="3"/>
  <c r="BB139" i="3" s="1"/>
  <c r="BG154" i="3"/>
  <c r="BB154" i="3" s="1"/>
  <c r="BG137" i="3"/>
  <c r="BB137" i="3" s="1"/>
  <c r="BG134" i="3"/>
  <c r="BB134" i="3" s="1"/>
  <c r="BG106" i="3"/>
  <c r="BB106" i="3" s="1"/>
  <c r="BG122" i="3"/>
  <c r="BB122" i="3" s="1"/>
  <c r="BG123" i="3"/>
  <c r="BB123" i="3" s="1"/>
  <c r="BG131" i="3"/>
  <c r="BB131" i="3" s="1"/>
  <c r="BG125" i="3"/>
  <c r="BB125" i="3" s="1"/>
  <c r="BG118" i="3"/>
  <c r="BB118" i="3" s="1"/>
  <c r="BG109" i="3"/>
  <c r="BB109" i="3" s="1"/>
  <c r="BG140" i="3"/>
  <c r="BB140" i="3" s="1"/>
  <c r="BG146" i="3"/>
  <c r="BB146" i="3" s="1"/>
  <c r="Q79" i="11"/>
  <c r="B78" i="11"/>
  <c r="P11" i="2" l="1" a="1"/>
  <c r="P11" i="2" s="1"/>
  <c r="P4" i="2" a="1"/>
  <c r="P4" i="2" s="1"/>
  <c r="BC108" i="3" s="1"/>
  <c r="AX108" i="1" s="1"/>
  <c r="P8" i="2" a="1"/>
  <c r="P8" i="2" s="1"/>
  <c r="BC109" i="3" s="1"/>
  <c r="BE111" i="3"/>
  <c r="BE112" i="3"/>
  <c r="BE113" i="3"/>
  <c r="BJ33" i="6"/>
  <c r="BI40" i="6"/>
  <c r="BI45" i="6" s="1"/>
  <c r="BJ45" i="6"/>
  <c r="Q80" i="11"/>
  <c r="B79" i="11"/>
  <c r="BC78" i="3"/>
  <c r="AX78" i="1" s="1"/>
  <c r="AX104" i="6"/>
  <c r="BF78" i="3"/>
  <c r="BF104" i="3"/>
  <c r="BC110" i="3" l="1"/>
  <c r="AX110" i="1" s="1"/>
  <c r="BB20" i="6"/>
  <c r="BC98" i="3"/>
  <c r="AX98" i="1" s="1"/>
  <c r="BB32" i="6"/>
  <c r="BC93" i="3"/>
  <c r="BC74" i="3"/>
  <c r="AX74" i="6" s="1"/>
  <c r="BB44" i="6"/>
  <c r="BC55" i="3"/>
  <c r="AX55" i="1" s="1"/>
  <c r="BC102" i="3"/>
  <c r="AX102" i="6" s="1"/>
  <c r="BC88" i="3"/>
  <c r="AX88" i="6" s="1"/>
  <c r="BC61" i="3"/>
  <c r="AX61" i="1" s="1"/>
  <c r="BC69" i="3"/>
  <c r="AX69" i="6" s="1"/>
  <c r="BC85" i="3"/>
  <c r="AX85" i="1" s="1"/>
  <c r="BC95" i="3"/>
  <c r="AX95" i="6" s="1"/>
  <c r="BC72" i="3"/>
  <c r="AX72" i="1" s="1"/>
  <c r="BC107" i="3"/>
  <c r="AX107" i="1" s="1"/>
  <c r="BB40" i="6"/>
  <c r="BC21" i="3"/>
  <c r="AX21" i="6" s="1"/>
  <c r="BC22" i="3"/>
  <c r="BC8" i="3"/>
  <c r="BD8" i="3" s="1"/>
  <c r="BC28" i="3"/>
  <c r="BC82" i="3"/>
  <c r="AX82" i="1" s="1"/>
  <c r="BC26" i="3"/>
  <c r="BC34" i="3"/>
  <c r="AX34" i="1" s="1"/>
  <c r="BC56" i="3"/>
  <c r="BC84" i="3"/>
  <c r="AX84" i="6" s="1"/>
  <c r="BC30" i="3"/>
  <c r="AX30" i="6" s="1"/>
  <c r="BC101" i="3"/>
  <c r="AX101" i="6" s="1"/>
  <c r="BC14" i="3"/>
  <c r="BC40" i="3"/>
  <c r="AX40" i="1" s="1"/>
  <c r="BC67" i="3"/>
  <c r="AX67" i="1" s="1"/>
  <c r="BC91" i="3"/>
  <c r="BC51" i="3"/>
  <c r="BC23" i="3"/>
  <c r="AX23" i="1" s="1"/>
  <c r="BC12" i="3"/>
  <c r="BC63" i="3"/>
  <c r="BC37" i="3"/>
  <c r="BC45" i="3"/>
  <c r="AX45" i="6" s="1"/>
  <c r="BC105" i="3"/>
  <c r="AX105" i="6" s="1"/>
  <c r="AX108" i="6"/>
  <c r="BC17" i="3"/>
  <c r="BC35" i="3"/>
  <c r="AX35" i="6" s="1"/>
  <c r="BB16" i="6"/>
  <c r="BB28" i="6"/>
  <c r="BC77" i="3"/>
  <c r="BC99" i="3"/>
  <c r="AX99" i="6" s="1"/>
  <c r="BC48" i="3"/>
  <c r="BD48" i="3" s="1"/>
  <c r="BC13" i="3"/>
  <c r="AX13" i="1" s="1"/>
  <c r="BC90" i="3"/>
  <c r="AX90" i="6" s="1"/>
  <c r="BC83" i="3"/>
  <c r="AX83" i="6" s="1"/>
  <c r="BC79" i="3"/>
  <c r="AX79" i="6" s="1"/>
  <c r="BB14" i="6"/>
  <c r="BC33" i="3"/>
  <c r="BC36" i="3"/>
  <c r="AX36" i="6" s="1"/>
  <c r="BC16" i="3"/>
  <c r="AX16" i="6" s="1"/>
  <c r="BC25" i="3"/>
  <c r="AX25" i="1" s="1"/>
  <c r="BC86" i="3"/>
  <c r="AX86" i="1" s="1"/>
  <c r="BC19" i="3"/>
  <c r="AX19" i="1" s="1"/>
  <c r="BB38" i="6"/>
  <c r="BC76" i="3"/>
  <c r="BC52" i="3"/>
  <c r="AX52" i="1" s="1"/>
  <c r="BC92" i="3"/>
  <c r="AX92" i="6" s="1"/>
  <c r="BC70" i="3"/>
  <c r="AX70" i="6" s="1"/>
  <c r="BD110" i="3"/>
  <c r="BB26" i="6"/>
  <c r="BC96" i="3"/>
  <c r="AX96" i="1" s="1"/>
  <c r="BC100" i="3"/>
  <c r="AX100" i="1" s="1"/>
  <c r="BC62" i="3"/>
  <c r="BC103" i="3"/>
  <c r="AX103" i="6" s="1"/>
  <c r="BC106" i="3"/>
  <c r="AX106" i="6" s="1"/>
  <c r="BC43" i="3"/>
  <c r="AX43" i="6" s="1"/>
  <c r="AX109" i="1"/>
  <c r="AX109" i="6"/>
  <c r="BD104" i="3"/>
  <c r="AX85" i="6"/>
  <c r="AX98" i="6"/>
  <c r="AX90" i="1"/>
  <c r="BE103" i="3"/>
  <c r="BE106" i="3"/>
  <c r="AX103" i="1"/>
  <c r="AX33" i="6"/>
  <c r="AX33" i="1"/>
  <c r="AX106" i="1"/>
  <c r="BD106" i="3"/>
  <c r="AX23" i="6"/>
  <c r="AX40" i="6"/>
  <c r="AX28" i="1"/>
  <c r="AX28" i="6"/>
  <c r="AX37" i="1"/>
  <c r="AX37" i="6"/>
  <c r="AX22" i="1"/>
  <c r="AX17" i="1"/>
  <c r="AX17" i="6"/>
  <c r="AX35" i="1"/>
  <c r="AX77" i="1"/>
  <c r="AX77" i="6"/>
  <c r="AX99" i="1"/>
  <c r="AX14" i="1"/>
  <c r="AX14" i="6"/>
  <c r="AX82" i="6"/>
  <c r="AX45" i="1"/>
  <c r="BD45" i="3"/>
  <c r="BE56" i="3"/>
  <c r="AX51" i="6"/>
  <c r="AX51" i="1"/>
  <c r="AX21" i="1"/>
  <c r="BE26" i="3"/>
  <c r="BD21" i="3"/>
  <c r="AX84" i="1"/>
  <c r="BE101" i="3"/>
  <c r="BD84" i="3"/>
  <c r="AX56" i="6"/>
  <c r="AX56" i="1"/>
  <c r="BD78" i="3"/>
  <c r="AX78" i="6"/>
  <c r="Q81" i="11"/>
  <c r="B80" i="11"/>
  <c r="BF74" i="3"/>
  <c r="BF48" i="3"/>
  <c r="BF56" i="3"/>
  <c r="BF90" i="3"/>
  <c r="BF91" i="3"/>
  <c r="BF77" i="3"/>
  <c r="BF72" i="3"/>
  <c r="BF36" i="3"/>
  <c r="BF86" i="3"/>
  <c r="BF83" i="3"/>
  <c r="BF85" i="3"/>
  <c r="BF61" i="3"/>
  <c r="BF82" i="3"/>
  <c r="BF37" i="3"/>
  <c r="BF105" i="3"/>
  <c r="BF107" i="3"/>
  <c r="BF103" i="3"/>
  <c r="BF52" i="3"/>
  <c r="BF43" i="3"/>
  <c r="BF12" i="3"/>
  <c r="BF51" i="3"/>
  <c r="BF93" i="3"/>
  <c r="BF62" i="3"/>
  <c r="BF22" i="3"/>
  <c r="BF92" i="3"/>
  <c r="BF101" i="3"/>
  <c r="BF69" i="3"/>
  <c r="BF33" i="3"/>
  <c r="BF26" i="3"/>
  <c r="BF13" i="3"/>
  <c r="BF23" i="3"/>
  <c r="BF14" i="3"/>
  <c r="BF79" i="3"/>
  <c r="BF95" i="3"/>
  <c r="BF25" i="3"/>
  <c r="BF100" i="3"/>
  <c r="BF16" i="3"/>
  <c r="BF99" i="3"/>
  <c r="BF108" i="3"/>
  <c r="BF98" i="3"/>
  <c r="BF76" i="3"/>
  <c r="BF28" i="3"/>
  <c r="BF19" i="3"/>
  <c r="BF45" i="3"/>
  <c r="BF88" i="3"/>
  <c r="BF106" i="3"/>
  <c r="BF110" i="3"/>
  <c r="BF67" i="3"/>
  <c r="BF63" i="3"/>
  <c r="BF84" i="3"/>
  <c r="BF34" i="3"/>
  <c r="BF102" i="3"/>
  <c r="BF55" i="3"/>
  <c r="BF21" i="3"/>
  <c r="BF17" i="3"/>
  <c r="BF35" i="3"/>
  <c r="BF96" i="3"/>
  <c r="BF70" i="3"/>
  <c r="BF30" i="3"/>
  <c r="BF40" i="3"/>
  <c r="BF109" i="3"/>
  <c r="BE82" i="3" l="1"/>
  <c r="BD17" i="3"/>
  <c r="BE34" i="3"/>
  <c r="BE67" i="3"/>
  <c r="AX48" i="6"/>
  <c r="AX30" i="1"/>
  <c r="BD26" i="3"/>
  <c r="AX105" i="1"/>
  <c r="BE37" i="3"/>
  <c r="AX26" i="1"/>
  <c r="BD82" i="3"/>
  <c r="BE28" i="3"/>
  <c r="BD56" i="3"/>
  <c r="AX22" i="6"/>
  <c r="BD28" i="3"/>
  <c r="BE63" i="3"/>
  <c r="AX100" i="6"/>
  <c r="BD86" i="3"/>
  <c r="AX26" i="6"/>
  <c r="BE23" i="3"/>
  <c r="BD22" i="3"/>
  <c r="AX67" i="6"/>
  <c r="BD23" i="3"/>
  <c r="AX79" i="1"/>
  <c r="AX61" i="6"/>
  <c r="BD30" i="3"/>
  <c r="BE99" i="3"/>
  <c r="AX12" i="1"/>
  <c r="AX48" i="1"/>
  <c r="BD103" i="3"/>
  <c r="BE77" i="3"/>
  <c r="BD51" i="3"/>
  <c r="AX12" i="6"/>
  <c r="BD40" i="3"/>
  <c r="BE109" i="3"/>
  <c r="BD90" i="3"/>
  <c r="AX52" i="6"/>
  <c r="BE70" i="3"/>
  <c r="AX86" i="6"/>
  <c r="BE100" i="3"/>
  <c r="AX83" i="1"/>
  <c r="AX88" i="1"/>
  <c r="BE30" i="3"/>
  <c r="BE110" i="3"/>
  <c r="BE44" i="6" s="1"/>
  <c r="AX19" i="6"/>
  <c r="BD96" i="3"/>
  <c r="AX92" i="1"/>
  <c r="AX36" i="1"/>
  <c r="AX95" i="1"/>
  <c r="BE98" i="3"/>
  <c r="BE51" i="3"/>
  <c r="BD93" i="3"/>
  <c r="BE35" i="3"/>
  <c r="AX96" i="6"/>
  <c r="BD98" i="3"/>
  <c r="BD95" i="3"/>
  <c r="AX55" i="6"/>
  <c r="BE72" i="3"/>
  <c r="BE76" i="3"/>
  <c r="BE96" i="3"/>
  <c r="BD92" i="3"/>
  <c r="BE102" i="3"/>
  <c r="AX110" i="6"/>
  <c r="AX70" i="1"/>
  <c r="BD100" i="3"/>
  <c r="AX72" i="6"/>
  <c r="AX43" i="1"/>
  <c r="AX93" i="1"/>
  <c r="AX16" i="1"/>
  <c r="AX93" i="6"/>
  <c r="BD77" i="3"/>
  <c r="BE92" i="3"/>
  <c r="BD99" i="3"/>
  <c r="BD102" i="3"/>
  <c r="BE33" i="3"/>
  <c r="BD43" i="3"/>
  <c r="BD52" i="3"/>
  <c r="BD107" i="3"/>
  <c r="BE88" i="3"/>
  <c r="BD74" i="3"/>
  <c r="BD91" i="3"/>
  <c r="BD76" i="3"/>
  <c r="BE74" i="3"/>
  <c r="BD69" i="3"/>
  <c r="BD55" i="3"/>
  <c r="BE43" i="3"/>
  <c r="BD61" i="3"/>
  <c r="BE107" i="3"/>
  <c r="BD85" i="3"/>
  <c r="BD36" i="3"/>
  <c r="AX102" i="1"/>
  <c r="AX107" i="6"/>
  <c r="BD72" i="3"/>
  <c r="AX74" i="1"/>
  <c r="AX69" i="1"/>
  <c r="BD88" i="3"/>
  <c r="BE93" i="3"/>
  <c r="BE85" i="3"/>
  <c r="BE95" i="3"/>
  <c r="BD109" i="3"/>
  <c r="BD26" i="6" s="1"/>
  <c r="BE79" i="3"/>
  <c r="BD83" i="3"/>
  <c r="BE36" i="3"/>
  <c r="BE84" i="3"/>
  <c r="BE105" i="3"/>
  <c r="BE48" i="3"/>
  <c r="BE22" i="3"/>
  <c r="BD101" i="3"/>
  <c r="BD105" i="3"/>
  <c r="AX91" i="1"/>
  <c r="BD63" i="3"/>
  <c r="AX8" i="1"/>
  <c r="BD34" i="3"/>
  <c r="BD35" i="3"/>
  <c r="AX101" i="1"/>
  <c r="BD67" i="3"/>
  <c r="BE83" i="3"/>
  <c r="BD79" i="3"/>
  <c r="BD33" i="3"/>
  <c r="AX76" i="6"/>
  <c r="BD25" i="3"/>
  <c r="BE25" i="3"/>
  <c r="AX91" i="6"/>
  <c r="AX63" i="1"/>
  <c r="AX8" i="6"/>
  <c r="AX34" i="6"/>
  <c r="BE21" i="3"/>
  <c r="BD14" i="3"/>
  <c r="BE45" i="3"/>
  <c r="BD37" i="3"/>
  <c r="BE108" i="3"/>
  <c r="BE40" i="6" s="1"/>
  <c r="BE90" i="3"/>
  <c r="BE52" i="3"/>
  <c r="AX76" i="1"/>
  <c r="AX25" i="6"/>
  <c r="AX62" i="6"/>
  <c r="AX13" i="6"/>
  <c r="BD19" i="3"/>
  <c r="BD16" i="3"/>
  <c r="BE62" i="3"/>
  <c r="AX63" i="6"/>
  <c r="BE17" i="3"/>
  <c r="BE40" i="3"/>
  <c r="BD12" i="3"/>
  <c r="BE91" i="3"/>
  <c r="BD13" i="3"/>
  <c r="BD32" i="6"/>
  <c r="BE86" i="3"/>
  <c r="BD62" i="3"/>
  <c r="BD70" i="3"/>
  <c r="AX62" i="1"/>
  <c r="BD38" i="6"/>
  <c r="BD108" i="3"/>
  <c r="BD40" i="6" s="1"/>
  <c r="BD44" i="6"/>
  <c r="BE38" i="6"/>
  <c r="BR30" i="1"/>
  <c r="BR37" i="1"/>
  <c r="Q82" i="11"/>
  <c r="B81" i="11"/>
  <c r="BD16" i="6"/>
  <c r="BD14" i="6"/>
  <c r="BC16" i="6"/>
  <c r="BC20" i="6"/>
  <c r="BC14" i="6"/>
  <c r="BD20" i="6"/>
  <c r="BE32" i="6" l="1"/>
  <c r="BE20" i="6"/>
  <c r="BC31" i="6"/>
  <c r="BC30" i="6"/>
  <c r="BE26" i="6"/>
  <c r="BE28" i="6"/>
  <c r="BC27" i="6"/>
  <c r="BC28" i="6"/>
  <c r="BE16" i="6"/>
  <c r="BC21" i="6"/>
  <c r="BE14" i="6"/>
  <c r="BD21" i="6"/>
  <c r="BC29" i="6"/>
  <c r="BC26" i="6"/>
  <c r="BC32" i="6"/>
  <c r="BC38" i="6"/>
  <c r="BD28" i="6"/>
  <c r="BC44" i="6"/>
  <c r="BC40" i="6"/>
  <c r="Q83" i="11"/>
  <c r="B82" i="11"/>
  <c r="BE21" i="6" l="1"/>
  <c r="BC45" i="6"/>
  <c r="Q84" i="11"/>
  <c r="B83" i="11"/>
  <c r="Q85" i="11" l="1"/>
  <c r="B84" i="11"/>
  <c r="Q86" i="11" l="1"/>
  <c r="B85" i="11"/>
  <c r="Q87" i="11" l="1"/>
  <c r="B86" i="11"/>
  <c r="Q88" i="11" l="1"/>
  <c r="B87" i="11"/>
  <c r="Q89" i="11" l="1"/>
  <c r="B88" i="11"/>
  <c r="B89" i="11" l="1"/>
  <c r="Q90" i="11"/>
  <c r="Q91" i="11" l="1"/>
  <c r="Q92" i="11" s="1"/>
  <c r="Q93" i="11" s="1"/>
  <c r="Q94" i="11" s="1"/>
  <c r="Q95" i="11" s="1"/>
  <c r="Q96" i="11" s="1"/>
  <c r="Q97" i="11" s="1"/>
  <c r="Q98" i="11" s="1"/>
  <c r="Q99" i="11" s="1"/>
  <c r="Q100" i="11" s="1"/>
  <c r="Q101" i="11" s="1"/>
  <c r="Q102" i="11" s="1"/>
  <c r="Q103" i="11" s="1"/>
  <c r="Q104" i="11" s="1"/>
  <c r="Q105" i="11" s="1"/>
  <c r="Q106" i="11" s="1"/>
  <c r="Q107" i="11" s="1"/>
  <c r="Q108" i="11" s="1"/>
  <c r="Q109" i="11" s="1"/>
  <c r="Q110" i="11" s="1"/>
  <c r="Q111" i="11" s="1"/>
  <c r="Q112" i="11" s="1"/>
  <c r="Q113" i="11" s="1"/>
  <c r="Q114" i="11" s="1"/>
  <c r="Q115" i="11" s="1"/>
  <c r="Q116" i="11" s="1"/>
  <c r="Q117" i="11" s="1"/>
  <c r="Q118" i="11" s="1"/>
  <c r="Q119" i="11" s="1"/>
  <c r="B90" i="11"/>
  <c r="Q120" i="11" l="1"/>
  <c r="Q121" i="11" s="1"/>
  <c r="Q122" i="11" s="1"/>
  <c r="Q123" i="11" s="1"/>
  <c r="Q124" i="11" s="1"/>
  <c r="Q125" i="11" s="1"/>
  <c r="Q126" i="11" s="1"/>
  <c r="Q127" i="11" s="1"/>
  <c r="Q128" i="11" s="1"/>
  <c r="Q129" i="11" s="1"/>
  <c r="Q130" i="11" s="1"/>
  <c r="Q131" i="11" s="1"/>
  <c r="Q132" i="11" s="1"/>
  <c r="Q133" i="11" s="1"/>
  <c r="Q134" i="11" s="1"/>
  <c r="Q135" i="11" s="1"/>
  <c r="Q136" i="11" s="1"/>
  <c r="Q137" i="11" s="1"/>
  <c r="Q138" i="11" s="1"/>
  <c r="Q139" i="11" s="1"/>
  <c r="Q140" i="11" s="1"/>
  <c r="Q141" i="11" s="1"/>
  <c r="Q142" i="11" s="1"/>
  <c r="Q143" i="11" s="1"/>
  <c r="Q144" i="11" s="1"/>
  <c r="Q145" i="11" s="1"/>
  <c r="Q146" i="11" s="1"/>
  <c r="Q147" i="11" s="1"/>
  <c r="Q148" i="11" s="1"/>
  <c r="Q149" i="11" s="1"/>
  <c r="Q150" i="11" s="1"/>
  <c r="Q151" i="11" s="1"/>
  <c r="Q152" i="11" s="1"/>
  <c r="Q153" i="11" s="1"/>
  <c r="Q154" i="11" s="1"/>
  <c r="Q155" i="11" s="1"/>
  <c r="Q156" i="11" s="1"/>
  <c r="Q157" i="11" s="1"/>
  <c r="Q158" i="11" s="1"/>
  <c r="Q159" i="11" s="1"/>
  <c r="Q160" i="11" s="1"/>
  <c r="Q161" i="11" s="1"/>
  <c r="Q162" i="11" s="1"/>
  <c r="Q163" i="11" s="1"/>
  <c r="Q164" i="11" s="1"/>
  <c r="Q165" i="11" s="1"/>
  <c r="Q166" i="11" s="1"/>
  <c r="Q167" i="11" s="1"/>
  <c r="Q168" i="11" s="1"/>
  <c r="Q169" i="11" s="1"/>
  <c r="Q170" i="11" s="1"/>
  <c r="Q171" i="11" s="1"/>
  <c r="Q172" i="11" s="1"/>
  <c r="Q173" i="11" s="1"/>
  <c r="Q174" i="11" s="1"/>
  <c r="Q175" i="11" s="1"/>
  <c r="Q176" i="11" s="1"/>
  <c r="B114" i="11"/>
  <c r="B91" i="11"/>
  <c r="B115" i="11" l="1"/>
  <c r="B92" i="11"/>
  <c r="B116" i="11" l="1"/>
  <c r="B93" i="11"/>
  <c r="B117" i="11" l="1"/>
  <c r="B94" i="11"/>
  <c r="B118" i="11" l="1"/>
  <c r="B95" i="11"/>
  <c r="B119" i="11" l="1"/>
  <c r="B96" i="11"/>
  <c r="B97" i="11" l="1"/>
  <c r="B98" i="11" l="1"/>
  <c r="B99" i="11" l="1"/>
  <c r="B100" i="11" l="1"/>
  <c r="B101" i="11" l="1"/>
  <c r="B102" i="11" l="1"/>
  <c r="B103" i="11" l="1"/>
  <c r="B104" i="11" l="1"/>
  <c r="B105" i="11" l="1"/>
  <c r="B106" i="11" l="1"/>
  <c r="B107" i="11" l="1"/>
  <c r="B108" i="11" l="1"/>
  <c r="B109" i="11" l="1"/>
  <c r="B110" i="11" l="1"/>
  <c r="B111" i="11" l="1"/>
  <c r="B112" i="11" l="1"/>
  <c r="B113" i="1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Table3" description="Connection to the 'Table3' query in the workbook." type="5" refreshedVersion="0" background="1">
    <dbPr connection="Provider=Microsoft.Mashup.OleDb.1;Data Source=$Workbook$;Location=Table3;Extended Properties=&quot;&quot;" command="SELECT * FROM [Table3]"/>
  </connection>
</connections>
</file>

<file path=xl/sharedStrings.xml><?xml version="1.0" encoding="utf-8"?>
<sst xmlns="http://schemas.openxmlformats.org/spreadsheetml/2006/main" count="1251" uniqueCount="231">
  <si>
    <t>5'5</t>
  </si>
  <si>
    <t>5'6</t>
  </si>
  <si>
    <t>5'7</t>
  </si>
  <si>
    <t>5'8</t>
  </si>
  <si>
    <t>5'8+</t>
  </si>
  <si>
    <t>5'9-</t>
  </si>
  <si>
    <t>5'9</t>
  </si>
  <si>
    <t>5'9+</t>
  </si>
  <si>
    <t>5'10-</t>
  </si>
  <si>
    <t>5'10</t>
  </si>
  <si>
    <t>5'10+</t>
  </si>
  <si>
    <t>5'11-</t>
  </si>
  <si>
    <t>5'11</t>
  </si>
  <si>
    <t>5'11+</t>
  </si>
  <si>
    <t>Date</t>
  </si>
  <si>
    <t>Climber</t>
  </si>
  <si>
    <t>Lester</t>
  </si>
  <si>
    <t>Legend</t>
  </si>
  <si>
    <t>F</t>
  </si>
  <si>
    <t>Flash</t>
  </si>
  <si>
    <t>Complete</t>
  </si>
  <si>
    <t>Attempt</t>
  </si>
  <si>
    <t>C</t>
  </si>
  <si>
    <t>A</t>
  </si>
  <si>
    <t>Jan</t>
  </si>
  <si>
    <t>Edwin</t>
  </si>
  <si>
    <t>C3</t>
  </si>
  <si>
    <t>C1</t>
  </si>
  <si>
    <t>C2</t>
  </si>
  <si>
    <t>C4</t>
  </si>
  <si>
    <t>C5</t>
  </si>
  <si>
    <t>C6</t>
  </si>
  <si>
    <t>Code</t>
  </si>
  <si>
    <t>Multiplier</t>
  </si>
  <si>
    <t>Table 1 - Complete</t>
  </si>
  <si>
    <t>Grade</t>
  </si>
  <si>
    <t>Score</t>
  </si>
  <si>
    <t>Table 2 - Grading</t>
  </si>
  <si>
    <t>Table 3 - Code</t>
  </si>
  <si>
    <t>5'12</t>
  </si>
  <si>
    <t>5'12-</t>
  </si>
  <si>
    <t>Values</t>
  </si>
  <si>
    <t>Top 3 Sum</t>
  </si>
  <si>
    <t>Sameena</t>
  </si>
  <si>
    <t>Mark Guste</t>
  </si>
  <si>
    <t>Row</t>
  </si>
  <si>
    <t>Three Day Average</t>
  </si>
  <si>
    <t>ROCK CLIMBING LOG</t>
  </si>
  <si>
    <t>3 Day Avg</t>
  </si>
  <si>
    <t>5 Day Avg</t>
  </si>
  <si>
    <t>Group Average</t>
  </si>
  <si>
    <t>4-6 Day Avg</t>
  </si>
  <si>
    <t>Growth</t>
  </si>
  <si>
    <t>CURRENT SCORE REPORT</t>
  </si>
  <si>
    <t>2018 Average</t>
  </si>
  <si>
    <t>V0</t>
  </si>
  <si>
    <t>V1</t>
  </si>
  <si>
    <t>V2</t>
  </si>
  <si>
    <t>V3</t>
  </si>
  <si>
    <t>V4</t>
  </si>
  <si>
    <t>V5</t>
  </si>
  <si>
    <t>V6</t>
  </si>
  <si>
    <t>VARIANCE REPORT</t>
  </si>
  <si>
    <t>P1 Start:</t>
  </si>
  <si>
    <t>P1 End:</t>
  </si>
  <si>
    <t>P2 Start:</t>
  </si>
  <si>
    <t>P2 End:</t>
  </si>
  <si>
    <t>P1</t>
  </si>
  <si>
    <t>P2</t>
  </si>
  <si>
    <t>Dates</t>
  </si>
  <si>
    <t>Dates Compiler</t>
  </si>
  <si>
    <t>Variance</t>
  </si>
  <si>
    <t>SHORT-TERM GROWTH REPORT</t>
  </si>
  <si>
    <t>Previous 3DA</t>
  </si>
  <si>
    <t>3 Day Average</t>
  </si>
  <si>
    <t>Comment</t>
  </si>
  <si>
    <t>Forgot Equipment. Easy Day</t>
  </si>
  <si>
    <t>Lester had church</t>
  </si>
  <si>
    <t>5'52</t>
  </si>
  <si>
    <t>5'53</t>
  </si>
  <si>
    <t>5'62</t>
  </si>
  <si>
    <t>5'63</t>
  </si>
  <si>
    <t>5'72</t>
  </si>
  <si>
    <t>5'73</t>
  </si>
  <si>
    <t>5'82</t>
  </si>
  <si>
    <t>5'83</t>
  </si>
  <si>
    <t>5'9-2</t>
  </si>
  <si>
    <t>5'9-3</t>
  </si>
  <si>
    <t>Implementation of multi system</t>
  </si>
  <si>
    <t>5'92</t>
  </si>
  <si>
    <t>5'93</t>
  </si>
  <si>
    <t>5'9+2</t>
  </si>
  <si>
    <t>5'9+3</t>
  </si>
  <si>
    <t>5'10-2</t>
  </si>
  <si>
    <t>5'10-3</t>
  </si>
  <si>
    <t>5'102</t>
  </si>
  <si>
    <t>5'103</t>
  </si>
  <si>
    <t>5'10+2</t>
  </si>
  <si>
    <t>5'10+3</t>
  </si>
  <si>
    <t>5'11-2</t>
  </si>
  <si>
    <t>5'11-3</t>
  </si>
  <si>
    <t>5'112</t>
  </si>
  <si>
    <t>5'11+2</t>
  </si>
  <si>
    <t>5'11+3</t>
  </si>
  <si>
    <t>5'12-2</t>
  </si>
  <si>
    <t>5'12-3</t>
  </si>
  <si>
    <t>Michelle</t>
  </si>
  <si>
    <t>Lester's Finances</t>
  </si>
  <si>
    <t>Overall Budget</t>
  </si>
  <si>
    <t>Food</t>
  </si>
  <si>
    <t>Offering</t>
  </si>
  <si>
    <t>Other</t>
  </si>
  <si>
    <t>Squad Expenses</t>
  </si>
  <si>
    <t>Expenses</t>
  </si>
  <si>
    <t>Allowance</t>
  </si>
  <si>
    <t>From Parents</t>
  </si>
  <si>
    <t>Planned Surplus</t>
  </si>
  <si>
    <t>Plan</t>
  </si>
  <si>
    <t>Masters Checking</t>
  </si>
  <si>
    <t>Savings</t>
  </si>
  <si>
    <t>Cash</t>
  </si>
  <si>
    <t>Total Delta</t>
  </si>
  <si>
    <t>Gifts</t>
  </si>
  <si>
    <t>Oratorio Transportation</t>
  </si>
  <si>
    <t>Early Morning Climb!</t>
  </si>
  <si>
    <t>3 Day High</t>
  </si>
  <si>
    <t>T2</t>
  </si>
  <si>
    <t>T3</t>
  </si>
  <si>
    <t>T4</t>
  </si>
  <si>
    <t>Table 4 - Tiers</t>
  </si>
  <si>
    <t>Player</t>
  </si>
  <si>
    <t>Player Profile</t>
  </si>
  <si>
    <t>Tier</t>
  </si>
  <si>
    <t>T1</t>
  </si>
  <si>
    <t>Threshold</t>
  </si>
  <si>
    <t>T5</t>
  </si>
  <si>
    <t>Min Grade</t>
  </si>
  <si>
    <t>None</t>
  </si>
  <si>
    <t>TA T3 Sum</t>
  </si>
  <si>
    <t>PURE REPORTS</t>
  </si>
  <si>
    <t>TIERED REPORTS</t>
  </si>
  <si>
    <t>Pure Score</t>
  </si>
  <si>
    <t>Tiered Score</t>
  </si>
  <si>
    <t>TA 3DA</t>
  </si>
  <si>
    <t>TA 3DH</t>
  </si>
  <si>
    <t>Three Day High</t>
  </si>
  <si>
    <t>TA P3DA</t>
  </si>
  <si>
    <t>T6</t>
  </si>
  <si>
    <t>Current Tier</t>
  </si>
  <si>
    <t>Tier Lock?</t>
  </si>
  <si>
    <t>Beg</t>
  </si>
  <si>
    <t>Int</t>
  </si>
  <si>
    <t>Adv</t>
  </si>
  <si>
    <t>Unicorn</t>
  </si>
  <si>
    <t>Assumed Values from EW</t>
  </si>
  <si>
    <t>Forgot to climb an actual 5 11- lol</t>
  </si>
  <si>
    <t>5'8+2</t>
  </si>
  <si>
    <t>5'8+3</t>
  </si>
  <si>
    <t>T7</t>
  </si>
  <si>
    <t>T8</t>
  </si>
  <si>
    <t>Kenneth Bautista</t>
  </si>
  <si>
    <t>5'13</t>
  </si>
  <si>
    <t>5'12+</t>
  </si>
  <si>
    <t>Rush Climbing; Church Early</t>
  </si>
  <si>
    <t xml:space="preserve">Michelle Report </t>
  </si>
  <si>
    <t>Prev Climb Adjusted</t>
  </si>
  <si>
    <t>175.4lbs - I can only do 5 9s :(</t>
  </si>
  <si>
    <t>5 Highest</t>
  </si>
  <si>
    <t>Class</t>
  </si>
  <si>
    <t>CFA</t>
  </si>
  <si>
    <t>Coding</t>
  </si>
  <si>
    <t>Date Added</t>
  </si>
  <si>
    <t>Sports</t>
  </si>
  <si>
    <t>Skills Table</t>
  </si>
  <si>
    <t>Angel</t>
  </si>
  <si>
    <t>Oz</t>
  </si>
  <si>
    <t>% Growth</t>
  </si>
  <si>
    <t>Group Total</t>
  </si>
  <si>
    <t>Total Activity</t>
  </si>
  <si>
    <t>Parameters</t>
  </si>
  <si>
    <t>Retention Percentage</t>
  </si>
  <si>
    <t>Team Total</t>
  </si>
  <si>
    <t xml:space="preserve"> </t>
  </si>
  <si>
    <t>Violet</t>
  </si>
  <si>
    <t>Green</t>
  </si>
  <si>
    <t>Orange</t>
  </si>
  <si>
    <t>Yellow</t>
  </si>
  <si>
    <t>White</t>
  </si>
  <si>
    <t>Red</t>
  </si>
  <si>
    <t>Note: Ed is the best</t>
  </si>
  <si>
    <t>Days</t>
  </si>
  <si>
    <t>Table 5 - Retention</t>
  </si>
  <si>
    <t>D</t>
  </si>
  <si>
    <t>E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</si>
  <si>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</si>
  <si>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</si>
  <si>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</si>
  <si>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</si>
  <si>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</si>
  <si>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</si>
  <si>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</si>
  <si>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</si>
  <si>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</si>
  <si>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</si>
  <si>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Mode</t>
  </si>
  <si>
    <t>5'113</t>
  </si>
  <si>
    <t>LIC Cliffs B Rating</t>
  </si>
  <si>
    <t>Dumbo B Rating</t>
  </si>
  <si>
    <t>DG V5 attempt. Too large from norm</t>
  </si>
  <si>
    <t>SRB</t>
  </si>
  <si>
    <t>Benjie</t>
  </si>
  <si>
    <t>1</t>
  </si>
  <si>
    <t>2</t>
  </si>
  <si>
    <t>3</t>
  </si>
  <si>
    <t>&lt;option&gt;</t>
  </si>
  <si>
    <t>&lt;/option&gt;</t>
  </si>
  <si>
    <t>Justified PE</t>
  </si>
  <si>
    <t>Payout Ratio / (r-g)</t>
  </si>
  <si>
    <t>(1-b)/(r-g)</t>
  </si>
  <si>
    <t>EV = MV Debt + MV Equity</t>
  </si>
  <si>
    <t>Row Labels</t>
  </si>
  <si>
    <t>Grand Total</t>
  </si>
  <si>
    <t>Column Labels</t>
  </si>
  <si>
    <t>2018</t>
  </si>
  <si>
    <t>2018 Total</t>
  </si>
  <si>
    <t>Qtr1</t>
  </si>
  <si>
    <t>Qtr2</t>
  </si>
  <si>
    <t>Feb</t>
  </si>
  <si>
    <t>Mar</t>
  </si>
  <si>
    <t>Apr</t>
  </si>
  <si>
    <t>Average of Top 3 Sum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</si>
</sst>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8" formatCode="&quot;$&quot;#,##0.00_);[Red]\(&quot;$&quot;#,##0.00\)"/>
    <numFmt numFmtId="43" formatCode="_(* #,##0.00_);_(* \(#,##0.00\);_(* &quot;-&quot;??_);_(@_)"/>
    <numFmt numFmtId="164" formatCode="_(* #,##0_);_(* \(#,##0\);_(* &quot;-&quot;??_);_(@_)"/>
    <numFmt numFmtId="165" formatCode="[$-F800]dddd\,\ mmmm\ dd\,\ yyyy"/>
  </numFmts>
  <fonts count="8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8" tint="0.79998168889431442"/>
        <bgColor indexed="65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9" tint="0.79998168889431442"/>
        <bgColor indexed="65"/>
      </patternFill>
    </fill>
  </fills>
  <borders count="51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ck">
        <color theme="4" tint="0.499984740745262"/>
      </bottom>
      <diagonal/>
    </border>
    <border>
      <left style="medium">
        <color indexed="64"/>
      </left>
      <right/>
      <top/>
      <bottom style="medium">
        <color theme="4" tint="0.39997558519241921"/>
      </bottom>
      <diagonal/>
    </border>
    <border>
      <left/>
      <right style="medium">
        <color indexed="64"/>
      </right>
      <top/>
      <bottom style="medium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theme="4" tint="0.3999755851924192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thick">
        <color theme="4" tint="0.499984740745262"/>
      </bottom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thick">
        <color theme="4" tint="0.499984740745262"/>
      </bottom>
      <diagonal/>
    </border>
    <border>
      <left/>
      <right style="hair">
        <color indexed="64"/>
      </right>
      <top/>
      <bottom/>
      <diagonal/>
    </border>
    <border>
      <left/>
      <right style="hair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hair">
        <color indexed="64"/>
      </left>
      <right/>
      <top/>
      <bottom style="thick">
        <color theme="4" tint="0.499984740745262"/>
      </bottom>
      <diagonal/>
    </border>
    <border>
      <left/>
      <right style="hair">
        <color indexed="64"/>
      </right>
      <top/>
      <bottom style="thick">
        <color theme="4" tint="0.499984740745262"/>
      </bottom>
      <diagonal/>
    </border>
    <border>
      <left style="hair">
        <color indexed="64"/>
      </left>
      <right style="hair">
        <color indexed="64"/>
      </right>
      <top/>
      <bottom style="thick">
        <color theme="4" tint="0.49998474074526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/>
      <top style="medium">
        <color indexed="64"/>
      </top>
      <bottom style="thick">
        <color theme="4" tint="0.499984740745262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ck">
        <color theme="4" tint="0.499984740745262"/>
      </bottom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/>
      <right/>
      <top style="medium">
        <color indexed="64"/>
      </top>
      <bottom style="thick">
        <color theme="4" tint="0.499984740745262"/>
      </bottom>
      <diagonal/>
    </border>
    <border>
      <left style="thin">
        <color rgb="FFB2B2B2"/>
      </left>
      <right style="hair">
        <color rgb="FFB2B2B2"/>
      </right>
      <top style="thick">
        <color theme="4" tint="0.499984740745262"/>
      </top>
      <bottom style="thin">
        <color auto="1"/>
      </bottom>
      <diagonal/>
    </border>
    <border>
      <left style="hair">
        <color rgb="FFB2B2B2"/>
      </left>
      <right style="hair">
        <color rgb="FFB2B2B2"/>
      </right>
      <top style="thick">
        <color theme="4" tint="0.499984740745262"/>
      </top>
      <bottom style="thin">
        <color auto="1"/>
      </bottom>
      <diagonal/>
    </border>
    <border>
      <left style="hair">
        <color rgb="FFB2B2B2"/>
      </left>
      <right style="thin">
        <color auto="1"/>
      </right>
      <top style="thick">
        <color theme="4" tint="0.499984740745262"/>
      </top>
      <bottom style="thin">
        <color auto="1"/>
      </bottom>
      <diagonal/>
    </border>
    <border>
      <left style="thin">
        <color rgb="FFB2B2B2"/>
      </left>
      <right style="hair">
        <color rgb="FFB2B2B2"/>
      </right>
      <top style="thin">
        <color auto="1"/>
      </top>
      <bottom style="thin">
        <color auto="1"/>
      </bottom>
      <diagonal/>
    </border>
    <border>
      <left style="hair">
        <color rgb="FFB2B2B2"/>
      </left>
      <right style="hair">
        <color rgb="FFB2B2B2"/>
      </right>
      <top style="thin">
        <color auto="1"/>
      </top>
      <bottom style="thin">
        <color auto="1"/>
      </bottom>
      <diagonal/>
    </border>
    <border>
      <left style="hair">
        <color rgb="FFB2B2B2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B2B2B2"/>
      </left>
      <right style="hair">
        <color rgb="FFB2B2B2"/>
      </right>
      <top style="thin">
        <color auto="1"/>
      </top>
      <bottom style="medium">
        <color indexed="64"/>
      </bottom>
      <diagonal/>
    </border>
    <border>
      <left style="hair">
        <color rgb="FFB2B2B2"/>
      </left>
      <right style="hair">
        <color rgb="FFB2B2B2"/>
      </right>
      <top style="thin">
        <color auto="1"/>
      </top>
      <bottom style="medium">
        <color indexed="64"/>
      </bottom>
      <diagonal/>
    </border>
    <border>
      <left style="hair">
        <color rgb="FFB2B2B2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4" tint="0.39997558519241921"/>
      </bottom>
      <diagonal/>
    </border>
    <border>
      <left/>
      <right/>
      <top style="medium">
        <color indexed="64"/>
      </top>
      <bottom style="medium">
        <color theme="4" tint="0.39997558519241921"/>
      </bottom>
      <diagonal/>
    </border>
    <border>
      <left/>
      <right style="medium">
        <color indexed="64"/>
      </right>
      <top style="medium">
        <color indexed="64"/>
      </top>
      <bottom style="medium">
        <color theme="4" tint="0.39997558519241921"/>
      </bottom>
      <diagonal/>
    </border>
    <border>
      <left/>
      <right style="thin">
        <color rgb="FFB2B2B2"/>
      </right>
      <top style="medium">
        <color indexed="64"/>
      </top>
      <bottom style="medium">
        <color indexed="64"/>
      </bottom>
      <diagonal/>
    </border>
  </borders>
  <cellStyleXfs count="9">
    <xf numFmtId="165" fontId="0" fillId="0" borderId="0"/>
    <xf numFmtId="165" fontId="1" fillId="0" borderId="1" applyNumberFormat="0" applyFill="0" applyAlignment="0" applyProtection="0"/>
    <xf numFmtId="43" fontId="2" fillId="0" borderId="0" applyFont="0" applyFill="0" applyBorder="0" applyAlignment="0" applyProtection="0"/>
    <xf numFmtId="165" fontId="3" fillId="0" borderId="8" applyNumberFormat="0" applyFill="0" applyAlignment="0" applyProtection="0"/>
    <xf numFmtId="165" fontId="2" fillId="2" borderId="0" applyNumberFormat="0" applyBorder="0" applyAlignment="0" applyProtection="0"/>
    <xf numFmtId="165" fontId="2" fillId="3" borderId="28" applyNumberFormat="0" applyFont="0" applyAlignment="0" applyProtection="0"/>
    <xf numFmtId="165" fontId="2" fillId="4" borderId="0" applyNumberFormat="0" applyBorder="0" applyAlignment="0" applyProtection="0"/>
    <xf numFmtId="165" fontId="2" fillId="5" borderId="0" applyNumberFormat="0" applyBorder="0" applyAlignment="0" applyProtection="0"/>
    <xf numFmtId="165" fontId="2" fillId="6" borderId="0" applyNumberFormat="0" applyBorder="0" applyAlignment="0" applyProtection="0"/>
  </cellStyleXfs>
  <cellXfs count="170">
    <xf numFmtId="165" fontId="0" fillId="0" borderId="0" xfId="0"/>
    <xf numFmtId="14" fontId="0" fillId="0" borderId="0" xfId="0" applyNumberFormat="1"/>
    <xf numFmtId="165" fontId="0" fillId="0" borderId="4" xfId="0" applyBorder="1"/>
    <xf numFmtId="165" fontId="0" fillId="0" borderId="5" xfId="0" applyBorder="1"/>
    <xf numFmtId="165" fontId="0" fillId="0" borderId="6" xfId="0" applyBorder="1"/>
    <xf numFmtId="165" fontId="0" fillId="0" borderId="7" xfId="0" applyBorder="1"/>
    <xf numFmtId="43" fontId="0" fillId="0" borderId="0" xfId="2" applyFont="1"/>
    <xf numFmtId="165" fontId="3" fillId="0" borderId="11" xfId="3" applyBorder="1"/>
    <xf numFmtId="165" fontId="3" fillId="0" borderId="12" xfId="3" applyBorder="1"/>
    <xf numFmtId="2" fontId="0" fillId="0" borderId="5" xfId="0" applyNumberFormat="1" applyBorder="1"/>
    <xf numFmtId="2" fontId="0" fillId="0" borderId="7" xfId="0" applyNumberFormat="1" applyBorder="1"/>
    <xf numFmtId="164" fontId="0" fillId="0" borderId="5" xfId="2" applyNumberFormat="1" applyFont="1" applyBorder="1"/>
    <xf numFmtId="165" fontId="1" fillId="0" borderId="9" xfId="1" applyBorder="1" applyAlignment="1"/>
    <xf numFmtId="165" fontId="3" fillId="0" borderId="15" xfId="3" applyBorder="1"/>
    <xf numFmtId="165" fontId="0" fillId="0" borderId="16" xfId="0" applyBorder="1"/>
    <xf numFmtId="165" fontId="0" fillId="0" borderId="17" xfId="0" applyFill="1" applyBorder="1"/>
    <xf numFmtId="165" fontId="4" fillId="2" borderId="18" xfId="4" applyFont="1" applyBorder="1"/>
    <xf numFmtId="165" fontId="4" fillId="2" borderId="10" xfId="4" applyFont="1" applyBorder="1"/>
    <xf numFmtId="165" fontId="4" fillId="2" borderId="21" xfId="4" applyFont="1" applyBorder="1"/>
    <xf numFmtId="14" fontId="2" fillId="2" borderId="4" xfId="4" applyNumberFormat="1" applyBorder="1"/>
    <xf numFmtId="165" fontId="2" fillId="2" borderId="22" xfId="4" applyBorder="1"/>
    <xf numFmtId="165" fontId="2" fillId="2" borderId="4" xfId="4" applyBorder="1"/>
    <xf numFmtId="165" fontId="2" fillId="2" borderId="6" xfId="4" applyBorder="1"/>
    <xf numFmtId="165" fontId="2" fillId="2" borderId="23" xfId="4" applyBorder="1"/>
    <xf numFmtId="165" fontId="0" fillId="2" borderId="22" xfId="4" applyFont="1" applyBorder="1"/>
    <xf numFmtId="14" fontId="0" fillId="0" borderId="0" xfId="0" applyNumberFormat="1" applyBorder="1"/>
    <xf numFmtId="43" fontId="0" fillId="0" borderId="0" xfId="2" applyFont="1" applyBorder="1"/>
    <xf numFmtId="165" fontId="4" fillId="2" borderId="10" xfId="4" applyNumberFormat="1" applyFont="1" applyBorder="1"/>
    <xf numFmtId="165" fontId="2" fillId="2" borderId="4" xfId="4" applyNumberFormat="1" applyBorder="1"/>
    <xf numFmtId="165" fontId="2" fillId="2" borderId="6" xfId="4" applyNumberFormat="1" applyBorder="1"/>
    <xf numFmtId="43" fontId="0" fillId="0" borderId="0" xfId="0" applyNumberFormat="1" applyBorder="1"/>
    <xf numFmtId="165" fontId="2" fillId="5" borderId="2" xfId="7" applyBorder="1"/>
    <xf numFmtId="165" fontId="2" fillId="5" borderId="24" xfId="7" applyBorder="1"/>
    <xf numFmtId="165" fontId="2" fillId="5" borderId="3" xfId="7" applyBorder="1"/>
    <xf numFmtId="165" fontId="2" fillId="5" borderId="0" xfId="7"/>
    <xf numFmtId="165" fontId="2" fillId="5" borderId="4" xfId="7" applyBorder="1"/>
    <xf numFmtId="14" fontId="2" fillId="5" borderId="4" xfId="7" applyNumberFormat="1" applyBorder="1"/>
    <xf numFmtId="165" fontId="2" fillId="5" borderId="5" xfId="7" applyBorder="1"/>
    <xf numFmtId="165" fontId="2" fillId="5" borderId="0" xfId="7" applyBorder="1"/>
    <xf numFmtId="14" fontId="2" fillId="5" borderId="6" xfId="7" applyNumberFormat="1" applyBorder="1"/>
    <xf numFmtId="165" fontId="2" fillId="5" borderId="7" xfId="7" applyBorder="1"/>
    <xf numFmtId="14" fontId="2" fillId="5" borderId="0" xfId="7" applyNumberFormat="1" applyBorder="1"/>
    <xf numFmtId="165" fontId="2" fillId="5" borderId="25" xfId="7" applyBorder="1"/>
    <xf numFmtId="165" fontId="2" fillId="5" borderId="26" xfId="7" applyBorder="1"/>
    <xf numFmtId="165" fontId="2" fillId="5" borderId="27" xfId="7" applyBorder="1"/>
    <xf numFmtId="165" fontId="0" fillId="0" borderId="0" xfId="0" applyAlignment="1">
      <alignment horizontal="left"/>
    </xf>
    <xf numFmtId="43" fontId="0" fillId="0" borderId="0" xfId="2" applyNumberFormat="1" applyFont="1"/>
    <xf numFmtId="43" fontId="0" fillId="0" borderId="5" xfId="2" applyNumberFormat="1" applyFont="1" applyBorder="1"/>
    <xf numFmtId="14" fontId="0" fillId="2" borderId="4" xfId="4" applyNumberFormat="1" applyFont="1" applyBorder="1"/>
    <xf numFmtId="43" fontId="0" fillId="0" borderId="0" xfId="2" applyNumberFormat="1" applyFont="1" applyBorder="1"/>
    <xf numFmtId="165" fontId="4" fillId="2" borderId="29" xfId="4" applyFont="1" applyBorder="1"/>
    <xf numFmtId="165" fontId="0" fillId="5" borderId="25" xfId="7" applyFont="1" applyBorder="1"/>
    <xf numFmtId="43" fontId="0" fillId="0" borderId="0" xfId="0" applyNumberFormat="1"/>
    <xf numFmtId="14" fontId="4" fillId="2" borderId="13" xfId="4" applyNumberFormat="1" applyFont="1" applyBorder="1"/>
    <xf numFmtId="43" fontId="4" fillId="2" borderId="31" xfId="4" applyNumberFormat="1" applyFont="1" applyBorder="1"/>
    <xf numFmtId="43" fontId="4" fillId="2" borderId="14" xfId="4" applyNumberFormat="1" applyFont="1" applyBorder="1"/>
    <xf numFmtId="49" fontId="0" fillId="2" borderId="4" xfId="4" applyNumberFormat="1" applyFont="1" applyBorder="1"/>
    <xf numFmtId="10" fontId="2" fillId="6" borderId="0" xfId="8" applyNumberFormat="1" applyBorder="1"/>
    <xf numFmtId="165" fontId="4" fillId="6" borderId="29" xfId="8" applyFont="1" applyBorder="1"/>
    <xf numFmtId="10" fontId="2" fillId="6" borderId="31" xfId="8" applyNumberFormat="1" applyBorder="1"/>
    <xf numFmtId="165" fontId="4" fillId="2" borderId="32" xfId="4" applyFont="1" applyBorder="1"/>
    <xf numFmtId="43" fontId="0" fillId="0" borderId="5" xfId="2" applyFont="1" applyBorder="1"/>
    <xf numFmtId="43" fontId="4" fillId="0" borderId="13" xfId="2" applyNumberFormat="1" applyFont="1" applyBorder="1" applyAlignment="1">
      <alignment horizontal="right"/>
    </xf>
    <xf numFmtId="165" fontId="0" fillId="0" borderId="0" xfId="0" quotePrefix="1"/>
    <xf numFmtId="14" fontId="4" fillId="2" borderId="29" xfId="4" applyNumberFormat="1" applyFont="1" applyBorder="1"/>
    <xf numFmtId="43" fontId="0" fillId="0" borderId="0" xfId="2" quotePrefix="1" applyNumberFormat="1" applyFont="1" applyBorder="1"/>
    <xf numFmtId="43" fontId="2" fillId="4" borderId="19" xfId="6" applyNumberFormat="1" applyBorder="1"/>
    <xf numFmtId="43" fontId="2" fillId="4" borderId="20" xfId="6" applyNumberFormat="1" applyBorder="1"/>
    <xf numFmtId="165" fontId="0" fillId="0" borderId="0" xfId="0" applyNumberFormat="1" applyAlignment="1">
      <alignment horizontal="left"/>
    </xf>
    <xf numFmtId="165" fontId="4" fillId="0" borderId="4" xfId="0" applyFont="1" applyBorder="1" applyAlignment="1">
      <alignment horizontal="right"/>
    </xf>
    <xf numFmtId="14" fontId="0" fillId="0" borderId="0" xfId="2" applyNumberFormat="1" applyFont="1" applyBorder="1"/>
    <xf numFmtId="43" fontId="4" fillId="0" borderId="0" xfId="2" applyNumberFormat="1" applyFont="1" applyBorder="1" applyAlignment="1">
      <alignment horizontal="right"/>
    </xf>
    <xf numFmtId="14" fontId="0" fillId="0" borderId="5" xfId="0" applyNumberFormat="1" applyBorder="1"/>
    <xf numFmtId="14" fontId="0" fillId="3" borderId="33" xfId="5" applyNumberFormat="1" applyFont="1" applyBorder="1"/>
    <xf numFmtId="14" fontId="0" fillId="3" borderId="34" xfId="5" applyNumberFormat="1" applyFont="1" applyBorder="1"/>
    <xf numFmtId="43" fontId="2" fillId="3" borderId="35" xfId="5" applyNumberFormat="1" applyBorder="1"/>
    <xf numFmtId="43" fontId="0" fillId="3" borderId="35" xfId="5" applyNumberFormat="1" applyFont="1" applyBorder="1"/>
    <xf numFmtId="43" fontId="2" fillId="3" borderId="36" xfId="5" applyNumberFormat="1" applyBorder="1"/>
    <xf numFmtId="165" fontId="0" fillId="3" borderId="38" xfId="5" applyFont="1" applyBorder="1"/>
    <xf numFmtId="165" fontId="0" fillId="3" borderId="39" xfId="5" applyFont="1" applyBorder="1"/>
    <xf numFmtId="165" fontId="0" fillId="3" borderId="40" xfId="5" applyFont="1" applyBorder="1"/>
    <xf numFmtId="165" fontId="0" fillId="3" borderId="41" xfId="5" applyFont="1" applyBorder="1"/>
    <xf numFmtId="165" fontId="0" fillId="3" borderId="42" xfId="5" applyFont="1" applyBorder="1"/>
    <xf numFmtId="165" fontId="0" fillId="3" borderId="43" xfId="5" applyFont="1" applyBorder="1"/>
    <xf numFmtId="165" fontId="0" fillId="3" borderId="44" xfId="5" applyFont="1" applyBorder="1"/>
    <xf numFmtId="165" fontId="0" fillId="3" borderId="45" xfId="5" applyFont="1" applyBorder="1"/>
    <xf numFmtId="165" fontId="0" fillId="3" borderId="46" xfId="5" applyFont="1" applyBorder="1"/>
    <xf numFmtId="165" fontId="0" fillId="5" borderId="27" xfId="7" applyFont="1" applyBorder="1"/>
    <xf numFmtId="165" fontId="0" fillId="0" borderId="0" xfId="0" applyNumberFormat="1" applyAlignment="1"/>
    <xf numFmtId="165" fontId="0" fillId="0" borderId="0" xfId="0" applyAlignment="1">
      <alignment horizontal="left" indent="1"/>
    </xf>
    <xf numFmtId="14" fontId="0" fillId="0" borderId="4" xfId="0" applyNumberFormat="1" applyBorder="1"/>
    <xf numFmtId="14" fontId="0" fillId="0" borderId="6" xfId="0" applyNumberFormat="1" applyBorder="1"/>
    <xf numFmtId="43" fontId="0" fillId="0" borderId="7" xfId="2" applyFont="1" applyBorder="1"/>
    <xf numFmtId="165" fontId="0" fillId="0" borderId="0" xfId="0" applyBorder="1"/>
    <xf numFmtId="165" fontId="3" fillId="0" borderId="47" xfId="3" applyBorder="1"/>
    <xf numFmtId="165" fontId="3" fillId="0" borderId="48" xfId="3" applyBorder="1"/>
    <xf numFmtId="165" fontId="3" fillId="0" borderId="49" xfId="3" applyBorder="1"/>
    <xf numFmtId="43" fontId="0" fillId="0" borderId="5" xfId="0" applyNumberFormat="1" applyBorder="1"/>
    <xf numFmtId="43" fontId="0" fillId="0" borderId="4" xfId="0" applyNumberFormat="1" applyBorder="1"/>
    <xf numFmtId="165" fontId="4" fillId="0" borderId="0" xfId="0" applyFont="1" applyBorder="1" applyAlignment="1">
      <alignment horizontal="right"/>
    </xf>
    <xf numFmtId="165" fontId="4" fillId="2" borderId="37" xfId="4" applyFont="1" applyBorder="1"/>
    <xf numFmtId="14" fontId="0" fillId="2" borderId="0" xfId="4" applyNumberFormat="1" applyFont="1" applyBorder="1"/>
    <xf numFmtId="14" fontId="4" fillId="2" borderId="31" xfId="4" applyNumberFormat="1" applyFont="1" applyBorder="1"/>
    <xf numFmtId="14" fontId="0" fillId="2" borderId="6" xfId="4" applyNumberFormat="1" applyFont="1" applyBorder="1"/>
    <xf numFmtId="14" fontId="0" fillId="2" borderId="30" xfId="4" applyNumberFormat="1" applyFont="1" applyBorder="1"/>
    <xf numFmtId="43" fontId="0" fillId="0" borderId="30" xfId="2" applyNumberFormat="1" applyFont="1" applyBorder="1"/>
    <xf numFmtId="43" fontId="0" fillId="0" borderId="0" xfId="0" applyNumberFormat="1" applyFill="1" applyBorder="1"/>
    <xf numFmtId="165" fontId="0" fillId="0" borderId="13" xfId="0" applyFill="1" applyBorder="1"/>
    <xf numFmtId="164" fontId="0" fillId="0" borderId="14" xfId="2" applyNumberFormat="1" applyFont="1" applyBorder="1"/>
    <xf numFmtId="43" fontId="6" fillId="0" borderId="13" xfId="0" applyNumberFormat="1" applyFont="1" applyFill="1" applyBorder="1"/>
    <xf numFmtId="165" fontId="6" fillId="0" borderId="31" xfId="0" applyFont="1" applyBorder="1"/>
    <xf numFmtId="43" fontId="6" fillId="0" borderId="14" xfId="0" applyNumberFormat="1" applyFont="1" applyFill="1" applyBorder="1"/>
    <xf numFmtId="165" fontId="4" fillId="0" borderId="13" xfId="0" applyFont="1" applyBorder="1" applyAlignment="1">
      <alignment horizontal="right"/>
    </xf>
    <xf numFmtId="165" fontId="0" fillId="0" borderId="30" xfId="0" applyBorder="1"/>
    <xf numFmtId="165" fontId="6" fillId="0" borderId="0" xfId="0" applyFont="1"/>
    <xf numFmtId="1" fontId="0" fillId="0" borderId="0" xfId="0" applyNumberFormat="1"/>
    <xf numFmtId="165" fontId="0" fillId="0" borderId="24" xfId="0" applyBorder="1"/>
    <xf numFmtId="165" fontId="0" fillId="0" borderId="24" xfId="0" applyNumberFormat="1" applyBorder="1" applyAlignment="1"/>
    <xf numFmtId="165" fontId="0" fillId="0" borderId="3" xfId="0" applyNumberFormat="1" applyBorder="1" applyAlignment="1">
      <alignment horizontal="left"/>
    </xf>
    <xf numFmtId="165" fontId="6" fillId="0" borderId="0" xfId="0" applyFont="1" applyFill="1" applyBorder="1"/>
    <xf numFmtId="14" fontId="2" fillId="2" borderId="6" xfId="4" applyNumberFormat="1" applyBorder="1"/>
    <xf numFmtId="165" fontId="0" fillId="0" borderId="0" xfId="0" applyNumberFormat="1"/>
    <xf numFmtId="8" fontId="0" fillId="0" borderId="0" xfId="0" applyNumberFormat="1"/>
    <xf numFmtId="0" fontId="2" fillId="2" borderId="4" xfId="4" applyNumberFormat="1" applyBorder="1"/>
    <xf numFmtId="0" fontId="2" fillId="2" borderId="6" xfId="4" applyNumberFormat="1" applyBorder="1"/>
    <xf numFmtId="0" fontId="0" fillId="0" borderId="4" xfId="0" applyNumberFormat="1" applyBorder="1"/>
    <xf numFmtId="0" fontId="0" fillId="0" borderId="0" xfId="0" applyNumberFormat="1" applyBorder="1"/>
    <xf numFmtId="8" fontId="0" fillId="0" borderId="0" xfId="0" quotePrefix="1" applyNumberFormat="1"/>
    <xf numFmtId="165" fontId="0" fillId="0" borderId="0" xfId="0" quotePrefix="1" applyNumberFormat="1"/>
    <xf numFmtId="165" fontId="4" fillId="2" borderId="4" xfId="4" applyNumberFormat="1" applyFont="1" applyBorder="1"/>
    <xf numFmtId="0" fontId="0" fillId="0" borderId="6" xfId="0" applyNumberFormat="1" applyBorder="1"/>
    <xf numFmtId="0" fontId="0" fillId="0" borderId="0" xfId="0" applyNumberFormat="1"/>
    <xf numFmtId="165" fontId="5" fillId="0" borderId="2" xfId="0" applyFont="1" applyBorder="1" applyAlignment="1">
      <alignment vertical="center"/>
    </xf>
    <xf numFmtId="165" fontId="5" fillId="0" borderId="24" xfId="0" applyFont="1" applyBorder="1" applyAlignment="1">
      <alignment vertical="center"/>
    </xf>
    <xf numFmtId="165" fontId="5" fillId="0" borderId="3" xfId="0" applyFont="1" applyBorder="1" applyAlignment="1">
      <alignment vertical="center"/>
    </xf>
    <xf numFmtId="165" fontId="5" fillId="0" borderId="4" xfId="0" applyFont="1" applyBorder="1" applyAlignment="1">
      <alignment vertical="center"/>
    </xf>
    <xf numFmtId="165" fontId="5" fillId="0" borderId="0" xfId="0" applyFont="1" applyBorder="1" applyAlignment="1">
      <alignment vertical="center"/>
    </xf>
    <xf numFmtId="165" fontId="5" fillId="0" borderId="5" xfId="0" applyFont="1" applyBorder="1" applyAlignment="1">
      <alignment vertical="center"/>
    </xf>
    <xf numFmtId="165" fontId="0" fillId="0" borderId="30" xfId="0" applyBorder="1" applyAlignment="1"/>
    <xf numFmtId="165" fontId="4" fillId="2" borderId="29" xfId="4" applyFont="1" applyBorder="1" applyAlignment="1"/>
    <xf numFmtId="165" fontId="4" fillId="2" borderId="37" xfId="4" applyFont="1" applyBorder="1" applyAlignment="1"/>
    <xf numFmtId="165" fontId="4" fillId="2" borderId="21" xfId="4" applyFont="1" applyBorder="1" applyAlignment="1"/>
    <xf numFmtId="43" fontId="0" fillId="0" borderId="0" xfId="2" pivotButton="1" applyFont="1"/>
    <xf numFmtId="43" fontId="0" fillId="0" borderId="0" xfId="2" applyFont="1" applyAlignment="1">
      <alignment horizontal="left"/>
    </xf>
    <xf numFmtId="165" fontId="4" fillId="0" borderId="13" xfId="0" applyFont="1" applyBorder="1" applyAlignment="1">
      <alignment horizontal="center"/>
    </xf>
    <xf numFmtId="165" fontId="4" fillId="0" borderId="14" xfId="0" applyFont="1" applyBorder="1" applyAlignment="1">
      <alignment horizontal="center"/>
    </xf>
    <xf numFmtId="165" fontId="0" fillId="0" borderId="30" xfId="0" applyBorder="1" applyAlignment="1">
      <alignment horizontal="center"/>
    </xf>
    <xf numFmtId="165" fontId="5" fillId="0" borderId="2" xfId="0" applyFont="1" applyBorder="1" applyAlignment="1">
      <alignment horizontal="center" vertical="center"/>
    </xf>
    <xf numFmtId="165" fontId="5" fillId="0" borderId="24" xfId="0" applyFont="1" applyBorder="1" applyAlignment="1">
      <alignment horizontal="center" vertical="center"/>
    </xf>
    <xf numFmtId="165" fontId="5" fillId="0" borderId="3" xfId="0" applyFont="1" applyBorder="1" applyAlignment="1">
      <alignment horizontal="center" vertical="center"/>
    </xf>
    <xf numFmtId="165" fontId="5" fillId="0" borderId="4" xfId="0" applyFont="1" applyBorder="1" applyAlignment="1">
      <alignment horizontal="center" vertical="center"/>
    </xf>
    <xf numFmtId="165" fontId="5" fillId="0" borderId="0" xfId="0" applyFont="1" applyBorder="1" applyAlignment="1">
      <alignment horizontal="center" vertical="center"/>
    </xf>
    <xf numFmtId="165" fontId="5" fillId="0" borderId="5" xfId="0" applyFont="1" applyBorder="1" applyAlignment="1">
      <alignment horizontal="center" vertical="center"/>
    </xf>
    <xf numFmtId="165" fontId="5" fillId="0" borderId="6" xfId="0" applyFont="1" applyBorder="1" applyAlignment="1">
      <alignment horizontal="center" vertical="center"/>
    </xf>
    <xf numFmtId="165" fontId="5" fillId="0" borderId="30" xfId="0" applyFont="1" applyBorder="1" applyAlignment="1">
      <alignment horizontal="center" vertical="center"/>
    </xf>
    <xf numFmtId="165" fontId="5" fillId="0" borderId="7" xfId="0" applyFont="1" applyBorder="1" applyAlignment="1">
      <alignment horizontal="center" vertical="center"/>
    </xf>
    <xf numFmtId="165" fontId="4" fillId="2" borderId="29" xfId="4" applyFont="1" applyBorder="1" applyAlignment="1">
      <alignment horizontal="center"/>
    </xf>
    <xf numFmtId="165" fontId="4" fillId="2" borderId="37" xfId="4" applyFont="1" applyBorder="1" applyAlignment="1">
      <alignment horizontal="center"/>
    </xf>
    <xf numFmtId="165" fontId="4" fillId="2" borderId="21" xfId="4" applyFont="1" applyBorder="1" applyAlignment="1">
      <alignment horizontal="center"/>
    </xf>
    <xf numFmtId="165" fontId="4" fillId="0" borderId="13" xfId="0" applyFont="1" applyBorder="1" applyAlignment="1">
      <alignment horizontal="right"/>
    </xf>
    <xf numFmtId="165" fontId="4" fillId="0" borderId="50" xfId="0" applyFont="1" applyBorder="1" applyAlignment="1">
      <alignment horizontal="right"/>
    </xf>
    <xf numFmtId="165" fontId="2" fillId="5" borderId="2" xfId="7" applyBorder="1" applyAlignment="1">
      <alignment horizontal="center"/>
    </xf>
    <xf numFmtId="165" fontId="2" fillId="5" borderId="3" xfId="7" applyBorder="1" applyAlignment="1">
      <alignment horizontal="center"/>
    </xf>
    <xf numFmtId="165" fontId="0" fillId="0" borderId="0" xfId="0" applyAlignment="1">
      <alignment horizontal="right"/>
    </xf>
    <xf numFmtId="9" fontId="0" fillId="0" borderId="0" xfId="0" applyNumberFormat="1" applyAlignment="1">
      <alignment horizontal="center"/>
    </xf>
    <xf numFmtId="165" fontId="0" fillId="0" borderId="0" xfId="0" applyAlignment="1">
      <alignment horizontal="center"/>
    </xf>
    <xf numFmtId="165" fontId="4" fillId="0" borderId="0" xfId="0" applyFont="1" applyAlignment="1">
      <alignment horizontal="center"/>
    </xf>
    <xf numFmtId="165" fontId="1" fillId="0" borderId="13" xfId="1" applyBorder="1" applyAlignment="1">
      <alignment horizontal="center"/>
    </xf>
    <xf numFmtId="165" fontId="1" fillId="0" borderId="14" xfId="1" applyBorder="1" applyAlignment="1">
      <alignment horizontal="center"/>
    </xf>
    <xf numFmtId="165" fontId="1" fillId="0" borderId="31" xfId="1" applyBorder="1" applyAlignment="1">
      <alignment horizontal="center"/>
    </xf>
  </cellXfs>
  <cellStyles count="9">
    <cellStyle name="20% - Accent1" xfId="6" builtinId="30"/>
    <cellStyle name="20% - Accent5" xfId="4" builtinId="46"/>
    <cellStyle name="20% - Accent6" xfId="8" builtinId="50"/>
    <cellStyle name="60% - Accent1" xfId="7" builtinId="32"/>
    <cellStyle name="Comma" xfId="2" builtinId="3"/>
    <cellStyle name="Heading 2" xfId="1" builtinId="17"/>
    <cellStyle name="Heading 3" xfId="3" builtinId="18"/>
    <cellStyle name="Normal" xfId="0" builtinId="0"/>
    <cellStyle name="Note" xfId="5" builtinId="10"/>
  </cellStyles>
  <dxfs count="96"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  <fill>
        <patternFill>
          <fgColor indexed="64"/>
          <bgColor rgb="FFFFFF00"/>
        </patternFill>
      </fill>
    </dxf>
    <dxf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numFmt numFmtId="19" formatCode="m/d/yyyy"/>
    </dxf>
    <dxf>
      <numFmt numFmtId="0" formatCode="General"/>
      <border diagonalUp="0" diagonalDown="0" outline="0">
        <left style="medium">
          <color indexed="64"/>
        </left>
        <right/>
        <top/>
        <bottom/>
      </border>
    </dxf>
    <dxf>
      <border outline="0"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outline="0">
        <bottom style="thick">
          <color theme="4" tint="0.499984740745262"/>
        </bottom>
      </border>
    </dxf>
    <dxf>
      <border diagonalUp="0" diagonalDown="0">
        <left style="hair">
          <color indexed="64"/>
        </left>
        <right style="hair">
          <color indexed="64"/>
        </right>
        <top/>
        <bottom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FFFF"/>
      <color rgb="FFFF99FF"/>
      <color rgb="FFFF00FF"/>
      <color rgb="FFFFCCFF"/>
      <color rgb="FFCCCCFF"/>
      <color rgb="FF9966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6.xml"/><Relationship Id="rId13" Type="http://schemas.openxmlformats.org/officeDocument/2006/relationships/connections" Target="connections.xml"/><Relationship Id="rId18" Type="http://schemas.microsoft.com/office/2006/relationships/vbaProject" Target="vbaProject.bin"/><Relationship Id="rId3" Type="http://schemas.openxmlformats.org/officeDocument/2006/relationships/worksheet" Target="worksheets/sheet1.xml"/><Relationship Id="rId7" Type="http://schemas.openxmlformats.org/officeDocument/2006/relationships/worksheet" Target="worksheets/sheet5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chartsheet" Target="chartsheets/sheet2.xml"/><Relationship Id="rId16" Type="http://schemas.openxmlformats.org/officeDocument/2006/relationships/calcChain" Target="calcChain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4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3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8.xml"/><Relationship Id="rId4" Type="http://schemas.openxmlformats.org/officeDocument/2006/relationships/worksheet" Target="worksheets/sheet2.xml"/><Relationship Id="rId9" Type="http://schemas.openxmlformats.org/officeDocument/2006/relationships/worksheet" Target="worksheets/sheet7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Rock Climbing </a:t>
            </a:r>
          </a:p>
          <a:p>
            <a:pPr>
              <a:defRPr/>
            </a:pPr>
            <a:r>
              <a:rPr lang="en-US"/>
              <a:t>Progress Chart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'RC Chart Data'!$D$6</c:f>
              <c:strCache>
                <c:ptCount val="1"/>
                <c:pt idx="0">
                  <c:v>Jan</c:v>
                </c:pt>
              </c:strCache>
            </c:strRef>
          </c:tx>
          <c:spPr>
            <a:ln w="25400" cap="rnd">
              <a:noFill/>
              <a:round/>
            </a:ln>
            <a:effectLst>
              <a:glow rad="228600">
                <a:schemeClr val="accent1">
                  <a:satMod val="175000"/>
                  <a:alpha val="40000"/>
                </a:schemeClr>
              </a:glow>
            </a:effectLst>
          </c:spPr>
          <c:marker>
            <c:symbol val="circle"/>
            <c:size val="6"/>
            <c:spPr>
              <a:solidFill>
                <a:srgbClr val="CCCCFF"/>
              </a:solidFill>
              <a:ln w="9525">
                <a:noFill/>
                <a:round/>
              </a:ln>
              <a:effectLst>
                <a:glow rad="228600">
                  <a:schemeClr val="accent1">
                    <a:satMod val="175000"/>
                    <a:alpha val="40000"/>
                  </a:schemeClr>
                </a:glow>
              </a:effectLst>
            </c:spPr>
          </c:marker>
          <c:xVal>
            <c:numRef>
              <c:f>'RC Chart Data'!$A$7:$A$119</c:f>
              <c:numCache>
                <c:formatCode>m/d/yyyy</c:formatCode>
                <c:ptCount val="113"/>
                <c:pt idx="0">
                  <c:v>43106</c:v>
                </c:pt>
                <c:pt idx="1">
                  <c:v>43107</c:v>
                </c:pt>
                <c:pt idx="2">
                  <c:v>43108</c:v>
                </c:pt>
                <c:pt idx="3">
                  <c:v>43109</c:v>
                </c:pt>
                <c:pt idx="4">
                  <c:v>43110</c:v>
                </c:pt>
                <c:pt idx="5">
                  <c:v>43111</c:v>
                </c:pt>
                <c:pt idx="6">
                  <c:v>43112</c:v>
                </c:pt>
                <c:pt idx="7">
                  <c:v>43113</c:v>
                </c:pt>
                <c:pt idx="8">
                  <c:v>43114</c:v>
                </c:pt>
                <c:pt idx="9">
                  <c:v>43115</c:v>
                </c:pt>
                <c:pt idx="10">
                  <c:v>43116</c:v>
                </c:pt>
                <c:pt idx="11">
                  <c:v>43117</c:v>
                </c:pt>
                <c:pt idx="12">
                  <c:v>43118</c:v>
                </c:pt>
                <c:pt idx="13">
                  <c:v>43119</c:v>
                </c:pt>
                <c:pt idx="14">
                  <c:v>43120</c:v>
                </c:pt>
                <c:pt idx="15">
                  <c:v>43121</c:v>
                </c:pt>
                <c:pt idx="16">
                  <c:v>43122</c:v>
                </c:pt>
                <c:pt idx="17">
                  <c:v>43123</c:v>
                </c:pt>
                <c:pt idx="18">
                  <c:v>43124</c:v>
                </c:pt>
                <c:pt idx="19">
                  <c:v>43125</c:v>
                </c:pt>
                <c:pt idx="20">
                  <c:v>43126</c:v>
                </c:pt>
                <c:pt idx="21">
                  <c:v>43127</c:v>
                </c:pt>
                <c:pt idx="22">
                  <c:v>43128</c:v>
                </c:pt>
                <c:pt idx="23">
                  <c:v>43129</c:v>
                </c:pt>
                <c:pt idx="24">
                  <c:v>43130</c:v>
                </c:pt>
                <c:pt idx="25">
                  <c:v>43131</c:v>
                </c:pt>
                <c:pt idx="26">
                  <c:v>43132</c:v>
                </c:pt>
                <c:pt idx="27">
                  <c:v>43133</c:v>
                </c:pt>
                <c:pt idx="28">
                  <c:v>43134</c:v>
                </c:pt>
                <c:pt idx="29">
                  <c:v>43135</c:v>
                </c:pt>
                <c:pt idx="30">
                  <c:v>43136</c:v>
                </c:pt>
                <c:pt idx="31">
                  <c:v>43137</c:v>
                </c:pt>
                <c:pt idx="32">
                  <c:v>43138</c:v>
                </c:pt>
                <c:pt idx="33">
                  <c:v>43139</c:v>
                </c:pt>
                <c:pt idx="34">
                  <c:v>43140</c:v>
                </c:pt>
                <c:pt idx="35">
                  <c:v>43141</c:v>
                </c:pt>
                <c:pt idx="36">
                  <c:v>43142</c:v>
                </c:pt>
                <c:pt idx="37">
                  <c:v>43143</c:v>
                </c:pt>
                <c:pt idx="38">
                  <c:v>43144</c:v>
                </c:pt>
                <c:pt idx="39">
                  <c:v>43145</c:v>
                </c:pt>
                <c:pt idx="40">
                  <c:v>43146</c:v>
                </c:pt>
                <c:pt idx="41">
                  <c:v>43147</c:v>
                </c:pt>
                <c:pt idx="42">
                  <c:v>43148</c:v>
                </c:pt>
                <c:pt idx="43">
                  <c:v>43149</c:v>
                </c:pt>
                <c:pt idx="44">
                  <c:v>43150</c:v>
                </c:pt>
                <c:pt idx="45">
                  <c:v>43151</c:v>
                </c:pt>
                <c:pt idx="46">
                  <c:v>43152</c:v>
                </c:pt>
                <c:pt idx="47">
                  <c:v>43153</c:v>
                </c:pt>
                <c:pt idx="48">
                  <c:v>43154</c:v>
                </c:pt>
                <c:pt idx="49">
                  <c:v>43155</c:v>
                </c:pt>
                <c:pt idx="50">
                  <c:v>43156</c:v>
                </c:pt>
                <c:pt idx="51">
                  <c:v>43157</c:v>
                </c:pt>
                <c:pt idx="52">
                  <c:v>43158</c:v>
                </c:pt>
                <c:pt idx="53">
                  <c:v>43159</c:v>
                </c:pt>
                <c:pt idx="54">
                  <c:v>43160</c:v>
                </c:pt>
                <c:pt idx="55">
                  <c:v>43161</c:v>
                </c:pt>
                <c:pt idx="56">
                  <c:v>43162</c:v>
                </c:pt>
                <c:pt idx="57">
                  <c:v>43163</c:v>
                </c:pt>
                <c:pt idx="58">
                  <c:v>43164</c:v>
                </c:pt>
                <c:pt idx="59">
                  <c:v>43165</c:v>
                </c:pt>
                <c:pt idx="60">
                  <c:v>43166</c:v>
                </c:pt>
                <c:pt idx="61">
                  <c:v>43167</c:v>
                </c:pt>
                <c:pt idx="62">
                  <c:v>43168</c:v>
                </c:pt>
                <c:pt idx="63">
                  <c:v>43169</c:v>
                </c:pt>
                <c:pt idx="64">
                  <c:v>43170</c:v>
                </c:pt>
                <c:pt idx="65">
                  <c:v>43171</c:v>
                </c:pt>
                <c:pt idx="66">
                  <c:v>43172</c:v>
                </c:pt>
                <c:pt idx="67">
                  <c:v>43173</c:v>
                </c:pt>
                <c:pt idx="68">
                  <c:v>43174</c:v>
                </c:pt>
                <c:pt idx="69">
                  <c:v>43175</c:v>
                </c:pt>
                <c:pt idx="70">
                  <c:v>43176</c:v>
                </c:pt>
                <c:pt idx="71">
                  <c:v>43177</c:v>
                </c:pt>
                <c:pt idx="72">
                  <c:v>43178</c:v>
                </c:pt>
                <c:pt idx="73">
                  <c:v>43179</c:v>
                </c:pt>
                <c:pt idx="74">
                  <c:v>43180</c:v>
                </c:pt>
                <c:pt idx="75">
                  <c:v>43181</c:v>
                </c:pt>
                <c:pt idx="76">
                  <c:v>43182</c:v>
                </c:pt>
                <c:pt idx="77">
                  <c:v>43183</c:v>
                </c:pt>
                <c:pt idx="78">
                  <c:v>43184</c:v>
                </c:pt>
                <c:pt idx="79">
                  <c:v>43185</c:v>
                </c:pt>
                <c:pt idx="80">
                  <c:v>43186</c:v>
                </c:pt>
                <c:pt idx="81">
                  <c:v>43187</c:v>
                </c:pt>
                <c:pt idx="82">
                  <c:v>43188</c:v>
                </c:pt>
                <c:pt idx="83">
                  <c:v>43189</c:v>
                </c:pt>
                <c:pt idx="84">
                  <c:v>43191</c:v>
                </c:pt>
                <c:pt idx="85">
                  <c:v>43192</c:v>
                </c:pt>
                <c:pt idx="86">
                  <c:v>43193</c:v>
                </c:pt>
                <c:pt idx="87">
                  <c:v>43194</c:v>
                </c:pt>
                <c:pt idx="88">
                  <c:v>43195</c:v>
                </c:pt>
                <c:pt idx="89">
                  <c:v>43196</c:v>
                </c:pt>
                <c:pt idx="90">
                  <c:v>43197</c:v>
                </c:pt>
                <c:pt idx="91">
                  <c:v>43198</c:v>
                </c:pt>
                <c:pt idx="92">
                  <c:v>43199</c:v>
                </c:pt>
                <c:pt idx="93">
                  <c:v>43200</c:v>
                </c:pt>
                <c:pt idx="94">
                  <c:v>43201</c:v>
                </c:pt>
                <c:pt idx="95">
                  <c:v>43202</c:v>
                </c:pt>
                <c:pt idx="96">
                  <c:v>43203</c:v>
                </c:pt>
                <c:pt idx="97">
                  <c:v>43204</c:v>
                </c:pt>
                <c:pt idx="98">
                  <c:v>43205</c:v>
                </c:pt>
                <c:pt idx="99">
                  <c:v>43206</c:v>
                </c:pt>
                <c:pt idx="100">
                  <c:v>43207</c:v>
                </c:pt>
                <c:pt idx="101">
                  <c:v>43208</c:v>
                </c:pt>
                <c:pt idx="102">
                  <c:v>43209</c:v>
                </c:pt>
                <c:pt idx="103">
                  <c:v>43210</c:v>
                </c:pt>
                <c:pt idx="104">
                  <c:v>43211</c:v>
                </c:pt>
                <c:pt idx="105">
                  <c:v>43212</c:v>
                </c:pt>
                <c:pt idx="106">
                  <c:v>43213</c:v>
                </c:pt>
                <c:pt idx="107">
                  <c:v>43214</c:v>
                </c:pt>
                <c:pt idx="108">
                  <c:v>43215</c:v>
                </c:pt>
                <c:pt idx="109">
                  <c:v>43216</c:v>
                </c:pt>
                <c:pt idx="110">
                  <c:v>43217</c:v>
                </c:pt>
                <c:pt idx="111">
                  <c:v>43218</c:v>
                </c:pt>
                <c:pt idx="112">
                  <c:v>43219</c:v>
                </c:pt>
              </c:numCache>
            </c:numRef>
          </c:xVal>
          <c:yVal>
            <c:numRef>
              <c:f>'RC Chart Data'!$D$7:$D$119</c:f>
              <c:numCache>
                <c:formatCode>0</c:formatCode>
                <c:ptCount val="113"/>
                <c:pt idx="0">
                  <c:v>35.2575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40.46194787120001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35.2575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56.807964051344015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55.755000000000003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48.252499999999998</c:v>
                </c:pt>
                <c:pt idx="34">
                  <c:v>#N/A</c:v>
                </c:pt>
                <c:pt idx="35">
                  <c:v>#N/A</c:v>
                </c:pt>
                <c:pt idx="36">
                  <c:v>53.754750000000001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93.921658740000055</c:v>
                </c:pt>
                <c:pt idx="41">
                  <c:v>#N/A</c:v>
                </c:pt>
                <c:pt idx="42">
                  <c:v>#N/A</c:v>
                </c:pt>
                <c:pt idx="43">
                  <c:v>86.263491484800042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90.51599148480004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100.92165283402647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EDF-4DFD-99C8-FF5F8E8BB4CC}"/>
            </c:ext>
          </c:extLst>
        </c:ser>
        <c:ser>
          <c:idx val="2"/>
          <c:order val="1"/>
          <c:tx>
            <c:strRef>
              <c:f>'RC Chart Data'!$E$6</c:f>
              <c:strCache>
                <c:ptCount val="1"/>
                <c:pt idx="0">
                  <c:v>Sameena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'RC Chart Data'!$A$7:$A$119</c:f>
              <c:numCache>
                <c:formatCode>m/d/yyyy</c:formatCode>
                <c:ptCount val="113"/>
                <c:pt idx="0">
                  <c:v>43106</c:v>
                </c:pt>
                <c:pt idx="1">
                  <c:v>43107</c:v>
                </c:pt>
                <c:pt idx="2">
                  <c:v>43108</c:v>
                </c:pt>
                <c:pt idx="3">
                  <c:v>43109</c:v>
                </c:pt>
                <c:pt idx="4">
                  <c:v>43110</c:v>
                </c:pt>
                <c:pt idx="5">
                  <c:v>43111</c:v>
                </c:pt>
                <c:pt idx="6">
                  <c:v>43112</c:v>
                </c:pt>
                <c:pt idx="7">
                  <c:v>43113</c:v>
                </c:pt>
                <c:pt idx="8">
                  <c:v>43114</c:v>
                </c:pt>
                <c:pt idx="9">
                  <c:v>43115</c:v>
                </c:pt>
                <c:pt idx="10">
                  <c:v>43116</c:v>
                </c:pt>
                <c:pt idx="11">
                  <c:v>43117</c:v>
                </c:pt>
                <c:pt idx="12">
                  <c:v>43118</c:v>
                </c:pt>
                <c:pt idx="13">
                  <c:v>43119</c:v>
                </c:pt>
                <c:pt idx="14">
                  <c:v>43120</c:v>
                </c:pt>
                <c:pt idx="15">
                  <c:v>43121</c:v>
                </c:pt>
                <c:pt idx="16">
                  <c:v>43122</c:v>
                </c:pt>
                <c:pt idx="17">
                  <c:v>43123</c:v>
                </c:pt>
                <c:pt idx="18">
                  <c:v>43124</c:v>
                </c:pt>
                <c:pt idx="19">
                  <c:v>43125</c:v>
                </c:pt>
                <c:pt idx="20">
                  <c:v>43126</c:v>
                </c:pt>
                <c:pt idx="21">
                  <c:v>43127</c:v>
                </c:pt>
                <c:pt idx="22">
                  <c:v>43128</c:v>
                </c:pt>
                <c:pt idx="23">
                  <c:v>43129</c:v>
                </c:pt>
                <c:pt idx="24">
                  <c:v>43130</c:v>
                </c:pt>
                <c:pt idx="25">
                  <c:v>43131</c:v>
                </c:pt>
                <c:pt idx="26">
                  <c:v>43132</c:v>
                </c:pt>
                <c:pt idx="27">
                  <c:v>43133</c:v>
                </c:pt>
                <c:pt idx="28">
                  <c:v>43134</c:v>
                </c:pt>
                <c:pt idx="29">
                  <c:v>43135</c:v>
                </c:pt>
                <c:pt idx="30">
                  <c:v>43136</c:v>
                </c:pt>
                <c:pt idx="31">
                  <c:v>43137</c:v>
                </c:pt>
                <c:pt idx="32">
                  <c:v>43138</c:v>
                </c:pt>
                <c:pt idx="33">
                  <c:v>43139</c:v>
                </c:pt>
                <c:pt idx="34">
                  <c:v>43140</c:v>
                </c:pt>
                <c:pt idx="35">
                  <c:v>43141</c:v>
                </c:pt>
                <c:pt idx="36">
                  <c:v>43142</c:v>
                </c:pt>
                <c:pt idx="37">
                  <c:v>43143</c:v>
                </c:pt>
                <c:pt idx="38">
                  <c:v>43144</c:v>
                </c:pt>
                <c:pt idx="39">
                  <c:v>43145</c:v>
                </c:pt>
                <c:pt idx="40">
                  <c:v>43146</c:v>
                </c:pt>
                <c:pt idx="41">
                  <c:v>43147</c:v>
                </c:pt>
                <c:pt idx="42">
                  <c:v>43148</c:v>
                </c:pt>
                <c:pt idx="43">
                  <c:v>43149</c:v>
                </c:pt>
                <c:pt idx="44">
                  <c:v>43150</c:v>
                </c:pt>
                <c:pt idx="45">
                  <c:v>43151</c:v>
                </c:pt>
                <c:pt idx="46">
                  <c:v>43152</c:v>
                </c:pt>
                <c:pt idx="47">
                  <c:v>43153</c:v>
                </c:pt>
                <c:pt idx="48">
                  <c:v>43154</c:v>
                </c:pt>
                <c:pt idx="49">
                  <c:v>43155</c:v>
                </c:pt>
                <c:pt idx="50">
                  <c:v>43156</c:v>
                </c:pt>
                <c:pt idx="51">
                  <c:v>43157</c:v>
                </c:pt>
                <c:pt idx="52">
                  <c:v>43158</c:v>
                </c:pt>
                <c:pt idx="53">
                  <c:v>43159</c:v>
                </c:pt>
                <c:pt idx="54">
                  <c:v>43160</c:v>
                </c:pt>
                <c:pt idx="55">
                  <c:v>43161</c:v>
                </c:pt>
                <c:pt idx="56">
                  <c:v>43162</c:v>
                </c:pt>
                <c:pt idx="57">
                  <c:v>43163</c:v>
                </c:pt>
                <c:pt idx="58">
                  <c:v>43164</c:v>
                </c:pt>
                <c:pt idx="59">
                  <c:v>43165</c:v>
                </c:pt>
                <c:pt idx="60">
                  <c:v>43166</c:v>
                </c:pt>
                <c:pt idx="61">
                  <c:v>43167</c:v>
                </c:pt>
                <c:pt idx="62">
                  <c:v>43168</c:v>
                </c:pt>
                <c:pt idx="63">
                  <c:v>43169</c:v>
                </c:pt>
                <c:pt idx="64">
                  <c:v>43170</c:v>
                </c:pt>
                <c:pt idx="65">
                  <c:v>43171</c:v>
                </c:pt>
                <c:pt idx="66">
                  <c:v>43172</c:v>
                </c:pt>
                <c:pt idx="67">
                  <c:v>43173</c:v>
                </c:pt>
                <c:pt idx="68">
                  <c:v>43174</c:v>
                </c:pt>
                <c:pt idx="69">
                  <c:v>43175</c:v>
                </c:pt>
                <c:pt idx="70">
                  <c:v>43176</c:v>
                </c:pt>
                <c:pt idx="71">
                  <c:v>43177</c:v>
                </c:pt>
                <c:pt idx="72">
                  <c:v>43178</c:v>
                </c:pt>
                <c:pt idx="73">
                  <c:v>43179</c:v>
                </c:pt>
                <c:pt idx="74">
                  <c:v>43180</c:v>
                </c:pt>
                <c:pt idx="75">
                  <c:v>43181</c:v>
                </c:pt>
                <c:pt idx="76">
                  <c:v>43182</c:v>
                </c:pt>
                <c:pt idx="77">
                  <c:v>43183</c:v>
                </c:pt>
                <c:pt idx="78">
                  <c:v>43184</c:v>
                </c:pt>
                <c:pt idx="79">
                  <c:v>43185</c:v>
                </c:pt>
                <c:pt idx="80">
                  <c:v>43186</c:v>
                </c:pt>
                <c:pt idx="81">
                  <c:v>43187</c:v>
                </c:pt>
                <c:pt idx="82">
                  <c:v>43188</c:v>
                </c:pt>
                <c:pt idx="83">
                  <c:v>43189</c:v>
                </c:pt>
                <c:pt idx="84">
                  <c:v>43191</c:v>
                </c:pt>
                <c:pt idx="85">
                  <c:v>43192</c:v>
                </c:pt>
                <c:pt idx="86">
                  <c:v>43193</c:v>
                </c:pt>
                <c:pt idx="87">
                  <c:v>43194</c:v>
                </c:pt>
                <c:pt idx="88">
                  <c:v>43195</c:v>
                </c:pt>
                <c:pt idx="89">
                  <c:v>43196</c:v>
                </c:pt>
                <c:pt idx="90">
                  <c:v>43197</c:v>
                </c:pt>
                <c:pt idx="91">
                  <c:v>43198</c:v>
                </c:pt>
                <c:pt idx="92">
                  <c:v>43199</c:v>
                </c:pt>
                <c:pt idx="93">
                  <c:v>43200</c:v>
                </c:pt>
                <c:pt idx="94">
                  <c:v>43201</c:v>
                </c:pt>
                <c:pt idx="95">
                  <c:v>43202</c:v>
                </c:pt>
                <c:pt idx="96">
                  <c:v>43203</c:v>
                </c:pt>
                <c:pt idx="97">
                  <c:v>43204</c:v>
                </c:pt>
                <c:pt idx="98">
                  <c:v>43205</c:v>
                </c:pt>
                <c:pt idx="99">
                  <c:v>43206</c:v>
                </c:pt>
                <c:pt idx="100">
                  <c:v>43207</c:v>
                </c:pt>
                <c:pt idx="101">
                  <c:v>43208</c:v>
                </c:pt>
                <c:pt idx="102">
                  <c:v>43209</c:v>
                </c:pt>
                <c:pt idx="103">
                  <c:v>43210</c:v>
                </c:pt>
                <c:pt idx="104">
                  <c:v>43211</c:v>
                </c:pt>
                <c:pt idx="105">
                  <c:v>43212</c:v>
                </c:pt>
                <c:pt idx="106">
                  <c:v>43213</c:v>
                </c:pt>
                <c:pt idx="107">
                  <c:v>43214</c:v>
                </c:pt>
                <c:pt idx="108">
                  <c:v>43215</c:v>
                </c:pt>
                <c:pt idx="109">
                  <c:v>43216</c:v>
                </c:pt>
                <c:pt idx="110">
                  <c:v>43217</c:v>
                </c:pt>
                <c:pt idx="111">
                  <c:v>43218</c:v>
                </c:pt>
                <c:pt idx="112">
                  <c:v>43219</c:v>
                </c:pt>
              </c:numCache>
            </c:numRef>
          </c:xVal>
          <c:yVal>
            <c:numRef>
              <c:f>'RC Chart Data'!$E$7:$E$119</c:f>
              <c:numCache>
                <c:formatCode>0</c:formatCode>
                <c:ptCount val="113"/>
                <c:pt idx="0">
                  <c:v>103.24839734157318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67.057440881588661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124.54826206356827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129.6209076903377</c:v>
                </c:pt>
                <c:pt idx="29">
                  <c:v>#N/A</c:v>
                </c:pt>
                <c:pt idx="30">
                  <c:v>#N/A</c:v>
                </c:pt>
                <c:pt idx="31">
                  <c:v>138.38116333173295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118.19048824116825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138.38116333173295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EDF-4DFD-99C8-FF5F8E8BB4CC}"/>
            </c:ext>
          </c:extLst>
        </c:ser>
        <c:ser>
          <c:idx val="3"/>
          <c:order val="2"/>
          <c:tx>
            <c:strRef>
              <c:f>'RC Chart Data'!$F$6</c:f>
              <c:strCache>
                <c:ptCount val="1"/>
                <c:pt idx="0">
                  <c:v>Mark Guste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4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'RC Chart Data'!$A$7:$A$119</c:f>
              <c:numCache>
                <c:formatCode>m/d/yyyy</c:formatCode>
                <c:ptCount val="113"/>
                <c:pt idx="0">
                  <c:v>43106</c:v>
                </c:pt>
                <c:pt idx="1">
                  <c:v>43107</c:v>
                </c:pt>
                <c:pt idx="2">
                  <c:v>43108</c:v>
                </c:pt>
                <c:pt idx="3">
                  <c:v>43109</c:v>
                </c:pt>
                <c:pt idx="4">
                  <c:v>43110</c:v>
                </c:pt>
                <c:pt idx="5">
                  <c:v>43111</c:v>
                </c:pt>
                <c:pt idx="6">
                  <c:v>43112</c:v>
                </c:pt>
                <c:pt idx="7">
                  <c:v>43113</c:v>
                </c:pt>
                <c:pt idx="8">
                  <c:v>43114</c:v>
                </c:pt>
                <c:pt idx="9">
                  <c:v>43115</c:v>
                </c:pt>
                <c:pt idx="10">
                  <c:v>43116</c:v>
                </c:pt>
                <c:pt idx="11">
                  <c:v>43117</c:v>
                </c:pt>
                <c:pt idx="12">
                  <c:v>43118</c:v>
                </c:pt>
                <c:pt idx="13">
                  <c:v>43119</c:v>
                </c:pt>
                <c:pt idx="14">
                  <c:v>43120</c:v>
                </c:pt>
                <c:pt idx="15">
                  <c:v>43121</c:v>
                </c:pt>
                <c:pt idx="16">
                  <c:v>43122</c:v>
                </c:pt>
                <c:pt idx="17">
                  <c:v>43123</c:v>
                </c:pt>
                <c:pt idx="18">
                  <c:v>43124</c:v>
                </c:pt>
                <c:pt idx="19">
                  <c:v>43125</c:v>
                </c:pt>
                <c:pt idx="20">
                  <c:v>43126</c:v>
                </c:pt>
                <c:pt idx="21">
                  <c:v>43127</c:v>
                </c:pt>
                <c:pt idx="22">
                  <c:v>43128</c:v>
                </c:pt>
                <c:pt idx="23">
                  <c:v>43129</c:v>
                </c:pt>
                <c:pt idx="24">
                  <c:v>43130</c:v>
                </c:pt>
                <c:pt idx="25">
                  <c:v>43131</c:v>
                </c:pt>
                <c:pt idx="26">
                  <c:v>43132</c:v>
                </c:pt>
                <c:pt idx="27">
                  <c:v>43133</c:v>
                </c:pt>
                <c:pt idx="28">
                  <c:v>43134</c:v>
                </c:pt>
                <c:pt idx="29">
                  <c:v>43135</c:v>
                </c:pt>
                <c:pt idx="30">
                  <c:v>43136</c:v>
                </c:pt>
                <c:pt idx="31">
                  <c:v>43137</c:v>
                </c:pt>
                <c:pt idx="32">
                  <c:v>43138</c:v>
                </c:pt>
                <c:pt idx="33">
                  <c:v>43139</c:v>
                </c:pt>
                <c:pt idx="34">
                  <c:v>43140</c:v>
                </c:pt>
                <c:pt idx="35">
                  <c:v>43141</c:v>
                </c:pt>
                <c:pt idx="36">
                  <c:v>43142</c:v>
                </c:pt>
                <c:pt idx="37">
                  <c:v>43143</c:v>
                </c:pt>
                <c:pt idx="38">
                  <c:v>43144</c:v>
                </c:pt>
                <c:pt idx="39">
                  <c:v>43145</c:v>
                </c:pt>
                <c:pt idx="40">
                  <c:v>43146</c:v>
                </c:pt>
                <c:pt idx="41">
                  <c:v>43147</c:v>
                </c:pt>
                <c:pt idx="42">
                  <c:v>43148</c:v>
                </c:pt>
                <c:pt idx="43">
                  <c:v>43149</c:v>
                </c:pt>
                <c:pt idx="44">
                  <c:v>43150</c:v>
                </c:pt>
                <c:pt idx="45">
                  <c:v>43151</c:v>
                </c:pt>
                <c:pt idx="46">
                  <c:v>43152</c:v>
                </c:pt>
                <c:pt idx="47">
                  <c:v>43153</c:v>
                </c:pt>
                <c:pt idx="48">
                  <c:v>43154</c:v>
                </c:pt>
                <c:pt idx="49">
                  <c:v>43155</c:v>
                </c:pt>
                <c:pt idx="50">
                  <c:v>43156</c:v>
                </c:pt>
                <c:pt idx="51">
                  <c:v>43157</c:v>
                </c:pt>
                <c:pt idx="52">
                  <c:v>43158</c:v>
                </c:pt>
                <c:pt idx="53">
                  <c:v>43159</c:v>
                </c:pt>
                <c:pt idx="54">
                  <c:v>43160</c:v>
                </c:pt>
                <c:pt idx="55">
                  <c:v>43161</c:v>
                </c:pt>
                <c:pt idx="56">
                  <c:v>43162</c:v>
                </c:pt>
                <c:pt idx="57">
                  <c:v>43163</c:v>
                </c:pt>
                <c:pt idx="58">
                  <c:v>43164</c:v>
                </c:pt>
                <c:pt idx="59">
                  <c:v>43165</c:v>
                </c:pt>
                <c:pt idx="60">
                  <c:v>43166</c:v>
                </c:pt>
                <c:pt idx="61">
                  <c:v>43167</c:v>
                </c:pt>
                <c:pt idx="62">
                  <c:v>43168</c:v>
                </c:pt>
                <c:pt idx="63">
                  <c:v>43169</c:v>
                </c:pt>
                <c:pt idx="64">
                  <c:v>43170</c:v>
                </c:pt>
                <c:pt idx="65">
                  <c:v>43171</c:v>
                </c:pt>
                <c:pt idx="66">
                  <c:v>43172</c:v>
                </c:pt>
                <c:pt idx="67">
                  <c:v>43173</c:v>
                </c:pt>
                <c:pt idx="68">
                  <c:v>43174</c:v>
                </c:pt>
                <c:pt idx="69">
                  <c:v>43175</c:v>
                </c:pt>
                <c:pt idx="70">
                  <c:v>43176</c:v>
                </c:pt>
                <c:pt idx="71">
                  <c:v>43177</c:v>
                </c:pt>
                <c:pt idx="72">
                  <c:v>43178</c:v>
                </c:pt>
                <c:pt idx="73">
                  <c:v>43179</c:v>
                </c:pt>
                <c:pt idx="74">
                  <c:v>43180</c:v>
                </c:pt>
                <c:pt idx="75">
                  <c:v>43181</c:v>
                </c:pt>
                <c:pt idx="76">
                  <c:v>43182</c:v>
                </c:pt>
                <c:pt idx="77">
                  <c:v>43183</c:v>
                </c:pt>
                <c:pt idx="78">
                  <c:v>43184</c:v>
                </c:pt>
                <c:pt idx="79">
                  <c:v>43185</c:v>
                </c:pt>
                <c:pt idx="80">
                  <c:v>43186</c:v>
                </c:pt>
                <c:pt idx="81">
                  <c:v>43187</c:v>
                </c:pt>
                <c:pt idx="82">
                  <c:v>43188</c:v>
                </c:pt>
                <c:pt idx="83">
                  <c:v>43189</c:v>
                </c:pt>
                <c:pt idx="84">
                  <c:v>43191</c:v>
                </c:pt>
                <c:pt idx="85">
                  <c:v>43192</c:v>
                </c:pt>
                <c:pt idx="86">
                  <c:v>43193</c:v>
                </c:pt>
                <c:pt idx="87">
                  <c:v>43194</c:v>
                </c:pt>
                <c:pt idx="88">
                  <c:v>43195</c:v>
                </c:pt>
                <c:pt idx="89">
                  <c:v>43196</c:v>
                </c:pt>
                <c:pt idx="90">
                  <c:v>43197</c:v>
                </c:pt>
                <c:pt idx="91">
                  <c:v>43198</c:v>
                </c:pt>
                <c:pt idx="92">
                  <c:v>43199</c:v>
                </c:pt>
                <c:pt idx="93">
                  <c:v>43200</c:v>
                </c:pt>
                <c:pt idx="94">
                  <c:v>43201</c:v>
                </c:pt>
                <c:pt idx="95">
                  <c:v>43202</c:v>
                </c:pt>
                <c:pt idx="96">
                  <c:v>43203</c:v>
                </c:pt>
                <c:pt idx="97">
                  <c:v>43204</c:v>
                </c:pt>
                <c:pt idx="98">
                  <c:v>43205</c:v>
                </c:pt>
                <c:pt idx="99">
                  <c:v>43206</c:v>
                </c:pt>
                <c:pt idx="100">
                  <c:v>43207</c:v>
                </c:pt>
                <c:pt idx="101">
                  <c:v>43208</c:v>
                </c:pt>
                <c:pt idx="102">
                  <c:v>43209</c:v>
                </c:pt>
                <c:pt idx="103">
                  <c:v>43210</c:v>
                </c:pt>
                <c:pt idx="104">
                  <c:v>43211</c:v>
                </c:pt>
                <c:pt idx="105">
                  <c:v>43212</c:v>
                </c:pt>
                <c:pt idx="106">
                  <c:v>43213</c:v>
                </c:pt>
                <c:pt idx="107">
                  <c:v>43214</c:v>
                </c:pt>
                <c:pt idx="108">
                  <c:v>43215</c:v>
                </c:pt>
                <c:pt idx="109">
                  <c:v>43216</c:v>
                </c:pt>
                <c:pt idx="110">
                  <c:v>43217</c:v>
                </c:pt>
                <c:pt idx="111">
                  <c:v>43218</c:v>
                </c:pt>
                <c:pt idx="112">
                  <c:v>43219</c:v>
                </c:pt>
              </c:numCache>
            </c:numRef>
          </c:xVal>
          <c:yVal>
            <c:numRef>
              <c:f>'RC Chart Data'!$F$7:$F$119</c:f>
              <c:numCache>
                <c:formatCode>0</c:formatCode>
                <c:ptCount val="113"/>
                <c:pt idx="0">
                  <c:v>47.960195371200015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EDF-4DFD-99C8-FF5F8E8BB4CC}"/>
            </c:ext>
          </c:extLst>
        </c:ser>
        <c:ser>
          <c:idx val="4"/>
          <c:order val="3"/>
          <c:tx>
            <c:strRef>
              <c:f>'RC Chart Data'!$G$6</c:f>
              <c:strCache>
                <c:ptCount val="1"/>
                <c:pt idx="0">
                  <c:v>Edwin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chemeClr val="accent4">
                  <a:lumMod val="40000"/>
                  <a:lumOff val="60000"/>
                </a:schemeClr>
              </a:solidFill>
              <a:ln w="9525">
                <a:noFill/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trendline>
            <c:spPr>
              <a:ln w="19050" cap="rnd">
                <a:solidFill>
                  <a:schemeClr val="accent4">
                    <a:lumMod val="40000"/>
                    <a:lumOff val="60000"/>
                  </a:schemeClr>
                </a:solidFill>
              </a:ln>
              <a:effectLst/>
            </c:spPr>
            <c:trendlineType val="linear"/>
            <c:dispRSqr val="0"/>
            <c:dispEq val="0"/>
          </c:trendline>
          <c:xVal>
            <c:numRef>
              <c:f>'RC Chart Data'!$A$7:$A$119</c:f>
              <c:numCache>
                <c:formatCode>m/d/yyyy</c:formatCode>
                <c:ptCount val="113"/>
                <c:pt idx="0">
                  <c:v>43106</c:v>
                </c:pt>
                <c:pt idx="1">
                  <c:v>43107</c:v>
                </c:pt>
                <c:pt idx="2">
                  <c:v>43108</c:v>
                </c:pt>
                <c:pt idx="3">
                  <c:v>43109</c:v>
                </c:pt>
                <c:pt idx="4">
                  <c:v>43110</c:v>
                </c:pt>
                <c:pt idx="5">
                  <c:v>43111</c:v>
                </c:pt>
                <c:pt idx="6">
                  <c:v>43112</c:v>
                </c:pt>
                <c:pt idx="7">
                  <c:v>43113</c:v>
                </c:pt>
                <c:pt idx="8">
                  <c:v>43114</c:v>
                </c:pt>
                <c:pt idx="9">
                  <c:v>43115</c:v>
                </c:pt>
                <c:pt idx="10">
                  <c:v>43116</c:v>
                </c:pt>
                <c:pt idx="11">
                  <c:v>43117</c:v>
                </c:pt>
                <c:pt idx="12">
                  <c:v>43118</c:v>
                </c:pt>
                <c:pt idx="13">
                  <c:v>43119</c:v>
                </c:pt>
                <c:pt idx="14">
                  <c:v>43120</c:v>
                </c:pt>
                <c:pt idx="15">
                  <c:v>43121</c:v>
                </c:pt>
                <c:pt idx="16">
                  <c:v>43122</c:v>
                </c:pt>
                <c:pt idx="17">
                  <c:v>43123</c:v>
                </c:pt>
                <c:pt idx="18">
                  <c:v>43124</c:v>
                </c:pt>
                <c:pt idx="19">
                  <c:v>43125</c:v>
                </c:pt>
                <c:pt idx="20">
                  <c:v>43126</c:v>
                </c:pt>
                <c:pt idx="21">
                  <c:v>43127</c:v>
                </c:pt>
                <c:pt idx="22">
                  <c:v>43128</c:v>
                </c:pt>
                <c:pt idx="23">
                  <c:v>43129</c:v>
                </c:pt>
                <c:pt idx="24">
                  <c:v>43130</c:v>
                </c:pt>
                <c:pt idx="25">
                  <c:v>43131</c:v>
                </c:pt>
                <c:pt idx="26">
                  <c:v>43132</c:v>
                </c:pt>
                <c:pt idx="27">
                  <c:v>43133</c:v>
                </c:pt>
                <c:pt idx="28">
                  <c:v>43134</c:v>
                </c:pt>
                <c:pt idx="29">
                  <c:v>43135</c:v>
                </c:pt>
                <c:pt idx="30">
                  <c:v>43136</c:v>
                </c:pt>
                <c:pt idx="31">
                  <c:v>43137</c:v>
                </c:pt>
                <c:pt idx="32">
                  <c:v>43138</c:v>
                </c:pt>
                <c:pt idx="33">
                  <c:v>43139</c:v>
                </c:pt>
                <c:pt idx="34">
                  <c:v>43140</c:v>
                </c:pt>
                <c:pt idx="35">
                  <c:v>43141</c:v>
                </c:pt>
                <c:pt idx="36">
                  <c:v>43142</c:v>
                </c:pt>
                <c:pt idx="37">
                  <c:v>43143</c:v>
                </c:pt>
                <c:pt idx="38">
                  <c:v>43144</c:v>
                </c:pt>
                <c:pt idx="39">
                  <c:v>43145</c:v>
                </c:pt>
                <c:pt idx="40">
                  <c:v>43146</c:v>
                </c:pt>
                <c:pt idx="41">
                  <c:v>43147</c:v>
                </c:pt>
                <c:pt idx="42">
                  <c:v>43148</c:v>
                </c:pt>
                <c:pt idx="43">
                  <c:v>43149</c:v>
                </c:pt>
                <c:pt idx="44">
                  <c:v>43150</c:v>
                </c:pt>
                <c:pt idx="45">
                  <c:v>43151</c:v>
                </c:pt>
                <c:pt idx="46">
                  <c:v>43152</c:v>
                </c:pt>
                <c:pt idx="47">
                  <c:v>43153</c:v>
                </c:pt>
                <c:pt idx="48">
                  <c:v>43154</c:v>
                </c:pt>
                <c:pt idx="49">
                  <c:v>43155</c:v>
                </c:pt>
                <c:pt idx="50">
                  <c:v>43156</c:v>
                </c:pt>
                <c:pt idx="51">
                  <c:v>43157</c:v>
                </c:pt>
                <c:pt idx="52">
                  <c:v>43158</c:v>
                </c:pt>
                <c:pt idx="53">
                  <c:v>43159</c:v>
                </c:pt>
                <c:pt idx="54">
                  <c:v>43160</c:v>
                </c:pt>
                <c:pt idx="55">
                  <c:v>43161</c:v>
                </c:pt>
                <c:pt idx="56">
                  <c:v>43162</c:v>
                </c:pt>
                <c:pt idx="57">
                  <c:v>43163</c:v>
                </c:pt>
                <c:pt idx="58">
                  <c:v>43164</c:v>
                </c:pt>
                <c:pt idx="59">
                  <c:v>43165</c:v>
                </c:pt>
                <c:pt idx="60">
                  <c:v>43166</c:v>
                </c:pt>
                <c:pt idx="61">
                  <c:v>43167</c:v>
                </c:pt>
                <c:pt idx="62">
                  <c:v>43168</c:v>
                </c:pt>
                <c:pt idx="63">
                  <c:v>43169</c:v>
                </c:pt>
                <c:pt idx="64">
                  <c:v>43170</c:v>
                </c:pt>
                <c:pt idx="65">
                  <c:v>43171</c:v>
                </c:pt>
                <c:pt idx="66">
                  <c:v>43172</c:v>
                </c:pt>
                <c:pt idx="67">
                  <c:v>43173</c:v>
                </c:pt>
                <c:pt idx="68">
                  <c:v>43174</c:v>
                </c:pt>
                <c:pt idx="69">
                  <c:v>43175</c:v>
                </c:pt>
                <c:pt idx="70">
                  <c:v>43176</c:v>
                </c:pt>
                <c:pt idx="71">
                  <c:v>43177</c:v>
                </c:pt>
                <c:pt idx="72">
                  <c:v>43178</c:v>
                </c:pt>
                <c:pt idx="73">
                  <c:v>43179</c:v>
                </c:pt>
                <c:pt idx="74">
                  <c:v>43180</c:v>
                </c:pt>
                <c:pt idx="75">
                  <c:v>43181</c:v>
                </c:pt>
                <c:pt idx="76">
                  <c:v>43182</c:v>
                </c:pt>
                <c:pt idx="77">
                  <c:v>43183</c:v>
                </c:pt>
                <c:pt idx="78">
                  <c:v>43184</c:v>
                </c:pt>
                <c:pt idx="79">
                  <c:v>43185</c:v>
                </c:pt>
                <c:pt idx="80">
                  <c:v>43186</c:v>
                </c:pt>
                <c:pt idx="81">
                  <c:v>43187</c:v>
                </c:pt>
                <c:pt idx="82">
                  <c:v>43188</c:v>
                </c:pt>
                <c:pt idx="83">
                  <c:v>43189</c:v>
                </c:pt>
                <c:pt idx="84">
                  <c:v>43191</c:v>
                </c:pt>
                <c:pt idx="85">
                  <c:v>43192</c:v>
                </c:pt>
                <c:pt idx="86">
                  <c:v>43193</c:v>
                </c:pt>
                <c:pt idx="87">
                  <c:v>43194</c:v>
                </c:pt>
                <c:pt idx="88">
                  <c:v>43195</c:v>
                </c:pt>
                <c:pt idx="89">
                  <c:v>43196</c:v>
                </c:pt>
                <c:pt idx="90">
                  <c:v>43197</c:v>
                </c:pt>
                <c:pt idx="91">
                  <c:v>43198</c:v>
                </c:pt>
                <c:pt idx="92">
                  <c:v>43199</c:v>
                </c:pt>
                <c:pt idx="93">
                  <c:v>43200</c:v>
                </c:pt>
                <c:pt idx="94">
                  <c:v>43201</c:v>
                </c:pt>
                <c:pt idx="95">
                  <c:v>43202</c:v>
                </c:pt>
                <c:pt idx="96">
                  <c:v>43203</c:v>
                </c:pt>
                <c:pt idx="97">
                  <c:v>43204</c:v>
                </c:pt>
                <c:pt idx="98">
                  <c:v>43205</c:v>
                </c:pt>
                <c:pt idx="99">
                  <c:v>43206</c:v>
                </c:pt>
                <c:pt idx="100">
                  <c:v>43207</c:v>
                </c:pt>
                <c:pt idx="101">
                  <c:v>43208</c:v>
                </c:pt>
                <c:pt idx="102">
                  <c:v>43209</c:v>
                </c:pt>
                <c:pt idx="103">
                  <c:v>43210</c:v>
                </c:pt>
                <c:pt idx="104">
                  <c:v>43211</c:v>
                </c:pt>
                <c:pt idx="105">
                  <c:v>43212</c:v>
                </c:pt>
                <c:pt idx="106">
                  <c:v>43213</c:v>
                </c:pt>
                <c:pt idx="107">
                  <c:v>43214</c:v>
                </c:pt>
                <c:pt idx="108">
                  <c:v>43215</c:v>
                </c:pt>
                <c:pt idx="109">
                  <c:v>43216</c:v>
                </c:pt>
                <c:pt idx="110">
                  <c:v>43217</c:v>
                </c:pt>
                <c:pt idx="111">
                  <c:v>43218</c:v>
                </c:pt>
                <c:pt idx="112">
                  <c:v>43219</c:v>
                </c:pt>
              </c:numCache>
            </c:numRef>
          </c:xVal>
          <c:yVal>
            <c:numRef>
              <c:f>'RC Chart Data'!$G$7:$G$119</c:f>
              <c:numCache>
                <c:formatCode>0</c:formatCode>
                <c:ptCount val="113"/>
                <c:pt idx="0">
                  <c:v>#N/A</c:v>
                </c:pt>
                <c:pt idx="1">
                  <c:v>#N/A</c:v>
                </c:pt>
                <c:pt idx="2">
                  <c:v>61.553862871200025</c:v>
                </c:pt>
                <c:pt idx="3">
                  <c:v>#N/A</c:v>
                </c:pt>
                <c:pt idx="4">
                  <c:v>#N/A</c:v>
                </c:pt>
                <c:pt idx="5">
                  <c:v>58.204667646209622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79.182235742400024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78.750956457544135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113.21450632116824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91.124918920082052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99.027409911202284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90.51599148480004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104.44732740826649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103.12441758933291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103.12441758933291</c:v>
                </c:pt>
                <c:pt idx="60">
                  <c:v>#N/A</c:v>
                </c:pt>
                <c:pt idx="61">
                  <c:v>#N/A</c:v>
                </c:pt>
                <c:pt idx="62">
                  <c:v>90.51599148480004</c:v>
                </c:pt>
                <c:pt idx="63">
                  <c:v>#N/A</c:v>
                </c:pt>
                <c:pt idx="64">
                  <c:v>94.761675119115466</c:v>
                </c:pt>
                <c:pt idx="65">
                  <c:v>#N/A</c:v>
                </c:pt>
                <c:pt idx="66">
                  <c:v>#N/A</c:v>
                </c:pt>
                <c:pt idx="67">
                  <c:v>97.530876774184151</c:v>
                </c:pt>
                <c:pt idx="68">
                  <c:v>#N/A</c:v>
                </c:pt>
                <c:pt idx="69">
                  <c:v>#N/A</c:v>
                </c:pt>
                <c:pt idx="70">
                  <c:v>128.08468294187779</c:v>
                </c:pt>
                <c:pt idx="71">
                  <c:v>#N/A</c:v>
                </c:pt>
                <c:pt idx="72">
                  <c:v>113.54159543575551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105.77023722720006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133.25766388937112</c:v>
                </c:pt>
                <c:pt idx="82">
                  <c:v>#N/A</c:v>
                </c:pt>
                <c:pt idx="83">
                  <c:v>133.81949581994093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124.31270473994539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109.26576321476189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EDF-4DFD-99C8-FF5F8E8BB4CC}"/>
            </c:ext>
          </c:extLst>
        </c:ser>
        <c:ser>
          <c:idx val="5"/>
          <c:order val="4"/>
          <c:tx>
            <c:strRef>
              <c:f>'RC Chart Data'!$H$6</c:f>
              <c:strCache>
                <c:ptCount val="1"/>
                <c:pt idx="0">
                  <c:v>Michelle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rgbClr val="FF99FF"/>
              </a:solidFill>
              <a:ln w="9525">
                <a:noFill/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'RC Chart Data'!$A$7:$A$119</c:f>
              <c:numCache>
                <c:formatCode>m/d/yyyy</c:formatCode>
                <c:ptCount val="113"/>
                <c:pt idx="0">
                  <c:v>43106</c:v>
                </c:pt>
                <c:pt idx="1">
                  <c:v>43107</c:v>
                </c:pt>
                <c:pt idx="2">
                  <c:v>43108</c:v>
                </c:pt>
                <c:pt idx="3">
                  <c:v>43109</c:v>
                </c:pt>
                <c:pt idx="4">
                  <c:v>43110</c:v>
                </c:pt>
                <c:pt idx="5">
                  <c:v>43111</c:v>
                </c:pt>
                <c:pt idx="6">
                  <c:v>43112</c:v>
                </c:pt>
                <c:pt idx="7">
                  <c:v>43113</c:v>
                </c:pt>
                <c:pt idx="8">
                  <c:v>43114</c:v>
                </c:pt>
                <c:pt idx="9">
                  <c:v>43115</c:v>
                </c:pt>
                <c:pt idx="10">
                  <c:v>43116</c:v>
                </c:pt>
                <c:pt idx="11">
                  <c:v>43117</c:v>
                </c:pt>
                <c:pt idx="12">
                  <c:v>43118</c:v>
                </c:pt>
                <c:pt idx="13">
                  <c:v>43119</c:v>
                </c:pt>
                <c:pt idx="14">
                  <c:v>43120</c:v>
                </c:pt>
                <c:pt idx="15">
                  <c:v>43121</c:v>
                </c:pt>
                <c:pt idx="16">
                  <c:v>43122</c:v>
                </c:pt>
                <c:pt idx="17">
                  <c:v>43123</c:v>
                </c:pt>
                <c:pt idx="18">
                  <c:v>43124</c:v>
                </c:pt>
                <c:pt idx="19">
                  <c:v>43125</c:v>
                </c:pt>
                <c:pt idx="20">
                  <c:v>43126</c:v>
                </c:pt>
                <c:pt idx="21">
                  <c:v>43127</c:v>
                </c:pt>
                <c:pt idx="22">
                  <c:v>43128</c:v>
                </c:pt>
                <c:pt idx="23">
                  <c:v>43129</c:v>
                </c:pt>
                <c:pt idx="24">
                  <c:v>43130</c:v>
                </c:pt>
                <c:pt idx="25">
                  <c:v>43131</c:v>
                </c:pt>
                <c:pt idx="26">
                  <c:v>43132</c:v>
                </c:pt>
                <c:pt idx="27">
                  <c:v>43133</c:v>
                </c:pt>
                <c:pt idx="28">
                  <c:v>43134</c:v>
                </c:pt>
                <c:pt idx="29">
                  <c:v>43135</c:v>
                </c:pt>
                <c:pt idx="30">
                  <c:v>43136</c:v>
                </c:pt>
                <c:pt idx="31">
                  <c:v>43137</c:v>
                </c:pt>
                <c:pt idx="32">
                  <c:v>43138</c:v>
                </c:pt>
                <c:pt idx="33">
                  <c:v>43139</c:v>
                </c:pt>
                <c:pt idx="34">
                  <c:v>43140</c:v>
                </c:pt>
                <c:pt idx="35">
                  <c:v>43141</c:v>
                </c:pt>
                <c:pt idx="36">
                  <c:v>43142</c:v>
                </c:pt>
                <c:pt idx="37">
                  <c:v>43143</c:v>
                </c:pt>
                <c:pt idx="38">
                  <c:v>43144</c:v>
                </c:pt>
                <c:pt idx="39">
                  <c:v>43145</c:v>
                </c:pt>
                <c:pt idx="40">
                  <c:v>43146</c:v>
                </c:pt>
                <c:pt idx="41">
                  <c:v>43147</c:v>
                </c:pt>
                <c:pt idx="42">
                  <c:v>43148</c:v>
                </c:pt>
                <c:pt idx="43">
                  <c:v>43149</c:v>
                </c:pt>
                <c:pt idx="44">
                  <c:v>43150</c:v>
                </c:pt>
                <c:pt idx="45">
                  <c:v>43151</c:v>
                </c:pt>
                <c:pt idx="46">
                  <c:v>43152</c:v>
                </c:pt>
                <c:pt idx="47">
                  <c:v>43153</c:v>
                </c:pt>
                <c:pt idx="48">
                  <c:v>43154</c:v>
                </c:pt>
                <c:pt idx="49">
                  <c:v>43155</c:v>
                </c:pt>
                <c:pt idx="50">
                  <c:v>43156</c:v>
                </c:pt>
                <c:pt idx="51">
                  <c:v>43157</c:v>
                </c:pt>
                <c:pt idx="52">
                  <c:v>43158</c:v>
                </c:pt>
                <c:pt idx="53">
                  <c:v>43159</c:v>
                </c:pt>
                <c:pt idx="54">
                  <c:v>43160</c:v>
                </c:pt>
                <c:pt idx="55">
                  <c:v>43161</c:v>
                </c:pt>
                <c:pt idx="56">
                  <c:v>43162</c:v>
                </c:pt>
                <c:pt idx="57">
                  <c:v>43163</c:v>
                </c:pt>
                <c:pt idx="58">
                  <c:v>43164</c:v>
                </c:pt>
                <c:pt idx="59">
                  <c:v>43165</c:v>
                </c:pt>
                <c:pt idx="60">
                  <c:v>43166</c:v>
                </c:pt>
                <c:pt idx="61">
                  <c:v>43167</c:v>
                </c:pt>
                <c:pt idx="62">
                  <c:v>43168</c:v>
                </c:pt>
                <c:pt idx="63">
                  <c:v>43169</c:v>
                </c:pt>
                <c:pt idx="64">
                  <c:v>43170</c:v>
                </c:pt>
                <c:pt idx="65">
                  <c:v>43171</c:v>
                </c:pt>
                <c:pt idx="66">
                  <c:v>43172</c:v>
                </c:pt>
                <c:pt idx="67">
                  <c:v>43173</c:v>
                </c:pt>
                <c:pt idx="68">
                  <c:v>43174</c:v>
                </c:pt>
                <c:pt idx="69">
                  <c:v>43175</c:v>
                </c:pt>
                <c:pt idx="70">
                  <c:v>43176</c:v>
                </c:pt>
                <c:pt idx="71">
                  <c:v>43177</c:v>
                </c:pt>
                <c:pt idx="72">
                  <c:v>43178</c:v>
                </c:pt>
                <c:pt idx="73">
                  <c:v>43179</c:v>
                </c:pt>
                <c:pt idx="74">
                  <c:v>43180</c:v>
                </c:pt>
                <c:pt idx="75">
                  <c:v>43181</c:v>
                </c:pt>
                <c:pt idx="76">
                  <c:v>43182</c:v>
                </c:pt>
                <c:pt idx="77">
                  <c:v>43183</c:v>
                </c:pt>
                <c:pt idx="78">
                  <c:v>43184</c:v>
                </c:pt>
                <c:pt idx="79">
                  <c:v>43185</c:v>
                </c:pt>
                <c:pt idx="80">
                  <c:v>43186</c:v>
                </c:pt>
                <c:pt idx="81">
                  <c:v>43187</c:v>
                </c:pt>
                <c:pt idx="82">
                  <c:v>43188</c:v>
                </c:pt>
                <c:pt idx="83">
                  <c:v>43189</c:v>
                </c:pt>
                <c:pt idx="84">
                  <c:v>43191</c:v>
                </c:pt>
                <c:pt idx="85">
                  <c:v>43192</c:v>
                </c:pt>
                <c:pt idx="86">
                  <c:v>43193</c:v>
                </c:pt>
                <c:pt idx="87">
                  <c:v>43194</c:v>
                </c:pt>
                <c:pt idx="88">
                  <c:v>43195</c:v>
                </c:pt>
                <c:pt idx="89">
                  <c:v>43196</c:v>
                </c:pt>
                <c:pt idx="90">
                  <c:v>43197</c:v>
                </c:pt>
                <c:pt idx="91">
                  <c:v>43198</c:v>
                </c:pt>
                <c:pt idx="92">
                  <c:v>43199</c:v>
                </c:pt>
                <c:pt idx="93">
                  <c:v>43200</c:v>
                </c:pt>
                <c:pt idx="94">
                  <c:v>43201</c:v>
                </c:pt>
                <c:pt idx="95">
                  <c:v>43202</c:v>
                </c:pt>
                <c:pt idx="96">
                  <c:v>43203</c:v>
                </c:pt>
                <c:pt idx="97">
                  <c:v>43204</c:v>
                </c:pt>
                <c:pt idx="98">
                  <c:v>43205</c:v>
                </c:pt>
                <c:pt idx="99">
                  <c:v>43206</c:v>
                </c:pt>
                <c:pt idx="100">
                  <c:v>43207</c:v>
                </c:pt>
                <c:pt idx="101">
                  <c:v>43208</c:v>
                </c:pt>
                <c:pt idx="102">
                  <c:v>43209</c:v>
                </c:pt>
                <c:pt idx="103">
                  <c:v>43210</c:v>
                </c:pt>
                <c:pt idx="104">
                  <c:v>43211</c:v>
                </c:pt>
                <c:pt idx="105">
                  <c:v>43212</c:v>
                </c:pt>
                <c:pt idx="106">
                  <c:v>43213</c:v>
                </c:pt>
                <c:pt idx="107">
                  <c:v>43214</c:v>
                </c:pt>
                <c:pt idx="108">
                  <c:v>43215</c:v>
                </c:pt>
                <c:pt idx="109">
                  <c:v>43216</c:v>
                </c:pt>
                <c:pt idx="110">
                  <c:v>43217</c:v>
                </c:pt>
                <c:pt idx="111">
                  <c:v>43218</c:v>
                </c:pt>
                <c:pt idx="112">
                  <c:v>43219</c:v>
                </c:pt>
              </c:numCache>
            </c:numRef>
          </c:xVal>
          <c:yVal>
            <c:numRef>
              <c:f>'RC Chart Data'!$H$7:$H$119</c:f>
              <c:numCache>
                <c:formatCode>0</c:formatCode>
                <c:ptCount val="11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37.5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46.135872871200014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51.380622871200011</c:v>
                </c:pt>
                <c:pt idx="29">
                  <c:v>#N/A</c:v>
                </c:pt>
                <c:pt idx="30">
                  <c:v>#N/A</c:v>
                </c:pt>
                <c:pt idx="31">
                  <c:v>56.884200881588654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53.380872871200012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75.261745742400024</c:v>
                </c:pt>
                <c:pt idx="48">
                  <c:v>#N/A</c:v>
                </c:pt>
                <c:pt idx="49">
                  <c:v>#N/A</c:v>
                </c:pt>
                <c:pt idx="50">
                  <c:v>71.009245742400026</c:v>
                </c:pt>
                <c:pt idx="51">
                  <c:v>#N/A</c:v>
                </c:pt>
                <c:pt idx="52">
                  <c:v>75.261745742400024</c:v>
                </c:pt>
                <c:pt idx="53">
                  <c:v>#N/A</c:v>
                </c:pt>
                <c:pt idx="54">
                  <c:v>#N/A</c:v>
                </c:pt>
                <c:pt idx="55">
                  <c:v>55.259245742400026</c:v>
                </c:pt>
                <c:pt idx="56">
                  <c:v>#N/A</c:v>
                </c:pt>
                <c:pt idx="57">
                  <c:v>89.291516321168245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60.007500000000007</c:v>
                </c:pt>
                <c:pt idx="68">
                  <c:v>#N/A</c:v>
                </c:pt>
                <c:pt idx="69">
                  <c:v>#N/A</c:v>
                </c:pt>
                <c:pt idx="70">
                  <c:v>89.193081665866458</c:v>
                </c:pt>
                <c:pt idx="71">
                  <c:v>#N/A</c:v>
                </c:pt>
                <c:pt idx="72">
                  <c:v>97.530876774184151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51.502499999999998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EDF-4DFD-99C8-FF5F8E8BB4CC}"/>
            </c:ext>
          </c:extLst>
        </c:ser>
        <c:ser>
          <c:idx val="6"/>
          <c:order val="5"/>
          <c:tx>
            <c:strRef>
              <c:f>'RC Chart Data'!$I$6</c:f>
              <c:strCache>
                <c:ptCount val="1"/>
                <c:pt idx="0">
                  <c:v>Kenneth Bautista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rgbClr val="7030A0"/>
              </a:solidFill>
              <a:ln w="9525">
                <a:noFill/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'RC Chart Data'!$A$7:$A$119</c:f>
              <c:numCache>
                <c:formatCode>m/d/yyyy</c:formatCode>
                <c:ptCount val="113"/>
                <c:pt idx="0">
                  <c:v>43106</c:v>
                </c:pt>
                <c:pt idx="1">
                  <c:v>43107</c:v>
                </c:pt>
                <c:pt idx="2">
                  <c:v>43108</c:v>
                </c:pt>
                <c:pt idx="3">
                  <c:v>43109</c:v>
                </c:pt>
                <c:pt idx="4">
                  <c:v>43110</c:v>
                </c:pt>
                <c:pt idx="5">
                  <c:v>43111</c:v>
                </c:pt>
                <c:pt idx="6">
                  <c:v>43112</c:v>
                </c:pt>
                <c:pt idx="7">
                  <c:v>43113</c:v>
                </c:pt>
                <c:pt idx="8">
                  <c:v>43114</c:v>
                </c:pt>
                <c:pt idx="9">
                  <c:v>43115</c:v>
                </c:pt>
                <c:pt idx="10">
                  <c:v>43116</c:v>
                </c:pt>
                <c:pt idx="11">
                  <c:v>43117</c:v>
                </c:pt>
                <c:pt idx="12">
                  <c:v>43118</c:v>
                </c:pt>
                <c:pt idx="13">
                  <c:v>43119</c:v>
                </c:pt>
                <c:pt idx="14">
                  <c:v>43120</c:v>
                </c:pt>
                <c:pt idx="15">
                  <c:v>43121</c:v>
                </c:pt>
                <c:pt idx="16">
                  <c:v>43122</c:v>
                </c:pt>
                <c:pt idx="17">
                  <c:v>43123</c:v>
                </c:pt>
                <c:pt idx="18">
                  <c:v>43124</c:v>
                </c:pt>
                <c:pt idx="19">
                  <c:v>43125</c:v>
                </c:pt>
                <c:pt idx="20">
                  <c:v>43126</c:v>
                </c:pt>
                <c:pt idx="21">
                  <c:v>43127</c:v>
                </c:pt>
                <c:pt idx="22">
                  <c:v>43128</c:v>
                </c:pt>
                <c:pt idx="23">
                  <c:v>43129</c:v>
                </c:pt>
                <c:pt idx="24">
                  <c:v>43130</c:v>
                </c:pt>
                <c:pt idx="25">
                  <c:v>43131</c:v>
                </c:pt>
                <c:pt idx="26">
                  <c:v>43132</c:v>
                </c:pt>
                <c:pt idx="27">
                  <c:v>43133</c:v>
                </c:pt>
                <c:pt idx="28">
                  <c:v>43134</c:v>
                </c:pt>
                <c:pt idx="29">
                  <c:v>43135</c:v>
                </c:pt>
                <c:pt idx="30">
                  <c:v>43136</c:v>
                </c:pt>
                <c:pt idx="31">
                  <c:v>43137</c:v>
                </c:pt>
                <c:pt idx="32">
                  <c:v>43138</c:v>
                </c:pt>
                <c:pt idx="33">
                  <c:v>43139</c:v>
                </c:pt>
                <c:pt idx="34">
                  <c:v>43140</c:v>
                </c:pt>
                <c:pt idx="35">
                  <c:v>43141</c:v>
                </c:pt>
                <c:pt idx="36">
                  <c:v>43142</c:v>
                </c:pt>
                <c:pt idx="37">
                  <c:v>43143</c:v>
                </c:pt>
                <c:pt idx="38">
                  <c:v>43144</c:v>
                </c:pt>
                <c:pt idx="39">
                  <c:v>43145</c:v>
                </c:pt>
                <c:pt idx="40">
                  <c:v>43146</c:v>
                </c:pt>
                <c:pt idx="41">
                  <c:v>43147</c:v>
                </c:pt>
                <c:pt idx="42">
                  <c:v>43148</c:v>
                </c:pt>
                <c:pt idx="43">
                  <c:v>43149</c:v>
                </c:pt>
                <c:pt idx="44">
                  <c:v>43150</c:v>
                </c:pt>
                <c:pt idx="45">
                  <c:v>43151</c:v>
                </c:pt>
                <c:pt idx="46">
                  <c:v>43152</c:v>
                </c:pt>
                <c:pt idx="47">
                  <c:v>43153</c:v>
                </c:pt>
                <c:pt idx="48">
                  <c:v>43154</c:v>
                </c:pt>
                <c:pt idx="49">
                  <c:v>43155</c:v>
                </c:pt>
                <c:pt idx="50">
                  <c:v>43156</c:v>
                </c:pt>
                <c:pt idx="51">
                  <c:v>43157</c:v>
                </c:pt>
                <c:pt idx="52">
                  <c:v>43158</c:v>
                </c:pt>
                <c:pt idx="53">
                  <c:v>43159</c:v>
                </c:pt>
                <c:pt idx="54">
                  <c:v>43160</c:v>
                </c:pt>
                <c:pt idx="55">
                  <c:v>43161</c:v>
                </c:pt>
                <c:pt idx="56">
                  <c:v>43162</c:v>
                </c:pt>
                <c:pt idx="57">
                  <c:v>43163</c:v>
                </c:pt>
                <c:pt idx="58">
                  <c:v>43164</c:v>
                </c:pt>
                <c:pt idx="59">
                  <c:v>43165</c:v>
                </c:pt>
                <c:pt idx="60">
                  <c:v>43166</c:v>
                </c:pt>
                <c:pt idx="61">
                  <c:v>43167</c:v>
                </c:pt>
                <c:pt idx="62">
                  <c:v>43168</c:v>
                </c:pt>
                <c:pt idx="63">
                  <c:v>43169</c:v>
                </c:pt>
                <c:pt idx="64">
                  <c:v>43170</c:v>
                </c:pt>
                <c:pt idx="65">
                  <c:v>43171</c:v>
                </c:pt>
                <c:pt idx="66">
                  <c:v>43172</c:v>
                </c:pt>
                <c:pt idx="67">
                  <c:v>43173</c:v>
                </c:pt>
                <c:pt idx="68">
                  <c:v>43174</c:v>
                </c:pt>
                <c:pt idx="69">
                  <c:v>43175</c:v>
                </c:pt>
                <c:pt idx="70">
                  <c:v>43176</c:v>
                </c:pt>
                <c:pt idx="71">
                  <c:v>43177</c:v>
                </c:pt>
                <c:pt idx="72">
                  <c:v>43178</c:v>
                </c:pt>
                <c:pt idx="73">
                  <c:v>43179</c:v>
                </c:pt>
                <c:pt idx="74">
                  <c:v>43180</c:v>
                </c:pt>
                <c:pt idx="75">
                  <c:v>43181</c:v>
                </c:pt>
                <c:pt idx="76">
                  <c:v>43182</c:v>
                </c:pt>
                <c:pt idx="77">
                  <c:v>43183</c:v>
                </c:pt>
                <c:pt idx="78">
                  <c:v>43184</c:v>
                </c:pt>
                <c:pt idx="79">
                  <c:v>43185</c:v>
                </c:pt>
                <c:pt idx="80">
                  <c:v>43186</c:v>
                </c:pt>
                <c:pt idx="81">
                  <c:v>43187</c:v>
                </c:pt>
                <c:pt idx="82">
                  <c:v>43188</c:v>
                </c:pt>
                <c:pt idx="83">
                  <c:v>43189</c:v>
                </c:pt>
                <c:pt idx="84">
                  <c:v>43191</c:v>
                </c:pt>
                <c:pt idx="85">
                  <c:v>43192</c:v>
                </c:pt>
                <c:pt idx="86">
                  <c:v>43193</c:v>
                </c:pt>
                <c:pt idx="87">
                  <c:v>43194</c:v>
                </c:pt>
                <c:pt idx="88">
                  <c:v>43195</c:v>
                </c:pt>
                <c:pt idx="89">
                  <c:v>43196</c:v>
                </c:pt>
                <c:pt idx="90">
                  <c:v>43197</c:v>
                </c:pt>
                <c:pt idx="91">
                  <c:v>43198</c:v>
                </c:pt>
                <c:pt idx="92">
                  <c:v>43199</c:v>
                </c:pt>
                <c:pt idx="93">
                  <c:v>43200</c:v>
                </c:pt>
                <c:pt idx="94">
                  <c:v>43201</c:v>
                </c:pt>
                <c:pt idx="95">
                  <c:v>43202</c:v>
                </c:pt>
                <c:pt idx="96">
                  <c:v>43203</c:v>
                </c:pt>
                <c:pt idx="97">
                  <c:v>43204</c:v>
                </c:pt>
                <c:pt idx="98">
                  <c:v>43205</c:v>
                </c:pt>
                <c:pt idx="99">
                  <c:v>43206</c:v>
                </c:pt>
                <c:pt idx="100">
                  <c:v>43207</c:v>
                </c:pt>
                <c:pt idx="101">
                  <c:v>43208</c:v>
                </c:pt>
                <c:pt idx="102">
                  <c:v>43209</c:v>
                </c:pt>
                <c:pt idx="103">
                  <c:v>43210</c:v>
                </c:pt>
                <c:pt idx="104">
                  <c:v>43211</c:v>
                </c:pt>
                <c:pt idx="105">
                  <c:v>43212</c:v>
                </c:pt>
                <c:pt idx="106">
                  <c:v>43213</c:v>
                </c:pt>
                <c:pt idx="107">
                  <c:v>43214</c:v>
                </c:pt>
                <c:pt idx="108">
                  <c:v>43215</c:v>
                </c:pt>
                <c:pt idx="109">
                  <c:v>43216</c:v>
                </c:pt>
                <c:pt idx="110">
                  <c:v>43217</c:v>
                </c:pt>
                <c:pt idx="111">
                  <c:v>43218</c:v>
                </c:pt>
                <c:pt idx="112">
                  <c:v>43219</c:v>
                </c:pt>
              </c:numCache>
            </c:numRef>
          </c:xVal>
          <c:yVal>
            <c:numRef>
              <c:f>'RC Chart Data'!$I$7:$I$119</c:f>
              <c:numCache>
                <c:formatCode>0</c:formatCode>
                <c:ptCount val="11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30.002500000000001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EDF-4DFD-99C8-FF5F8E8BB4CC}"/>
            </c:ext>
          </c:extLst>
        </c:ser>
        <c:ser>
          <c:idx val="7"/>
          <c:order val="6"/>
          <c:tx>
            <c:strRef>
              <c:f>'RC Chart Data'!$J$6</c:f>
              <c:strCache>
                <c:ptCount val="1"/>
                <c:pt idx="0">
                  <c:v>Angel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rgbClr val="00FFFF"/>
              </a:solidFill>
              <a:ln w="9525">
                <a:noFill/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trendline>
            <c:spPr>
              <a:ln w="19050" cap="rnd">
                <a:solidFill>
                  <a:srgbClr val="00FFFF"/>
                </a:solidFill>
              </a:ln>
              <a:effectLst/>
            </c:spPr>
            <c:trendlineType val="linear"/>
            <c:dispRSqr val="0"/>
            <c:dispEq val="0"/>
          </c:trendline>
          <c:xVal>
            <c:numRef>
              <c:f>'RC Chart Data'!$A$7:$A$119</c:f>
              <c:numCache>
                <c:formatCode>m/d/yyyy</c:formatCode>
                <c:ptCount val="113"/>
                <c:pt idx="0">
                  <c:v>43106</c:v>
                </c:pt>
                <c:pt idx="1">
                  <c:v>43107</c:v>
                </c:pt>
                <c:pt idx="2">
                  <c:v>43108</c:v>
                </c:pt>
                <c:pt idx="3">
                  <c:v>43109</c:v>
                </c:pt>
                <c:pt idx="4">
                  <c:v>43110</c:v>
                </c:pt>
                <c:pt idx="5">
                  <c:v>43111</c:v>
                </c:pt>
                <c:pt idx="6">
                  <c:v>43112</c:v>
                </c:pt>
                <c:pt idx="7">
                  <c:v>43113</c:v>
                </c:pt>
                <c:pt idx="8">
                  <c:v>43114</c:v>
                </c:pt>
                <c:pt idx="9">
                  <c:v>43115</c:v>
                </c:pt>
                <c:pt idx="10">
                  <c:v>43116</c:v>
                </c:pt>
                <c:pt idx="11">
                  <c:v>43117</c:v>
                </c:pt>
                <c:pt idx="12">
                  <c:v>43118</c:v>
                </c:pt>
                <c:pt idx="13">
                  <c:v>43119</c:v>
                </c:pt>
                <c:pt idx="14">
                  <c:v>43120</c:v>
                </c:pt>
                <c:pt idx="15">
                  <c:v>43121</c:v>
                </c:pt>
                <c:pt idx="16">
                  <c:v>43122</c:v>
                </c:pt>
                <c:pt idx="17">
                  <c:v>43123</c:v>
                </c:pt>
                <c:pt idx="18">
                  <c:v>43124</c:v>
                </c:pt>
                <c:pt idx="19">
                  <c:v>43125</c:v>
                </c:pt>
                <c:pt idx="20">
                  <c:v>43126</c:v>
                </c:pt>
                <c:pt idx="21">
                  <c:v>43127</c:v>
                </c:pt>
                <c:pt idx="22">
                  <c:v>43128</c:v>
                </c:pt>
                <c:pt idx="23">
                  <c:v>43129</c:v>
                </c:pt>
                <c:pt idx="24">
                  <c:v>43130</c:v>
                </c:pt>
                <c:pt idx="25">
                  <c:v>43131</c:v>
                </c:pt>
                <c:pt idx="26">
                  <c:v>43132</c:v>
                </c:pt>
                <c:pt idx="27">
                  <c:v>43133</c:v>
                </c:pt>
                <c:pt idx="28">
                  <c:v>43134</c:v>
                </c:pt>
                <c:pt idx="29">
                  <c:v>43135</c:v>
                </c:pt>
                <c:pt idx="30">
                  <c:v>43136</c:v>
                </c:pt>
                <c:pt idx="31">
                  <c:v>43137</c:v>
                </c:pt>
                <c:pt idx="32">
                  <c:v>43138</c:v>
                </c:pt>
                <c:pt idx="33">
                  <c:v>43139</c:v>
                </c:pt>
                <c:pt idx="34">
                  <c:v>43140</c:v>
                </c:pt>
                <c:pt idx="35">
                  <c:v>43141</c:v>
                </c:pt>
                <c:pt idx="36">
                  <c:v>43142</c:v>
                </c:pt>
                <c:pt idx="37">
                  <c:v>43143</c:v>
                </c:pt>
                <c:pt idx="38">
                  <c:v>43144</c:v>
                </c:pt>
                <c:pt idx="39">
                  <c:v>43145</c:v>
                </c:pt>
                <c:pt idx="40">
                  <c:v>43146</c:v>
                </c:pt>
                <c:pt idx="41">
                  <c:v>43147</c:v>
                </c:pt>
                <c:pt idx="42">
                  <c:v>43148</c:v>
                </c:pt>
                <c:pt idx="43">
                  <c:v>43149</c:v>
                </c:pt>
                <c:pt idx="44">
                  <c:v>43150</c:v>
                </c:pt>
                <c:pt idx="45">
                  <c:v>43151</c:v>
                </c:pt>
                <c:pt idx="46">
                  <c:v>43152</c:v>
                </c:pt>
                <c:pt idx="47">
                  <c:v>43153</c:v>
                </c:pt>
                <c:pt idx="48">
                  <c:v>43154</c:v>
                </c:pt>
                <c:pt idx="49">
                  <c:v>43155</c:v>
                </c:pt>
                <c:pt idx="50">
                  <c:v>43156</c:v>
                </c:pt>
                <c:pt idx="51">
                  <c:v>43157</c:v>
                </c:pt>
                <c:pt idx="52">
                  <c:v>43158</c:v>
                </c:pt>
                <c:pt idx="53">
                  <c:v>43159</c:v>
                </c:pt>
                <c:pt idx="54">
                  <c:v>43160</c:v>
                </c:pt>
                <c:pt idx="55">
                  <c:v>43161</c:v>
                </c:pt>
                <c:pt idx="56">
                  <c:v>43162</c:v>
                </c:pt>
                <c:pt idx="57">
                  <c:v>43163</c:v>
                </c:pt>
                <c:pt idx="58">
                  <c:v>43164</c:v>
                </c:pt>
                <c:pt idx="59">
                  <c:v>43165</c:v>
                </c:pt>
                <c:pt idx="60">
                  <c:v>43166</c:v>
                </c:pt>
                <c:pt idx="61">
                  <c:v>43167</c:v>
                </c:pt>
                <c:pt idx="62">
                  <c:v>43168</c:v>
                </c:pt>
                <c:pt idx="63">
                  <c:v>43169</c:v>
                </c:pt>
                <c:pt idx="64">
                  <c:v>43170</c:v>
                </c:pt>
                <c:pt idx="65">
                  <c:v>43171</c:v>
                </c:pt>
                <c:pt idx="66">
                  <c:v>43172</c:v>
                </c:pt>
                <c:pt idx="67">
                  <c:v>43173</c:v>
                </c:pt>
                <c:pt idx="68">
                  <c:v>43174</c:v>
                </c:pt>
                <c:pt idx="69">
                  <c:v>43175</c:v>
                </c:pt>
                <c:pt idx="70">
                  <c:v>43176</c:v>
                </c:pt>
                <c:pt idx="71">
                  <c:v>43177</c:v>
                </c:pt>
                <c:pt idx="72">
                  <c:v>43178</c:v>
                </c:pt>
                <c:pt idx="73">
                  <c:v>43179</c:v>
                </c:pt>
                <c:pt idx="74">
                  <c:v>43180</c:v>
                </c:pt>
                <c:pt idx="75">
                  <c:v>43181</c:v>
                </c:pt>
                <c:pt idx="76">
                  <c:v>43182</c:v>
                </c:pt>
                <c:pt idx="77">
                  <c:v>43183</c:v>
                </c:pt>
                <c:pt idx="78">
                  <c:v>43184</c:v>
                </c:pt>
                <c:pt idx="79">
                  <c:v>43185</c:v>
                </c:pt>
                <c:pt idx="80">
                  <c:v>43186</c:v>
                </c:pt>
                <c:pt idx="81">
                  <c:v>43187</c:v>
                </c:pt>
                <c:pt idx="82">
                  <c:v>43188</c:v>
                </c:pt>
                <c:pt idx="83">
                  <c:v>43189</c:v>
                </c:pt>
                <c:pt idx="84">
                  <c:v>43191</c:v>
                </c:pt>
                <c:pt idx="85">
                  <c:v>43192</c:v>
                </c:pt>
                <c:pt idx="86">
                  <c:v>43193</c:v>
                </c:pt>
                <c:pt idx="87">
                  <c:v>43194</c:v>
                </c:pt>
                <c:pt idx="88">
                  <c:v>43195</c:v>
                </c:pt>
                <c:pt idx="89">
                  <c:v>43196</c:v>
                </c:pt>
                <c:pt idx="90">
                  <c:v>43197</c:v>
                </c:pt>
                <c:pt idx="91">
                  <c:v>43198</c:v>
                </c:pt>
                <c:pt idx="92">
                  <c:v>43199</c:v>
                </c:pt>
                <c:pt idx="93">
                  <c:v>43200</c:v>
                </c:pt>
                <c:pt idx="94">
                  <c:v>43201</c:v>
                </c:pt>
                <c:pt idx="95">
                  <c:v>43202</c:v>
                </c:pt>
                <c:pt idx="96">
                  <c:v>43203</c:v>
                </c:pt>
                <c:pt idx="97">
                  <c:v>43204</c:v>
                </c:pt>
                <c:pt idx="98">
                  <c:v>43205</c:v>
                </c:pt>
                <c:pt idx="99">
                  <c:v>43206</c:v>
                </c:pt>
                <c:pt idx="100">
                  <c:v>43207</c:v>
                </c:pt>
                <c:pt idx="101">
                  <c:v>43208</c:v>
                </c:pt>
                <c:pt idx="102">
                  <c:v>43209</c:v>
                </c:pt>
                <c:pt idx="103">
                  <c:v>43210</c:v>
                </c:pt>
                <c:pt idx="104">
                  <c:v>43211</c:v>
                </c:pt>
                <c:pt idx="105">
                  <c:v>43212</c:v>
                </c:pt>
                <c:pt idx="106">
                  <c:v>43213</c:v>
                </c:pt>
                <c:pt idx="107">
                  <c:v>43214</c:v>
                </c:pt>
                <c:pt idx="108">
                  <c:v>43215</c:v>
                </c:pt>
                <c:pt idx="109">
                  <c:v>43216</c:v>
                </c:pt>
                <c:pt idx="110">
                  <c:v>43217</c:v>
                </c:pt>
                <c:pt idx="111">
                  <c:v>43218</c:v>
                </c:pt>
                <c:pt idx="112">
                  <c:v>43219</c:v>
                </c:pt>
              </c:numCache>
            </c:numRef>
          </c:xVal>
          <c:yVal>
            <c:numRef>
              <c:f>'RC Chart Data'!$J$7:$J$119</c:f>
              <c:numCache>
                <c:formatCode>0</c:formatCode>
                <c:ptCount val="11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38.25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38.25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55.259245742400026</c:v>
                </c:pt>
                <c:pt idx="56">
                  <c:v>#N/A</c:v>
                </c:pt>
                <c:pt idx="57">
                  <c:v>77.106502938628864</c:v>
                </c:pt>
                <c:pt idx="58">
                  <c:v>#N/A</c:v>
                </c:pt>
                <c:pt idx="59">
                  <c:v>80.56518969595831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90.51599148480004</c:v>
                </c:pt>
                <c:pt idx="68">
                  <c:v>#N/A</c:v>
                </c:pt>
                <c:pt idx="69">
                  <c:v>#N/A</c:v>
                </c:pt>
                <c:pt idx="70">
                  <c:v>124.54826206356827</c:v>
                </c:pt>
                <c:pt idx="71">
                  <c:v>#N/A</c:v>
                </c:pt>
                <c:pt idx="72">
                  <c:v>115.04147098357274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105.77023722720006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131.92555722635953</c:v>
                </c:pt>
                <c:pt idx="82">
                  <c:v>#N/A</c:v>
                </c:pt>
                <c:pt idx="83">
                  <c:v>137.87811629646592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134.2078112952282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130.30474148731108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EDF-4DFD-99C8-FF5F8E8BB4CC}"/>
            </c:ext>
          </c:extLst>
        </c:ser>
        <c:ser>
          <c:idx val="8"/>
          <c:order val="7"/>
          <c:tx>
            <c:strRef>
              <c:f>'RC Chart Data'!$K$6</c:f>
              <c:strCache>
                <c:ptCount val="1"/>
                <c:pt idx="0">
                  <c:v>Oz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rgbClr val="00B050"/>
              </a:solidFill>
              <a:ln w="9525">
                <a:noFill/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'RC Chart Data'!$A$7:$A$119</c:f>
              <c:numCache>
                <c:formatCode>m/d/yyyy</c:formatCode>
                <c:ptCount val="113"/>
                <c:pt idx="0">
                  <c:v>43106</c:v>
                </c:pt>
                <c:pt idx="1">
                  <c:v>43107</c:v>
                </c:pt>
                <c:pt idx="2">
                  <c:v>43108</c:v>
                </c:pt>
                <c:pt idx="3">
                  <c:v>43109</c:v>
                </c:pt>
                <c:pt idx="4">
                  <c:v>43110</c:v>
                </c:pt>
                <c:pt idx="5">
                  <c:v>43111</c:v>
                </c:pt>
                <c:pt idx="6">
                  <c:v>43112</c:v>
                </c:pt>
                <c:pt idx="7">
                  <c:v>43113</c:v>
                </c:pt>
                <c:pt idx="8">
                  <c:v>43114</c:v>
                </c:pt>
                <c:pt idx="9">
                  <c:v>43115</c:v>
                </c:pt>
                <c:pt idx="10">
                  <c:v>43116</c:v>
                </c:pt>
                <c:pt idx="11">
                  <c:v>43117</c:v>
                </c:pt>
                <c:pt idx="12">
                  <c:v>43118</c:v>
                </c:pt>
                <c:pt idx="13">
                  <c:v>43119</c:v>
                </c:pt>
                <c:pt idx="14">
                  <c:v>43120</c:v>
                </c:pt>
                <c:pt idx="15">
                  <c:v>43121</c:v>
                </c:pt>
                <c:pt idx="16">
                  <c:v>43122</c:v>
                </c:pt>
                <c:pt idx="17">
                  <c:v>43123</c:v>
                </c:pt>
                <c:pt idx="18">
                  <c:v>43124</c:v>
                </c:pt>
                <c:pt idx="19">
                  <c:v>43125</c:v>
                </c:pt>
                <c:pt idx="20">
                  <c:v>43126</c:v>
                </c:pt>
                <c:pt idx="21">
                  <c:v>43127</c:v>
                </c:pt>
                <c:pt idx="22">
                  <c:v>43128</c:v>
                </c:pt>
                <c:pt idx="23">
                  <c:v>43129</c:v>
                </c:pt>
                <c:pt idx="24">
                  <c:v>43130</c:v>
                </c:pt>
                <c:pt idx="25">
                  <c:v>43131</c:v>
                </c:pt>
                <c:pt idx="26">
                  <c:v>43132</c:v>
                </c:pt>
                <c:pt idx="27">
                  <c:v>43133</c:v>
                </c:pt>
                <c:pt idx="28">
                  <c:v>43134</c:v>
                </c:pt>
                <c:pt idx="29">
                  <c:v>43135</c:v>
                </c:pt>
                <c:pt idx="30">
                  <c:v>43136</c:v>
                </c:pt>
                <c:pt idx="31">
                  <c:v>43137</c:v>
                </c:pt>
                <c:pt idx="32">
                  <c:v>43138</c:v>
                </c:pt>
                <c:pt idx="33">
                  <c:v>43139</c:v>
                </c:pt>
                <c:pt idx="34">
                  <c:v>43140</c:v>
                </c:pt>
                <c:pt idx="35">
                  <c:v>43141</c:v>
                </c:pt>
                <c:pt idx="36">
                  <c:v>43142</c:v>
                </c:pt>
                <c:pt idx="37">
                  <c:v>43143</c:v>
                </c:pt>
                <c:pt idx="38">
                  <c:v>43144</c:v>
                </c:pt>
                <c:pt idx="39">
                  <c:v>43145</c:v>
                </c:pt>
                <c:pt idx="40">
                  <c:v>43146</c:v>
                </c:pt>
                <c:pt idx="41">
                  <c:v>43147</c:v>
                </c:pt>
                <c:pt idx="42">
                  <c:v>43148</c:v>
                </c:pt>
                <c:pt idx="43">
                  <c:v>43149</c:v>
                </c:pt>
                <c:pt idx="44">
                  <c:v>43150</c:v>
                </c:pt>
                <c:pt idx="45">
                  <c:v>43151</c:v>
                </c:pt>
                <c:pt idx="46">
                  <c:v>43152</c:v>
                </c:pt>
                <c:pt idx="47">
                  <c:v>43153</c:v>
                </c:pt>
                <c:pt idx="48">
                  <c:v>43154</c:v>
                </c:pt>
                <c:pt idx="49">
                  <c:v>43155</c:v>
                </c:pt>
                <c:pt idx="50">
                  <c:v>43156</c:v>
                </c:pt>
                <c:pt idx="51">
                  <c:v>43157</c:v>
                </c:pt>
                <c:pt idx="52">
                  <c:v>43158</c:v>
                </c:pt>
                <c:pt idx="53">
                  <c:v>43159</c:v>
                </c:pt>
                <c:pt idx="54">
                  <c:v>43160</c:v>
                </c:pt>
                <c:pt idx="55">
                  <c:v>43161</c:v>
                </c:pt>
                <c:pt idx="56">
                  <c:v>43162</c:v>
                </c:pt>
                <c:pt idx="57">
                  <c:v>43163</c:v>
                </c:pt>
                <c:pt idx="58">
                  <c:v>43164</c:v>
                </c:pt>
                <c:pt idx="59">
                  <c:v>43165</c:v>
                </c:pt>
                <c:pt idx="60">
                  <c:v>43166</c:v>
                </c:pt>
                <c:pt idx="61">
                  <c:v>43167</c:v>
                </c:pt>
                <c:pt idx="62">
                  <c:v>43168</c:v>
                </c:pt>
                <c:pt idx="63">
                  <c:v>43169</c:v>
                </c:pt>
                <c:pt idx="64">
                  <c:v>43170</c:v>
                </c:pt>
                <c:pt idx="65">
                  <c:v>43171</c:v>
                </c:pt>
                <c:pt idx="66">
                  <c:v>43172</c:v>
                </c:pt>
                <c:pt idx="67">
                  <c:v>43173</c:v>
                </c:pt>
                <c:pt idx="68">
                  <c:v>43174</c:v>
                </c:pt>
                <c:pt idx="69">
                  <c:v>43175</c:v>
                </c:pt>
                <c:pt idx="70">
                  <c:v>43176</c:v>
                </c:pt>
                <c:pt idx="71">
                  <c:v>43177</c:v>
                </c:pt>
                <c:pt idx="72">
                  <c:v>43178</c:v>
                </c:pt>
                <c:pt idx="73">
                  <c:v>43179</c:v>
                </c:pt>
                <c:pt idx="74">
                  <c:v>43180</c:v>
                </c:pt>
                <c:pt idx="75">
                  <c:v>43181</c:v>
                </c:pt>
                <c:pt idx="76">
                  <c:v>43182</c:v>
                </c:pt>
                <c:pt idx="77">
                  <c:v>43183</c:v>
                </c:pt>
                <c:pt idx="78">
                  <c:v>43184</c:v>
                </c:pt>
                <c:pt idx="79">
                  <c:v>43185</c:v>
                </c:pt>
                <c:pt idx="80">
                  <c:v>43186</c:v>
                </c:pt>
                <c:pt idx="81">
                  <c:v>43187</c:v>
                </c:pt>
                <c:pt idx="82">
                  <c:v>43188</c:v>
                </c:pt>
                <c:pt idx="83">
                  <c:v>43189</c:v>
                </c:pt>
                <c:pt idx="84">
                  <c:v>43191</c:v>
                </c:pt>
                <c:pt idx="85">
                  <c:v>43192</c:v>
                </c:pt>
                <c:pt idx="86">
                  <c:v>43193</c:v>
                </c:pt>
                <c:pt idx="87">
                  <c:v>43194</c:v>
                </c:pt>
                <c:pt idx="88">
                  <c:v>43195</c:v>
                </c:pt>
                <c:pt idx="89">
                  <c:v>43196</c:v>
                </c:pt>
                <c:pt idx="90">
                  <c:v>43197</c:v>
                </c:pt>
                <c:pt idx="91">
                  <c:v>43198</c:v>
                </c:pt>
                <c:pt idx="92">
                  <c:v>43199</c:v>
                </c:pt>
                <c:pt idx="93">
                  <c:v>43200</c:v>
                </c:pt>
                <c:pt idx="94">
                  <c:v>43201</c:v>
                </c:pt>
                <c:pt idx="95">
                  <c:v>43202</c:v>
                </c:pt>
                <c:pt idx="96">
                  <c:v>43203</c:v>
                </c:pt>
                <c:pt idx="97">
                  <c:v>43204</c:v>
                </c:pt>
                <c:pt idx="98">
                  <c:v>43205</c:v>
                </c:pt>
                <c:pt idx="99">
                  <c:v>43206</c:v>
                </c:pt>
                <c:pt idx="100">
                  <c:v>43207</c:v>
                </c:pt>
                <c:pt idx="101">
                  <c:v>43208</c:v>
                </c:pt>
                <c:pt idx="102">
                  <c:v>43209</c:v>
                </c:pt>
                <c:pt idx="103">
                  <c:v>43210</c:v>
                </c:pt>
                <c:pt idx="104">
                  <c:v>43211</c:v>
                </c:pt>
                <c:pt idx="105">
                  <c:v>43212</c:v>
                </c:pt>
                <c:pt idx="106">
                  <c:v>43213</c:v>
                </c:pt>
                <c:pt idx="107">
                  <c:v>43214</c:v>
                </c:pt>
                <c:pt idx="108">
                  <c:v>43215</c:v>
                </c:pt>
                <c:pt idx="109">
                  <c:v>43216</c:v>
                </c:pt>
                <c:pt idx="110">
                  <c:v>43217</c:v>
                </c:pt>
                <c:pt idx="111">
                  <c:v>43218</c:v>
                </c:pt>
                <c:pt idx="112">
                  <c:v>43219</c:v>
                </c:pt>
              </c:numCache>
            </c:numRef>
          </c:xVal>
          <c:yVal>
            <c:numRef>
              <c:f>'RC Chart Data'!$K$7:$K$119</c:f>
              <c:numCache>
                <c:formatCode>0</c:formatCode>
                <c:ptCount val="11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124.54826206356827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124.16339586188211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137.64110250158083</c:v>
                </c:pt>
                <c:pt idx="60">
                  <c:v>#N/A</c:v>
                </c:pt>
                <c:pt idx="61">
                  <c:v>#N/A</c:v>
                </c:pt>
                <c:pt idx="62">
                  <c:v>138.38116333173295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3EDF-4DFD-99C8-FF5F8E8BB4CC}"/>
            </c:ext>
          </c:extLst>
        </c:ser>
        <c:ser>
          <c:idx val="9"/>
          <c:order val="8"/>
          <c:tx>
            <c:strRef>
              <c:f>'RC Chart Data'!$L$6</c:f>
              <c:strCache>
                <c:ptCount val="1"/>
                <c:pt idx="0">
                  <c:v>Benjie</c:v>
                </c:pt>
              </c:strCache>
              <c:extLst xmlns:c15="http://schemas.microsoft.com/office/drawing/2012/chart"/>
            </c:strRef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4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'RC Chart Data'!$A$7:$A$119</c:f>
              <c:numCache>
                <c:formatCode>m/d/yyyy</c:formatCode>
                <c:ptCount val="113"/>
                <c:pt idx="0">
                  <c:v>43106</c:v>
                </c:pt>
                <c:pt idx="1">
                  <c:v>43107</c:v>
                </c:pt>
                <c:pt idx="2">
                  <c:v>43108</c:v>
                </c:pt>
                <c:pt idx="3">
                  <c:v>43109</c:v>
                </c:pt>
                <c:pt idx="4">
                  <c:v>43110</c:v>
                </c:pt>
                <c:pt idx="5">
                  <c:v>43111</c:v>
                </c:pt>
                <c:pt idx="6">
                  <c:v>43112</c:v>
                </c:pt>
                <c:pt idx="7">
                  <c:v>43113</c:v>
                </c:pt>
                <c:pt idx="8">
                  <c:v>43114</c:v>
                </c:pt>
                <c:pt idx="9">
                  <c:v>43115</c:v>
                </c:pt>
                <c:pt idx="10">
                  <c:v>43116</c:v>
                </c:pt>
                <c:pt idx="11">
                  <c:v>43117</c:v>
                </c:pt>
                <c:pt idx="12">
                  <c:v>43118</c:v>
                </c:pt>
                <c:pt idx="13">
                  <c:v>43119</c:v>
                </c:pt>
                <c:pt idx="14">
                  <c:v>43120</c:v>
                </c:pt>
                <c:pt idx="15">
                  <c:v>43121</c:v>
                </c:pt>
                <c:pt idx="16">
                  <c:v>43122</c:v>
                </c:pt>
                <c:pt idx="17">
                  <c:v>43123</c:v>
                </c:pt>
                <c:pt idx="18">
                  <c:v>43124</c:v>
                </c:pt>
                <c:pt idx="19">
                  <c:v>43125</c:v>
                </c:pt>
                <c:pt idx="20">
                  <c:v>43126</c:v>
                </c:pt>
                <c:pt idx="21">
                  <c:v>43127</c:v>
                </c:pt>
                <c:pt idx="22">
                  <c:v>43128</c:v>
                </c:pt>
                <c:pt idx="23">
                  <c:v>43129</c:v>
                </c:pt>
                <c:pt idx="24">
                  <c:v>43130</c:v>
                </c:pt>
                <c:pt idx="25">
                  <c:v>43131</c:v>
                </c:pt>
                <c:pt idx="26">
                  <c:v>43132</c:v>
                </c:pt>
                <c:pt idx="27">
                  <c:v>43133</c:v>
                </c:pt>
                <c:pt idx="28">
                  <c:v>43134</c:v>
                </c:pt>
                <c:pt idx="29">
                  <c:v>43135</c:v>
                </c:pt>
                <c:pt idx="30">
                  <c:v>43136</c:v>
                </c:pt>
                <c:pt idx="31">
                  <c:v>43137</c:v>
                </c:pt>
                <c:pt idx="32">
                  <c:v>43138</c:v>
                </c:pt>
                <c:pt idx="33">
                  <c:v>43139</c:v>
                </c:pt>
                <c:pt idx="34">
                  <c:v>43140</c:v>
                </c:pt>
                <c:pt idx="35">
                  <c:v>43141</c:v>
                </c:pt>
                <c:pt idx="36">
                  <c:v>43142</c:v>
                </c:pt>
                <c:pt idx="37">
                  <c:v>43143</c:v>
                </c:pt>
                <c:pt idx="38">
                  <c:v>43144</c:v>
                </c:pt>
                <c:pt idx="39">
                  <c:v>43145</c:v>
                </c:pt>
                <c:pt idx="40">
                  <c:v>43146</c:v>
                </c:pt>
                <c:pt idx="41">
                  <c:v>43147</c:v>
                </c:pt>
                <c:pt idx="42">
                  <c:v>43148</c:v>
                </c:pt>
                <c:pt idx="43">
                  <c:v>43149</c:v>
                </c:pt>
                <c:pt idx="44">
                  <c:v>43150</c:v>
                </c:pt>
                <c:pt idx="45">
                  <c:v>43151</c:v>
                </c:pt>
                <c:pt idx="46">
                  <c:v>43152</c:v>
                </c:pt>
                <c:pt idx="47">
                  <c:v>43153</c:v>
                </c:pt>
                <c:pt idx="48">
                  <c:v>43154</c:v>
                </c:pt>
                <c:pt idx="49">
                  <c:v>43155</c:v>
                </c:pt>
                <c:pt idx="50">
                  <c:v>43156</c:v>
                </c:pt>
                <c:pt idx="51">
                  <c:v>43157</c:v>
                </c:pt>
                <c:pt idx="52">
                  <c:v>43158</c:v>
                </c:pt>
                <c:pt idx="53">
                  <c:v>43159</c:v>
                </c:pt>
                <c:pt idx="54">
                  <c:v>43160</c:v>
                </c:pt>
                <c:pt idx="55">
                  <c:v>43161</c:v>
                </c:pt>
                <c:pt idx="56">
                  <c:v>43162</c:v>
                </c:pt>
                <c:pt idx="57">
                  <c:v>43163</c:v>
                </c:pt>
                <c:pt idx="58">
                  <c:v>43164</c:v>
                </c:pt>
                <c:pt idx="59">
                  <c:v>43165</c:v>
                </c:pt>
                <c:pt idx="60">
                  <c:v>43166</c:v>
                </c:pt>
                <c:pt idx="61">
                  <c:v>43167</c:v>
                </c:pt>
                <c:pt idx="62">
                  <c:v>43168</c:v>
                </c:pt>
                <c:pt idx="63">
                  <c:v>43169</c:v>
                </c:pt>
                <c:pt idx="64">
                  <c:v>43170</c:v>
                </c:pt>
                <c:pt idx="65">
                  <c:v>43171</c:v>
                </c:pt>
                <c:pt idx="66">
                  <c:v>43172</c:v>
                </c:pt>
                <c:pt idx="67">
                  <c:v>43173</c:v>
                </c:pt>
                <c:pt idx="68">
                  <c:v>43174</c:v>
                </c:pt>
                <c:pt idx="69">
                  <c:v>43175</c:v>
                </c:pt>
                <c:pt idx="70">
                  <c:v>43176</c:v>
                </c:pt>
                <c:pt idx="71">
                  <c:v>43177</c:v>
                </c:pt>
                <c:pt idx="72">
                  <c:v>43178</c:v>
                </c:pt>
                <c:pt idx="73">
                  <c:v>43179</c:v>
                </c:pt>
                <c:pt idx="74">
                  <c:v>43180</c:v>
                </c:pt>
                <c:pt idx="75">
                  <c:v>43181</c:v>
                </c:pt>
                <c:pt idx="76">
                  <c:v>43182</c:v>
                </c:pt>
                <c:pt idx="77">
                  <c:v>43183</c:v>
                </c:pt>
                <c:pt idx="78">
                  <c:v>43184</c:v>
                </c:pt>
                <c:pt idx="79">
                  <c:v>43185</c:v>
                </c:pt>
                <c:pt idx="80">
                  <c:v>43186</c:v>
                </c:pt>
                <c:pt idx="81">
                  <c:v>43187</c:v>
                </c:pt>
                <c:pt idx="82">
                  <c:v>43188</c:v>
                </c:pt>
                <c:pt idx="83">
                  <c:v>43189</c:v>
                </c:pt>
                <c:pt idx="84">
                  <c:v>43191</c:v>
                </c:pt>
                <c:pt idx="85">
                  <c:v>43192</c:v>
                </c:pt>
                <c:pt idx="86">
                  <c:v>43193</c:v>
                </c:pt>
                <c:pt idx="87">
                  <c:v>43194</c:v>
                </c:pt>
                <c:pt idx="88">
                  <c:v>43195</c:v>
                </c:pt>
                <c:pt idx="89">
                  <c:v>43196</c:v>
                </c:pt>
                <c:pt idx="90">
                  <c:v>43197</c:v>
                </c:pt>
                <c:pt idx="91">
                  <c:v>43198</c:v>
                </c:pt>
                <c:pt idx="92">
                  <c:v>43199</c:v>
                </c:pt>
                <c:pt idx="93">
                  <c:v>43200</c:v>
                </c:pt>
                <c:pt idx="94">
                  <c:v>43201</c:v>
                </c:pt>
                <c:pt idx="95">
                  <c:v>43202</c:v>
                </c:pt>
                <c:pt idx="96">
                  <c:v>43203</c:v>
                </c:pt>
                <c:pt idx="97">
                  <c:v>43204</c:v>
                </c:pt>
                <c:pt idx="98">
                  <c:v>43205</c:v>
                </c:pt>
                <c:pt idx="99">
                  <c:v>43206</c:v>
                </c:pt>
                <c:pt idx="100">
                  <c:v>43207</c:v>
                </c:pt>
                <c:pt idx="101">
                  <c:v>43208</c:v>
                </c:pt>
                <c:pt idx="102">
                  <c:v>43209</c:v>
                </c:pt>
                <c:pt idx="103">
                  <c:v>43210</c:v>
                </c:pt>
                <c:pt idx="104">
                  <c:v>43211</c:v>
                </c:pt>
                <c:pt idx="105">
                  <c:v>43212</c:v>
                </c:pt>
                <c:pt idx="106">
                  <c:v>43213</c:v>
                </c:pt>
                <c:pt idx="107">
                  <c:v>43214</c:v>
                </c:pt>
                <c:pt idx="108">
                  <c:v>43215</c:v>
                </c:pt>
                <c:pt idx="109">
                  <c:v>43216</c:v>
                </c:pt>
                <c:pt idx="110">
                  <c:v>43217</c:v>
                </c:pt>
                <c:pt idx="111">
                  <c:v>43218</c:v>
                </c:pt>
                <c:pt idx="112">
                  <c:v>43219</c:v>
                </c:pt>
              </c:numCache>
              <c:extLst xmlns:c15="http://schemas.microsoft.com/office/drawing/2012/chart"/>
            </c:numRef>
          </c:xVal>
          <c:yVal>
            <c:numRef>
              <c:f>'RC Chart Data'!$L$7:$L$119</c:f>
              <c:numCache>
                <c:formatCode>0</c:formatCode>
                <c:ptCount val="11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36.422990000000006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91.790661846932892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3EDF-4DFD-99C8-FF5F8E8BB4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9691064"/>
        <c:axId val="489691720"/>
        <c:extLst>
          <c:ext xmlns:c15="http://schemas.microsoft.com/office/drawing/2012/chart" uri="{02D57815-91ED-43cb-92C2-25804820EDAC}">
            <c15:filteredScatterSeries>
              <c15:ser>
                <c:idx val="10"/>
                <c:order val="9"/>
                <c:tx>
                  <c:strRef>
                    <c:extLst>
                      <c:ext uri="{02D57815-91ED-43cb-92C2-25804820EDAC}">
                        <c15:formulaRef>
                          <c15:sqref>'RC Chart Data'!$M$6</c15:sqref>
                        </c15:formulaRef>
                      </c:ext>
                    </c:extLst>
                    <c:strCache>
                      <c:ptCount val="1"/>
                      <c:pt idx="0">
                        <c:v> </c:v>
                      </c:pt>
                    </c:strCache>
                  </c:strRef>
                </c:tx>
                <c:spPr>
                  <a:ln w="25400" cap="rnd">
                    <a:noFill/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circle"/>
                  <c:size val="6"/>
                  <c:spPr>
                    <a:gradFill rotWithShape="1">
                      <a:gsLst>
                        <a:gs pos="0">
                          <a:schemeClr val="accent5">
                            <a:lumMod val="60000"/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5">
                            <a:lumMod val="60000"/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5">
                            <a:lumMod val="60000"/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 w="9525">
                      <a:solidFill>
                        <a:schemeClr val="accent5">
                          <a:lumMod val="60000"/>
                        </a:schemeClr>
                      </a:solidFill>
                      <a:round/>
                    </a:ln>
                    <a:effectLst>
                      <a:outerShdw blurRad="57150" dist="19050" dir="5400000" algn="ctr" rotWithShape="0">
                        <a:srgbClr val="000000">
                          <a:alpha val="63000"/>
                        </a:srgbClr>
                      </a:outerShdw>
                    </a:effectLst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'RC Chart Data'!$A$7:$A$119</c15:sqref>
                        </c15:formulaRef>
                      </c:ext>
                    </c:extLst>
                    <c:numCache>
                      <c:formatCode>m/d/yyyy</c:formatCode>
                      <c:ptCount val="113"/>
                      <c:pt idx="0">
                        <c:v>43106</c:v>
                      </c:pt>
                      <c:pt idx="1">
                        <c:v>43107</c:v>
                      </c:pt>
                      <c:pt idx="2">
                        <c:v>43108</c:v>
                      </c:pt>
                      <c:pt idx="3">
                        <c:v>43109</c:v>
                      </c:pt>
                      <c:pt idx="4">
                        <c:v>43110</c:v>
                      </c:pt>
                      <c:pt idx="5">
                        <c:v>43111</c:v>
                      </c:pt>
                      <c:pt idx="6">
                        <c:v>43112</c:v>
                      </c:pt>
                      <c:pt idx="7">
                        <c:v>43113</c:v>
                      </c:pt>
                      <c:pt idx="8">
                        <c:v>43114</c:v>
                      </c:pt>
                      <c:pt idx="9">
                        <c:v>43115</c:v>
                      </c:pt>
                      <c:pt idx="10">
                        <c:v>43116</c:v>
                      </c:pt>
                      <c:pt idx="11">
                        <c:v>43117</c:v>
                      </c:pt>
                      <c:pt idx="12">
                        <c:v>43118</c:v>
                      </c:pt>
                      <c:pt idx="13">
                        <c:v>43119</c:v>
                      </c:pt>
                      <c:pt idx="14">
                        <c:v>43120</c:v>
                      </c:pt>
                      <c:pt idx="15">
                        <c:v>43121</c:v>
                      </c:pt>
                      <c:pt idx="16">
                        <c:v>43122</c:v>
                      </c:pt>
                      <c:pt idx="17">
                        <c:v>43123</c:v>
                      </c:pt>
                      <c:pt idx="18">
                        <c:v>43124</c:v>
                      </c:pt>
                      <c:pt idx="19">
                        <c:v>43125</c:v>
                      </c:pt>
                      <c:pt idx="20">
                        <c:v>43126</c:v>
                      </c:pt>
                      <c:pt idx="21">
                        <c:v>43127</c:v>
                      </c:pt>
                      <c:pt idx="22">
                        <c:v>43128</c:v>
                      </c:pt>
                      <c:pt idx="23">
                        <c:v>43129</c:v>
                      </c:pt>
                      <c:pt idx="24">
                        <c:v>43130</c:v>
                      </c:pt>
                      <c:pt idx="25">
                        <c:v>43131</c:v>
                      </c:pt>
                      <c:pt idx="26">
                        <c:v>43132</c:v>
                      </c:pt>
                      <c:pt idx="27">
                        <c:v>43133</c:v>
                      </c:pt>
                      <c:pt idx="28">
                        <c:v>43134</c:v>
                      </c:pt>
                      <c:pt idx="29">
                        <c:v>43135</c:v>
                      </c:pt>
                      <c:pt idx="30">
                        <c:v>43136</c:v>
                      </c:pt>
                      <c:pt idx="31">
                        <c:v>43137</c:v>
                      </c:pt>
                      <c:pt idx="32">
                        <c:v>43138</c:v>
                      </c:pt>
                      <c:pt idx="33">
                        <c:v>43139</c:v>
                      </c:pt>
                      <c:pt idx="34">
                        <c:v>43140</c:v>
                      </c:pt>
                      <c:pt idx="35">
                        <c:v>43141</c:v>
                      </c:pt>
                      <c:pt idx="36">
                        <c:v>43142</c:v>
                      </c:pt>
                      <c:pt idx="37">
                        <c:v>43143</c:v>
                      </c:pt>
                      <c:pt idx="38">
                        <c:v>43144</c:v>
                      </c:pt>
                      <c:pt idx="39">
                        <c:v>43145</c:v>
                      </c:pt>
                      <c:pt idx="40">
                        <c:v>43146</c:v>
                      </c:pt>
                      <c:pt idx="41">
                        <c:v>43147</c:v>
                      </c:pt>
                      <c:pt idx="42">
                        <c:v>43148</c:v>
                      </c:pt>
                      <c:pt idx="43">
                        <c:v>43149</c:v>
                      </c:pt>
                      <c:pt idx="44">
                        <c:v>43150</c:v>
                      </c:pt>
                      <c:pt idx="45">
                        <c:v>43151</c:v>
                      </c:pt>
                      <c:pt idx="46">
                        <c:v>43152</c:v>
                      </c:pt>
                      <c:pt idx="47">
                        <c:v>43153</c:v>
                      </c:pt>
                      <c:pt idx="48">
                        <c:v>43154</c:v>
                      </c:pt>
                      <c:pt idx="49">
                        <c:v>43155</c:v>
                      </c:pt>
                      <c:pt idx="50">
                        <c:v>43156</c:v>
                      </c:pt>
                      <c:pt idx="51">
                        <c:v>43157</c:v>
                      </c:pt>
                      <c:pt idx="52">
                        <c:v>43158</c:v>
                      </c:pt>
                      <c:pt idx="53">
                        <c:v>43159</c:v>
                      </c:pt>
                      <c:pt idx="54">
                        <c:v>43160</c:v>
                      </c:pt>
                      <c:pt idx="55">
                        <c:v>43161</c:v>
                      </c:pt>
                      <c:pt idx="56">
                        <c:v>43162</c:v>
                      </c:pt>
                      <c:pt idx="57">
                        <c:v>43163</c:v>
                      </c:pt>
                      <c:pt idx="58">
                        <c:v>43164</c:v>
                      </c:pt>
                      <c:pt idx="59">
                        <c:v>43165</c:v>
                      </c:pt>
                      <c:pt idx="60">
                        <c:v>43166</c:v>
                      </c:pt>
                      <c:pt idx="61">
                        <c:v>43167</c:v>
                      </c:pt>
                      <c:pt idx="62">
                        <c:v>43168</c:v>
                      </c:pt>
                      <c:pt idx="63">
                        <c:v>43169</c:v>
                      </c:pt>
                      <c:pt idx="64">
                        <c:v>43170</c:v>
                      </c:pt>
                      <c:pt idx="65">
                        <c:v>43171</c:v>
                      </c:pt>
                      <c:pt idx="66">
                        <c:v>43172</c:v>
                      </c:pt>
                      <c:pt idx="67">
                        <c:v>43173</c:v>
                      </c:pt>
                      <c:pt idx="68">
                        <c:v>43174</c:v>
                      </c:pt>
                      <c:pt idx="69">
                        <c:v>43175</c:v>
                      </c:pt>
                      <c:pt idx="70">
                        <c:v>43176</c:v>
                      </c:pt>
                      <c:pt idx="71">
                        <c:v>43177</c:v>
                      </c:pt>
                      <c:pt idx="72">
                        <c:v>43178</c:v>
                      </c:pt>
                      <c:pt idx="73">
                        <c:v>43179</c:v>
                      </c:pt>
                      <c:pt idx="74">
                        <c:v>43180</c:v>
                      </c:pt>
                      <c:pt idx="75">
                        <c:v>43181</c:v>
                      </c:pt>
                      <c:pt idx="76">
                        <c:v>43182</c:v>
                      </c:pt>
                      <c:pt idx="77">
                        <c:v>43183</c:v>
                      </c:pt>
                      <c:pt idx="78">
                        <c:v>43184</c:v>
                      </c:pt>
                      <c:pt idx="79">
                        <c:v>43185</c:v>
                      </c:pt>
                      <c:pt idx="80">
                        <c:v>43186</c:v>
                      </c:pt>
                      <c:pt idx="81">
                        <c:v>43187</c:v>
                      </c:pt>
                      <c:pt idx="82">
                        <c:v>43188</c:v>
                      </c:pt>
                      <c:pt idx="83">
                        <c:v>43189</c:v>
                      </c:pt>
                      <c:pt idx="84">
                        <c:v>43191</c:v>
                      </c:pt>
                      <c:pt idx="85">
                        <c:v>43192</c:v>
                      </c:pt>
                      <c:pt idx="86">
                        <c:v>43193</c:v>
                      </c:pt>
                      <c:pt idx="87">
                        <c:v>43194</c:v>
                      </c:pt>
                      <c:pt idx="88">
                        <c:v>43195</c:v>
                      </c:pt>
                      <c:pt idx="89">
                        <c:v>43196</c:v>
                      </c:pt>
                      <c:pt idx="90">
                        <c:v>43197</c:v>
                      </c:pt>
                      <c:pt idx="91">
                        <c:v>43198</c:v>
                      </c:pt>
                      <c:pt idx="92">
                        <c:v>43199</c:v>
                      </c:pt>
                      <c:pt idx="93">
                        <c:v>43200</c:v>
                      </c:pt>
                      <c:pt idx="94">
                        <c:v>43201</c:v>
                      </c:pt>
                      <c:pt idx="95">
                        <c:v>43202</c:v>
                      </c:pt>
                      <c:pt idx="96">
                        <c:v>43203</c:v>
                      </c:pt>
                      <c:pt idx="97">
                        <c:v>43204</c:v>
                      </c:pt>
                      <c:pt idx="98">
                        <c:v>43205</c:v>
                      </c:pt>
                      <c:pt idx="99">
                        <c:v>43206</c:v>
                      </c:pt>
                      <c:pt idx="100">
                        <c:v>43207</c:v>
                      </c:pt>
                      <c:pt idx="101">
                        <c:v>43208</c:v>
                      </c:pt>
                      <c:pt idx="102">
                        <c:v>43209</c:v>
                      </c:pt>
                      <c:pt idx="103">
                        <c:v>43210</c:v>
                      </c:pt>
                      <c:pt idx="104">
                        <c:v>43211</c:v>
                      </c:pt>
                      <c:pt idx="105">
                        <c:v>43212</c:v>
                      </c:pt>
                      <c:pt idx="106">
                        <c:v>43213</c:v>
                      </c:pt>
                      <c:pt idx="107">
                        <c:v>43214</c:v>
                      </c:pt>
                      <c:pt idx="108">
                        <c:v>43215</c:v>
                      </c:pt>
                      <c:pt idx="109">
                        <c:v>43216</c:v>
                      </c:pt>
                      <c:pt idx="110">
                        <c:v>43217</c:v>
                      </c:pt>
                      <c:pt idx="111">
                        <c:v>43218</c:v>
                      </c:pt>
                      <c:pt idx="112">
                        <c:v>43219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'RC Chart Data'!$M$7:$M$119</c15:sqref>
                        </c15:formulaRef>
                      </c:ext>
                    </c:extLst>
                    <c:numCache>
                      <c:formatCode>0</c:formatCode>
                      <c:ptCount val="11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  <c:pt idx="33">
                        <c:v>#N/A</c:v>
                      </c:pt>
                      <c:pt idx="34">
                        <c:v>#N/A</c:v>
                      </c:pt>
                      <c:pt idx="35">
                        <c:v>#N/A</c:v>
                      </c:pt>
                      <c:pt idx="36">
                        <c:v>#N/A</c:v>
                      </c:pt>
                      <c:pt idx="37">
                        <c:v>#N/A</c:v>
                      </c:pt>
                      <c:pt idx="38">
                        <c:v>#N/A</c:v>
                      </c:pt>
                      <c:pt idx="39">
                        <c:v>#N/A</c:v>
                      </c:pt>
                      <c:pt idx="40">
                        <c:v>#N/A</c:v>
                      </c:pt>
                      <c:pt idx="41">
                        <c:v>#N/A</c:v>
                      </c:pt>
                      <c:pt idx="42">
                        <c:v>#N/A</c:v>
                      </c:pt>
                      <c:pt idx="43">
                        <c:v>#N/A</c:v>
                      </c:pt>
                      <c:pt idx="44">
                        <c:v>#N/A</c:v>
                      </c:pt>
                      <c:pt idx="45">
                        <c:v>#N/A</c:v>
                      </c:pt>
                      <c:pt idx="46">
                        <c:v>#N/A</c:v>
                      </c:pt>
                      <c:pt idx="47">
                        <c:v>#N/A</c:v>
                      </c:pt>
                      <c:pt idx="48">
                        <c:v>#N/A</c:v>
                      </c:pt>
                      <c:pt idx="49">
                        <c:v>#N/A</c:v>
                      </c:pt>
                      <c:pt idx="50">
                        <c:v>#N/A</c:v>
                      </c:pt>
                      <c:pt idx="51">
                        <c:v>#N/A</c:v>
                      </c:pt>
                      <c:pt idx="52">
                        <c:v>#N/A</c:v>
                      </c:pt>
                      <c:pt idx="53">
                        <c:v>#N/A</c:v>
                      </c:pt>
                      <c:pt idx="54">
                        <c:v>#N/A</c:v>
                      </c:pt>
                      <c:pt idx="55">
                        <c:v>#N/A</c:v>
                      </c:pt>
                      <c:pt idx="56">
                        <c:v>#N/A</c:v>
                      </c:pt>
                      <c:pt idx="57">
                        <c:v>#N/A</c:v>
                      </c:pt>
                      <c:pt idx="58">
                        <c:v>#N/A</c:v>
                      </c:pt>
                      <c:pt idx="59">
                        <c:v>#N/A</c:v>
                      </c:pt>
                      <c:pt idx="60">
                        <c:v>#N/A</c:v>
                      </c:pt>
                      <c:pt idx="61">
                        <c:v>#N/A</c:v>
                      </c:pt>
                      <c:pt idx="62">
                        <c:v>#N/A</c:v>
                      </c:pt>
                      <c:pt idx="63">
                        <c:v>#N/A</c:v>
                      </c:pt>
                      <c:pt idx="64">
                        <c:v>#N/A</c:v>
                      </c:pt>
                      <c:pt idx="65">
                        <c:v>#N/A</c:v>
                      </c:pt>
                      <c:pt idx="66">
                        <c:v>#N/A</c:v>
                      </c:pt>
                      <c:pt idx="67">
                        <c:v>#N/A</c:v>
                      </c:pt>
                      <c:pt idx="68">
                        <c:v>#N/A</c:v>
                      </c:pt>
                      <c:pt idx="69">
                        <c:v>#N/A</c:v>
                      </c:pt>
                      <c:pt idx="70">
                        <c:v>#N/A</c:v>
                      </c:pt>
                      <c:pt idx="71">
                        <c:v>#N/A</c:v>
                      </c:pt>
                      <c:pt idx="72">
                        <c:v>#N/A</c:v>
                      </c:pt>
                      <c:pt idx="73">
                        <c:v>#N/A</c:v>
                      </c:pt>
                      <c:pt idx="74">
                        <c:v>#N/A</c:v>
                      </c:pt>
                      <c:pt idx="75">
                        <c:v>#N/A</c:v>
                      </c:pt>
                      <c:pt idx="76">
                        <c:v>#N/A</c:v>
                      </c:pt>
                      <c:pt idx="77">
                        <c:v>#N/A</c:v>
                      </c:pt>
                      <c:pt idx="78">
                        <c:v>#N/A</c:v>
                      </c:pt>
                      <c:pt idx="79">
                        <c:v>#N/A</c:v>
                      </c:pt>
                      <c:pt idx="80">
                        <c:v>#N/A</c:v>
                      </c:pt>
                      <c:pt idx="81">
                        <c:v>#N/A</c:v>
                      </c:pt>
                      <c:pt idx="82">
                        <c:v>#N/A</c:v>
                      </c:pt>
                      <c:pt idx="83">
                        <c:v>#N/A</c:v>
                      </c:pt>
                      <c:pt idx="84">
                        <c:v>#N/A</c:v>
                      </c:pt>
                      <c:pt idx="85">
                        <c:v>#N/A</c:v>
                      </c:pt>
                      <c:pt idx="86">
                        <c:v>#N/A</c:v>
                      </c:pt>
                      <c:pt idx="87">
                        <c:v>#N/A</c:v>
                      </c:pt>
                      <c:pt idx="88">
                        <c:v>#N/A</c:v>
                      </c:pt>
                      <c:pt idx="89">
                        <c:v>#N/A</c:v>
                      </c:pt>
                      <c:pt idx="90">
                        <c:v>#N/A</c:v>
                      </c:pt>
                      <c:pt idx="91">
                        <c:v>#N/A</c:v>
                      </c:pt>
                      <c:pt idx="92">
                        <c:v>#N/A</c:v>
                      </c:pt>
                      <c:pt idx="93">
                        <c:v>#N/A</c:v>
                      </c:pt>
                      <c:pt idx="94">
                        <c:v>#N/A</c:v>
                      </c:pt>
                      <c:pt idx="95">
                        <c:v>#N/A</c:v>
                      </c:pt>
                      <c:pt idx="96">
                        <c:v>#N/A</c:v>
                      </c:pt>
                      <c:pt idx="97">
                        <c:v>#N/A</c:v>
                      </c:pt>
                      <c:pt idx="98">
                        <c:v>#N/A</c:v>
                      </c:pt>
                      <c:pt idx="99">
                        <c:v>#N/A</c:v>
                      </c:pt>
                      <c:pt idx="100">
                        <c:v>#N/A</c:v>
                      </c:pt>
                      <c:pt idx="101">
                        <c:v>#N/A</c:v>
                      </c:pt>
                      <c:pt idx="102">
                        <c:v>#N/A</c:v>
                      </c:pt>
                      <c:pt idx="103">
                        <c:v>#N/A</c:v>
                      </c:pt>
                      <c:pt idx="104">
                        <c:v>#N/A</c:v>
                      </c:pt>
                      <c:pt idx="105">
                        <c:v>#N/A</c:v>
                      </c:pt>
                      <c:pt idx="106">
                        <c:v>#N/A</c:v>
                      </c:pt>
                      <c:pt idx="107">
                        <c:v>#N/A</c:v>
                      </c:pt>
                      <c:pt idx="108">
                        <c:v>#N/A</c:v>
                      </c:pt>
                      <c:pt idx="109">
                        <c:v>#N/A</c:v>
                      </c:pt>
                      <c:pt idx="110">
                        <c:v>#N/A</c:v>
                      </c:pt>
                      <c:pt idx="111">
                        <c:v>#N/A</c:v>
                      </c:pt>
                      <c:pt idx="112">
                        <c:v>#N/A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A-3EDF-4DFD-99C8-FF5F8E8BB4CC}"/>
                  </c:ext>
                </c:extLst>
              </c15:ser>
            </c15:filteredScatterSeries>
            <c15:filteredScatterSeries>
              <c15:ser>
                <c:idx val="11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'RC Chart Data'!$N$6</c15:sqref>
                        </c15:formulaRef>
                      </c:ext>
                    </c:extLst>
                    <c:strCache>
                      <c:ptCount val="1"/>
                      <c:pt idx="0">
                        <c:v>1</c:v>
                      </c:pt>
                    </c:strCache>
                  </c:strRef>
                </c:tx>
                <c:spPr>
                  <a:ln w="25400" cap="rnd">
                    <a:noFill/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circle"/>
                  <c:size val="6"/>
                  <c:spPr>
                    <a:gradFill rotWithShape="1">
                      <a:gsLst>
                        <a:gs pos="0">
                          <a:schemeClr val="accent6">
                            <a:lumMod val="60000"/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6">
                            <a:lumMod val="60000"/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6">
                            <a:lumMod val="60000"/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 w="9525">
                      <a:solidFill>
                        <a:schemeClr val="accent6">
                          <a:lumMod val="60000"/>
                        </a:schemeClr>
                      </a:solidFill>
                      <a:round/>
                    </a:ln>
                    <a:effectLst>
                      <a:outerShdw blurRad="57150" dist="19050" dir="5400000" algn="ctr" rotWithShape="0">
                        <a:srgbClr val="000000">
                          <a:alpha val="63000"/>
                        </a:srgbClr>
                      </a:outerShdw>
                    </a:effectLst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'RC Chart Data'!$A$7:$A$119</c15:sqref>
                        </c15:formulaRef>
                      </c:ext>
                    </c:extLst>
                    <c:numCache>
                      <c:formatCode>m/d/yyyy</c:formatCode>
                      <c:ptCount val="113"/>
                      <c:pt idx="0">
                        <c:v>43106</c:v>
                      </c:pt>
                      <c:pt idx="1">
                        <c:v>43107</c:v>
                      </c:pt>
                      <c:pt idx="2">
                        <c:v>43108</c:v>
                      </c:pt>
                      <c:pt idx="3">
                        <c:v>43109</c:v>
                      </c:pt>
                      <c:pt idx="4">
                        <c:v>43110</c:v>
                      </c:pt>
                      <c:pt idx="5">
                        <c:v>43111</c:v>
                      </c:pt>
                      <c:pt idx="6">
                        <c:v>43112</c:v>
                      </c:pt>
                      <c:pt idx="7">
                        <c:v>43113</c:v>
                      </c:pt>
                      <c:pt idx="8">
                        <c:v>43114</c:v>
                      </c:pt>
                      <c:pt idx="9">
                        <c:v>43115</c:v>
                      </c:pt>
                      <c:pt idx="10">
                        <c:v>43116</c:v>
                      </c:pt>
                      <c:pt idx="11">
                        <c:v>43117</c:v>
                      </c:pt>
                      <c:pt idx="12">
                        <c:v>43118</c:v>
                      </c:pt>
                      <c:pt idx="13">
                        <c:v>43119</c:v>
                      </c:pt>
                      <c:pt idx="14">
                        <c:v>43120</c:v>
                      </c:pt>
                      <c:pt idx="15">
                        <c:v>43121</c:v>
                      </c:pt>
                      <c:pt idx="16">
                        <c:v>43122</c:v>
                      </c:pt>
                      <c:pt idx="17">
                        <c:v>43123</c:v>
                      </c:pt>
                      <c:pt idx="18">
                        <c:v>43124</c:v>
                      </c:pt>
                      <c:pt idx="19">
                        <c:v>43125</c:v>
                      </c:pt>
                      <c:pt idx="20">
                        <c:v>43126</c:v>
                      </c:pt>
                      <c:pt idx="21">
                        <c:v>43127</c:v>
                      </c:pt>
                      <c:pt idx="22">
                        <c:v>43128</c:v>
                      </c:pt>
                      <c:pt idx="23">
                        <c:v>43129</c:v>
                      </c:pt>
                      <c:pt idx="24">
                        <c:v>43130</c:v>
                      </c:pt>
                      <c:pt idx="25">
                        <c:v>43131</c:v>
                      </c:pt>
                      <c:pt idx="26">
                        <c:v>43132</c:v>
                      </c:pt>
                      <c:pt idx="27">
                        <c:v>43133</c:v>
                      </c:pt>
                      <c:pt idx="28">
                        <c:v>43134</c:v>
                      </c:pt>
                      <c:pt idx="29">
                        <c:v>43135</c:v>
                      </c:pt>
                      <c:pt idx="30">
                        <c:v>43136</c:v>
                      </c:pt>
                      <c:pt idx="31">
                        <c:v>43137</c:v>
                      </c:pt>
                      <c:pt idx="32">
                        <c:v>43138</c:v>
                      </c:pt>
                      <c:pt idx="33">
                        <c:v>43139</c:v>
                      </c:pt>
                      <c:pt idx="34">
                        <c:v>43140</c:v>
                      </c:pt>
                      <c:pt idx="35">
                        <c:v>43141</c:v>
                      </c:pt>
                      <c:pt idx="36">
                        <c:v>43142</c:v>
                      </c:pt>
                      <c:pt idx="37">
                        <c:v>43143</c:v>
                      </c:pt>
                      <c:pt idx="38">
                        <c:v>43144</c:v>
                      </c:pt>
                      <c:pt idx="39">
                        <c:v>43145</c:v>
                      </c:pt>
                      <c:pt idx="40">
                        <c:v>43146</c:v>
                      </c:pt>
                      <c:pt idx="41">
                        <c:v>43147</c:v>
                      </c:pt>
                      <c:pt idx="42">
                        <c:v>43148</c:v>
                      </c:pt>
                      <c:pt idx="43">
                        <c:v>43149</c:v>
                      </c:pt>
                      <c:pt idx="44">
                        <c:v>43150</c:v>
                      </c:pt>
                      <c:pt idx="45">
                        <c:v>43151</c:v>
                      </c:pt>
                      <c:pt idx="46">
                        <c:v>43152</c:v>
                      </c:pt>
                      <c:pt idx="47">
                        <c:v>43153</c:v>
                      </c:pt>
                      <c:pt idx="48">
                        <c:v>43154</c:v>
                      </c:pt>
                      <c:pt idx="49">
                        <c:v>43155</c:v>
                      </c:pt>
                      <c:pt idx="50">
                        <c:v>43156</c:v>
                      </c:pt>
                      <c:pt idx="51">
                        <c:v>43157</c:v>
                      </c:pt>
                      <c:pt idx="52">
                        <c:v>43158</c:v>
                      </c:pt>
                      <c:pt idx="53">
                        <c:v>43159</c:v>
                      </c:pt>
                      <c:pt idx="54">
                        <c:v>43160</c:v>
                      </c:pt>
                      <c:pt idx="55">
                        <c:v>43161</c:v>
                      </c:pt>
                      <c:pt idx="56">
                        <c:v>43162</c:v>
                      </c:pt>
                      <c:pt idx="57">
                        <c:v>43163</c:v>
                      </c:pt>
                      <c:pt idx="58">
                        <c:v>43164</c:v>
                      </c:pt>
                      <c:pt idx="59">
                        <c:v>43165</c:v>
                      </c:pt>
                      <c:pt idx="60">
                        <c:v>43166</c:v>
                      </c:pt>
                      <c:pt idx="61">
                        <c:v>43167</c:v>
                      </c:pt>
                      <c:pt idx="62">
                        <c:v>43168</c:v>
                      </c:pt>
                      <c:pt idx="63">
                        <c:v>43169</c:v>
                      </c:pt>
                      <c:pt idx="64">
                        <c:v>43170</c:v>
                      </c:pt>
                      <c:pt idx="65">
                        <c:v>43171</c:v>
                      </c:pt>
                      <c:pt idx="66">
                        <c:v>43172</c:v>
                      </c:pt>
                      <c:pt idx="67">
                        <c:v>43173</c:v>
                      </c:pt>
                      <c:pt idx="68">
                        <c:v>43174</c:v>
                      </c:pt>
                      <c:pt idx="69">
                        <c:v>43175</c:v>
                      </c:pt>
                      <c:pt idx="70">
                        <c:v>43176</c:v>
                      </c:pt>
                      <c:pt idx="71">
                        <c:v>43177</c:v>
                      </c:pt>
                      <c:pt idx="72">
                        <c:v>43178</c:v>
                      </c:pt>
                      <c:pt idx="73">
                        <c:v>43179</c:v>
                      </c:pt>
                      <c:pt idx="74">
                        <c:v>43180</c:v>
                      </c:pt>
                      <c:pt idx="75">
                        <c:v>43181</c:v>
                      </c:pt>
                      <c:pt idx="76">
                        <c:v>43182</c:v>
                      </c:pt>
                      <c:pt idx="77">
                        <c:v>43183</c:v>
                      </c:pt>
                      <c:pt idx="78">
                        <c:v>43184</c:v>
                      </c:pt>
                      <c:pt idx="79">
                        <c:v>43185</c:v>
                      </c:pt>
                      <c:pt idx="80">
                        <c:v>43186</c:v>
                      </c:pt>
                      <c:pt idx="81">
                        <c:v>43187</c:v>
                      </c:pt>
                      <c:pt idx="82">
                        <c:v>43188</c:v>
                      </c:pt>
                      <c:pt idx="83">
                        <c:v>43189</c:v>
                      </c:pt>
                      <c:pt idx="84">
                        <c:v>43191</c:v>
                      </c:pt>
                      <c:pt idx="85">
                        <c:v>43192</c:v>
                      </c:pt>
                      <c:pt idx="86">
                        <c:v>43193</c:v>
                      </c:pt>
                      <c:pt idx="87">
                        <c:v>43194</c:v>
                      </c:pt>
                      <c:pt idx="88">
                        <c:v>43195</c:v>
                      </c:pt>
                      <c:pt idx="89">
                        <c:v>43196</c:v>
                      </c:pt>
                      <c:pt idx="90">
                        <c:v>43197</c:v>
                      </c:pt>
                      <c:pt idx="91">
                        <c:v>43198</c:v>
                      </c:pt>
                      <c:pt idx="92">
                        <c:v>43199</c:v>
                      </c:pt>
                      <c:pt idx="93">
                        <c:v>43200</c:v>
                      </c:pt>
                      <c:pt idx="94">
                        <c:v>43201</c:v>
                      </c:pt>
                      <c:pt idx="95">
                        <c:v>43202</c:v>
                      </c:pt>
                      <c:pt idx="96">
                        <c:v>43203</c:v>
                      </c:pt>
                      <c:pt idx="97">
                        <c:v>43204</c:v>
                      </c:pt>
                      <c:pt idx="98">
                        <c:v>43205</c:v>
                      </c:pt>
                      <c:pt idx="99">
                        <c:v>43206</c:v>
                      </c:pt>
                      <c:pt idx="100">
                        <c:v>43207</c:v>
                      </c:pt>
                      <c:pt idx="101">
                        <c:v>43208</c:v>
                      </c:pt>
                      <c:pt idx="102">
                        <c:v>43209</c:v>
                      </c:pt>
                      <c:pt idx="103">
                        <c:v>43210</c:v>
                      </c:pt>
                      <c:pt idx="104">
                        <c:v>43211</c:v>
                      </c:pt>
                      <c:pt idx="105">
                        <c:v>43212</c:v>
                      </c:pt>
                      <c:pt idx="106">
                        <c:v>43213</c:v>
                      </c:pt>
                      <c:pt idx="107">
                        <c:v>43214</c:v>
                      </c:pt>
                      <c:pt idx="108">
                        <c:v>43215</c:v>
                      </c:pt>
                      <c:pt idx="109">
                        <c:v>43216</c:v>
                      </c:pt>
                      <c:pt idx="110">
                        <c:v>43217</c:v>
                      </c:pt>
                      <c:pt idx="111">
                        <c:v>43218</c:v>
                      </c:pt>
                      <c:pt idx="112">
                        <c:v>43219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'RC Chart Data'!$N$7:$N$119</c15:sqref>
                        </c15:formulaRef>
                      </c:ext>
                    </c:extLst>
                    <c:numCache>
                      <c:formatCode>0</c:formatCode>
                      <c:ptCount val="11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  <c:pt idx="33">
                        <c:v>#N/A</c:v>
                      </c:pt>
                      <c:pt idx="34">
                        <c:v>#N/A</c:v>
                      </c:pt>
                      <c:pt idx="35">
                        <c:v>#N/A</c:v>
                      </c:pt>
                      <c:pt idx="36">
                        <c:v>#N/A</c:v>
                      </c:pt>
                      <c:pt idx="37">
                        <c:v>#N/A</c:v>
                      </c:pt>
                      <c:pt idx="38">
                        <c:v>#N/A</c:v>
                      </c:pt>
                      <c:pt idx="39">
                        <c:v>#N/A</c:v>
                      </c:pt>
                      <c:pt idx="40">
                        <c:v>#N/A</c:v>
                      </c:pt>
                      <c:pt idx="41">
                        <c:v>#N/A</c:v>
                      </c:pt>
                      <c:pt idx="42">
                        <c:v>#N/A</c:v>
                      </c:pt>
                      <c:pt idx="43">
                        <c:v>#N/A</c:v>
                      </c:pt>
                      <c:pt idx="44">
                        <c:v>#N/A</c:v>
                      </c:pt>
                      <c:pt idx="45">
                        <c:v>#N/A</c:v>
                      </c:pt>
                      <c:pt idx="46">
                        <c:v>#N/A</c:v>
                      </c:pt>
                      <c:pt idx="47">
                        <c:v>#N/A</c:v>
                      </c:pt>
                      <c:pt idx="48">
                        <c:v>#N/A</c:v>
                      </c:pt>
                      <c:pt idx="49">
                        <c:v>#N/A</c:v>
                      </c:pt>
                      <c:pt idx="50">
                        <c:v>#N/A</c:v>
                      </c:pt>
                      <c:pt idx="51">
                        <c:v>#N/A</c:v>
                      </c:pt>
                      <c:pt idx="52">
                        <c:v>#N/A</c:v>
                      </c:pt>
                      <c:pt idx="53">
                        <c:v>#N/A</c:v>
                      </c:pt>
                      <c:pt idx="54">
                        <c:v>#N/A</c:v>
                      </c:pt>
                      <c:pt idx="55">
                        <c:v>#N/A</c:v>
                      </c:pt>
                      <c:pt idx="56">
                        <c:v>#N/A</c:v>
                      </c:pt>
                      <c:pt idx="57">
                        <c:v>#N/A</c:v>
                      </c:pt>
                      <c:pt idx="58">
                        <c:v>#N/A</c:v>
                      </c:pt>
                      <c:pt idx="59">
                        <c:v>#N/A</c:v>
                      </c:pt>
                      <c:pt idx="60">
                        <c:v>#N/A</c:v>
                      </c:pt>
                      <c:pt idx="61">
                        <c:v>#N/A</c:v>
                      </c:pt>
                      <c:pt idx="62">
                        <c:v>#N/A</c:v>
                      </c:pt>
                      <c:pt idx="63">
                        <c:v>#N/A</c:v>
                      </c:pt>
                      <c:pt idx="64">
                        <c:v>#N/A</c:v>
                      </c:pt>
                      <c:pt idx="65">
                        <c:v>#N/A</c:v>
                      </c:pt>
                      <c:pt idx="66">
                        <c:v>#N/A</c:v>
                      </c:pt>
                      <c:pt idx="67">
                        <c:v>#N/A</c:v>
                      </c:pt>
                      <c:pt idx="68">
                        <c:v>#N/A</c:v>
                      </c:pt>
                      <c:pt idx="69">
                        <c:v>#N/A</c:v>
                      </c:pt>
                      <c:pt idx="70">
                        <c:v>#N/A</c:v>
                      </c:pt>
                      <c:pt idx="71">
                        <c:v>#N/A</c:v>
                      </c:pt>
                      <c:pt idx="72">
                        <c:v>#N/A</c:v>
                      </c:pt>
                      <c:pt idx="73">
                        <c:v>#N/A</c:v>
                      </c:pt>
                      <c:pt idx="74">
                        <c:v>#N/A</c:v>
                      </c:pt>
                      <c:pt idx="75">
                        <c:v>#N/A</c:v>
                      </c:pt>
                      <c:pt idx="76">
                        <c:v>#N/A</c:v>
                      </c:pt>
                      <c:pt idx="77">
                        <c:v>#N/A</c:v>
                      </c:pt>
                      <c:pt idx="78">
                        <c:v>#N/A</c:v>
                      </c:pt>
                      <c:pt idx="79">
                        <c:v>#N/A</c:v>
                      </c:pt>
                      <c:pt idx="80">
                        <c:v>#N/A</c:v>
                      </c:pt>
                      <c:pt idx="81">
                        <c:v>#N/A</c:v>
                      </c:pt>
                      <c:pt idx="82">
                        <c:v>#N/A</c:v>
                      </c:pt>
                      <c:pt idx="83">
                        <c:v>#N/A</c:v>
                      </c:pt>
                      <c:pt idx="84">
                        <c:v>#N/A</c:v>
                      </c:pt>
                      <c:pt idx="85">
                        <c:v>#N/A</c:v>
                      </c:pt>
                      <c:pt idx="86">
                        <c:v>#N/A</c:v>
                      </c:pt>
                      <c:pt idx="87">
                        <c:v>#N/A</c:v>
                      </c:pt>
                      <c:pt idx="88">
                        <c:v>#N/A</c:v>
                      </c:pt>
                      <c:pt idx="89">
                        <c:v>#N/A</c:v>
                      </c:pt>
                      <c:pt idx="90">
                        <c:v>#N/A</c:v>
                      </c:pt>
                      <c:pt idx="91">
                        <c:v>#N/A</c:v>
                      </c:pt>
                      <c:pt idx="92">
                        <c:v>#N/A</c:v>
                      </c:pt>
                      <c:pt idx="93">
                        <c:v>#N/A</c:v>
                      </c:pt>
                      <c:pt idx="94">
                        <c:v>#N/A</c:v>
                      </c:pt>
                      <c:pt idx="95">
                        <c:v>#N/A</c:v>
                      </c:pt>
                      <c:pt idx="96">
                        <c:v>#N/A</c:v>
                      </c:pt>
                      <c:pt idx="97">
                        <c:v>#N/A</c:v>
                      </c:pt>
                      <c:pt idx="98">
                        <c:v>#N/A</c:v>
                      </c:pt>
                      <c:pt idx="99">
                        <c:v>#N/A</c:v>
                      </c:pt>
                      <c:pt idx="100">
                        <c:v>#N/A</c:v>
                      </c:pt>
                      <c:pt idx="101">
                        <c:v>#N/A</c:v>
                      </c:pt>
                      <c:pt idx="102">
                        <c:v>#N/A</c:v>
                      </c:pt>
                      <c:pt idx="103">
                        <c:v>#N/A</c:v>
                      </c:pt>
                      <c:pt idx="104">
                        <c:v>#N/A</c:v>
                      </c:pt>
                      <c:pt idx="105">
                        <c:v>#N/A</c:v>
                      </c:pt>
                      <c:pt idx="106">
                        <c:v>#N/A</c:v>
                      </c:pt>
                      <c:pt idx="107">
                        <c:v>#N/A</c:v>
                      </c:pt>
                      <c:pt idx="108">
                        <c:v>#N/A</c:v>
                      </c:pt>
                      <c:pt idx="109">
                        <c:v>#N/A</c:v>
                      </c:pt>
                      <c:pt idx="110">
                        <c:v>#N/A</c:v>
                      </c:pt>
                      <c:pt idx="111">
                        <c:v>#N/A</c:v>
                      </c:pt>
                      <c:pt idx="11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3EDF-4DFD-99C8-FF5F8E8BB4CC}"/>
                  </c:ext>
                </c:extLst>
              </c15:ser>
            </c15:filteredScatterSeries>
            <c15:filteredScatterSeries>
              <c15:ser>
                <c:idx val="12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'RC Chart Data'!$O$6</c15:sqref>
                        </c15:formulaRef>
                      </c:ext>
                    </c:extLst>
                    <c:strCache>
                      <c:ptCount val="1"/>
                      <c:pt idx="0">
                        <c:v>2</c:v>
                      </c:pt>
                    </c:strCache>
                  </c:strRef>
                </c:tx>
                <c:spPr>
                  <a:ln w="25400" cap="rnd">
                    <a:noFill/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circle"/>
                  <c:size val="6"/>
                  <c:spPr>
                    <a:gradFill rotWithShape="1">
                      <a:gsLst>
                        <a:gs pos="0">
                          <a:schemeClr val="accent1">
                            <a:lumMod val="80000"/>
                            <a:lumOff val="20000"/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1">
                            <a:lumMod val="80000"/>
                            <a:lumOff val="20000"/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1">
                            <a:lumMod val="80000"/>
                            <a:lumOff val="20000"/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 w="9525">
                      <a:solidFill>
                        <a:schemeClr val="accent1">
                          <a:lumMod val="80000"/>
                          <a:lumOff val="20000"/>
                        </a:schemeClr>
                      </a:solidFill>
                      <a:round/>
                    </a:ln>
                    <a:effectLst>
                      <a:outerShdw blurRad="57150" dist="19050" dir="5400000" algn="ctr" rotWithShape="0">
                        <a:srgbClr val="000000">
                          <a:alpha val="63000"/>
                        </a:srgbClr>
                      </a:outerShdw>
                    </a:effectLst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'RC Chart Data'!$A$7:$A$119</c15:sqref>
                        </c15:formulaRef>
                      </c:ext>
                    </c:extLst>
                    <c:numCache>
                      <c:formatCode>m/d/yyyy</c:formatCode>
                      <c:ptCount val="113"/>
                      <c:pt idx="0">
                        <c:v>43106</c:v>
                      </c:pt>
                      <c:pt idx="1">
                        <c:v>43107</c:v>
                      </c:pt>
                      <c:pt idx="2">
                        <c:v>43108</c:v>
                      </c:pt>
                      <c:pt idx="3">
                        <c:v>43109</c:v>
                      </c:pt>
                      <c:pt idx="4">
                        <c:v>43110</c:v>
                      </c:pt>
                      <c:pt idx="5">
                        <c:v>43111</c:v>
                      </c:pt>
                      <c:pt idx="6">
                        <c:v>43112</c:v>
                      </c:pt>
                      <c:pt idx="7">
                        <c:v>43113</c:v>
                      </c:pt>
                      <c:pt idx="8">
                        <c:v>43114</c:v>
                      </c:pt>
                      <c:pt idx="9">
                        <c:v>43115</c:v>
                      </c:pt>
                      <c:pt idx="10">
                        <c:v>43116</c:v>
                      </c:pt>
                      <c:pt idx="11">
                        <c:v>43117</c:v>
                      </c:pt>
                      <c:pt idx="12">
                        <c:v>43118</c:v>
                      </c:pt>
                      <c:pt idx="13">
                        <c:v>43119</c:v>
                      </c:pt>
                      <c:pt idx="14">
                        <c:v>43120</c:v>
                      </c:pt>
                      <c:pt idx="15">
                        <c:v>43121</c:v>
                      </c:pt>
                      <c:pt idx="16">
                        <c:v>43122</c:v>
                      </c:pt>
                      <c:pt idx="17">
                        <c:v>43123</c:v>
                      </c:pt>
                      <c:pt idx="18">
                        <c:v>43124</c:v>
                      </c:pt>
                      <c:pt idx="19">
                        <c:v>43125</c:v>
                      </c:pt>
                      <c:pt idx="20">
                        <c:v>43126</c:v>
                      </c:pt>
                      <c:pt idx="21">
                        <c:v>43127</c:v>
                      </c:pt>
                      <c:pt idx="22">
                        <c:v>43128</c:v>
                      </c:pt>
                      <c:pt idx="23">
                        <c:v>43129</c:v>
                      </c:pt>
                      <c:pt idx="24">
                        <c:v>43130</c:v>
                      </c:pt>
                      <c:pt idx="25">
                        <c:v>43131</c:v>
                      </c:pt>
                      <c:pt idx="26">
                        <c:v>43132</c:v>
                      </c:pt>
                      <c:pt idx="27">
                        <c:v>43133</c:v>
                      </c:pt>
                      <c:pt idx="28">
                        <c:v>43134</c:v>
                      </c:pt>
                      <c:pt idx="29">
                        <c:v>43135</c:v>
                      </c:pt>
                      <c:pt idx="30">
                        <c:v>43136</c:v>
                      </c:pt>
                      <c:pt idx="31">
                        <c:v>43137</c:v>
                      </c:pt>
                      <c:pt idx="32">
                        <c:v>43138</c:v>
                      </c:pt>
                      <c:pt idx="33">
                        <c:v>43139</c:v>
                      </c:pt>
                      <c:pt idx="34">
                        <c:v>43140</c:v>
                      </c:pt>
                      <c:pt idx="35">
                        <c:v>43141</c:v>
                      </c:pt>
                      <c:pt idx="36">
                        <c:v>43142</c:v>
                      </c:pt>
                      <c:pt idx="37">
                        <c:v>43143</c:v>
                      </c:pt>
                      <c:pt idx="38">
                        <c:v>43144</c:v>
                      </c:pt>
                      <c:pt idx="39">
                        <c:v>43145</c:v>
                      </c:pt>
                      <c:pt idx="40">
                        <c:v>43146</c:v>
                      </c:pt>
                      <c:pt idx="41">
                        <c:v>43147</c:v>
                      </c:pt>
                      <c:pt idx="42">
                        <c:v>43148</c:v>
                      </c:pt>
                      <c:pt idx="43">
                        <c:v>43149</c:v>
                      </c:pt>
                      <c:pt idx="44">
                        <c:v>43150</c:v>
                      </c:pt>
                      <c:pt idx="45">
                        <c:v>43151</c:v>
                      </c:pt>
                      <c:pt idx="46">
                        <c:v>43152</c:v>
                      </c:pt>
                      <c:pt idx="47">
                        <c:v>43153</c:v>
                      </c:pt>
                      <c:pt idx="48">
                        <c:v>43154</c:v>
                      </c:pt>
                      <c:pt idx="49">
                        <c:v>43155</c:v>
                      </c:pt>
                      <c:pt idx="50">
                        <c:v>43156</c:v>
                      </c:pt>
                      <c:pt idx="51">
                        <c:v>43157</c:v>
                      </c:pt>
                      <c:pt idx="52">
                        <c:v>43158</c:v>
                      </c:pt>
                      <c:pt idx="53">
                        <c:v>43159</c:v>
                      </c:pt>
                      <c:pt idx="54">
                        <c:v>43160</c:v>
                      </c:pt>
                      <c:pt idx="55">
                        <c:v>43161</c:v>
                      </c:pt>
                      <c:pt idx="56">
                        <c:v>43162</c:v>
                      </c:pt>
                      <c:pt idx="57">
                        <c:v>43163</c:v>
                      </c:pt>
                      <c:pt idx="58">
                        <c:v>43164</c:v>
                      </c:pt>
                      <c:pt idx="59">
                        <c:v>43165</c:v>
                      </c:pt>
                      <c:pt idx="60">
                        <c:v>43166</c:v>
                      </c:pt>
                      <c:pt idx="61">
                        <c:v>43167</c:v>
                      </c:pt>
                      <c:pt idx="62">
                        <c:v>43168</c:v>
                      </c:pt>
                      <c:pt idx="63">
                        <c:v>43169</c:v>
                      </c:pt>
                      <c:pt idx="64">
                        <c:v>43170</c:v>
                      </c:pt>
                      <c:pt idx="65">
                        <c:v>43171</c:v>
                      </c:pt>
                      <c:pt idx="66">
                        <c:v>43172</c:v>
                      </c:pt>
                      <c:pt idx="67">
                        <c:v>43173</c:v>
                      </c:pt>
                      <c:pt idx="68">
                        <c:v>43174</c:v>
                      </c:pt>
                      <c:pt idx="69">
                        <c:v>43175</c:v>
                      </c:pt>
                      <c:pt idx="70">
                        <c:v>43176</c:v>
                      </c:pt>
                      <c:pt idx="71">
                        <c:v>43177</c:v>
                      </c:pt>
                      <c:pt idx="72">
                        <c:v>43178</c:v>
                      </c:pt>
                      <c:pt idx="73">
                        <c:v>43179</c:v>
                      </c:pt>
                      <c:pt idx="74">
                        <c:v>43180</c:v>
                      </c:pt>
                      <c:pt idx="75">
                        <c:v>43181</c:v>
                      </c:pt>
                      <c:pt idx="76">
                        <c:v>43182</c:v>
                      </c:pt>
                      <c:pt idx="77">
                        <c:v>43183</c:v>
                      </c:pt>
                      <c:pt idx="78">
                        <c:v>43184</c:v>
                      </c:pt>
                      <c:pt idx="79">
                        <c:v>43185</c:v>
                      </c:pt>
                      <c:pt idx="80">
                        <c:v>43186</c:v>
                      </c:pt>
                      <c:pt idx="81">
                        <c:v>43187</c:v>
                      </c:pt>
                      <c:pt idx="82">
                        <c:v>43188</c:v>
                      </c:pt>
                      <c:pt idx="83">
                        <c:v>43189</c:v>
                      </c:pt>
                      <c:pt idx="84">
                        <c:v>43191</c:v>
                      </c:pt>
                      <c:pt idx="85">
                        <c:v>43192</c:v>
                      </c:pt>
                      <c:pt idx="86">
                        <c:v>43193</c:v>
                      </c:pt>
                      <c:pt idx="87">
                        <c:v>43194</c:v>
                      </c:pt>
                      <c:pt idx="88">
                        <c:v>43195</c:v>
                      </c:pt>
                      <c:pt idx="89">
                        <c:v>43196</c:v>
                      </c:pt>
                      <c:pt idx="90">
                        <c:v>43197</c:v>
                      </c:pt>
                      <c:pt idx="91">
                        <c:v>43198</c:v>
                      </c:pt>
                      <c:pt idx="92">
                        <c:v>43199</c:v>
                      </c:pt>
                      <c:pt idx="93">
                        <c:v>43200</c:v>
                      </c:pt>
                      <c:pt idx="94">
                        <c:v>43201</c:v>
                      </c:pt>
                      <c:pt idx="95">
                        <c:v>43202</c:v>
                      </c:pt>
                      <c:pt idx="96">
                        <c:v>43203</c:v>
                      </c:pt>
                      <c:pt idx="97">
                        <c:v>43204</c:v>
                      </c:pt>
                      <c:pt idx="98">
                        <c:v>43205</c:v>
                      </c:pt>
                      <c:pt idx="99">
                        <c:v>43206</c:v>
                      </c:pt>
                      <c:pt idx="100">
                        <c:v>43207</c:v>
                      </c:pt>
                      <c:pt idx="101">
                        <c:v>43208</c:v>
                      </c:pt>
                      <c:pt idx="102">
                        <c:v>43209</c:v>
                      </c:pt>
                      <c:pt idx="103">
                        <c:v>43210</c:v>
                      </c:pt>
                      <c:pt idx="104">
                        <c:v>43211</c:v>
                      </c:pt>
                      <c:pt idx="105">
                        <c:v>43212</c:v>
                      </c:pt>
                      <c:pt idx="106">
                        <c:v>43213</c:v>
                      </c:pt>
                      <c:pt idx="107">
                        <c:v>43214</c:v>
                      </c:pt>
                      <c:pt idx="108">
                        <c:v>43215</c:v>
                      </c:pt>
                      <c:pt idx="109">
                        <c:v>43216</c:v>
                      </c:pt>
                      <c:pt idx="110">
                        <c:v>43217</c:v>
                      </c:pt>
                      <c:pt idx="111">
                        <c:v>43218</c:v>
                      </c:pt>
                      <c:pt idx="112">
                        <c:v>43219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'RC Chart Data'!$O$7:$O$119</c15:sqref>
                        </c15:formulaRef>
                      </c:ext>
                    </c:extLst>
                    <c:numCache>
                      <c:formatCode>0</c:formatCode>
                      <c:ptCount val="11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  <c:pt idx="33">
                        <c:v>#N/A</c:v>
                      </c:pt>
                      <c:pt idx="34">
                        <c:v>#N/A</c:v>
                      </c:pt>
                      <c:pt idx="35">
                        <c:v>#N/A</c:v>
                      </c:pt>
                      <c:pt idx="36">
                        <c:v>#N/A</c:v>
                      </c:pt>
                      <c:pt idx="37">
                        <c:v>#N/A</c:v>
                      </c:pt>
                      <c:pt idx="38">
                        <c:v>#N/A</c:v>
                      </c:pt>
                      <c:pt idx="39">
                        <c:v>#N/A</c:v>
                      </c:pt>
                      <c:pt idx="40">
                        <c:v>#N/A</c:v>
                      </c:pt>
                      <c:pt idx="41">
                        <c:v>#N/A</c:v>
                      </c:pt>
                      <c:pt idx="42">
                        <c:v>#N/A</c:v>
                      </c:pt>
                      <c:pt idx="43">
                        <c:v>#N/A</c:v>
                      </c:pt>
                      <c:pt idx="44">
                        <c:v>#N/A</c:v>
                      </c:pt>
                      <c:pt idx="45">
                        <c:v>#N/A</c:v>
                      </c:pt>
                      <c:pt idx="46">
                        <c:v>#N/A</c:v>
                      </c:pt>
                      <c:pt idx="47">
                        <c:v>#N/A</c:v>
                      </c:pt>
                      <c:pt idx="48">
                        <c:v>#N/A</c:v>
                      </c:pt>
                      <c:pt idx="49">
                        <c:v>#N/A</c:v>
                      </c:pt>
                      <c:pt idx="50">
                        <c:v>#N/A</c:v>
                      </c:pt>
                      <c:pt idx="51">
                        <c:v>#N/A</c:v>
                      </c:pt>
                      <c:pt idx="52">
                        <c:v>#N/A</c:v>
                      </c:pt>
                      <c:pt idx="53">
                        <c:v>#N/A</c:v>
                      </c:pt>
                      <c:pt idx="54">
                        <c:v>#N/A</c:v>
                      </c:pt>
                      <c:pt idx="55">
                        <c:v>#N/A</c:v>
                      </c:pt>
                      <c:pt idx="56">
                        <c:v>#N/A</c:v>
                      </c:pt>
                      <c:pt idx="57">
                        <c:v>#N/A</c:v>
                      </c:pt>
                      <c:pt idx="58">
                        <c:v>#N/A</c:v>
                      </c:pt>
                      <c:pt idx="59">
                        <c:v>#N/A</c:v>
                      </c:pt>
                      <c:pt idx="60">
                        <c:v>#N/A</c:v>
                      </c:pt>
                      <c:pt idx="61">
                        <c:v>#N/A</c:v>
                      </c:pt>
                      <c:pt idx="62">
                        <c:v>#N/A</c:v>
                      </c:pt>
                      <c:pt idx="63">
                        <c:v>#N/A</c:v>
                      </c:pt>
                      <c:pt idx="64">
                        <c:v>#N/A</c:v>
                      </c:pt>
                      <c:pt idx="65">
                        <c:v>#N/A</c:v>
                      </c:pt>
                      <c:pt idx="66">
                        <c:v>#N/A</c:v>
                      </c:pt>
                      <c:pt idx="67">
                        <c:v>#N/A</c:v>
                      </c:pt>
                      <c:pt idx="68">
                        <c:v>#N/A</c:v>
                      </c:pt>
                      <c:pt idx="69">
                        <c:v>#N/A</c:v>
                      </c:pt>
                      <c:pt idx="70">
                        <c:v>#N/A</c:v>
                      </c:pt>
                      <c:pt idx="71">
                        <c:v>#N/A</c:v>
                      </c:pt>
                      <c:pt idx="72">
                        <c:v>#N/A</c:v>
                      </c:pt>
                      <c:pt idx="73">
                        <c:v>#N/A</c:v>
                      </c:pt>
                      <c:pt idx="74">
                        <c:v>#N/A</c:v>
                      </c:pt>
                      <c:pt idx="75">
                        <c:v>#N/A</c:v>
                      </c:pt>
                      <c:pt idx="76">
                        <c:v>#N/A</c:v>
                      </c:pt>
                      <c:pt idx="77">
                        <c:v>#N/A</c:v>
                      </c:pt>
                      <c:pt idx="78">
                        <c:v>#N/A</c:v>
                      </c:pt>
                      <c:pt idx="79">
                        <c:v>#N/A</c:v>
                      </c:pt>
                      <c:pt idx="80">
                        <c:v>#N/A</c:v>
                      </c:pt>
                      <c:pt idx="81">
                        <c:v>#N/A</c:v>
                      </c:pt>
                      <c:pt idx="82">
                        <c:v>#N/A</c:v>
                      </c:pt>
                      <c:pt idx="83">
                        <c:v>#N/A</c:v>
                      </c:pt>
                      <c:pt idx="84">
                        <c:v>#N/A</c:v>
                      </c:pt>
                      <c:pt idx="85">
                        <c:v>#N/A</c:v>
                      </c:pt>
                      <c:pt idx="86">
                        <c:v>#N/A</c:v>
                      </c:pt>
                      <c:pt idx="87">
                        <c:v>#N/A</c:v>
                      </c:pt>
                      <c:pt idx="88">
                        <c:v>#N/A</c:v>
                      </c:pt>
                      <c:pt idx="89">
                        <c:v>#N/A</c:v>
                      </c:pt>
                      <c:pt idx="90">
                        <c:v>#N/A</c:v>
                      </c:pt>
                      <c:pt idx="91">
                        <c:v>#N/A</c:v>
                      </c:pt>
                      <c:pt idx="92">
                        <c:v>#N/A</c:v>
                      </c:pt>
                      <c:pt idx="93">
                        <c:v>#N/A</c:v>
                      </c:pt>
                      <c:pt idx="94">
                        <c:v>#N/A</c:v>
                      </c:pt>
                      <c:pt idx="95">
                        <c:v>#N/A</c:v>
                      </c:pt>
                      <c:pt idx="96">
                        <c:v>#N/A</c:v>
                      </c:pt>
                      <c:pt idx="97">
                        <c:v>#N/A</c:v>
                      </c:pt>
                      <c:pt idx="98">
                        <c:v>#N/A</c:v>
                      </c:pt>
                      <c:pt idx="99">
                        <c:v>#N/A</c:v>
                      </c:pt>
                      <c:pt idx="100">
                        <c:v>#N/A</c:v>
                      </c:pt>
                      <c:pt idx="101">
                        <c:v>#N/A</c:v>
                      </c:pt>
                      <c:pt idx="102">
                        <c:v>#N/A</c:v>
                      </c:pt>
                      <c:pt idx="103">
                        <c:v>#N/A</c:v>
                      </c:pt>
                      <c:pt idx="104">
                        <c:v>#N/A</c:v>
                      </c:pt>
                      <c:pt idx="105">
                        <c:v>#N/A</c:v>
                      </c:pt>
                      <c:pt idx="106">
                        <c:v>#N/A</c:v>
                      </c:pt>
                      <c:pt idx="107">
                        <c:v>#N/A</c:v>
                      </c:pt>
                      <c:pt idx="108">
                        <c:v>#N/A</c:v>
                      </c:pt>
                      <c:pt idx="109">
                        <c:v>#N/A</c:v>
                      </c:pt>
                      <c:pt idx="110">
                        <c:v>#N/A</c:v>
                      </c:pt>
                      <c:pt idx="111">
                        <c:v>#N/A</c:v>
                      </c:pt>
                      <c:pt idx="11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3EDF-4DFD-99C8-FF5F8E8BB4CC}"/>
                  </c:ext>
                </c:extLst>
              </c15:ser>
            </c15:filteredScatterSeries>
            <c15:filteredScatterSeries>
              <c15:ser>
                <c:idx val="13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'RC Chart Data'!$P$6</c15:sqref>
                        </c15:formulaRef>
                      </c:ext>
                    </c:extLst>
                    <c:strCache>
                      <c:ptCount val="1"/>
                      <c:pt idx="0">
                        <c:v>3</c:v>
                      </c:pt>
                    </c:strCache>
                  </c:strRef>
                </c:tx>
                <c:spPr>
                  <a:ln w="25400" cap="rnd">
                    <a:noFill/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circle"/>
                  <c:size val="6"/>
                  <c:spPr>
                    <a:gradFill rotWithShape="1">
                      <a:gsLst>
                        <a:gs pos="0">
                          <a:schemeClr val="accent2">
                            <a:lumMod val="80000"/>
                            <a:lumOff val="20000"/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2">
                            <a:lumMod val="80000"/>
                            <a:lumOff val="20000"/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2">
                            <a:lumMod val="80000"/>
                            <a:lumOff val="20000"/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 w="9525">
                      <a:solidFill>
                        <a:schemeClr val="accent2">
                          <a:lumMod val="80000"/>
                          <a:lumOff val="20000"/>
                        </a:schemeClr>
                      </a:solidFill>
                      <a:round/>
                    </a:ln>
                    <a:effectLst>
                      <a:outerShdw blurRad="57150" dist="19050" dir="5400000" algn="ctr" rotWithShape="0">
                        <a:srgbClr val="000000">
                          <a:alpha val="63000"/>
                        </a:srgbClr>
                      </a:outerShdw>
                    </a:effectLst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'RC Chart Data'!$A$7:$A$119</c15:sqref>
                        </c15:formulaRef>
                      </c:ext>
                    </c:extLst>
                    <c:numCache>
                      <c:formatCode>m/d/yyyy</c:formatCode>
                      <c:ptCount val="113"/>
                      <c:pt idx="0">
                        <c:v>43106</c:v>
                      </c:pt>
                      <c:pt idx="1">
                        <c:v>43107</c:v>
                      </c:pt>
                      <c:pt idx="2">
                        <c:v>43108</c:v>
                      </c:pt>
                      <c:pt idx="3">
                        <c:v>43109</c:v>
                      </c:pt>
                      <c:pt idx="4">
                        <c:v>43110</c:v>
                      </c:pt>
                      <c:pt idx="5">
                        <c:v>43111</c:v>
                      </c:pt>
                      <c:pt idx="6">
                        <c:v>43112</c:v>
                      </c:pt>
                      <c:pt idx="7">
                        <c:v>43113</c:v>
                      </c:pt>
                      <c:pt idx="8">
                        <c:v>43114</c:v>
                      </c:pt>
                      <c:pt idx="9">
                        <c:v>43115</c:v>
                      </c:pt>
                      <c:pt idx="10">
                        <c:v>43116</c:v>
                      </c:pt>
                      <c:pt idx="11">
                        <c:v>43117</c:v>
                      </c:pt>
                      <c:pt idx="12">
                        <c:v>43118</c:v>
                      </c:pt>
                      <c:pt idx="13">
                        <c:v>43119</c:v>
                      </c:pt>
                      <c:pt idx="14">
                        <c:v>43120</c:v>
                      </c:pt>
                      <c:pt idx="15">
                        <c:v>43121</c:v>
                      </c:pt>
                      <c:pt idx="16">
                        <c:v>43122</c:v>
                      </c:pt>
                      <c:pt idx="17">
                        <c:v>43123</c:v>
                      </c:pt>
                      <c:pt idx="18">
                        <c:v>43124</c:v>
                      </c:pt>
                      <c:pt idx="19">
                        <c:v>43125</c:v>
                      </c:pt>
                      <c:pt idx="20">
                        <c:v>43126</c:v>
                      </c:pt>
                      <c:pt idx="21">
                        <c:v>43127</c:v>
                      </c:pt>
                      <c:pt idx="22">
                        <c:v>43128</c:v>
                      </c:pt>
                      <c:pt idx="23">
                        <c:v>43129</c:v>
                      </c:pt>
                      <c:pt idx="24">
                        <c:v>43130</c:v>
                      </c:pt>
                      <c:pt idx="25">
                        <c:v>43131</c:v>
                      </c:pt>
                      <c:pt idx="26">
                        <c:v>43132</c:v>
                      </c:pt>
                      <c:pt idx="27">
                        <c:v>43133</c:v>
                      </c:pt>
                      <c:pt idx="28">
                        <c:v>43134</c:v>
                      </c:pt>
                      <c:pt idx="29">
                        <c:v>43135</c:v>
                      </c:pt>
                      <c:pt idx="30">
                        <c:v>43136</c:v>
                      </c:pt>
                      <c:pt idx="31">
                        <c:v>43137</c:v>
                      </c:pt>
                      <c:pt idx="32">
                        <c:v>43138</c:v>
                      </c:pt>
                      <c:pt idx="33">
                        <c:v>43139</c:v>
                      </c:pt>
                      <c:pt idx="34">
                        <c:v>43140</c:v>
                      </c:pt>
                      <c:pt idx="35">
                        <c:v>43141</c:v>
                      </c:pt>
                      <c:pt idx="36">
                        <c:v>43142</c:v>
                      </c:pt>
                      <c:pt idx="37">
                        <c:v>43143</c:v>
                      </c:pt>
                      <c:pt idx="38">
                        <c:v>43144</c:v>
                      </c:pt>
                      <c:pt idx="39">
                        <c:v>43145</c:v>
                      </c:pt>
                      <c:pt idx="40">
                        <c:v>43146</c:v>
                      </c:pt>
                      <c:pt idx="41">
                        <c:v>43147</c:v>
                      </c:pt>
                      <c:pt idx="42">
                        <c:v>43148</c:v>
                      </c:pt>
                      <c:pt idx="43">
                        <c:v>43149</c:v>
                      </c:pt>
                      <c:pt idx="44">
                        <c:v>43150</c:v>
                      </c:pt>
                      <c:pt idx="45">
                        <c:v>43151</c:v>
                      </c:pt>
                      <c:pt idx="46">
                        <c:v>43152</c:v>
                      </c:pt>
                      <c:pt idx="47">
                        <c:v>43153</c:v>
                      </c:pt>
                      <c:pt idx="48">
                        <c:v>43154</c:v>
                      </c:pt>
                      <c:pt idx="49">
                        <c:v>43155</c:v>
                      </c:pt>
                      <c:pt idx="50">
                        <c:v>43156</c:v>
                      </c:pt>
                      <c:pt idx="51">
                        <c:v>43157</c:v>
                      </c:pt>
                      <c:pt idx="52">
                        <c:v>43158</c:v>
                      </c:pt>
                      <c:pt idx="53">
                        <c:v>43159</c:v>
                      </c:pt>
                      <c:pt idx="54">
                        <c:v>43160</c:v>
                      </c:pt>
                      <c:pt idx="55">
                        <c:v>43161</c:v>
                      </c:pt>
                      <c:pt idx="56">
                        <c:v>43162</c:v>
                      </c:pt>
                      <c:pt idx="57">
                        <c:v>43163</c:v>
                      </c:pt>
                      <c:pt idx="58">
                        <c:v>43164</c:v>
                      </c:pt>
                      <c:pt idx="59">
                        <c:v>43165</c:v>
                      </c:pt>
                      <c:pt idx="60">
                        <c:v>43166</c:v>
                      </c:pt>
                      <c:pt idx="61">
                        <c:v>43167</c:v>
                      </c:pt>
                      <c:pt idx="62">
                        <c:v>43168</c:v>
                      </c:pt>
                      <c:pt idx="63">
                        <c:v>43169</c:v>
                      </c:pt>
                      <c:pt idx="64">
                        <c:v>43170</c:v>
                      </c:pt>
                      <c:pt idx="65">
                        <c:v>43171</c:v>
                      </c:pt>
                      <c:pt idx="66">
                        <c:v>43172</c:v>
                      </c:pt>
                      <c:pt idx="67">
                        <c:v>43173</c:v>
                      </c:pt>
                      <c:pt idx="68">
                        <c:v>43174</c:v>
                      </c:pt>
                      <c:pt idx="69">
                        <c:v>43175</c:v>
                      </c:pt>
                      <c:pt idx="70">
                        <c:v>43176</c:v>
                      </c:pt>
                      <c:pt idx="71">
                        <c:v>43177</c:v>
                      </c:pt>
                      <c:pt idx="72">
                        <c:v>43178</c:v>
                      </c:pt>
                      <c:pt idx="73">
                        <c:v>43179</c:v>
                      </c:pt>
                      <c:pt idx="74">
                        <c:v>43180</c:v>
                      </c:pt>
                      <c:pt idx="75">
                        <c:v>43181</c:v>
                      </c:pt>
                      <c:pt idx="76">
                        <c:v>43182</c:v>
                      </c:pt>
                      <c:pt idx="77">
                        <c:v>43183</c:v>
                      </c:pt>
                      <c:pt idx="78">
                        <c:v>43184</c:v>
                      </c:pt>
                      <c:pt idx="79">
                        <c:v>43185</c:v>
                      </c:pt>
                      <c:pt idx="80">
                        <c:v>43186</c:v>
                      </c:pt>
                      <c:pt idx="81">
                        <c:v>43187</c:v>
                      </c:pt>
                      <c:pt idx="82">
                        <c:v>43188</c:v>
                      </c:pt>
                      <c:pt idx="83">
                        <c:v>43189</c:v>
                      </c:pt>
                      <c:pt idx="84">
                        <c:v>43191</c:v>
                      </c:pt>
                      <c:pt idx="85">
                        <c:v>43192</c:v>
                      </c:pt>
                      <c:pt idx="86">
                        <c:v>43193</c:v>
                      </c:pt>
                      <c:pt idx="87">
                        <c:v>43194</c:v>
                      </c:pt>
                      <c:pt idx="88">
                        <c:v>43195</c:v>
                      </c:pt>
                      <c:pt idx="89">
                        <c:v>43196</c:v>
                      </c:pt>
                      <c:pt idx="90">
                        <c:v>43197</c:v>
                      </c:pt>
                      <c:pt idx="91">
                        <c:v>43198</c:v>
                      </c:pt>
                      <c:pt idx="92">
                        <c:v>43199</c:v>
                      </c:pt>
                      <c:pt idx="93">
                        <c:v>43200</c:v>
                      </c:pt>
                      <c:pt idx="94">
                        <c:v>43201</c:v>
                      </c:pt>
                      <c:pt idx="95">
                        <c:v>43202</c:v>
                      </c:pt>
                      <c:pt idx="96">
                        <c:v>43203</c:v>
                      </c:pt>
                      <c:pt idx="97">
                        <c:v>43204</c:v>
                      </c:pt>
                      <c:pt idx="98">
                        <c:v>43205</c:v>
                      </c:pt>
                      <c:pt idx="99">
                        <c:v>43206</c:v>
                      </c:pt>
                      <c:pt idx="100">
                        <c:v>43207</c:v>
                      </c:pt>
                      <c:pt idx="101">
                        <c:v>43208</c:v>
                      </c:pt>
                      <c:pt idx="102">
                        <c:v>43209</c:v>
                      </c:pt>
                      <c:pt idx="103">
                        <c:v>43210</c:v>
                      </c:pt>
                      <c:pt idx="104">
                        <c:v>43211</c:v>
                      </c:pt>
                      <c:pt idx="105">
                        <c:v>43212</c:v>
                      </c:pt>
                      <c:pt idx="106">
                        <c:v>43213</c:v>
                      </c:pt>
                      <c:pt idx="107">
                        <c:v>43214</c:v>
                      </c:pt>
                      <c:pt idx="108">
                        <c:v>43215</c:v>
                      </c:pt>
                      <c:pt idx="109">
                        <c:v>43216</c:v>
                      </c:pt>
                      <c:pt idx="110">
                        <c:v>43217</c:v>
                      </c:pt>
                      <c:pt idx="111">
                        <c:v>43218</c:v>
                      </c:pt>
                      <c:pt idx="112">
                        <c:v>43219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'RC Chart Data'!$P$7:$P$119</c15:sqref>
                        </c15:formulaRef>
                      </c:ext>
                    </c:extLst>
                    <c:numCache>
                      <c:formatCode>0</c:formatCode>
                      <c:ptCount val="11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  <c:pt idx="33">
                        <c:v>#N/A</c:v>
                      </c:pt>
                      <c:pt idx="34">
                        <c:v>#N/A</c:v>
                      </c:pt>
                      <c:pt idx="35">
                        <c:v>#N/A</c:v>
                      </c:pt>
                      <c:pt idx="36">
                        <c:v>#N/A</c:v>
                      </c:pt>
                      <c:pt idx="37">
                        <c:v>#N/A</c:v>
                      </c:pt>
                      <c:pt idx="38">
                        <c:v>#N/A</c:v>
                      </c:pt>
                      <c:pt idx="39">
                        <c:v>#N/A</c:v>
                      </c:pt>
                      <c:pt idx="40">
                        <c:v>#N/A</c:v>
                      </c:pt>
                      <c:pt idx="41">
                        <c:v>#N/A</c:v>
                      </c:pt>
                      <c:pt idx="42">
                        <c:v>#N/A</c:v>
                      </c:pt>
                      <c:pt idx="43">
                        <c:v>#N/A</c:v>
                      </c:pt>
                      <c:pt idx="44">
                        <c:v>#N/A</c:v>
                      </c:pt>
                      <c:pt idx="45">
                        <c:v>#N/A</c:v>
                      </c:pt>
                      <c:pt idx="46">
                        <c:v>#N/A</c:v>
                      </c:pt>
                      <c:pt idx="47">
                        <c:v>#N/A</c:v>
                      </c:pt>
                      <c:pt idx="48">
                        <c:v>#N/A</c:v>
                      </c:pt>
                      <c:pt idx="49">
                        <c:v>#N/A</c:v>
                      </c:pt>
                      <c:pt idx="50">
                        <c:v>#N/A</c:v>
                      </c:pt>
                      <c:pt idx="51">
                        <c:v>#N/A</c:v>
                      </c:pt>
                      <c:pt idx="52">
                        <c:v>#N/A</c:v>
                      </c:pt>
                      <c:pt idx="53">
                        <c:v>#N/A</c:v>
                      </c:pt>
                      <c:pt idx="54">
                        <c:v>#N/A</c:v>
                      </c:pt>
                      <c:pt idx="55">
                        <c:v>#N/A</c:v>
                      </c:pt>
                      <c:pt idx="56">
                        <c:v>#N/A</c:v>
                      </c:pt>
                      <c:pt idx="57">
                        <c:v>#N/A</c:v>
                      </c:pt>
                      <c:pt idx="58">
                        <c:v>#N/A</c:v>
                      </c:pt>
                      <c:pt idx="59">
                        <c:v>#N/A</c:v>
                      </c:pt>
                      <c:pt idx="60">
                        <c:v>#N/A</c:v>
                      </c:pt>
                      <c:pt idx="61">
                        <c:v>#N/A</c:v>
                      </c:pt>
                      <c:pt idx="62">
                        <c:v>#N/A</c:v>
                      </c:pt>
                      <c:pt idx="63">
                        <c:v>#N/A</c:v>
                      </c:pt>
                      <c:pt idx="64">
                        <c:v>#N/A</c:v>
                      </c:pt>
                      <c:pt idx="65">
                        <c:v>#N/A</c:v>
                      </c:pt>
                      <c:pt idx="66">
                        <c:v>#N/A</c:v>
                      </c:pt>
                      <c:pt idx="67">
                        <c:v>#N/A</c:v>
                      </c:pt>
                      <c:pt idx="68">
                        <c:v>#N/A</c:v>
                      </c:pt>
                      <c:pt idx="69">
                        <c:v>#N/A</c:v>
                      </c:pt>
                      <c:pt idx="70">
                        <c:v>#N/A</c:v>
                      </c:pt>
                      <c:pt idx="71">
                        <c:v>#N/A</c:v>
                      </c:pt>
                      <c:pt idx="72">
                        <c:v>#N/A</c:v>
                      </c:pt>
                      <c:pt idx="73">
                        <c:v>#N/A</c:v>
                      </c:pt>
                      <c:pt idx="74">
                        <c:v>#N/A</c:v>
                      </c:pt>
                      <c:pt idx="75">
                        <c:v>#N/A</c:v>
                      </c:pt>
                      <c:pt idx="76">
                        <c:v>#N/A</c:v>
                      </c:pt>
                      <c:pt idx="77">
                        <c:v>#N/A</c:v>
                      </c:pt>
                      <c:pt idx="78">
                        <c:v>#N/A</c:v>
                      </c:pt>
                      <c:pt idx="79">
                        <c:v>#N/A</c:v>
                      </c:pt>
                      <c:pt idx="80">
                        <c:v>#N/A</c:v>
                      </c:pt>
                      <c:pt idx="81">
                        <c:v>#N/A</c:v>
                      </c:pt>
                      <c:pt idx="82">
                        <c:v>#N/A</c:v>
                      </c:pt>
                      <c:pt idx="83">
                        <c:v>#N/A</c:v>
                      </c:pt>
                      <c:pt idx="84">
                        <c:v>#N/A</c:v>
                      </c:pt>
                      <c:pt idx="85">
                        <c:v>#N/A</c:v>
                      </c:pt>
                      <c:pt idx="86">
                        <c:v>#N/A</c:v>
                      </c:pt>
                      <c:pt idx="87">
                        <c:v>#N/A</c:v>
                      </c:pt>
                      <c:pt idx="88">
                        <c:v>#N/A</c:v>
                      </c:pt>
                      <c:pt idx="89">
                        <c:v>#N/A</c:v>
                      </c:pt>
                      <c:pt idx="90">
                        <c:v>#N/A</c:v>
                      </c:pt>
                      <c:pt idx="91">
                        <c:v>#N/A</c:v>
                      </c:pt>
                      <c:pt idx="92">
                        <c:v>#N/A</c:v>
                      </c:pt>
                      <c:pt idx="93">
                        <c:v>#N/A</c:v>
                      </c:pt>
                      <c:pt idx="94">
                        <c:v>#N/A</c:v>
                      </c:pt>
                      <c:pt idx="95">
                        <c:v>#N/A</c:v>
                      </c:pt>
                      <c:pt idx="96">
                        <c:v>#N/A</c:v>
                      </c:pt>
                      <c:pt idx="97">
                        <c:v>#N/A</c:v>
                      </c:pt>
                      <c:pt idx="98">
                        <c:v>#N/A</c:v>
                      </c:pt>
                      <c:pt idx="99">
                        <c:v>#N/A</c:v>
                      </c:pt>
                      <c:pt idx="100">
                        <c:v>#N/A</c:v>
                      </c:pt>
                      <c:pt idx="101">
                        <c:v>#N/A</c:v>
                      </c:pt>
                      <c:pt idx="102">
                        <c:v>#N/A</c:v>
                      </c:pt>
                      <c:pt idx="103">
                        <c:v>#N/A</c:v>
                      </c:pt>
                      <c:pt idx="104">
                        <c:v>#N/A</c:v>
                      </c:pt>
                      <c:pt idx="105">
                        <c:v>#N/A</c:v>
                      </c:pt>
                      <c:pt idx="106">
                        <c:v>#N/A</c:v>
                      </c:pt>
                      <c:pt idx="107">
                        <c:v>#N/A</c:v>
                      </c:pt>
                      <c:pt idx="108">
                        <c:v>#N/A</c:v>
                      </c:pt>
                      <c:pt idx="109">
                        <c:v>#N/A</c:v>
                      </c:pt>
                      <c:pt idx="110">
                        <c:v>#N/A</c:v>
                      </c:pt>
                      <c:pt idx="111">
                        <c:v>#N/A</c:v>
                      </c:pt>
                      <c:pt idx="11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3EDF-4DFD-99C8-FF5F8E8BB4CC}"/>
                  </c:ext>
                </c:extLst>
              </c15:ser>
            </c15:filteredScatterSeries>
          </c:ext>
        </c:extLst>
      </c:scatterChart>
      <c:valAx>
        <c:axId val="489691064"/>
        <c:scaling>
          <c:orientation val="minMax"/>
          <c:max val="43219"/>
          <c:min val="43106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/yyyy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691720"/>
        <c:crosses val="autoZero"/>
        <c:crossBetween val="midCat"/>
        <c:majorUnit val="7"/>
        <c:minorUnit val="7"/>
      </c:valAx>
      <c:valAx>
        <c:axId val="48969172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SCORE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6910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Rock Climbing Team Trajectory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14"/>
          <c:order val="14"/>
          <c:tx>
            <c:strRef>
              <c:f>'RC Chart Data'!$B$6</c:f>
              <c:strCache>
                <c:ptCount val="1"/>
                <c:pt idx="0">
                  <c:v>Team Total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glow rad="139700">
                <a:schemeClr val="bg1">
                  <a:lumMod val="85000"/>
                  <a:alpha val="40000"/>
                </a:schemeClr>
              </a:glow>
              <a:softEdge rad="0"/>
            </a:effectLst>
          </c:spPr>
          <c:cat>
            <c:numRef>
              <c:f>'RC Chart Data'!$A$7:$A$119</c:f>
              <c:numCache>
                <c:formatCode>m/d/yyyy</c:formatCode>
                <c:ptCount val="113"/>
                <c:pt idx="0">
                  <c:v>43106</c:v>
                </c:pt>
                <c:pt idx="1">
                  <c:v>43107</c:v>
                </c:pt>
                <c:pt idx="2">
                  <c:v>43108</c:v>
                </c:pt>
                <c:pt idx="3">
                  <c:v>43109</c:v>
                </c:pt>
                <c:pt idx="4">
                  <c:v>43110</c:v>
                </c:pt>
                <c:pt idx="5">
                  <c:v>43111</c:v>
                </c:pt>
                <c:pt idx="6">
                  <c:v>43112</c:v>
                </c:pt>
                <c:pt idx="7">
                  <c:v>43113</c:v>
                </c:pt>
                <c:pt idx="8">
                  <c:v>43114</c:v>
                </c:pt>
                <c:pt idx="9">
                  <c:v>43115</c:v>
                </c:pt>
                <c:pt idx="10">
                  <c:v>43116</c:v>
                </c:pt>
                <c:pt idx="11">
                  <c:v>43117</c:v>
                </c:pt>
                <c:pt idx="12">
                  <c:v>43118</c:v>
                </c:pt>
                <c:pt idx="13">
                  <c:v>43119</c:v>
                </c:pt>
                <c:pt idx="14">
                  <c:v>43120</c:v>
                </c:pt>
                <c:pt idx="15">
                  <c:v>43121</c:v>
                </c:pt>
                <c:pt idx="16">
                  <c:v>43122</c:v>
                </c:pt>
                <c:pt idx="17">
                  <c:v>43123</c:v>
                </c:pt>
                <c:pt idx="18">
                  <c:v>43124</c:v>
                </c:pt>
                <c:pt idx="19">
                  <c:v>43125</c:v>
                </c:pt>
                <c:pt idx="20">
                  <c:v>43126</c:v>
                </c:pt>
                <c:pt idx="21">
                  <c:v>43127</c:v>
                </c:pt>
                <c:pt idx="22">
                  <c:v>43128</c:v>
                </c:pt>
                <c:pt idx="23">
                  <c:v>43129</c:v>
                </c:pt>
                <c:pt idx="24">
                  <c:v>43130</c:v>
                </c:pt>
                <c:pt idx="25">
                  <c:v>43131</c:v>
                </c:pt>
                <c:pt idx="26">
                  <c:v>43132</c:v>
                </c:pt>
                <c:pt idx="27">
                  <c:v>43133</c:v>
                </c:pt>
                <c:pt idx="28">
                  <c:v>43134</c:v>
                </c:pt>
                <c:pt idx="29">
                  <c:v>43135</c:v>
                </c:pt>
                <c:pt idx="30">
                  <c:v>43136</c:v>
                </c:pt>
                <c:pt idx="31">
                  <c:v>43137</c:v>
                </c:pt>
                <c:pt idx="32">
                  <c:v>43138</c:v>
                </c:pt>
                <c:pt idx="33">
                  <c:v>43139</c:v>
                </c:pt>
                <c:pt idx="34">
                  <c:v>43140</c:v>
                </c:pt>
                <c:pt idx="35">
                  <c:v>43141</c:v>
                </c:pt>
                <c:pt idx="36">
                  <c:v>43142</c:v>
                </c:pt>
                <c:pt idx="37">
                  <c:v>43143</c:v>
                </c:pt>
                <c:pt idx="38">
                  <c:v>43144</c:v>
                </c:pt>
                <c:pt idx="39">
                  <c:v>43145</c:v>
                </c:pt>
                <c:pt idx="40">
                  <c:v>43146</c:v>
                </c:pt>
                <c:pt idx="41">
                  <c:v>43147</c:v>
                </c:pt>
                <c:pt idx="42">
                  <c:v>43148</c:v>
                </c:pt>
                <c:pt idx="43">
                  <c:v>43149</c:v>
                </c:pt>
                <c:pt idx="44">
                  <c:v>43150</c:v>
                </c:pt>
                <c:pt idx="45">
                  <c:v>43151</c:v>
                </c:pt>
                <c:pt idx="46">
                  <c:v>43152</c:v>
                </c:pt>
                <c:pt idx="47">
                  <c:v>43153</c:v>
                </c:pt>
                <c:pt idx="48">
                  <c:v>43154</c:v>
                </c:pt>
                <c:pt idx="49">
                  <c:v>43155</c:v>
                </c:pt>
                <c:pt idx="50">
                  <c:v>43156</c:v>
                </c:pt>
                <c:pt idx="51">
                  <c:v>43157</c:v>
                </c:pt>
                <c:pt idx="52">
                  <c:v>43158</c:v>
                </c:pt>
                <c:pt idx="53">
                  <c:v>43159</c:v>
                </c:pt>
                <c:pt idx="54">
                  <c:v>43160</c:v>
                </c:pt>
                <c:pt idx="55">
                  <c:v>43161</c:v>
                </c:pt>
                <c:pt idx="56">
                  <c:v>43162</c:v>
                </c:pt>
                <c:pt idx="57">
                  <c:v>43163</c:v>
                </c:pt>
                <c:pt idx="58">
                  <c:v>43164</c:v>
                </c:pt>
                <c:pt idx="59">
                  <c:v>43165</c:v>
                </c:pt>
                <c:pt idx="60">
                  <c:v>43166</c:v>
                </c:pt>
                <c:pt idx="61">
                  <c:v>43167</c:v>
                </c:pt>
                <c:pt idx="62">
                  <c:v>43168</c:v>
                </c:pt>
                <c:pt idx="63">
                  <c:v>43169</c:v>
                </c:pt>
                <c:pt idx="64">
                  <c:v>43170</c:v>
                </c:pt>
                <c:pt idx="65">
                  <c:v>43171</c:v>
                </c:pt>
                <c:pt idx="66">
                  <c:v>43172</c:v>
                </c:pt>
                <c:pt idx="67">
                  <c:v>43173</c:v>
                </c:pt>
                <c:pt idx="68">
                  <c:v>43174</c:v>
                </c:pt>
                <c:pt idx="69">
                  <c:v>43175</c:v>
                </c:pt>
                <c:pt idx="70">
                  <c:v>43176</c:v>
                </c:pt>
                <c:pt idx="71">
                  <c:v>43177</c:v>
                </c:pt>
                <c:pt idx="72">
                  <c:v>43178</c:v>
                </c:pt>
                <c:pt idx="73">
                  <c:v>43179</c:v>
                </c:pt>
                <c:pt idx="74">
                  <c:v>43180</c:v>
                </c:pt>
                <c:pt idx="75">
                  <c:v>43181</c:v>
                </c:pt>
                <c:pt idx="76">
                  <c:v>43182</c:v>
                </c:pt>
                <c:pt idx="77">
                  <c:v>43183</c:v>
                </c:pt>
                <c:pt idx="78">
                  <c:v>43184</c:v>
                </c:pt>
                <c:pt idx="79">
                  <c:v>43185</c:v>
                </c:pt>
                <c:pt idx="80">
                  <c:v>43186</c:v>
                </c:pt>
                <c:pt idx="81">
                  <c:v>43187</c:v>
                </c:pt>
                <c:pt idx="82">
                  <c:v>43188</c:v>
                </c:pt>
                <c:pt idx="83">
                  <c:v>43189</c:v>
                </c:pt>
                <c:pt idx="84">
                  <c:v>43191</c:v>
                </c:pt>
                <c:pt idx="85">
                  <c:v>43192</c:v>
                </c:pt>
                <c:pt idx="86">
                  <c:v>43193</c:v>
                </c:pt>
                <c:pt idx="87">
                  <c:v>43194</c:v>
                </c:pt>
                <c:pt idx="88">
                  <c:v>43195</c:v>
                </c:pt>
                <c:pt idx="89">
                  <c:v>43196</c:v>
                </c:pt>
                <c:pt idx="90">
                  <c:v>43197</c:v>
                </c:pt>
                <c:pt idx="91">
                  <c:v>43198</c:v>
                </c:pt>
                <c:pt idx="92">
                  <c:v>43199</c:v>
                </c:pt>
                <c:pt idx="93">
                  <c:v>43200</c:v>
                </c:pt>
                <c:pt idx="94">
                  <c:v>43201</c:v>
                </c:pt>
                <c:pt idx="95">
                  <c:v>43202</c:v>
                </c:pt>
                <c:pt idx="96">
                  <c:v>43203</c:v>
                </c:pt>
                <c:pt idx="97">
                  <c:v>43204</c:v>
                </c:pt>
                <c:pt idx="98">
                  <c:v>43205</c:v>
                </c:pt>
                <c:pt idx="99">
                  <c:v>43206</c:v>
                </c:pt>
                <c:pt idx="100">
                  <c:v>43207</c:v>
                </c:pt>
                <c:pt idx="101">
                  <c:v>43208</c:v>
                </c:pt>
                <c:pt idx="102">
                  <c:v>43209</c:v>
                </c:pt>
                <c:pt idx="103">
                  <c:v>43210</c:v>
                </c:pt>
                <c:pt idx="104">
                  <c:v>43211</c:v>
                </c:pt>
                <c:pt idx="105">
                  <c:v>43212</c:v>
                </c:pt>
                <c:pt idx="106">
                  <c:v>43213</c:v>
                </c:pt>
                <c:pt idx="107">
                  <c:v>43214</c:v>
                </c:pt>
                <c:pt idx="108">
                  <c:v>43215</c:v>
                </c:pt>
                <c:pt idx="109">
                  <c:v>43216</c:v>
                </c:pt>
                <c:pt idx="110">
                  <c:v>43217</c:v>
                </c:pt>
                <c:pt idx="111">
                  <c:v>43218</c:v>
                </c:pt>
                <c:pt idx="112">
                  <c:v>43219</c:v>
                </c:pt>
              </c:numCache>
            </c:numRef>
          </c:cat>
          <c:val>
            <c:numRef>
              <c:f>'RC Chart Data'!$B$7:$B$119</c:f>
              <c:numCache>
                <c:formatCode>0</c:formatCode>
                <c:ptCount val="113"/>
                <c:pt idx="0">
                  <c:v>265.64832845517321</c:v>
                </c:pt>
                <c:pt idx="1">
                  <c:v>259.00712024379391</c:v>
                </c:pt>
                <c:pt idx="2">
                  <c:v>317.99542799868004</c:v>
                </c:pt>
                <c:pt idx="3">
                  <c:v>310.04554229871309</c:v>
                </c:pt>
                <c:pt idx="4">
                  <c:v>302.29440374124522</c:v>
                </c:pt>
                <c:pt idx="5">
                  <c:v>348.23600576020544</c:v>
                </c:pt>
                <c:pt idx="6">
                  <c:v>339.53010561620033</c:v>
                </c:pt>
                <c:pt idx="7">
                  <c:v>352.46938700671774</c:v>
                </c:pt>
                <c:pt idx="8">
                  <c:v>343.6576523315498</c:v>
                </c:pt>
                <c:pt idx="9">
                  <c:v>335.06621102326108</c:v>
                </c:pt>
                <c:pt idx="10">
                  <c:v>354.58790949359059</c:v>
                </c:pt>
                <c:pt idx="11">
                  <c:v>383.57446154550007</c:v>
                </c:pt>
                <c:pt idx="12">
                  <c:v>373.98510000686252</c:v>
                </c:pt>
                <c:pt idx="13">
                  <c:v>372.3952074224909</c:v>
                </c:pt>
                <c:pt idx="14">
                  <c:v>363.08532723692872</c:v>
                </c:pt>
                <c:pt idx="15">
                  <c:v>413.10083023997015</c:v>
                </c:pt>
                <c:pt idx="16">
                  <c:v>402.77330948397082</c:v>
                </c:pt>
                <c:pt idx="17">
                  <c:v>392.7039767468716</c:v>
                </c:pt>
                <c:pt idx="18">
                  <c:v>462.99728007838752</c:v>
                </c:pt>
                <c:pt idx="19">
                  <c:v>451.42234807642774</c:v>
                </c:pt>
                <c:pt idx="20">
                  <c:v>512.02041745952965</c:v>
                </c:pt>
                <c:pt idx="21">
                  <c:v>499.21990702304134</c:v>
                </c:pt>
                <c:pt idx="22">
                  <c:v>642.00988558067536</c:v>
                </c:pt>
                <c:pt idx="23">
                  <c:v>625.9596384411584</c:v>
                </c:pt>
                <c:pt idx="24">
                  <c:v>610.31064748012955</c:v>
                </c:pt>
                <c:pt idx="25">
                  <c:v>595.05288129312635</c:v>
                </c:pt>
                <c:pt idx="26">
                  <c:v>606.87007383062951</c:v>
                </c:pt>
                <c:pt idx="27">
                  <c:v>591.69832198486358</c:v>
                </c:pt>
                <c:pt idx="28">
                  <c:v>636.74175666257372</c:v>
                </c:pt>
                <c:pt idx="29">
                  <c:v>620.8232127460094</c:v>
                </c:pt>
                <c:pt idx="30">
                  <c:v>605.30263242735907</c:v>
                </c:pt>
                <c:pt idx="31">
                  <c:v>661.37806663961294</c:v>
                </c:pt>
                <c:pt idx="32">
                  <c:v>644.84361497362272</c:v>
                </c:pt>
                <c:pt idx="33">
                  <c:v>684.02503096220744</c:v>
                </c:pt>
                <c:pt idx="34">
                  <c:v>666.92440518815238</c:v>
                </c:pt>
                <c:pt idx="35">
                  <c:v>650.25129505844859</c:v>
                </c:pt>
                <c:pt idx="36">
                  <c:v>643.02648068979988</c:v>
                </c:pt>
                <c:pt idx="37">
                  <c:v>626.95081867255476</c:v>
                </c:pt>
                <c:pt idx="38">
                  <c:v>611.27704820574093</c:v>
                </c:pt>
                <c:pt idx="39">
                  <c:v>595.99512200059735</c:v>
                </c:pt>
                <c:pt idx="40">
                  <c:v>626.43938605200833</c:v>
                </c:pt>
                <c:pt idx="41">
                  <c:v>610.77840140070805</c:v>
                </c:pt>
                <c:pt idx="42">
                  <c:v>595.50894136569036</c:v>
                </c:pt>
                <c:pt idx="43">
                  <c:v>663.77098993608161</c:v>
                </c:pt>
                <c:pt idx="44">
                  <c:v>647.17671518767952</c:v>
                </c:pt>
                <c:pt idx="45">
                  <c:v>630.99729730798742</c:v>
                </c:pt>
                <c:pt idx="46">
                  <c:v>615.22236487528789</c:v>
                </c:pt>
                <c:pt idx="47">
                  <c:v>638.71190276773268</c:v>
                </c:pt>
                <c:pt idx="48">
                  <c:v>622.7441051985395</c:v>
                </c:pt>
                <c:pt idx="49">
                  <c:v>607.17550256857589</c:v>
                </c:pt>
                <c:pt idx="50">
                  <c:v>821.7106575476538</c:v>
                </c:pt>
                <c:pt idx="51">
                  <c:v>801.16789110896275</c:v>
                </c:pt>
                <c:pt idx="52">
                  <c:v>788.89727533976941</c:v>
                </c:pt>
                <c:pt idx="53">
                  <c:v>873.28101344620177</c:v>
                </c:pt>
                <c:pt idx="54">
                  <c:v>851.44898811004657</c:v>
                </c:pt>
                <c:pt idx="55">
                  <c:v>877.24088464798945</c:v>
                </c:pt>
                <c:pt idx="56">
                  <c:v>855.30986253178958</c:v>
                </c:pt>
                <c:pt idx="57">
                  <c:v>881.48151469608604</c:v>
                </c:pt>
                <c:pt idx="58">
                  <c:v>859.44447682868406</c:v>
                </c:pt>
                <c:pt idx="59">
                  <c:v>880.59246063630769</c:v>
                </c:pt>
                <c:pt idx="60">
                  <c:v>895.00063912040014</c:v>
                </c:pt>
                <c:pt idx="61">
                  <c:v>872.62562314239005</c:v>
                </c:pt>
                <c:pt idx="62">
                  <c:v>861.61719965663701</c:v>
                </c:pt>
                <c:pt idx="63">
                  <c:v>840.07676966522115</c:v>
                </c:pt>
                <c:pt idx="64">
                  <c:v>824.50033883865865</c:v>
                </c:pt>
                <c:pt idx="65">
                  <c:v>803.887830367692</c:v>
                </c:pt>
                <c:pt idx="66">
                  <c:v>783.79063460849966</c:v>
                </c:pt>
                <c:pt idx="67">
                  <c:v>816.52113029830161</c:v>
                </c:pt>
                <c:pt idx="68">
                  <c:v>796.10810204084396</c:v>
                </c:pt>
                <c:pt idx="69">
                  <c:v>776.20539948982287</c:v>
                </c:pt>
                <c:pt idx="70">
                  <c:v>860.08372183081917</c:v>
                </c:pt>
                <c:pt idx="71">
                  <c:v>838.58162878504879</c:v>
                </c:pt>
                <c:pt idx="72">
                  <c:v>882.04458024919575</c:v>
                </c:pt>
                <c:pt idx="73">
                  <c:v>859.99346574296578</c:v>
                </c:pt>
                <c:pt idx="74">
                  <c:v>838.49362909939157</c:v>
                </c:pt>
                <c:pt idx="75">
                  <c:v>817.53128837190684</c:v>
                </c:pt>
                <c:pt idx="76">
                  <c:v>797.09300616260907</c:v>
                </c:pt>
                <c:pt idx="77">
                  <c:v>777.16568100854386</c:v>
                </c:pt>
                <c:pt idx="78">
                  <c:v>757.73653898333021</c:v>
                </c:pt>
                <c:pt idx="79">
                  <c:v>738.79312550874681</c:v>
                </c:pt>
                <c:pt idx="80">
                  <c:v>720.32329737102816</c:v>
                </c:pt>
                <c:pt idx="81">
                  <c:v>896.01451175537875</c:v>
                </c:pt>
                <c:pt idx="82">
                  <c:v>873.61414896149427</c:v>
                </c:pt>
                <c:pt idx="83">
                  <c:v>987.11341264020848</c:v>
                </c:pt>
                <c:pt idx="84">
                  <c:v>962.43557732420322</c:v>
                </c:pt>
                <c:pt idx="85">
                  <c:v>938.37468789109812</c:v>
                </c:pt>
                <c:pt idx="86">
                  <c:v>914.91532069382038</c:v>
                </c:pt>
                <c:pt idx="87">
                  <c:v>892.04243767647506</c:v>
                </c:pt>
                <c:pt idx="88">
                  <c:v>869.741376734563</c:v>
                </c:pt>
                <c:pt idx="89">
                  <c:v>847.9978423161989</c:v>
                </c:pt>
                <c:pt idx="90">
                  <c:v>826.79789625829403</c:v>
                </c:pt>
                <c:pt idx="91">
                  <c:v>806.12794885183678</c:v>
                </c:pt>
                <c:pt idx="92">
                  <c:v>785.97475013054077</c:v>
                </c:pt>
                <c:pt idx="93">
                  <c:v>766.32538137727704</c:v>
                </c:pt>
                <c:pt idx="94">
                  <c:v>747.1672468428452</c:v>
                </c:pt>
                <c:pt idx="95">
                  <c:v>728.48806567177405</c:v>
                </c:pt>
                <c:pt idx="96">
                  <c:v>710.27586402997963</c:v>
                </c:pt>
                <c:pt idx="97">
                  <c:v>692.51896742923009</c:v>
                </c:pt>
                <c:pt idx="98">
                  <c:v>675.20599324349951</c:v>
                </c:pt>
                <c:pt idx="99">
                  <c:v>658.32584341241193</c:v>
                </c:pt>
                <c:pt idx="100">
                  <c:v>641.8676973271015</c:v>
                </c:pt>
                <c:pt idx="101">
                  <c:v>625.82100489392394</c:v>
                </c:pt>
                <c:pt idx="102">
                  <c:v>610.17547977157597</c:v>
                </c:pt>
                <c:pt idx="103">
                  <c:v>594.9210927772865</c:v>
                </c:pt>
                <c:pt idx="104">
                  <c:v>580.04806545785425</c:v>
                </c:pt>
                <c:pt idx="105">
                  <c:v>786.62047282368405</c:v>
                </c:pt>
                <c:pt idx="106">
                  <c:v>766.95496100309185</c:v>
                </c:pt>
                <c:pt idx="107">
                  <c:v>747.78108697801451</c:v>
                </c:pt>
                <c:pt idx="108">
                  <c:v>729.08655980356411</c:v>
                </c:pt>
                <c:pt idx="109">
                  <c:v>710.85939580847503</c:v>
                </c:pt>
                <c:pt idx="110">
                  <c:v>693.08791091326304</c:v>
                </c:pt>
                <c:pt idx="111">
                  <c:v>675.76071314043156</c:v>
                </c:pt>
                <c:pt idx="112">
                  <c:v>686.95223326746407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31D-4DE2-BB3A-CE8508EB2F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9691064"/>
        <c:axId val="489691720"/>
      </c:areaChart>
      <c:scatterChart>
        <c:scatterStyle val="lineMarker"/>
        <c:varyColors val="0"/>
        <c:ser>
          <c:idx val="0"/>
          <c:order val="0"/>
          <c:tx>
            <c:strRef>
              <c:f>'RC Chart Data'!$C$6</c:f>
              <c:strCache>
                <c:ptCount val="1"/>
                <c:pt idx="0">
                  <c:v>Lester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rgbClr val="FFFF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'RC Chart Data'!$A$7:$A$119</c:f>
              <c:numCache>
                <c:formatCode>m/d/yyyy</c:formatCode>
                <c:ptCount val="113"/>
                <c:pt idx="0">
                  <c:v>43106</c:v>
                </c:pt>
                <c:pt idx="1">
                  <c:v>43107</c:v>
                </c:pt>
                <c:pt idx="2">
                  <c:v>43108</c:v>
                </c:pt>
                <c:pt idx="3">
                  <c:v>43109</c:v>
                </c:pt>
                <c:pt idx="4">
                  <c:v>43110</c:v>
                </c:pt>
                <c:pt idx="5">
                  <c:v>43111</c:v>
                </c:pt>
                <c:pt idx="6">
                  <c:v>43112</c:v>
                </c:pt>
                <c:pt idx="7">
                  <c:v>43113</c:v>
                </c:pt>
                <c:pt idx="8">
                  <c:v>43114</c:v>
                </c:pt>
                <c:pt idx="9">
                  <c:v>43115</c:v>
                </c:pt>
                <c:pt idx="10">
                  <c:v>43116</c:v>
                </c:pt>
                <c:pt idx="11">
                  <c:v>43117</c:v>
                </c:pt>
                <c:pt idx="12">
                  <c:v>43118</c:v>
                </c:pt>
                <c:pt idx="13">
                  <c:v>43119</c:v>
                </c:pt>
                <c:pt idx="14">
                  <c:v>43120</c:v>
                </c:pt>
                <c:pt idx="15">
                  <c:v>43121</c:v>
                </c:pt>
                <c:pt idx="16">
                  <c:v>43122</c:v>
                </c:pt>
                <c:pt idx="17">
                  <c:v>43123</c:v>
                </c:pt>
                <c:pt idx="18">
                  <c:v>43124</c:v>
                </c:pt>
                <c:pt idx="19">
                  <c:v>43125</c:v>
                </c:pt>
                <c:pt idx="20">
                  <c:v>43126</c:v>
                </c:pt>
                <c:pt idx="21">
                  <c:v>43127</c:v>
                </c:pt>
                <c:pt idx="22">
                  <c:v>43128</c:v>
                </c:pt>
                <c:pt idx="23">
                  <c:v>43129</c:v>
                </c:pt>
                <c:pt idx="24">
                  <c:v>43130</c:v>
                </c:pt>
                <c:pt idx="25">
                  <c:v>43131</c:v>
                </c:pt>
                <c:pt idx="26">
                  <c:v>43132</c:v>
                </c:pt>
                <c:pt idx="27">
                  <c:v>43133</c:v>
                </c:pt>
                <c:pt idx="28">
                  <c:v>43134</c:v>
                </c:pt>
                <c:pt idx="29">
                  <c:v>43135</c:v>
                </c:pt>
                <c:pt idx="30">
                  <c:v>43136</c:v>
                </c:pt>
                <c:pt idx="31">
                  <c:v>43137</c:v>
                </c:pt>
                <c:pt idx="32">
                  <c:v>43138</c:v>
                </c:pt>
                <c:pt idx="33">
                  <c:v>43139</c:v>
                </c:pt>
                <c:pt idx="34">
                  <c:v>43140</c:v>
                </c:pt>
                <c:pt idx="35">
                  <c:v>43141</c:v>
                </c:pt>
                <c:pt idx="36">
                  <c:v>43142</c:v>
                </c:pt>
                <c:pt idx="37">
                  <c:v>43143</c:v>
                </c:pt>
                <c:pt idx="38">
                  <c:v>43144</c:v>
                </c:pt>
                <c:pt idx="39">
                  <c:v>43145</c:v>
                </c:pt>
                <c:pt idx="40">
                  <c:v>43146</c:v>
                </c:pt>
                <c:pt idx="41">
                  <c:v>43147</c:v>
                </c:pt>
                <c:pt idx="42">
                  <c:v>43148</c:v>
                </c:pt>
                <c:pt idx="43">
                  <c:v>43149</c:v>
                </c:pt>
                <c:pt idx="44">
                  <c:v>43150</c:v>
                </c:pt>
                <c:pt idx="45">
                  <c:v>43151</c:v>
                </c:pt>
                <c:pt idx="46">
                  <c:v>43152</c:v>
                </c:pt>
                <c:pt idx="47">
                  <c:v>43153</c:v>
                </c:pt>
                <c:pt idx="48">
                  <c:v>43154</c:v>
                </c:pt>
                <c:pt idx="49">
                  <c:v>43155</c:v>
                </c:pt>
                <c:pt idx="50">
                  <c:v>43156</c:v>
                </c:pt>
                <c:pt idx="51">
                  <c:v>43157</c:v>
                </c:pt>
                <c:pt idx="52">
                  <c:v>43158</c:v>
                </c:pt>
                <c:pt idx="53">
                  <c:v>43159</c:v>
                </c:pt>
                <c:pt idx="54">
                  <c:v>43160</c:v>
                </c:pt>
                <c:pt idx="55">
                  <c:v>43161</c:v>
                </c:pt>
                <c:pt idx="56">
                  <c:v>43162</c:v>
                </c:pt>
                <c:pt idx="57">
                  <c:v>43163</c:v>
                </c:pt>
                <c:pt idx="58">
                  <c:v>43164</c:v>
                </c:pt>
                <c:pt idx="59">
                  <c:v>43165</c:v>
                </c:pt>
                <c:pt idx="60">
                  <c:v>43166</c:v>
                </c:pt>
                <c:pt idx="61">
                  <c:v>43167</c:v>
                </c:pt>
                <c:pt idx="62">
                  <c:v>43168</c:v>
                </c:pt>
                <c:pt idx="63">
                  <c:v>43169</c:v>
                </c:pt>
                <c:pt idx="64">
                  <c:v>43170</c:v>
                </c:pt>
                <c:pt idx="65">
                  <c:v>43171</c:v>
                </c:pt>
                <c:pt idx="66">
                  <c:v>43172</c:v>
                </c:pt>
                <c:pt idx="67">
                  <c:v>43173</c:v>
                </c:pt>
                <c:pt idx="68">
                  <c:v>43174</c:v>
                </c:pt>
                <c:pt idx="69">
                  <c:v>43175</c:v>
                </c:pt>
                <c:pt idx="70">
                  <c:v>43176</c:v>
                </c:pt>
                <c:pt idx="71">
                  <c:v>43177</c:v>
                </c:pt>
                <c:pt idx="72">
                  <c:v>43178</c:v>
                </c:pt>
                <c:pt idx="73">
                  <c:v>43179</c:v>
                </c:pt>
                <c:pt idx="74">
                  <c:v>43180</c:v>
                </c:pt>
                <c:pt idx="75">
                  <c:v>43181</c:v>
                </c:pt>
                <c:pt idx="76">
                  <c:v>43182</c:v>
                </c:pt>
                <c:pt idx="77">
                  <c:v>43183</c:v>
                </c:pt>
                <c:pt idx="78">
                  <c:v>43184</c:v>
                </c:pt>
                <c:pt idx="79">
                  <c:v>43185</c:v>
                </c:pt>
                <c:pt idx="80">
                  <c:v>43186</c:v>
                </c:pt>
                <c:pt idx="81">
                  <c:v>43187</c:v>
                </c:pt>
                <c:pt idx="82">
                  <c:v>43188</c:v>
                </c:pt>
                <c:pt idx="83">
                  <c:v>43189</c:v>
                </c:pt>
                <c:pt idx="84">
                  <c:v>43191</c:v>
                </c:pt>
                <c:pt idx="85">
                  <c:v>43192</c:v>
                </c:pt>
                <c:pt idx="86">
                  <c:v>43193</c:v>
                </c:pt>
                <c:pt idx="87">
                  <c:v>43194</c:v>
                </c:pt>
                <c:pt idx="88">
                  <c:v>43195</c:v>
                </c:pt>
                <c:pt idx="89">
                  <c:v>43196</c:v>
                </c:pt>
                <c:pt idx="90">
                  <c:v>43197</c:v>
                </c:pt>
                <c:pt idx="91">
                  <c:v>43198</c:v>
                </c:pt>
                <c:pt idx="92">
                  <c:v>43199</c:v>
                </c:pt>
                <c:pt idx="93">
                  <c:v>43200</c:v>
                </c:pt>
                <c:pt idx="94">
                  <c:v>43201</c:v>
                </c:pt>
                <c:pt idx="95">
                  <c:v>43202</c:v>
                </c:pt>
                <c:pt idx="96">
                  <c:v>43203</c:v>
                </c:pt>
                <c:pt idx="97">
                  <c:v>43204</c:v>
                </c:pt>
                <c:pt idx="98">
                  <c:v>43205</c:v>
                </c:pt>
                <c:pt idx="99">
                  <c:v>43206</c:v>
                </c:pt>
                <c:pt idx="100">
                  <c:v>43207</c:v>
                </c:pt>
                <c:pt idx="101">
                  <c:v>43208</c:v>
                </c:pt>
                <c:pt idx="102">
                  <c:v>43209</c:v>
                </c:pt>
                <c:pt idx="103">
                  <c:v>43210</c:v>
                </c:pt>
                <c:pt idx="104">
                  <c:v>43211</c:v>
                </c:pt>
                <c:pt idx="105">
                  <c:v>43212</c:v>
                </c:pt>
                <c:pt idx="106">
                  <c:v>43213</c:v>
                </c:pt>
                <c:pt idx="107">
                  <c:v>43214</c:v>
                </c:pt>
                <c:pt idx="108">
                  <c:v>43215</c:v>
                </c:pt>
                <c:pt idx="109">
                  <c:v>43216</c:v>
                </c:pt>
                <c:pt idx="110">
                  <c:v>43217</c:v>
                </c:pt>
                <c:pt idx="111">
                  <c:v>43218</c:v>
                </c:pt>
                <c:pt idx="112">
                  <c:v>43219</c:v>
                </c:pt>
              </c:numCache>
            </c:numRef>
          </c:xVal>
          <c:yVal>
            <c:numRef>
              <c:f>'RC Chart Data'!$C$7:$C$119</c:f>
              <c:numCache>
                <c:formatCode>0</c:formatCode>
                <c:ptCount val="113"/>
                <c:pt idx="0">
                  <c:v>79.182235742400024</c:v>
                </c:pt>
                <c:pt idx="1">
                  <c:v>#N/A</c:v>
                </c:pt>
                <c:pt idx="2">
                  <c:v>79.182235742400024</c:v>
                </c:pt>
                <c:pt idx="3">
                  <c:v>#N/A</c:v>
                </c:pt>
                <c:pt idx="4">
                  <c:v>#N/A</c:v>
                </c:pt>
                <c:pt idx="5">
                  <c:v>116.34015040463962</c:v>
                </c:pt>
                <c:pt idx="6">
                  <c:v>#N/A</c:v>
                </c:pt>
                <c:pt idx="7">
                  <c:v>132.02338950933293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157.15918816810114</c:v>
                </c:pt>
                <c:pt idx="12">
                  <c:v>#N/A</c:v>
                </c:pt>
                <c:pt idx="13">
                  <c:v>157.15918816810114</c:v>
                </c:pt>
                <c:pt idx="14">
                  <c:v>#N/A</c:v>
                </c:pt>
                <c:pt idx="15">
                  <c:v>170.99208943626581</c:v>
                </c:pt>
                <c:pt idx="16">
                  <c:v>#N/A</c:v>
                </c:pt>
                <c:pt idx="17">
                  <c:v>#N/A</c:v>
                </c:pt>
                <c:pt idx="18">
                  <c:v>196.8162483561054</c:v>
                </c:pt>
                <c:pt idx="19">
                  <c:v>#N/A</c:v>
                </c:pt>
                <c:pt idx="20">
                  <c:v>245.88728980831175</c:v>
                </c:pt>
                <c:pt idx="21">
                  <c:v>#N/A</c:v>
                </c:pt>
                <c:pt idx="22">
                  <c:v>277.15636946438019</c:v>
                </c:pt>
                <c:pt idx="23">
                  <c:v>#N/A</c:v>
                </c:pt>
                <c:pt idx="24">
                  <c:v>228.52558066953725</c:v>
                </c:pt>
                <c:pt idx="25">
                  <c:v>#N/A</c:v>
                </c:pt>
                <c:pt idx="26">
                  <c:v>277.15636946438019</c:v>
                </c:pt>
                <c:pt idx="27">
                  <c:v>#N/A</c:v>
                </c:pt>
                <c:pt idx="28">
                  <c:v>286.97854356828344</c:v>
                </c:pt>
                <c:pt idx="29">
                  <c:v>#N/A</c:v>
                </c:pt>
                <c:pt idx="30">
                  <c:v>#N/A</c:v>
                </c:pt>
                <c:pt idx="31">
                  <c:v>270.80985493705032</c:v>
                </c:pt>
                <c:pt idx="32">
                  <c:v>#N/A</c:v>
                </c:pt>
                <c:pt idx="33">
                  <c:v>306.69077627303841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105.77023722720006</c:v>
                </c:pt>
                <c:pt idx="41">
                  <c:v>#N/A</c:v>
                </c:pt>
                <c:pt idx="42">
                  <c:v>#N/A</c:v>
                </c:pt>
                <c:pt idx="43">
                  <c:v>221.7915515957767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203.60301554079868</c:v>
                </c:pt>
                <c:pt idx="48">
                  <c:v>#N/A</c:v>
                </c:pt>
                <c:pt idx="49">
                  <c:v>#N/A</c:v>
                </c:pt>
                <c:pt idx="50">
                  <c:v>229.1090775584947</c:v>
                </c:pt>
                <c:pt idx="51">
                  <c:v>#N/A</c:v>
                </c:pt>
                <c:pt idx="52">
                  <c:v>#N/A</c:v>
                </c:pt>
                <c:pt idx="53">
                  <c:v>293.29583260906884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243.27057299375392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223.52817997907488</c:v>
                </c:pt>
                <c:pt idx="65">
                  <c:v>#N/A</c:v>
                </c:pt>
                <c:pt idx="66">
                  <c:v>#N/A</c:v>
                </c:pt>
                <c:pt idx="67">
                  <c:v>225.0820369387759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250.00460206751447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318.80189462676492</c:v>
                </c:pt>
                <c:pt idx="82">
                  <c:v>#N/A</c:v>
                </c:pt>
                <c:pt idx="83">
                  <c:v>347.34832130930022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317.22306475271728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270.75301653285527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1D-4DE2-BB3A-CE8508EB2F33}"/>
            </c:ext>
          </c:extLst>
        </c:ser>
        <c:ser>
          <c:idx val="1"/>
          <c:order val="1"/>
          <c:tx>
            <c:strRef>
              <c:f>'RC Chart Data'!$D$6</c:f>
              <c:strCache>
                <c:ptCount val="1"/>
                <c:pt idx="0">
                  <c:v>Jan</c:v>
                </c:pt>
              </c:strCache>
            </c:strRef>
          </c:tx>
          <c:spPr>
            <a:ln w="25400" cap="rnd">
              <a:noFill/>
              <a:round/>
            </a:ln>
            <a:effectLst>
              <a:glow rad="228600">
                <a:schemeClr val="accent1">
                  <a:satMod val="175000"/>
                  <a:alpha val="40000"/>
                </a:schemeClr>
              </a:glow>
            </a:effectLst>
          </c:spPr>
          <c:marker>
            <c:symbol val="circle"/>
            <c:size val="6"/>
            <c:spPr>
              <a:solidFill>
                <a:srgbClr val="CCCCFF"/>
              </a:solidFill>
              <a:ln w="9525">
                <a:noFill/>
                <a:round/>
              </a:ln>
              <a:effectLst>
                <a:glow rad="228600">
                  <a:schemeClr val="accent1">
                    <a:satMod val="175000"/>
                    <a:alpha val="40000"/>
                  </a:schemeClr>
                </a:glow>
              </a:effectLst>
            </c:spPr>
          </c:marker>
          <c:xVal>
            <c:numRef>
              <c:f>'RC Chart Data'!$A$7:$A$119</c:f>
              <c:numCache>
                <c:formatCode>m/d/yyyy</c:formatCode>
                <c:ptCount val="113"/>
                <c:pt idx="0">
                  <c:v>43106</c:v>
                </c:pt>
                <c:pt idx="1">
                  <c:v>43107</c:v>
                </c:pt>
                <c:pt idx="2">
                  <c:v>43108</c:v>
                </c:pt>
                <c:pt idx="3">
                  <c:v>43109</c:v>
                </c:pt>
                <c:pt idx="4">
                  <c:v>43110</c:v>
                </c:pt>
                <c:pt idx="5">
                  <c:v>43111</c:v>
                </c:pt>
                <c:pt idx="6">
                  <c:v>43112</c:v>
                </c:pt>
                <c:pt idx="7">
                  <c:v>43113</c:v>
                </c:pt>
                <c:pt idx="8">
                  <c:v>43114</c:v>
                </c:pt>
                <c:pt idx="9">
                  <c:v>43115</c:v>
                </c:pt>
                <c:pt idx="10">
                  <c:v>43116</c:v>
                </c:pt>
                <c:pt idx="11">
                  <c:v>43117</c:v>
                </c:pt>
                <c:pt idx="12">
                  <c:v>43118</c:v>
                </c:pt>
                <c:pt idx="13">
                  <c:v>43119</c:v>
                </c:pt>
                <c:pt idx="14">
                  <c:v>43120</c:v>
                </c:pt>
                <c:pt idx="15">
                  <c:v>43121</c:v>
                </c:pt>
                <c:pt idx="16">
                  <c:v>43122</c:v>
                </c:pt>
                <c:pt idx="17">
                  <c:v>43123</c:v>
                </c:pt>
                <c:pt idx="18">
                  <c:v>43124</c:v>
                </c:pt>
                <c:pt idx="19">
                  <c:v>43125</c:v>
                </c:pt>
                <c:pt idx="20">
                  <c:v>43126</c:v>
                </c:pt>
                <c:pt idx="21">
                  <c:v>43127</c:v>
                </c:pt>
                <c:pt idx="22">
                  <c:v>43128</c:v>
                </c:pt>
                <c:pt idx="23">
                  <c:v>43129</c:v>
                </c:pt>
                <c:pt idx="24">
                  <c:v>43130</c:v>
                </c:pt>
                <c:pt idx="25">
                  <c:v>43131</c:v>
                </c:pt>
                <c:pt idx="26">
                  <c:v>43132</c:v>
                </c:pt>
                <c:pt idx="27">
                  <c:v>43133</c:v>
                </c:pt>
                <c:pt idx="28">
                  <c:v>43134</c:v>
                </c:pt>
                <c:pt idx="29">
                  <c:v>43135</c:v>
                </c:pt>
                <c:pt idx="30">
                  <c:v>43136</c:v>
                </c:pt>
                <c:pt idx="31">
                  <c:v>43137</c:v>
                </c:pt>
                <c:pt idx="32">
                  <c:v>43138</c:v>
                </c:pt>
                <c:pt idx="33">
                  <c:v>43139</c:v>
                </c:pt>
                <c:pt idx="34">
                  <c:v>43140</c:v>
                </c:pt>
                <c:pt idx="35">
                  <c:v>43141</c:v>
                </c:pt>
                <c:pt idx="36">
                  <c:v>43142</c:v>
                </c:pt>
                <c:pt idx="37">
                  <c:v>43143</c:v>
                </c:pt>
                <c:pt idx="38">
                  <c:v>43144</c:v>
                </c:pt>
                <c:pt idx="39">
                  <c:v>43145</c:v>
                </c:pt>
                <c:pt idx="40">
                  <c:v>43146</c:v>
                </c:pt>
                <c:pt idx="41">
                  <c:v>43147</c:v>
                </c:pt>
                <c:pt idx="42">
                  <c:v>43148</c:v>
                </c:pt>
                <c:pt idx="43">
                  <c:v>43149</c:v>
                </c:pt>
                <c:pt idx="44">
                  <c:v>43150</c:v>
                </c:pt>
                <c:pt idx="45">
                  <c:v>43151</c:v>
                </c:pt>
                <c:pt idx="46">
                  <c:v>43152</c:v>
                </c:pt>
                <c:pt idx="47">
                  <c:v>43153</c:v>
                </c:pt>
                <c:pt idx="48">
                  <c:v>43154</c:v>
                </c:pt>
                <c:pt idx="49">
                  <c:v>43155</c:v>
                </c:pt>
                <c:pt idx="50">
                  <c:v>43156</c:v>
                </c:pt>
                <c:pt idx="51">
                  <c:v>43157</c:v>
                </c:pt>
                <c:pt idx="52">
                  <c:v>43158</c:v>
                </c:pt>
                <c:pt idx="53">
                  <c:v>43159</c:v>
                </c:pt>
                <c:pt idx="54">
                  <c:v>43160</c:v>
                </c:pt>
                <c:pt idx="55">
                  <c:v>43161</c:v>
                </c:pt>
                <c:pt idx="56">
                  <c:v>43162</c:v>
                </c:pt>
                <c:pt idx="57">
                  <c:v>43163</c:v>
                </c:pt>
                <c:pt idx="58">
                  <c:v>43164</c:v>
                </c:pt>
                <c:pt idx="59">
                  <c:v>43165</c:v>
                </c:pt>
                <c:pt idx="60">
                  <c:v>43166</c:v>
                </c:pt>
                <c:pt idx="61">
                  <c:v>43167</c:v>
                </c:pt>
                <c:pt idx="62">
                  <c:v>43168</c:v>
                </c:pt>
                <c:pt idx="63">
                  <c:v>43169</c:v>
                </c:pt>
                <c:pt idx="64">
                  <c:v>43170</c:v>
                </c:pt>
                <c:pt idx="65">
                  <c:v>43171</c:v>
                </c:pt>
                <c:pt idx="66">
                  <c:v>43172</c:v>
                </c:pt>
                <c:pt idx="67">
                  <c:v>43173</c:v>
                </c:pt>
                <c:pt idx="68">
                  <c:v>43174</c:v>
                </c:pt>
                <c:pt idx="69">
                  <c:v>43175</c:v>
                </c:pt>
                <c:pt idx="70">
                  <c:v>43176</c:v>
                </c:pt>
                <c:pt idx="71">
                  <c:v>43177</c:v>
                </c:pt>
                <c:pt idx="72">
                  <c:v>43178</c:v>
                </c:pt>
                <c:pt idx="73">
                  <c:v>43179</c:v>
                </c:pt>
                <c:pt idx="74">
                  <c:v>43180</c:v>
                </c:pt>
                <c:pt idx="75">
                  <c:v>43181</c:v>
                </c:pt>
                <c:pt idx="76">
                  <c:v>43182</c:v>
                </c:pt>
                <c:pt idx="77">
                  <c:v>43183</c:v>
                </c:pt>
                <c:pt idx="78">
                  <c:v>43184</c:v>
                </c:pt>
                <c:pt idx="79">
                  <c:v>43185</c:v>
                </c:pt>
                <c:pt idx="80">
                  <c:v>43186</c:v>
                </c:pt>
                <c:pt idx="81">
                  <c:v>43187</c:v>
                </c:pt>
                <c:pt idx="82">
                  <c:v>43188</c:v>
                </c:pt>
                <c:pt idx="83">
                  <c:v>43189</c:v>
                </c:pt>
                <c:pt idx="84">
                  <c:v>43191</c:v>
                </c:pt>
                <c:pt idx="85">
                  <c:v>43192</c:v>
                </c:pt>
                <c:pt idx="86">
                  <c:v>43193</c:v>
                </c:pt>
                <c:pt idx="87">
                  <c:v>43194</c:v>
                </c:pt>
                <c:pt idx="88">
                  <c:v>43195</c:v>
                </c:pt>
                <c:pt idx="89">
                  <c:v>43196</c:v>
                </c:pt>
                <c:pt idx="90">
                  <c:v>43197</c:v>
                </c:pt>
                <c:pt idx="91">
                  <c:v>43198</c:v>
                </c:pt>
                <c:pt idx="92">
                  <c:v>43199</c:v>
                </c:pt>
                <c:pt idx="93">
                  <c:v>43200</c:v>
                </c:pt>
                <c:pt idx="94">
                  <c:v>43201</c:v>
                </c:pt>
                <c:pt idx="95">
                  <c:v>43202</c:v>
                </c:pt>
                <c:pt idx="96">
                  <c:v>43203</c:v>
                </c:pt>
                <c:pt idx="97">
                  <c:v>43204</c:v>
                </c:pt>
                <c:pt idx="98">
                  <c:v>43205</c:v>
                </c:pt>
                <c:pt idx="99">
                  <c:v>43206</c:v>
                </c:pt>
                <c:pt idx="100">
                  <c:v>43207</c:v>
                </c:pt>
                <c:pt idx="101">
                  <c:v>43208</c:v>
                </c:pt>
                <c:pt idx="102">
                  <c:v>43209</c:v>
                </c:pt>
                <c:pt idx="103">
                  <c:v>43210</c:v>
                </c:pt>
                <c:pt idx="104">
                  <c:v>43211</c:v>
                </c:pt>
                <c:pt idx="105">
                  <c:v>43212</c:v>
                </c:pt>
                <c:pt idx="106">
                  <c:v>43213</c:v>
                </c:pt>
                <c:pt idx="107">
                  <c:v>43214</c:v>
                </c:pt>
                <c:pt idx="108">
                  <c:v>43215</c:v>
                </c:pt>
                <c:pt idx="109">
                  <c:v>43216</c:v>
                </c:pt>
                <c:pt idx="110">
                  <c:v>43217</c:v>
                </c:pt>
                <c:pt idx="111">
                  <c:v>43218</c:v>
                </c:pt>
                <c:pt idx="112">
                  <c:v>43219</c:v>
                </c:pt>
              </c:numCache>
            </c:numRef>
          </c:xVal>
          <c:yVal>
            <c:numRef>
              <c:f>'RC Chart Data'!$D$7:$D$119</c:f>
              <c:numCache>
                <c:formatCode>0</c:formatCode>
                <c:ptCount val="113"/>
                <c:pt idx="0">
                  <c:v>35.2575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40.46194787120001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35.2575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56.807964051344015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55.755000000000003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48.252499999999998</c:v>
                </c:pt>
                <c:pt idx="34">
                  <c:v>#N/A</c:v>
                </c:pt>
                <c:pt idx="35">
                  <c:v>#N/A</c:v>
                </c:pt>
                <c:pt idx="36">
                  <c:v>53.754750000000001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93.921658740000055</c:v>
                </c:pt>
                <c:pt idx="41">
                  <c:v>#N/A</c:v>
                </c:pt>
                <c:pt idx="42">
                  <c:v>#N/A</c:v>
                </c:pt>
                <c:pt idx="43">
                  <c:v>86.263491484800042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90.51599148480004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100.92165283402647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1D-4DE2-BB3A-CE8508EB2F33}"/>
            </c:ext>
          </c:extLst>
        </c:ser>
        <c:ser>
          <c:idx val="2"/>
          <c:order val="2"/>
          <c:tx>
            <c:strRef>
              <c:f>'RC Chart Data'!$E$6</c:f>
              <c:strCache>
                <c:ptCount val="1"/>
                <c:pt idx="0">
                  <c:v>Sameena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'RC Chart Data'!$A$7:$A$119</c:f>
              <c:numCache>
                <c:formatCode>m/d/yyyy</c:formatCode>
                <c:ptCount val="113"/>
                <c:pt idx="0">
                  <c:v>43106</c:v>
                </c:pt>
                <c:pt idx="1">
                  <c:v>43107</c:v>
                </c:pt>
                <c:pt idx="2">
                  <c:v>43108</c:v>
                </c:pt>
                <c:pt idx="3">
                  <c:v>43109</c:v>
                </c:pt>
                <c:pt idx="4">
                  <c:v>43110</c:v>
                </c:pt>
                <c:pt idx="5">
                  <c:v>43111</c:v>
                </c:pt>
                <c:pt idx="6">
                  <c:v>43112</c:v>
                </c:pt>
                <c:pt idx="7">
                  <c:v>43113</c:v>
                </c:pt>
                <c:pt idx="8">
                  <c:v>43114</c:v>
                </c:pt>
                <c:pt idx="9">
                  <c:v>43115</c:v>
                </c:pt>
                <c:pt idx="10">
                  <c:v>43116</c:v>
                </c:pt>
                <c:pt idx="11">
                  <c:v>43117</c:v>
                </c:pt>
                <c:pt idx="12">
                  <c:v>43118</c:v>
                </c:pt>
                <c:pt idx="13">
                  <c:v>43119</c:v>
                </c:pt>
                <c:pt idx="14">
                  <c:v>43120</c:v>
                </c:pt>
                <c:pt idx="15">
                  <c:v>43121</c:v>
                </c:pt>
                <c:pt idx="16">
                  <c:v>43122</c:v>
                </c:pt>
                <c:pt idx="17">
                  <c:v>43123</c:v>
                </c:pt>
                <c:pt idx="18">
                  <c:v>43124</c:v>
                </c:pt>
                <c:pt idx="19">
                  <c:v>43125</c:v>
                </c:pt>
                <c:pt idx="20">
                  <c:v>43126</c:v>
                </c:pt>
                <c:pt idx="21">
                  <c:v>43127</c:v>
                </c:pt>
                <c:pt idx="22">
                  <c:v>43128</c:v>
                </c:pt>
                <c:pt idx="23">
                  <c:v>43129</c:v>
                </c:pt>
                <c:pt idx="24">
                  <c:v>43130</c:v>
                </c:pt>
                <c:pt idx="25">
                  <c:v>43131</c:v>
                </c:pt>
                <c:pt idx="26">
                  <c:v>43132</c:v>
                </c:pt>
                <c:pt idx="27">
                  <c:v>43133</c:v>
                </c:pt>
                <c:pt idx="28">
                  <c:v>43134</c:v>
                </c:pt>
                <c:pt idx="29">
                  <c:v>43135</c:v>
                </c:pt>
                <c:pt idx="30">
                  <c:v>43136</c:v>
                </c:pt>
                <c:pt idx="31">
                  <c:v>43137</c:v>
                </c:pt>
                <c:pt idx="32">
                  <c:v>43138</c:v>
                </c:pt>
                <c:pt idx="33">
                  <c:v>43139</c:v>
                </c:pt>
                <c:pt idx="34">
                  <c:v>43140</c:v>
                </c:pt>
                <c:pt idx="35">
                  <c:v>43141</c:v>
                </c:pt>
                <c:pt idx="36">
                  <c:v>43142</c:v>
                </c:pt>
                <c:pt idx="37">
                  <c:v>43143</c:v>
                </c:pt>
                <c:pt idx="38">
                  <c:v>43144</c:v>
                </c:pt>
                <c:pt idx="39">
                  <c:v>43145</c:v>
                </c:pt>
                <c:pt idx="40">
                  <c:v>43146</c:v>
                </c:pt>
                <c:pt idx="41">
                  <c:v>43147</c:v>
                </c:pt>
                <c:pt idx="42">
                  <c:v>43148</c:v>
                </c:pt>
                <c:pt idx="43">
                  <c:v>43149</c:v>
                </c:pt>
                <c:pt idx="44">
                  <c:v>43150</c:v>
                </c:pt>
                <c:pt idx="45">
                  <c:v>43151</c:v>
                </c:pt>
                <c:pt idx="46">
                  <c:v>43152</c:v>
                </c:pt>
                <c:pt idx="47">
                  <c:v>43153</c:v>
                </c:pt>
                <c:pt idx="48">
                  <c:v>43154</c:v>
                </c:pt>
                <c:pt idx="49">
                  <c:v>43155</c:v>
                </c:pt>
                <c:pt idx="50">
                  <c:v>43156</c:v>
                </c:pt>
                <c:pt idx="51">
                  <c:v>43157</c:v>
                </c:pt>
                <c:pt idx="52">
                  <c:v>43158</c:v>
                </c:pt>
                <c:pt idx="53">
                  <c:v>43159</c:v>
                </c:pt>
                <c:pt idx="54">
                  <c:v>43160</c:v>
                </c:pt>
                <c:pt idx="55">
                  <c:v>43161</c:v>
                </c:pt>
                <c:pt idx="56">
                  <c:v>43162</c:v>
                </c:pt>
                <c:pt idx="57">
                  <c:v>43163</c:v>
                </c:pt>
                <c:pt idx="58">
                  <c:v>43164</c:v>
                </c:pt>
                <c:pt idx="59">
                  <c:v>43165</c:v>
                </c:pt>
                <c:pt idx="60">
                  <c:v>43166</c:v>
                </c:pt>
                <c:pt idx="61">
                  <c:v>43167</c:v>
                </c:pt>
                <c:pt idx="62">
                  <c:v>43168</c:v>
                </c:pt>
                <c:pt idx="63">
                  <c:v>43169</c:v>
                </c:pt>
                <c:pt idx="64">
                  <c:v>43170</c:v>
                </c:pt>
                <c:pt idx="65">
                  <c:v>43171</c:v>
                </c:pt>
                <c:pt idx="66">
                  <c:v>43172</c:v>
                </c:pt>
                <c:pt idx="67">
                  <c:v>43173</c:v>
                </c:pt>
                <c:pt idx="68">
                  <c:v>43174</c:v>
                </c:pt>
                <c:pt idx="69">
                  <c:v>43175</c:v>
                </c:pt>
                <c:pt idx="70">
                  <c:v>43176</c:v>
                </c:pt>
                <c:pt idx="71">
                  <c:v>43177</c:v>
                </c:pt>
                <c:pt idx="72">
                  <c:v>43178</c:v>
                </c:pt>
                <c:pt idx="73">
                  <c:v>43179</c:v>
                </c:pt>
                <c:pt idx="74">
                  <c:v>43180</c:v>
                </c:pt>
                <c:pt idx="75">
                  <c:v>43181</c:v>
                </c:pt>
                <c:pt idx="76">
                  <c:v>43182</c:v>
                </c:pt>
                <c:pt idx="77">
                  <c:v>43183</c:v>
                </c:pt>
                <c:pt idx="78">
                  <c:v>43184</c:v>
                </c:pt>
                <c:pt idx="79">
                  <c:v>43185</c:v>
                </c:pt>
                <c:pt idx="80">
                  <c:v>43186</c:v>
                </c:pt>
                <c:pt idx="81">
                  <c:v>43187</c:v>
                </c:pt>
                <c:pt idx="82">
                  <c:v>43188</c:v>
                </c:pt>
                <c:pt idx="83">
                  <c:v>43189</c:v>
                </c:pt>
                <c:pt idx="84">
                  <c:v>43191</c:v>
                </c:pt>
                <c:pt idx="85">
                  <c:v>43192</c:v>
                </c:pt>
                <c:pt idx="86">
                  <c:v>43193</c:v>
                </c:pt>
                <c:pt idx="87">
                  <c:v>43194</c:v>
                </c:pt>
                <c:pt idx="88">
                  <c:v>43195</c:v>
                </c:pt>
                <c:pt idx="89">
                  <c:v>43196</c:v>
                </c:pt>
                <c:pt idx="90">
                  <c:v>43197</c:v>
                </c:pt>
                <c:pt idx="91">
                  <c:v>43198</c:v>
                </c:pt>
                <c:pt idx="92">
                  <c:v>43199</c:v>
                </c:pt>
                <c:pt idx="93">
                  <c:v>43200</c:v>
                </c:pt>
                <c:pt idx="94">
                  <c:v>43201</c:v>
                </c:pt>
                <c:pt idx="95">
                  <c:v>43202</c:v>
                </c:pt>
                <c:pt idx="96">
                  <c:v>43203</c:v>
                </c:pt>
                <c:pt idx="97">
                  <c:v>43204</c:v>
                </c:pt>
                <c:pt idx="98">
                  <c:v>43205</c:v>
                </c:pt>
                <c:pt idx="99">
                  <c:v>43206</c:v>
                </c:pt>
                <c:pt idx="100">
                  <c:v>43207</c:v>
                </c:pt>
                <c:pt idx="101">
                  <c:v>43208</c:v>
                </c:pt>
                <c:pt idx="102">
                  <c:v>43209</c:v>
                </c:pt>
                <c:pt idx="103">
                  <c:v>43210</c:v>
                </c:pt>
                <c:pt idx="104">
                  <c:v>43211</c:v>
                </c:pt>
                <c:pt idx="105">
                  <c:v>43212</c:v>
                </c:pt>
                <c:pt idx="106">
                  <c:v>43213</c:v>
                </c:pt>
                <c:pt idx="107">
                  <c:v>43214</c:v>
                </c:pt>
                <c:pt idx="108">
                  <c:v>43215</c:v>
                </c:pt>
                <c:pt idx="109">
                  <c:v>43216</c:v>
                </c:pt>
                <c:pt idx="110">
                  <c:v>43217</c:v>
                </c:pt>
                <c:pt idx="111">
                  <c:v>43218</c:v>
                </c:pt>
                <c:pt idx="112">
                  <c:v>43219</c:v>
                </c:pt>
              </c:numCache>
            </c:numRef>
          </c:xVal>
          <c:yVal>
            <c:numRef>
              <c:f>'RC Chart Data'!$E$7:$E$119</c:f>
              <c:numCache>
                <c:formatCode>0</c:formatCode>
                <c:ptCount val="113"/>
                <c:pt idx="0">
                  <c:v>103.24839734157318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67.057440881588661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124.54826206356827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129.6209076903377</c:v>
                </c:pt>
                <c:pt idx="29">
                  <c:v>#N/A</c:v>
                </c:pt>
                <c:pt idx="30">
                  <c:v>#N/A</c:v>
                </c:pt>
                <c:pt idx="31">
                  <c:v>138.38116333173295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118.19048824116825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138.38116333173295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1D-4DE2-BB3A-CE8508EB2F33}"/>
            </c:ext>
          </c:extLst>
        </c:ser>
        <c:ser>
          <c:idx val="3"/>
          <c:order val="3"/>
          <c:tx>
            <c:strRef>
              <c:f>'RC Chart Data'!$F$6</c:f>
              <c:strCache>
                <c:ptCount val="1"/>
                <c:pt idx="0">
                  <c:v>Mark Guste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4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'RC Chart Data'!$A$7:$A$119</c:f>
              <c:numCache>
                <c:formatCode>m/d/yyyy</c:formatCode>
                <c:ptCount val="113"/>
                <c:pt idx="0">
                  <c:v>43106</c:v>
                </c:pt>
                <c:pt idx="1">
                  <c:v>43107</c:v>
                </c:pt>
                <c:pt idx="2">
                  <c:v>43108</c:v>
                </c:pt>
                <c:pt idx="3">
                  <c:v>43109</c:v>
                </c:pt>
                <c:pt idx="4">
                  <c:v>43110</c:v>
                </c:pt>
                <c:pt idx="5">
                  <c:v>43111</c:v>
                </c:pt>
                <c:pt idx="6">
                  <c:v>43112</c:v>
                </c:pt>
                <c:pt idx="7">
                  <c:v>43113</c:v>
                </c:pt>
                <c:pt idx="8">
                  <c:v>43114</c:v>
                </c:pt>
                <c:pt idx="9">
                  <c:v>43115</c:v>
                </c:pt>
                <c:pt idx="10">
                  <c:v>43116</c:v>
                </c:pt>
                <c:pt idx="11">
                  <c:v>43117</c:v>
                </c:pt>
                <c:pt idx="12">
                  <c:v>43118</c:v>
                </c:pt>
                <c:pt idx="13">
                  <c:v>43119</c:v>
                </c:pt>
                <c:pt idx="14">
                  <c:v>43120</c:v>
                </c:pt>
                <c:pt idx="15">
                  <c:v>43121</c:v>
                </c:pt>
                <c:pt idx="16">
                  <c:v>43122</c:v>
                </c:pt>
                <c:pt idx="17">
                  <c:v>43123</c:v>
                </c:pt>
                <c:pt idx="18">
                  <c:v>43124</c:v>
                </c:pt>
                <c:pt idx="19">
                  <c:v>43125</c:v>
                </c:pt>
                <c:pt idx="20">
                  <c:v>43126</c:v>
                </c:pt>
                <c:pt idx="21">
                  <c:v>43127</c:v>
                </c:pt>
                <c:pt idx="22">
                  <c:v>43128</c:v>
                </c:pt>
                <c:pt idx="23">
                  <c:v>43129</c:v>
                </c:pt>
                <c:pt idx="24">
                  <c:v>43130</c:v>
                </c:pt>
                <c:pt idx="25">
                  <c:v>43131</c:v>
                </c:pt>
                <c:pt idx="26">
                  <c:v>43132</c:v>
                </c:pt>
                <c:pt idx="27">
                  <c:v>43133</c:v>
                </c:pt>
                <c:pt idx="28">
                  <c:v>43134</c:v>
                </c:pt>
                <c:pt idx="29">
                  <c:v>43135</c:v>
                </c:pt>
                <c:pt idx="30">
                  <c:v>43136</c:v>
                </c:pt>
                <c:pt idx="31">
                  <c:v>43137</c:v>
                </c:pt>
                <c:pt idx="32">
                  <c:v>43138</c:v>
                </c:pt>
                <c:pt idx="33">
                  <c:v>43139</c:v>
                </c:pt>
                <c:pt idx="34">
                  <c:v>43140</c:v>
                </c:pt>
                <c:pt idx="35">
                  <c:v>43141</c:v>
                </c:pt>
                <c:pt idx="36">
                  <c:v>43142</c:v>
                </c:pt>
                <c:pt idx="37">
                  <c:v>43143</c:v>
                </c:pt>
                <c:pt idx="38">
                  <c:v>43144</c:v>
                </c:pt>
                <c:pt idx="39">
                  <c:v>43145</c:v>
                </c:pt>
                <c:pt idx="40">
                  <c:v>43146</c:v>
                </c:pt>
                <c:pt idx="41">
                  <c:v>43147</c:v>
                </c:pt>
                <c:pt idx="42">
                  <c:v>43148</c:v>
                </c:pt>
                <c:pt idx="43">
                  <c:v>43149</c:v>
                </c:pt>
                <c:pt idx="44">
                  <c:v>43150</c:v>
                </c:pt>
                <c:pt idx="45">
                  <c:v>43151</c:v>
                </c:pt>
                <c:pt idx="46">
                  <c:v>43152</c:v>
                </c:pt>
                <c:pt idx="47">
                  <c:v>43153</c:v>
                </c:pt>
                <c:pt idx="48">
                  <c:v>43154</c:v>
                </c:pt>
                <c:pt idx="49">
                  <c:v>43155</c:v>
                </c:pt>
                <c:pt idx="50">
                  <c:v>43156</c:v>
                </c:pt>
                <c:pt idx="51">
                  <c:v>43157</c:v>
                </c:pt>
                <c:pt idx="52">
                  <c:v>43158</c:v>
                </c:pt>
                <c:pt idx="53">
                  <c:v>43159</c:v>
                </c:pt>
                <c:pt idx="54">
                  <c:v>43160</c:v>
                </c:pt>
                <c:pt idx="55">
                  <c:v>43161</c:v>
                </c:pt>
                <c:pt idx="56">
                  <c:v>43162</c:v>
                </c:pt>
                <c:pt idx="57">
                  <c:v>43163</c:v>
                </c:pt>
                <c:pt idx="58">
                  <c:v>43164</c:v>
                </c:pt>
                <c:pt idx="59">
                  <c:v>43165</c:v>
                </c:pt>
                <c:pt idx="60">
                  <c:v>43166</c:v>
                </c:pt>
                <c:pt idx="61">
                  <c:v>43167</c:v>
                </c:pt>
                <c:pt idx="62">
                  <c:v>43168</c:v>
                </c:pt>
                <c:pt idx="63">
                  <c:v>43169</c:v>
                </c:pt>
                <c:pt idx="64">
                  <c:v>43170</c:v>
                </c:pt>
                <c:pt idx="65">
                  <c:v>43171</c:v>
                </c:pt>
                <c:pt idx="66">
                  <c:v>43172</c:v>
                </c:pt>
                <c:pt idx="67">
                  <c:v>43173</c:v>
                </c:pt>
                <c:pt idx="68">
                  <c:v>43174</c:v>
                </c:pt>
                <c:pt idx="69">
                  <c:v>43175</c:v>
                </c:pt>
                <c:pt idx="70">
                  <c:v>43176</c:v>
                </c:pt>
                <c:pt idx="71">
                  <c:v>43177</c:v>
                </c:pt>
                <c:pt idx="72">
                  <c:v>43178</c:v>
                </c:pt>
                <c:pt idx="73">
                  <c:v>43179</c:v>
                </c:pt>
                <c:pt idx="74">
                  <c:v>43180</c:v>
                </c:pt>
                <c:pt idx="75">
                  <c:v>43181</c:v>
                </c:pt>
                <c:pt idx="76">
                  <c:v>43182</c:v>
                </c:pt>
                <c:pt idx="77">
                  <c:v>43183</c:v>
                </c:pt>
                <c:pt idx="78">
                  <c:v>43184</c:v>
                </c:pt>
                <c:pt idx="79">
                  <c:v>43185</c:v>
                </c:pt>
                <c:pt idx="80">
                  <c:v>43186</c:v>
                </c:pt>
                <c:pt idx="81">
                  <c:v>43187</c:v>
                </c:pt>
                <c:pt idx="82">
                  <c:v>43188</c:v>
                </c:pt>
                <c:pt idx="83">
                  <c:v>43189</c:v>
                </c:pt>
                <c:pt idx="84">
                  <c:v>43191</c:v>
                </c:pt>
                <c:pt idx="85">
                  <c:v>43192</c:v>
                </c:pt>
                <c:pt idx="86">
                  <c:v>43193</c:v>
                </c:pt>
                <c:pt idx="87">
                  <c:v>43194</c:v>
                </c:pt>
                <c:pt idx="88">
                  <c:v>43195</c:v>
                </c:pt>
                <c:pt idx="89">
                  <c:v>43196</c:v>
                </c:pt>
                <c:pt idx="90">
                  <c:v>43197</c:v>
                </c:pt>
                <c:pt idx="91">
                  <c:v>43198</c:v>
                </c:pt>
                <c:pt idx="92">
                  <c:v>43199</c:v>
                </c:pt>
                <c:pt idx="93">
                  <c:v>43200</c:v>
                </c:pt>
                <c:pt idx="94">
                  <c:v>43201</c:v>
                </c:pt>
                <c:pt idx="95">
                  <c:v>43202</c:v>
                </c:pt>
                <c:pt idx="96">
                  <c:v>43203</c:v>
                </c:pt>
                <c:pt idx="97">
                  <c:v>43204</c:v>
                </c:pt>
                <c:pt idx="98">
                  <c:v>43205</c:v>
                </c:pt>
                <c:pt idx="99">
                  <c:v>43206</c:v>
                </c:pt>
                <c:pt idx="100">
                  <c:v>43207</c:v>
                </c:pt>
                <c:pt idx="101">
                  <c:v>43208</c:v>
                </c:pt>
                <c:pt idx="102">
                  <c:v>43209</c:v>
                </c:pt>
                <c:pt idx="103">
                  <c:v>43210</c:v>
                </c:pt>
                <c:pt idx="104">
                  <c:v>43211</c:v>
                </c:pt>
                <c:pt idx="105">
                  <c:v>43212</c:v>
                </c:pt>
                <c:pt idx="106">
                  <c:v>43213</c:v>
                </c:pt>
                <c:pt idx="107">
                  <c:v>43214</c:v>
                </c:pt>
                <c:pt idx="108">
                  <c:v>43215</c:v>
                </c:pt>
                <c:pt idx="109">
                  <c:v>43216</c:v>
                </c:pt>
                <c:pt idx="110">
                  <c:v>43217</c:v>
                </c:pt>
                <c:pt idx="111">
                  <c:v>43218</c:v>
                </c:pt>
                <c:pt idx="112">
                  <c:v>43219</c:v>
                </c:pt>
              </c:numCache>
            </c:numRef>
          </c:xVal>
          <c:yVal>
            <c:numRef>
              <c:f>'RC Chart Data'!$F$7:$F$119</c:f>
              <c:numCache>
                <c:formatCode>0</c:formatCode>
                <c:ptCount val="113"/>
                <c:pt idx="0">
                  <c:v>47.960195371200015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1D-4DE2-BB3A-CE8508EB2F33}"/>
            </c:ext>
          </c:extLst>
        </c:ser>
        <c:ser>
          <c:idx val="4"/>
          <c:order val="4"/>
          <c:tx>
            <c:strRef>
              <c:f>'RC Chart Data'!$G$6</c:f>
              <c:strCache>
                <c:ptCount val="1"/>
                <c:pt idx="0">
                  <c:v>Edwin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chemeClr val="accent4">
                  <a:lumMod val="40000"/>
                  <a:lumOff val="60000"/>
                </a:schemeClr>
              </a:solidFill>
              <a:ln w="9525">
                <a:noFill/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'RC Chart Data'!$A$7:$A$119</c:f>
              <c:numCache>
                <c:formatCode>m/d/yyyy</c:formatCode>
                <c:ptCount val="113"/>
                <c:pt idx="0">
                  <c:v>43106</c:v>
                </c:pt>
                <c:pt idx="1">
                  <c:v>43107</c:v>
                </c:pt>
                <c:pt idx="2">
                  <c:v>43108</c:v>
                </c:pt>
                <c:pt idx="3">
                  <c:v>43109</c:v>
                </c:pt>
                <c:pt idx="4">
                  <c:v>43110</c:v>
                </c:pt>
                <c:pt idx="5">
                  <c:v>43111</c:v>
                </c:pt>
                <c:pt idx="6">
                  <c:v>43112</c:v>
                </c:pt>
                <c:pt idx="7">
                  <c:v>43113</c:v>
                </c:pt>
                <c:pt idx="8">
                  <c:v>43114</c:v>
                </c:pt>
                <c:pt idx="9">
                  <c:v>43115</c:v>
                </c:pt>
                <c:pt idx="10">
                  <c:v>43116</c:v>
                </c:pt>
                <c:pt idx="11">
                  <c:v>43117</c:v>
                </c:pt>
                <c:pt idx="12">
                  <c:v>43118</c:v>
                </c:pt>
                <c:pt idx="13">
                  <c:v>43119</c:v>
                </c:pt>
                <c:pt idx="14">
                  <c:v>43120</c:v>
                </c:pt>
                <c:pt idx="15">
                  <c:v>43121</c:v>
                </c:pt>
                <c:pt idx="16">
                  <c:v>43122</c:v>
                </c:pt>
                <c:pt idx="17">
                  <c:v>43123</c:v>
                </c:pt>
                <c:pt idx="18">
                  <c:v>43124</c:v>
                </c:pt>
                <c:pt idx="19">
                  <c:v>43125</c:v>
                </c:pt>
                <c:pt idx="20">
                  <c:v>43126</c:v>
                </c:pt>
                <c:pt idx="21">
                  <c:v>43127</c:v>
                </c:pt>
                <c:pt idx="22">
                  <c:v>43128</c:v>
                </c:pt>
                <c:pt idx="23">
                  <c:v>43129</c:v>
                </c:pt>
                <c:pt idx="24">
                  <c:v>43130</c:v>
                </c:pt>
                <c:pt idx="25">
                  <c:v>43131</c:v>
                </c:pt>
                <c:pt idx="26">
                  <c:v>43132</c:v>
                </c:pt>
                <c:pt idx="27">
                  <c:v>43133</c:v>
                </c:pt>
                <c:pt idx="28">
                  <c:v>43134</c:v>
                </c:pt>
                <c:pt idx="29">
                  <c:v>43135</c:v>
                </c:pt>
                <c:pt idx="30">
                  <c:v>43136</c:v>
                </c:pt>
                <c:pt idx="31">
                  <c:v>43137</c:v>
                </c:pt>
                <c:pt idx="32">
                  <c:v>43138</c:v>
                </c:pt>
                <c:pt idx="33">
                  <c:v>43139</c:v>
                </c:pt>
                <c:pt idx="34">
                  <c:v>43140</c:v>
                </c:pt>
                <c:pt idx="35">
                  <c:v>43141</c:v>
                </c:pt>
                <c:pt idx="36">
                  <c:v>43142</c:v>
                </c:pt>
                <c:pt idx="37">
                  <c:v>43143</c:v>
                </c:pt>
                <c:pt idx="38">
                  <c:v>43144</c:v>
                </c:pt>
                <c:pt idx="39">
                  <c:v>43145</c:v>
                </c:pt>
                <c:pt idx="40">
                  <c:v>43146</c:v>
                </c:pt>
                <c:pt idx="41">
                  <c:v>43147</c:v>
                </c:pt>
                <c:pt idx="42">
                  <c:v>43148</c:v>
                </c:pt>
                <c:pt idx="43">
                  <c:v>43149</c:v>
                </c:pt>
                <c:pt idx="44">
                  <c:v>43150</c:v>
                </c:pt>
                <c:pt idx="45">
                  <c:v>43151</c:v>
                </c:pt>
                <c:pt idx="46">
                  <c:v>43152</c:v>
                </c:pt>
                <c:pt idx="47">
                  <c:v>43153</c:v>
                </c:pt>
                <c:pt idx="48">
                  <c:v>43154</c:v>
                </c:pt>
                <c:pt idx="49">
                  <c:v>43155</c:v>
                </c:pt>
                <c:pt idx="50">
                  <c:v>43156</c:v>
                </c:pt>
                <c:pt idx="51">
                  <c:v>43157</c:v>
                </c:pt>
                <c:pt idx="52">
                  <c:v>43158</c:v>
                </c:pt>
                <c:pt idx="53">
                  <c:v>43159</c:v>
                </c:pt>
                <c:pt idx="54">
                  <c:v>43160</c:v>
                </c:pt>
                <c:pt idx="55">
                  <c:v>43161</c:v>
                </c:pt>
                <c:pt idx="56">
                  <c:v>43162</c:v>
                </c:pt>
                <c:pt idx="57">
                  <c:v>43163</c:v>
                </c:pt>
                <c:pt idx="58">
                  <c:v>43164</c:v>
                </c:pt>
                <c:pt idx="59">
                  <c:v>43165</c:v>
                </c:pt>
                <c:pt idx="60">
                  <c:v>43166</c:v>
                </c:pt>
                <c:pt idx="61">
                  <c:v>43167</c:v>
                </c:pt>
                <c:pt idx="62">
                  <c:v>43168</c:v>
                </c:pt>
                <c:pt idx="63">
                  <c:v>43169</c:v>
                </c:pt>
                <c:pt idx="64">
                  <c:v>43170</c:v>
                </c:pt>
                <c:pt idx="65">
                  <c:v>43171</c:v>
                </c:pt>
                <c:pt idx="66">
                  <c:v>43172</c:v>
                </c:pt>
                <c:pt idx="67">
                  <c:v>43173</c:v>
                </c:pt>
                <c:pt idx="68">
                  <c:v>43174</c:v>
                </c:pt>
                <c:pt idx="69">
                  <c:v>43175</c:v>
                </c:pt>
                <c:pt idx="70">
                  <c:v>43176</c:v>
                </c:pt>
                <c:pt idx="71">
                  <c:v>43177</c:v>
                </c:pt>
                <c:pt idx="72">
                  <c:v>43178</c:v>
                </c:pt>
                <c:pt idx="73">
                  <c:v>43179</c:v>
                </c:pt>
                <c:pt idx="74">
                  <c:v>43180</c:v>
                </c:pt>
                <c:pt idx="75">
                  <c:v>43181</c:v>
                </c:pt>
                <c:pt idx="76">
                  <c:v>43182</c:v>
                </c:pt>
                <c:pt idx="77">
                  <c:v>43183</c:v>
                </c:pt>
                <c:pt idx="78">
                  <c:v>43184</c:v>
                </c:pt>
                <c:pt idx="79">
                  <c:v>43185</c:v>
                </c:pt>
                <c:pt idx="80">
                  <c:v>43186</c:v>
                </c:pt>
                <c:pt idx="81">
                  <c:v>43187</c:v>
                </c:pt>
                <c:pt idx="82">
                  <c:v>43188</c:v>
                </c:pt>
                <c:pt idx="83">
                  <c:v>43189</c:v>
                </c:pt>
                <c:pt idx="84">
                  <c:v>43191</c:v>
                </c:pt>
                <c:pt idx="85">
                  <c:v>43192</c:v>
                </c:pt>
                <c:pt idx="86">
                  <c:v>43193</c:v>
                </c:pt>
                <c:pt idx="87">
                  <c:v>43194</c:v>
                </c:pt>
                <c:pt idx="88">
                  <c:v>43195</c:v>
                </c:pt>
                <c:pt idx="89">
                  <c:v>43196</c:v>
                </c:pt>
                <c:pt idx="90">
                  <c:v>43197</c:v>
                </c:pt>
                <c:pt idx="91">
                  <c:v>43198</c:v>
                </c:pt>
                <c:pt idx="92">
                  <c:v>43199</c:v>
                </c:pt>
                <c:pt idx="93">
                  <c:v>43200</c:v>
                </c:pt>
                <c:pt idx="94">
                  <c:v>43201</c:v>
                </c:pt>
                <c:pt idx="95">
                  <c:v>43202</c:v>
                </c:pt>
                <c:pt idx="96">
                  <c:v>43203</c:v>
                </c:pt>
                <c:pt idx="97">
                  <c:v>43204</c:v>
                </c:pt>
                <c:pt idx="98">
                  <c:v>43205</c:v>
                </c:pt>
                <c:pt idx="99">
                  <c:v>43206</c:v>
                </c:pt>
                <c:pt idx="100">
                  <c:v>43207</c:v>
                </c:pt>
                <c:pt idx="101">
                  <c:v>43208</c:v>
                </c:pt>
                <c:pt idx="102">
                  <c:v>43209</c:v>
                </c:pt>
                <c:pt idx="103">
                  <c:v>43210</c:v>
                </c:pt>
                <c:pt idx="104">
                  <c:v>43211</c:v>
                </c:pt>
                <c:pt idx="105">
                  <c:v>43212</c:v>
                </c:pt>
                <c:pt idx="106">
                  <c:v>43213</c:v>
                </c:pt>
                <c:pt idx="107">
                  <c:v>43214</c:v>
                </c:pt>
                <c:pt idx="108">
                  <c:v>43215</c:v>
                </c:pt>
                <c:pt idx="109">
                  <c:v>43216</c:v>
                </c:pt>
                <c:pt idx="110">
                  <c:v>43217</c:v>
                </c:pt>
                <c:pt idx="111">
                  <c:v>43218</c:v>
                </c:pt>
                <c:pt idx="112">
                  <c:v>43219</c:v>
                </c:pt>
              </c:numCache>
            </c:numRef>
          </c:xVal>
          <c:yVal>
            <c:numRef>
              <c:f>'RC Chart Data'!$G$7:$G$119</c:f>
              <c:numCache>
                <c:formatCode>0</c:formatCode>
                <c:ptCount val="113"/>
                <c:pt idx="0">
                  <c:v>#N/A</c:v>
                </c:pt>
                <c:pt idx="1">
                  <c:v>#N/A</c:v>
                </c:pt>
                <c:pt idx="2">
                  <c:v>61.553862871200025</c:v>
                </c:pt>
                <c:pt idx="3">
                  <c:v>#N/A</c:v>
                </c:pt>
                <c:pt idx="4">
                  <c:v>#N/A</c:v>
                </c:pt>
                <c:pt idx="5">
                  <c:v>58.204667646209622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79.182235742400024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78.750956457544135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113.21450632116824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91.124918920082052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99.027409911202284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90.51599148480004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104.44732740826649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103.12441758933291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103.12441758933291</c:v>
                </c:pt>
                <c:pt idx="60">
                  <c:v>#N/A</c:v>
                </c:pt>
                <c:pt idx="61">
                  <c:v>#N/A</c:v>
                </c:pt>
                <c:pt idx="62">
                  <c:v>90.51599148480004</c:v>
                </c:pt>
                <c:pt idx="63">
                  <c:v>#N/A</c:v>
                </c:pt>
                <c:pt idx="64">
                  <c:v>94.761675119115466</c:v>
                </c:pt>
                <c:pt idx="65">
                  <c:v>#N/A</c:v>
                </c:pt>
                <c:pt idx="66">
                  <c:v>#N/A</c:v>
                </c:pt>
                <c:pt idx="67">
                  <c:v>97.530876774184151</c:v>
                </c:pt>
                <c:pt idx="68">
                  <c:v>#N/A</c:v>
                </c:pt>
                <c:pt idx="69">
                  <c:v>#N/A</c:v>
                </c:pt>
                <c:pt idx="70">
                  <c:v>128.08468294187779</c:v>
                </c:pt>
                <c:pt idx="71">
                  <c:v>#N/A</c:v>
                </c:pt>
                <c:pt idx="72">
                  <c:v>113.54159543575551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105.77023722720006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133.25766388937112</c:v>
                </c:pt>
                <c:pt idx="82">
                  <c:v>#N/A</c:v>
                </c:pt>
                <c:pt idx="83">
                  <c:v>133.81949581994093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124.31270473994539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109.26576321476189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31D-4DE2-BB3A-CE8508EB2F33}"/>
            </c:ext>
          </c:extLst>
        </c:ser>
        <c:ser>
          <c:idx val="5"/>
          <c:order val="5"/>
          <c:tx>
            <c:strRef>
              <c:f>'RC Chart Data'!$H$6</c:f>
              <c:strCache>
                <c:ptCount val="1"/>
                <c:pt idx="0">
                  <c:v>Michelle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rgbClr val="FF99FF"/>
              </a:solidFill>
              <a:ln w="9525">
                <a:noFill/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'RC Chart Data'!$A$7:$A$119</c:f>
              <c:numCache>
                <c:formatCode>m/d/yyyy</c:formatCode>
                <c:ptCount val="113"/>
                <c:pt idx="0">
                  <c:v>43106</c:v>
                </c:pt>
                <c:pt idx="1">
                  <c:v>43107</c:v>
                </c:pt>
                <c:pt idx="2">
                  <c:v>43108</c:v>
                </c:pt>
                <c:pt idx="3">
                  <c:v>43109</c:v>
                </c:pt>
                <c:pt idx="4">
                  <c:v>43110</c:v>
                </c:pt>
                <c:pt idx="5">
                  <c:v>43111</c:v>
                </c:pt>
                <c:pt idx="6">
                  <c:v>43112</c:v>
                </c:pt>
                <c:pt idx="7">
                  <c:v>43113</c:v>
                </c:pt>
                <c:pt idx="8">
                  <c:v>43114</c:v>
                </c:pt>
                <c:pt idx="9">
                  <c:v>43115</c:v>
                </c:pt>
                <c:pt idx="10">
                  <c:v>43116</c:v>
                </c:pt>
                <c:pt idx="11">
                  <c:v>43117</c:v>
                </c:pt>
                <c:pt idx="12">
                  <c:v>43118</c:v>
                </c:pt>
                <c:pt idx="13">
                  <c:v>43119</c:v>
                </c:pt>
                <c:pt idx="14">
                  <c:v>43120</c:v>
                </c:pt>
                <c:pt idx="15">
                  <c:v>43121</c:v>
                </c:pt>
                <c:pt idx="16">
                  <c:v>43122</c:v>
                </c:pt>
                <c:pt idx="17">
                  <c:v>43123</c:v>
                </c:pt>
                <c:pt idx="18">
                  <c:v>43124</c:v>
                </c:pt>
                <c:pt idx="19">
                  <c:v>43125</c:v>
                </c:pt>
                <c:pt idx="20">
                  <c:v>43126</c:v>
                </c:pt>
                <c:pt idx="21">
                  <c:v>43127</c:v>
                </c:pt>
                <c:pt idx="22">
                  <c:v>43128</c:v>
                </c:pt>
                <c:pt idx="23">
                  <c:v>43129</c:v>
                </c:pt>
                <c:pt idx="24">
                  <c:v>43130</c:v>
                </c:pt>
                <c:pt idx="25">
                  <c:v>43131</c:v>
                </c:pt>
                <c:pt idx="26">
                  <c:v>43132</c:v>
                </c:pt>
                <c:pt idx="27">
                  <c:v>43133</c:v>
                </c:pt>
                <c:pt idx="28">
                  <c:v>43134</c:v>
                </c:pt>
                <c:pt idx="29">
                  <c:v>43135</c:v>
                </c:pt>
                <c:pt idx="30">
                  <c:v>43136</c:v>
                </c:pt>
                <c:pt idx="31">
                  <c:v>43137</c:v>
                </c:pt>
                <c:pt idx="32">
                  <c:v>43138</c:v>
                </c:pt>
                <c:pt idx="33">
                  <c:v>43139</c:v>
                </c:pt>
                <c:pt idx="34">
                  <c:v>43140</c:v>
                </c:pt>
                <c:pt idx="35">
                  <c:v>43141</c:v>
                </c:pt>
                <c:pt idx="36">
                  <c:v>43142</c:v>
                </c:pt>
                <c:pt idx="37">
                  <c:v>43143</c:v>
                </c:pt>
                <c:pt idx="38">
                  <c:v>43144</c:v>
                </c:pt>
                <c:pt idx="39">
                  <c:v>43145</c:v>
                </c:pt>
                <c:pt idx="40">
                  <c:v>43146</c:v>
                </c:pt>
                <c:pt idx="41">
                  <c:v>43147</c:v>
                </c:pt>
                <c:pt idx="42">
                  <c:v>43148</c:v>
                </c:pt>
                <c:pt idx="43">
                  <c:v>43149</c:v>
                </c:pt>
                <c:pt idx="44">
                  <c:v>43150</c:v>
                </c:pt>
                <c:pt idx="45">
                  <c:v>43151</c:v>
                </c:pt>
                <c:pt idx="46">
                  <c:v>43152</c:v>
                </c:pt>
                <c:pt idx="47">
                  <c:v>43153</c:v>
                </c:pt>
                <c:pt idx="48">
                  <c:v>43154</c:v>
                </c:pt>
                <c:pt idx="49">
                  <c:v>43155</c:v>
                </c:pt>
                <c:pt idx="50">
                  <c:v>43156</c:v>
                </c:pt>
                <c:pt idx="51">
                  <c:v>43157</c:v>
                </c:pt>
                <c:pt idx="52">
                  <c:v>43158</c:v>
                </c:pt>
                <c:pt idx="53">
                  <c:v>43159</c:v>
                </c:pt>
                <c:pt idx="54">
                  <c:v>43160</c:v>
                </c:pt>
                <c:pt idx="55">
                  <c:v>43161</c:v>
                </c:pt>
                <c:pt idx="56">
                  <c:v>43162</c:v>
                </c:pt>
                <c:pt idx="57">
                  <c:v>43163</c:v>
                </c:pt>
                <c:pt idx="58">
                  <c:v>43164</c:v>
                </c:pt>
                <c:pt idx="59">
                  <c:v>43165</c:v>
                </c:pt>
                <c:pt idx="60">
                  <c:v>43166</c:v>
                </c:pt>
                <c:pt idx="61">
                  <c:v>43167</c:v>
                </c:pt>
                <c:pt idx="62">
                  <c:v>43168</c:v>
                </c:pt>
                <c:pt idx="63">
                  <c:v>43169</c:v>
                </c:pt>
                <c:pt idx="64">
                  <c:v>43170</c:v>
                </c:pt>
                <c:pt idx="65">
                  <c:v>43171</c:v>
                </c:pt>
                <c:pt idx="66">
                  <c:v>43172</c:v>
                </c:pt>
                <c:pt idx="67">
                  <c:v>43173</c:v>
                </c:pt>
                <c:pt idx="68">
                  <c:v>43174</c:v>
                </c:pt>
                <c:pt idx="69">
                  <c:v>43175</c:v>
                </c:pt>
                <c:pt idx="70">
                  <c:v>43176</c:v>
                </c:pt>
                <c:pt idx="71">
                  <c:v>43177</c:v>
                </c:pt>
                <c:pt idx="72">
                  <c:v>43178</c:v>
                </c:pt>
                <c:pt idx="73">
                  <c:v>43179</c:v>
                </c:pt>
                <c:pt idx="74">
                  <c:v>43180</c:v>
                </c:pt>
                <c:pt idx="75">
                  <c:v>43181</c:v>
                </c:pt>
                <c:pt idx="76">
                  <c:v>43182</c:v>
                </c:pt>
                <c:pt idx="77">
                  <c:v>43183</c:v>
                </c:pt>
                <c:pt idx="78">
                  <c:v>43184</c:v>
                </c:pt>
                <c:pt idx="79">
                  <c:v>43185</c:v>
                </c:pt>
                <c:pt idx="80">
                  <c:v>43186</c:v>
                </c:pt>
                <c:pt idx="81">
                  <c:v>43187</c:v>
                </c:pt>
                <c:pt idx="82">
                  <c:v>43188</c:v>
                </c:pt>
                <c:pt idx="83">
                  <c:v>43189</c:v>
                </c:pt>
                <c:pt idx="84">
                  <c:v>43191</c:v>
                </c:pt>
                <c:pt idx="85">
                  <c:v>43192</c:v>
                </c:pt>
                <c:pt idx="86">
                  <c:v>43193</c:v>
                </c:pt>
                <c:pt idx="87">
                  <c:v>43194</c:v>
                </c:pt>
                <c:pt idx="88">
                  <c:v>43195</c:v>
                </c:pt>
                <c:pt idx="89">
                  <c:v>43196</c:v>
                </c:pt>
                <c:pt idx="90">
                  <c:v>43197</c:v>
                </c:pt>
                <c:pt idx="91">
                  <c:v>43198</c:v>
                </c:pt>
                <c:pt idx="92">
                  <c:v>43199</c:v>
                </c:pt>
                <c:pt idx="93">
                  <c:v>43200</c:v>
                </c:pt>
                <c:pt idx="94">
                  <c:v>43201</c:v>
                </c:pt>
                <c:pt idx="95">
                  <c:v>43202</c:v>
                </c:pt>
                <c:pt idx="96">
                  <c:v>43203</c:v>
                </c:pt>
                <c:pt idx="97">
                  <c:v>43204</c:v>
                </c:pt>
                <c:pt idx="98">
                  <c:v>43205</c:v>
                </c:pt>
                <c:pt idx="99">
                  <c:v>43206</c:v>
                </c:pt>
                <c:pt idx="100">
                  <c:v>43207</c:v>
                </c:pt>
                <c:pt idx="101">
                  <c:v>43208</c:v>
                </c:pt>
                <c:pt idx="102">
                  <c:v>43209</c:v>
                </c:pt>
                <c:pt idx="103">
                  <c:v>43210</c:v>
                </c:pt>
                <c:pt idx="104">
                  <c:v>43211</c:v>
                </c:pt>
                <c:pt idx="105">
                  <c:v>43212</c:v>
                </c:pt>
                <c:pt idx="106">
                  <c:v>43213</c:v>
                </c:pt>
                <c:pt idx="107">
                  <c:v>43214</c:v>
                </c:pt>
                <c:pt idx="108">
                  <c:v>43215</c:v>
                </c:pt>
                <c:pt idx="109">
                  <c:v>43216</c:v>
                </c:pt>
                <c:pt idx="110">
                  <c:v>43217</c:v>
                </c:pt>
                <c:pt idx="111">
                  <c:v>43218</c:v>
                </c:pt>
                <c:pt idx="112">
                  <c:v>43219</c:v>
                </c:pt>
              </c:numCache>
            </c:numRef>
          </c:xVal>
          <c:yVal>
            <c:numRef>
              <c:f>'RC Chart Data'!$H$7:$H$119</c:f>
              <c:numCache>
                <c:formatCode>0</c:formatCode>
                <c:ptCount val="11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37.5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46.135872871200014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51.380622871200011</c:v>
                </c:pt>
                <c:pt idx="29">
                  <c:v>#N/A</c:v>
                </c:pt>
                <c:pt idx="30">
                  <c:v>#N/A</c:v>
                </c:pt>
                <c:pt idx="31">
                  <c:v>56.884200881588654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53.380872871200012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75.261745742400024</c:v>
                </c:pt>
                <c:pt idx="48">
                  <c:v>#N/A</c:v>
                </c:pt>
                <c:pt idx="49">
                  <c:v>#N/A</c:v>
                </c:pt>
                <c:pt idx="50">
                  <c:v>71.009245742400026</c:v>
                </c:pt>
                <c:pt idx="51">
                  <c:v>#N/A</c:v>
                </c:pt>
                <c:pt idx="52">
                  <c:v>75.261745742400024</c:v>
                </c:pt>
                <c:pt idx="53">
                  <c:v>#N/A</c:v>
                </c:pt>
                <c:pt idx="54">
                  <c:v>#N/A</c:v>
                </c:pt>
                <c:pt idx="55">
                  <c:v>55.259245742400026</c:v>
                </c:pt>
                <c:pt idx="56">
                  <c:v>#N/A</c:v>
                </c:pt>
                <c:pt idx="57">
                  <c:v>89.291516321168245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60.007500000000007</c:v>
                </c:pt>
                <c:pt idx="68">
                  <c:v>#N/A</c:v>
                </c:pt>
                <c:pt idx="69">
                  <c:v>#N/A</c:v>
                </c:pt>
                <c:pt idx="70">
                  <c:v>89.193081665866458</c:v>
                </c:pt>
                <c:pt idx="71">
                  <c:v>#N/A</c:v>
                </c:pt>
                <c:pt idx="72">
                  <c:v>97.530876774184151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51.502499999999998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31D-4DE2-BB3A-CE8508EB2F33}"/>
            </c:ext>
          </c:extLst>
        </c:ser>
        <c:ser>
          <c:idx val="6"/>
          <c:order val="6"/>
          <c:tx>
            <c:strRef>
              <c:f>'RC Chart Data'!$I$6</c:f>
              <c:strCache>
                <c:ptCount val="1"/>
                <c:pt idx="0">
                  <c:v>Kenneth Bautista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rgbClr val="7030A0"/>
              </a:solidFill>
              <a:ln w="9525">
                <a:noFill/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'RC Chart Data'!$A$7:$A$119</c:f>
              <c:numCache>
                <c:formatCode>m/d/yyyy</c:formatCode>
                <c:ptCount val="113"/>
                <c:pt idx="0">
                  <c:v>43106</c:v>
                </c:pt>
                <c:pt idx="1">
                  <c:v>43107</c:v>
                </c:pt>
                <c:pt idx="2">
                  <c:v>43108</c:v>
                </c:pt>
                <c:pt idx="3">
                  <c:v>43109</c:v>
                </c:pt>
                <c:pt idx="4">
                  <c:v>43110</c:v>
                </c:pt>
                <c:pt idx="5">
                  <c:v>43111</c:v>
                </c:pt>
                <c:pt idx="6">
                  <c:v>43112</c:v>
                </c:pt>
                <c:pt idx="7">
                  <c:v>43113</c:v>
                </c:pt>
                <c:pt idx="8">
                  <c:v>43114</c:v>
                </c:pt>
                <c:pt idx="9">
                  <c:v>43115</c:v>
                </c:pt>
                <c:pt idx="10">
                  <c:v>43116</c:v>
                </c:pt>
                <c:pt idx="11">
                  <c:v>43117</c:v>
                </c:pt>
                <c:pt idx="12">
                  <c:v>43118</c:v>
                </c:pt>
                <c:pt idx="13">
                  <c:v>43119</c:v>
                </c:pt>
                <c:pt idx="14">
                  <c:v>43120</c:v>
                </c:pt>
                <c:pt idx="15">
                  <c:v>43121</c:v>
                </c:pt>
                <c:pt idx="16">
                  <c:v>43122</c:v>
                </c:pt>
                <c:pt idx="17">
                  <c:v>43123</c:v>
                </c:pt>
                <c:pt idx="18">
                  <c:v>43124</c:v>
                </c:pt>
                <c:pt idx="19">
                  <c:v>43125</c:v>
                </c:pt>
                <c:pt idx="20">
                  <c:v>43126</c:v>
                </c:pt>
                <c:pt idx="21">
                  <c:v>43127</c:v>
                </c:pt>
                <c:pt idx="22">
                  <c:v>43128</c:v>
                </c:pt>
                <c:pt idx="23">
                  <c:v>43129</c:v>
                </c:pt>
                <c:pt idx="24">
                  <c:v>43130</c:v>
                </c:pt>
                <c:pt idx="25">
                  <c:v>43131</c:v>
                </c:pt>
                <c:pt idx="26">
                  <c:v>43132</c:v>
                </c:pt>
                <c:pt idx="27">
                  <c:v>43133</c:v>
                </c:pt>
                <c:pt idx="28">
                  <c:v>43134</c:v>
                </c:pt>
                <c:pt idx="29">
                  <c:v>43135</c:v>
                </c:pt>
                <c:pt idx="30">
                  <c:v>43136</c:v>
                </c:pt>
                <c:pt idx="31">
                  <c:v>43137</c:v>
                </c:pt>
                <c:pt idx="32">
                  <c:v>43138</c:v>
                </c:pt>
                <c:pt idx="33">
                  <c:v>43139</c:v>
                </c:pt>
                <c:pt idx="34">
                  <c:v>43140</c:v>
                </c:pt>
                <c:pt idx="35">
                  <c:v>43141</c:v>
                </c:pt>
                <c:pt idx="36">
                  <c:v>43142</c:v>
                </c:pt>
                <c:pt idx="37">
                  <c:v>43143</c:v>
                </c:pt>
                <c:pt idx="38">
                  <c:v>43144</c:v>
                </c:pt>
                <c:pt idx="39">
                  <c:v>43145</c:v>
                </c:pt>
                <c:pt idx="40">
                  <c:v>43146</c:v>
                </c:pt>
                <c:pt idx="41">
                  <c:v>43147</c:v>
                </c:pt>
                <c:pt idx="42">
                  <c:v>43148</c:v>
                </c:pt>
                <c:pt idx="43">
                  <c:v>43149</c:v>
                </c:pt>
                <c:pt idx="44">
                  <c:v>43150</c:v>
                </c:pt>
                <c:pt idx="45">
                  <c:v>43151</c:v>
                </c:pt>
                <c:pt idx="46">
                  <c:v>43152</c:v>
                </c:pt>
                <c:pt idx="47">
                  <c:v>43153</c:v>
                </c:pt>
                <c:pt idx="48">
                  <c:v>43154</c:v>
                </c:pt>
                <c:pt idx="49">
                  <c:v>43155</c:v>
                </c:pt>
                <c:pt idx="50">
                  <c:v>43156</c:v>
                </c:pt>
                <c:pt idx="51">
                  <c:v>43157</c:v>
                </c:pt>
                <c:pt idx="52">
                  <c:v>43158</c:v>
                </c:pt>
                <c:pt idx="53">
                  <c:v>43159</c:v>
                </c:pt>
                <c:pt idx="54">
                  <c:v>43160</c:v>
                </c:pt>
                <c:pt idx="55">
                  <c:v>43161</c:v>
                </c:pt>
                <c:pt idx="56">
                  <c:v>43162</c:v>
                </c:pt>
                <c:pt idx="57">
                  <c:v>43163</c:v>
                </c:pt>
                <c:pt idx="58">
                  <c:v>43164</c:v>
                </c:pt>
                <c:pt idx="59">
                  <c:v>43165</c:v>
                </c:pt>
                <c:pt idx="60">
                  <c:v>43166</c:v>
                </c:pt>
                <c:pt idx="61">
                  <c:v>43167</c:v>
                </c:pt>
                <c:pt idx="62">
                  <c:v>43168</c:v>
                </c:pt>
                <c:pt idx="63">
                  <c:v>43169</c:v>
                </c:pt>
                <c:pt idx="64">
                  <c:v>43170</c:v>
                </c:pt>
                <c:pt idx="65">
                  <c:v>43171</c:v>
                </c:pt>
                <c:pt idx="66">
                  <c:v>43172</c:v>
                </c:pt>
                <c:pt idx="67">
                  <c:v>43173</c:v>
                </c:pt>
                <c:pt idx="68">
                  <c:v>43174</c:v>
                </c:pt>
                <c:pt idx="69">
                  <c:v>43175</c:v>
                </c:pt>
                <c:pt idx="70">
                  <c:v>43176</c:v>
                </c:pt>
                <c:pt idx="71">
                  <c:v>43177</c:v>
                </c:pt>
                <c:pt idx="72">
                  <c:v>43178</c:v>
                </c:pt>
                <c:pt idx="73">
                  <c:v>43179</c:v>
                </c:pt>
                <c:pt idx="74">
                  <c:v>43180</c:v>
                </c:pt>
                <c:pt idx="75">
                  <c:v>43181</c:v>
                </c:pt>
                <c:pt idx="76">
                  <c:v>43182</c:v>
                </c:pt>
                <c:pt idx="77">
                  <c:v>43183</c:v>
                </c:pt>
                <c:pt idx="78">
                  <c:v>43184</c:v>
                </c:pt>
                <c:pt idx="79">
                  <c:v>43185</c:v>
                </c:pt>
                <c:pt idx="80">
                  <c:v>43186</c:v>
                </c:pt>
                <c:pt idx="81">
                  <c:v>43187</c:v>
                </c:pt>
                <c:pt idx="82">
                  <c:v>43188</c:v>
                </c:pt>
                <c:pt idx="83">
                  <c:v>43189</c:v>
                </c:pt>
                <c:pt idx="84">
                  <c:v>43191</c:v>
                </c:pt>
                <c:pt idx="85">
                  <c:v>43192</c:v>
                </c:pt>
                <c:pt idx="86">
                  <c:v>43193</c:v>
                </c:pt>
                <c:pt idx="87">
                  <c:v>43194</c:v>
                </c:pt>
                <c:pt idx="88">
                  <c:v>43195</c:v>
                </c:pt>
                <c:pt idx="89">
                  <c:v>43196</c:v>
                </c:pt>
                <c:pt idx="90">
                  <c:v>43197</c:v>
                </c:pt>
                <c:pt idx="91">
                  <c:v>43198</c:v>
                </c:pt>
                <c:pt idx="92">
                  <c:v>43199</c:v>
                </c:pt>
                <c:pt idx="93">
                  <c:v>43200</c:v>
                </c:pt>
                <c:pt idx="94">
                  <c:v>43201</c:v>
                </c:pt>
                <c:pt idx="95">
                  <c:v>43202</c:v>
                </c:pt>
                <c:pt idx="96">
                  <c:v>43203</c:v>
                </c:pt>
                <c:pt idx="97">
                  <c:v>43204</c:v>
                </c:pt>
                <c:pt idx="98">
                  <c:v>43205</c:v>
                </c:pt>
                <c:pt idx="99">
                  <c:v>43206</c:v>
                </c:pt>
                <c:pt idx="100">
                  <c:v>43207</c:v>
                </c:pt>
                <c:pt idx="101">
                  <c:v>43208</c:v>
                </c:pt>
                <c:pt idx="102">
                  <c:v>43209</c:v>
                </c:pt>
                <c:pt idx="103">
                  <c:v>43210</c:v>
                </c:pt>
                <c:pt idx="104">
                  <c:v>43211</c:v>
                </c:pt>
                <c:pt idx="105">
                  <c:v>43212</c:v>
                </c:pt>
                <c:pt idx="106">
                  <c:v>43213</c:v>
                </c:pt>
                <c:pt idx="107">
                  <c:v>43214</c:v>
                </c:pt>
                <c:pt idx="108">
                  <c:v>43215</c:v>
                </c:pt>
                <c:pt idx="109">
                  <c:v>43216</c:v>
                </c:pt>
                <c:pt idx="110">
                  <c:v>43217</c:v>
                </c:pt>
                <c:pt idx="111">
                  <c:v>43218</c:v>
                </c:pt>
                <c:pt idx="112">
                  <c:v>43219</c:v>
                </c:pt>
              </c:numCache>
            </c:numRef>
          </c:xVal>
          <c:yVal>
            <c:numRef>
              <c:f>'RC Chart Data'!$I$7:$I$119</c:f>
              <c:numCache>
                <c:formatCode>0</c:formatCode>
                <c:ptCount val="11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30.002500000000001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31D-4DE2-BB3A-CE8508EB2F33}"/>
            </c:ext>
          </c:extLst>
        </c:ser>
        <c:ser>
          <c:idx val="7"/>
          <c:order val="7"/>
          <c:tx>
            <c:strRef>
              <c:f>'RC Chart Data'!$J$6</c:f>
              <c:strCache>
                <c:ptCount val="1"/>
                <c:pt idx="0">
                  <c:v>Angel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rgbClr val="00FFFF"/>
              </a:solidFill>
              <a:ln w="9525">
                <a:noFill/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'RC Chart Data'!$A$7:$A$119</c:f>
              <c:numCache>
                <c:formatCode>m/d/yyyy</c:formatCode>
                <c:ptCount val="113"/>
                <c:pt idx="0">
                  <c:v>43106</c:v>
                </c:pt>
                <c:pt idx="1">
                  <c:v>43107</c:v>
                </c:pt>
                <c:pt idx="2">
                  <c:v>43108</c:v>
                </c:pt>
                <c:pt idx="3">
                  <c:v>43109</c:v>
                </c:pt>
                <c:pt idx="4">
                  <c:v>43110</c:v>
                </c:pt>
                <c:pt idx="5">
                  <c:v>43111</c:v>
                </c:pt>
                <c:pt idx="6">
                  <c:v>43112</c:v>
                </c:pt>
                <c:pt idx="7">
                  <c:v>43113</c:v>
                </c:pt>
                <c:pt idx="8">
                  <c:v>43114</c:v>
                </c:pt>
                <c:pt idx="9">
                  <c:v>43115</c:v>
                </c:pt>
                <c:pt idx="10">
                  <c:v>43116</c:v>
                </c:pt>
                <c:pt idx="11">
                  <c:v>43117</c:v>
                </c:pt>
                <c:pt idx="12">
                  <c:v>43118</c:v>
                </c:pt>
                <c:pt idx="13">
                  <c:v>43119</c:v>
                </c:pt>
                <c:pt idx="14">
                  <c:v>43120</c:v>
                </c:pt>
                <c:pt idx="15">
                  <c:v>43121</c:v>
                </c:pt>
                <c:pt idx="16">
                  <c:v>43122</c:v>
                </c:pt>
                <c:pt idx="17">
                  <c:v>43123</c:v>
                </c:pt>
                <c:pt idx="18">
                  <c:v>43124</c:v>
                </c:pt>
                <c:pt idx="19">
                  <c:v>43125</c:v>
                </c:pt>
                <c:pt idx="20">
                  <c:v>43126</c:v>
                </c:pt>
                <c:pt idx="21">
                  <c:v>43127</c:v>
                </c:pt>
                <c:pt idx="22">
                  <c:v>43128</c:v>
                </c:pt>
                <c:pt idx="23">
                  <c:v>43129</c:v>
                </c:pt>
                <c:pt idx="24">
                  <c:v>43130</c:v>
                </c:pt>
                <c:pt idx="25">
                  <c:v>43131</c:v>
                </c:pt>
                <c:pt idx="26">
                  <c:v>43132</c:v>
                </c:pt>
                <c:pt idx="27">
                  <c:v>43133</c:v>
                </c:pt>
                <c:pt idx="28">
                  <c:v>43134</c:v>
                </c:pt>
                <c:pt idx="29">
                  <c:v>43135</c:v>
                </c:pt>
                <c:pt idx="30">
                  <c:v>43136</c:v>
                </c:pt>
                <c:pt idx="31">
                  <c:v>43137</c:v>
                </c:pt>
                <c:pt idx="32">
                  <c:v>43138</c:v>
                </c:pt>
                <c:pt idx="33">
                  <c:v>43139</c:v>
                </c:pt>
                <c:pt idx="34">
                  <c:v>43140</c:v>
                </c:pt>
                <c:pt idx="35">
                  <c:v>43141</c:v>
                </c:pt>
                <c:pt idx="36">
                  <c:v>43142</c:v>
                </c:pt>
                <c:pt idx="37">
                  <c:v>43143</c:v>
                </c:pt>
                <c:pt idx="38">
                  <c:v>43144</c:v>
                </c:pt>
                <c:pt idx="39">
                  <c:v>43145</c:v>
                </c:pt>
                <c:pt idx="40">
                  <c:v>43146</c:v>
                </c:pt>
                <c:pt idx="41">
                  <c:v>43147</c:v>
                </c:pt>
                <c:pt idx="42">
                  <c:v>43148</c:v>
                </c:pt>
                <c:pt idx="43">
                  <c:v>43149</c:v>
                </c:pt>
                <c:pt idx="44">
                  <c:v>43150</c:v>
                </c:pt>
                <c:pt idx="45">
                  <c:v>43151</c:v>
                </c:pt>
                <c:pt idx="46">
                  <c:v>43152</c:v>
                </c:pt>
                <c:pt idx="47">
                  <c:v>43153</c:v>
                </c:pt>
                <c:pt idx="48">
                  <c:v>43154</c:v>
                </c:pt>
                <c:pt idx="49">
                  <c:v>43155</c:v>
                </c:pt>
                <c:pt idx="50">
                  <c:v>43156</c:v>
                </c:pt>
                <c:pt idx="51">
                  <c:v>43157</c:v>
                </c:pt>
                <c:pt idx="52">
                  <c:v>43158</c:v>
                </c:pt>
                <c:pt idx="53">
                  <c:v>43159</c:v>
                </c:pt>
                <c:pt idx="54">
                  <c:v>43160</c:v>
                </c:pt>
                <c:pt idx="55">
                  <c:v>43161</c:v>
                </c:pt>
                <c:pt idx="56">
                  <c:v>43162</c:v>
                </c:pt>
                <c:pt idx="57">
                  <c:v>43163</c:v>
                </c:pt>
                <c:pt idx="58">
                  <c:v>43164</c:v>
                </c:pt>
                <c:pt idx="59">
                  <c:v>43165</c:v>
                </c:pt>
                <c:pt idx="60">
                  <c:v>43166</c:v>
                </c:pt>
                <c:pt idx="61">
                  <c:v>43167</c:v>
                </c:pt>
                <c:pt idx="62">
                  <c:v>43168</c:v>
                </c:pt>
                <c:pt idx="63">
                  <c:v>43169</c:v>
                </c:pt>
                <c:pt idx="64">
                  <c:v>43170</c:v>
                </c:pt>
                <c:pt idx="65">
                  <c:v>43171</c:v>
                </c:pt>
                <c:pt idx="66">
                  <c:v>43172</c:v>
                </c:pt>
                <c:pt idx="67">
                  <c:v>43173</c:v>
                </c:pt>
                <c:pt idx="68">
                  <c:v>43174</c:v>
                </c:pt>
                <c:pt idx="69">
                  <c:v>43175</c:v>
                </c:pt>
                <c:pt idx="70">
                  <c:v>43176</c:v>
                </c:pt>
                <c:pt idx="71">
                  <c:v>43177</c:v>
                </c:pt>
                <c:pt idx="72">
                  <c:v>43178</c:v>
                </c:pt>
                <c:pt idx="73">
                  <c:v>43179</c:v>
                </c:pt>
                <c:pt idx="74">
                  <c:v>43180</c:v>
                </c:pt>
                <c:pt idx="75">
                  <c:v>43181</c:v>
                </c:pt>
                <c:pt idx="76">
                  <c:v>43182</c:v>
                </c:pt>
                <c:pt idx="77">
                  <c:v>43183</c:v>
                </c:pt>
                <c:pt idx="78">
                  <c:v>43184</c:v>
                </c:pt>
                <c:pt idx="79">
                  <c:v>43185</c:v>
                </c:pt>
                <c:pt idx="80">
                  <c:v>43186</c:v>
                </c:pt>
                <c:pt idx="81">
                  <c:v>43187</c:v>
                </c:pt>
                <c:pt idx="82">
                  <c:v>43188</c:v>
                </c:pt>
                <c:pt idx="83">
                  <c:v>43189</c:v>
                </c:pt>
                <c:pt idx="84">
                  <c:v>43191</c:v>
                </c:pt>
                <c:pt idx="85">
                  <c:v>43192</c:v>
                </c:pt>
                <c:pt idx="86">
                  <c:v>43193</c:v>
                </c:pt>
                <c:pt idx="87">
                  <c:v>43194</c:v>
                </c:pt>
                <c:pt idx="88">
                  <c:v>43195</c:v>
                </c:pt>
                <c:pt idx="89">
                  <c:v>43196</c:v>
                </c:pt>
                <c:pt idx="90">
                  <c:v>43197</c:v>
                </c:pt>
                <c:pt idx="91">
                  <c:v>43198</c:v>
                </c:pt>
                <c:pt idx="92">
                  <c:v>43199</c:v>
                </c:pt>
                <c:pt idx="93">
                  <c:v>43200</c:v>
                </c:pt>
                <c:pt idx="94">
                  <c:v>43201</c:v>
                </c:pt>
                <c:pt idx="95">
                  <c:v>43202</c:v>
                </c:pt>
                <c:pt idx="96">
                  <c:v>43203</c:v>
                </c:pt>
                <c:pt idx="97">
                  <c:v>43204</c:v>
                </c:pt>
                <c:pt idx="98">
                  <c:v>43205</c:v>
                </c:pt>
                <c:pt idx="99">
                  <c:v>43206</c:v>
                </c:pt>
                <c:pt idx="100">
                  <c:v>43207</c:v>
                </c:pt>
                <c:pt idx="101">
                  <c:v>43208</c:v>
                </c:pt>
                <c:pt idx="102">
                  <c:v>43209</c:v>
                </c:pt>
                <c:pt idx="103">
                  <c:v>43210</c:v>
                </c:pt>
                <c:pt idx="104">
                  <c:v>43211</c:v>
                </c:pt>
                <c:pt idx="105">
                  <c:v>43212</c:v>
                </c:pt>
                <c:pt idx="106">
                  <c:v>43213</c:v>
                </c:pt>
                <c:pt idx="107">
                  <c:v>43214</c:v>
                </c:pt>
                <c:pt idx="108">
                  <c:v>43215</c:v>
                </c:pt>
                <c:pt idx="109">
                  <c:v>43216</c:v>
                </c:pt>
                <c:pt idx="110">
                  <c:v>43217</c:v>
                </c:pt>
                <c:pt idx="111">
                  <c:v>43218</c:v>
                </c:pt>
                <c:pt idx="112">
                  <c:v>43219</c:v>
                </c:pt>
              </c:numCache>
            </c:numRef>
          </c:xVal>
          <c:yVal>
            <c:numRef>
              <c:f>'RC Chart Data'!$J$7:$J$119</c:f>
              <c:numCache>
                <c:formatCode>0</c:formatCode>
                <c:ptCount val="11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38.25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38.25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55.259245742400026</c:v>
                </c:pt>
                <c:pt idx="56">
                  <c:v>#N/A</c:v>
                </c:pt>
                <c:pt idx="57">
                  <c:v>77.106502938628864</c:v>
                </c:pt>
                <c:pt idx="58">
                  <c:v>#N/A</c:v>
                </c:pt>
                <c:pt idx="59">
                  <c:v>80.56518969595831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90.51599148480004</c:v>
                </c:pt>
                <c:pt idx="68">
                  <c:v>#N/A</c:v>
                </c:pt>
                <c:pt idx="69">
                  <c:v>#N/A</c:v>
                </c:pt>
                <c:pt idx="70">
                  <c:v>124.54826206356827</c:v>
                </c:pt>
                <c:pt idx="71">
                  <c:v>#N/A</c:v>
                </c:pt>
                <c:pt idx="72">
                  <c:v>115.04147098357274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105.77023722720006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131.92555722635953</c:v>
                </c:pt>
                <c:pt idx="82">
                  <c:v>#N/A</c:v>
                </c:pt>
                <c:pt idx="83">
                  <c:v>137.87811629646592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134.2078112952282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130.30474148731108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31D-4DE2-BB3A-CE8508EB2F33}"/>
            </c:ext>
          </c:extLst>
        </c:ser>
        <c:ser>
          <c:idx val="8"/>
          <c:order val="8"/>
          <c:tx>
            <c:strRef>
              <c:f>'RC Chart Data'!$K$6</c:f>
              <c:strCache>
                <c:ptCount val="1"/>
                <c:pt idx="0">
                  <c:v>Oz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rgbClr val="00B050"/>
              </a:solidFill>
              <a:ln w="9525">
                <a:noFill/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'RC Chart Data'!$A$7:$A$119</c:f>
              <c:numCache>
                <c:formatCode>m/d/yyyy</c:formatCode>
                <c:ptCount val="113"/>
                <c:pt idx="0">
                  <c:v>43106</c:v>
                </c:pt>
                <c:pt idx="1">
                  <c:v>43107</c:v>
                </c:pt>
                <c:pt idx="2">
                  <c:v>43108</c:v>
                </c:pt>
                <c:pt idx="3">
                  <c:v>43109</c:v>
                </c:pt>
                <c:pt idx="4">
                  <c:v>43110</c:v>
                </c:pt>
                <c:pt idx="5">
                  <c:v>43111</c:v>
                </c:pt>
                <c:pt idx="6">
                  <c:v>43112</c:v>
                </c:pt>
                <c:pt idx="7">
                  <c:v>43113</c:v>
                </c:pt>
                <c:pt idx="8">
                  <c:v>43114</c:v>
                </c:pt>
                <c:pt idx="9">
                  <c:v>43115</c:v>
                </c:pt>
                <c:pt idx="10">
                  <c:v>43116</c:v>
                </c:pt>
                <c:pt idx="11">
                  <c:v>43117</c:v>
                </c:pt>
                <c:pt idx="12">
                  <c:v>43118</c:v>
                </c:pt>
                <c:pt idx="13">
                  <c:v>43119</c:v>
                </c:pt>
                <c:pt idx="14">
                  <c:v>43120</c:v>
                </c:pt>
                <c:pt idx="15">
                  <c:v>43121</c:v>
                </c:pt>
                <c:pt idx="16">
                  <c:v>43122</c:v>
                </c:pt>
                <c:pt idx="17">
                  <c:v>43123</c:v>
                </c:pt>
                <c:pt idx="18">
                  <c:v>43124</c:v>
                </c:pt>
                <c:pt idx="19">
                  <c:v>43125</c:v>
                </c:pt>
                <c:pt idx="20">
                  <c:v>43126</c:v>
                </c:pt>
                <c:pt idx="21">
                  <c:v>43127</c:v>
                </c:pt>
                <c:pt idx="22">
                  <c:v>43128</c:v>
                </c:pt>
                <c:pt idx="23">
                  <c:v>43129</c:v>
                </c:pt>
                <c:pt idx="24">
                  <c:v>43130</c:v>
                </c:pt>
                <c:pt idx="25">
                  <c:v>43131</c:v>
                </c:pt>
                <c:pt idx="26">
                  <c:v>43132</c:v>
                </c:pt>
                <c:pt idx="27">
                  <c:v>43133</c:v>
                </c:pt>
                <c:pt idx="28">
                  <c:v>43134</c:v>
                </c:pt>
                <c:pt idx="29">
                  <c:v>43135</c:v>
                </c:pt>
                <c:pt idx="30">
                  <c:v>43136</c:v>
                </c:pt>
                <c:pt idx="31">
                  <c:v>43137</c:v>
                </c:pt>
                <c:pt idx="32">
                  <c:v>43138</c:v>
                </c:pt>
                <c:pt idx="33">
                  <c:v>43139</c:v>
                </c:pt>
                <c:pt idx="34">
                  <c:v>43140</c:v>
                </c:pt>
                <c:pt idx="35">
                  <c:v>43141</c:v>
                </c:pt>
                <c:pt idx="36">
                  <c:v>43142</c:v>
                </c:pt>
                <c:pt idx="37">
                  <c:v>43143</c:v>
                </c:pt>
                <c:pt idx="38">
                  <c:v>43144</c:v>
                </c:pt>
                <c:pt idx="39">
                  <c:v>43145</c:v>
                </c:pt>
                <c:pt idx="40">
                  <c:v>43146</c:v>
                </c:pt>
                <c:pt idx="41">
                  <c:v>43147</c:v>
                </c:pt>
                <c:pt idx="42">
                  <c:v>43148</c:v>
                </c:pt>
                <c:pt idx="43">
                  <c:v>43149</c:v>
                </c:pt>
                <c:pt idx="44">
                  <c:v>43150</c:v>
                </c:pt>
                <c:pt idx="45">
                  <c:v>43151</c:v>
                </c:pt>
                <c:pt idx="46">
                  <c:v>43152</c:v>
                </c:pt>
                <c:pt idx="47">
                  <c:v>43153</c:v>
                </c:pt>
                <c:pt idx="48">
                  <c:v>43154</c:v>
                </c:pt>
                <c:pt idx="49">
                  <c:v>43155</c:v>
                </c:pt>
                <c:pt idx="50">
                  <c:v>43156</c:v>
                </c:pt>
                <c:pt idx="51">
                  <c:v>43157</c:v>
                </c:pt>
                <c:pt idx="52">
                  <c:v>43158</c:v>
                </c:pt>
                <c:pt idx="53">
                  <c:v>43159</c:v>
                </c:pt>
                <c:pt idx="54">
                  <c:v>43160</c:v>
                </c:pt>
                <c:pt idx="55">
                  <c:v>43161</c:v>
                </c:pt>
                <c:pt idx="56">
                  <c:v>43162</c:v>
                </c:pt>
                <c:pt idx="57">
                  <c:v>43163</c:v>
                </c:pt>
                <c:pt idx="58">
                  <c:v>43164</c:v>
                </c:pt>
                <c:pt idx="59">
                  <c:v>43165</c:v>
                </c:pt>
                <c:pt idx="60">
                  <c:v>43166</c:v>
                </c:pt>
                <c:pt idx="61">
                  <c:v>43167</c:v>
                </c:pt>
                <c:pt idx="62">
                  <c:v>43168</c:v>
                </c:pt>
                <c:pt idx="63">
                  <c:v>43169</c:v>
                </c:pt>
                <c:pt idx="64">
                  <c:v>43170</c:v>
                </c:pt>
                <c:pt idx="65">
                  <c:v>43171</c:v>
                </c:pt>
                <c:pt idx="66">
                  <c:v>43172</c:v>
                </c:pt>
                <c:pt idx="67">
                  <c:v>43173</c:v>
                </c:pt>
                <c:pt idx="68">
                  <c:v>43174</c:v>
                </c:pt>
                <c:pt idx="69">
                  <c:v>43175</c:v>
                </c:pt>
                <c:pt idx="70">
                  <c:v>43176</c:v>
                </c:pt>
                <c:pt idx="71">
                  <c:v>43177</c:v>
                </c:pt>
                <c:pt idx="72">
                  <c:v>43178</c:v>
                </c:pt>
                <c:pt idx="73">
                  <c:v>43179</c:v>
                </c:pt>
                <c:pt idx="74">
                  <c:v>43180</c:v>
                </c:pt>
                <c:pt idx="75">
                  <c:v>43181</c:v>
                </c:pt>
                <c:pt idx="76">
                  <c:v>43182</c:v>
                </c:pt>
                <c:pt idx="77">
                  <c:v>43183</c:v>
                </c:pt>
                <c:pt idx="78">
                  <c:v>43184</c:v>
                </c:pt>
                <c:pt idx="79">
                  <c:v>43185</c:v>
                </c:pt>
                <c:pt idx="80">
                  <c:v>43186</c:v>
                </c:pt>
                <c:pt idx="81">
                  <c:v>43187</c:v>
                </c:pt>
                <c:pt idx="82">
                  <c:v>43188</c:v>
                </c:pt>
                <c:pt idx="83">
                  <c:v>43189</c:v>
                </c:pt>
                <c:pt idx="84">
                  <c:v>43191</c:v>
                </c:pt>
                <c:pt idx="85">
                  <c:v>43192</c:v>
                </c:pt>
                <c:pt idx="86">
                  <c:v>43193</c:v>
                </c:pt>
                <c:pt idx="87">
                  <c:v>43194</c:v>
                </c:pt>
                <c:pt idx="88">
                  <c:v>43195</c:v>
                </c:pt>
                <c:pt idx="89">
                  <c:v>43196</c:v>
                </c:pt>
                <c:pt idx="90">
                  <c:v>43197</c:v>
                </c:pt>
                <c:pt idx="91">
                  <c:v>43198</c:v>
                </c:pt>
                <c:pt idx="92">
                  <c:v>43199</c:v>
                </c:pt>
                <c:pt idx="93">
                  <c:v>43200</c:v>
                </c:pt>
                <c:pt idx="94">
                  <c:v>43201</c:v>
                </c:pt>
                <c:pt idx="95">
                  <c:v>43202</c:v>
                </c:pt>
                <c:pt idx="96">
                  <c:v>43203</c:v>
                </c:pt>
                <c:pt idx="97">
                  <c:v>43204</c:v>
                </c:pt>
                <c:pt idx="98">
                  <c:v>43205</c:v>
                </c:pt>
                <c:pt idx="99">
                  <c:v>43206</c:v>
                </c:pt>
                <c:pt idx="100">
                  <c:v>43207</c:v>
                </c:pt>
                <c:pt idx="101">
                  <c:v>43208</c:v>
                </c:pt>
                <c:pt idx="102">
                  <c:v>43209</c:v>
                </c:pt>
                <c:pt idx="103">
                  <c:v>43210</c:v>
                </c:pt>
                <c:pt idx="104">
                  <c:v>43211</c:v>
                </c:pt>
                <c:pt idx="105">
                  <c:v>43212</c:v>
                </c:pt>
                <c:pt idx="106">
                  <c:v>43213</c:v>
                </c:pt>
                <c:pt idx="107">
                  <c:v>43214</c:v>
                </c:pt>
                <c:pt idx="108">
                  <c:v>43215</c:v>
                </c:pt>
                <c:pt idx="109">
                  <c:v>43216</c:v>
                </c:pt>
                <c:pt idx="110">
                  <c:v>43217</c:v>
                </c:pt>
                <c:pt idx="111">
                  <c:v>43218</c:v>
                </c:pt>
                <c:pt idx="112">
                  <c:v>43219</c:v>
                </c:pt>
              </c:numCache>
            </c:numRef>
          </c:xVal>
          <c:yVal>
            <c:numRef>
              <c:f>'RC Chart Data'!$K$7:$K$119</c:f>
              <c:numCache>
                <c:formatCode>0</c:formatCode>
                <c:ptCount val="11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124.54826206356827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124.16339586188211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137.64110250158083</c:v>
                </c:pt>
                <c:pt idx="60">
                  <c:v>#N/A</c:v>
                </c:pt>
                <c:pt idx="61">
                  <c:v>#N/A</c:v>
                </c:pt>
                <c:pt idx="62">
                  <c:v>138.38116333173295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331D-4DE2-BB3A-CE8508EB2F33}"/>
            </c:ext>
          </c:extLst>
        </c:ser>
        <c:ser>
          <c:idx val="9"/>
          <c:order val="9"/>
          <c:tx>
            <c:strRef>
              <c:f>'RC Chart Data'!$L$6</c:f>
              <c:strCache>
                <c:ptCount val="1"/>
                <c:pt idx="0">
                  <c:v>Benjie</c:v>
                </c:pt>
              </c:strCache>
              <c:extLst xmlns:c15="http://schemas.microsoft.com/office/drawing/2012/chart"/>
            </c:strRef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4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'RC Chart Data'!$A$7:$A$119</c:f>
              <c:numCache>
                <c:formatCode>m/d/yyyy</c:formatCode>
                <c:ptCount val="113"/>
                <c:pt idx="0">
                  <c:v>43106</c:v>
                </c:pt>
                <c:pt idx="1">
                  <c:v>43107</c:v>
                </c:pt>
                <c:pt idx="2">
                  <c:v>43108</c:v>
                </c:pt>
                <c:pt idx="3">
                  <c:v>43109</c:v>
                </c:pt>
                <c:pt idx="4">
                  <c:v>43110</c:v>
                </c:pt>
                <c:pt idx="5">
                  <c:v>43111</c:v>
                </c:pt>
                <c:pt idx="6">
                  <c:v>43112</c:v>
                </c:pt>
                <c:pt idx="7">
                  <c:v>43113</c:v>
                </c:pt>
                <c:pt idx="8">
                  <c:v>43114</c:v>
                </c:pt>
                <c:pt idx="9">
                  <c:v>43115</c:v>
                </c:pt>
                <c:pt idx="10">
                  <c:v>43116</c:v>
                </c:pt>
                <c:pt idx="11">
                  <c:v>43117</c:v>
                </c:pt>
                <c:pt idx="12">
                  <c:v>43118</c:v>
                </c:pt>
                <c:pt idx="13">
                  <c:v>43119</c:v>
                </c:pt>
                <c:pt idx="14">
                  <c:v>43120</c:v>
                </c:pt>
                <c:pt idx="15">
                  <c:v>43121</c:v>
                </c:pt>
                <c:pt idx="16">
                  <c:v>43122</c:v>
                </c:pt>
                <c:pt idx="17">
                  <c:v>43123</c:v>
                </c:pt>
                <c:pt idx="18">
                  <c:v>43124</c:v>
                </c:pt>
                <c:pt idx="19">
                  <c:v>43125</c:v>
                </c:pt>
                <c:pt idx="20">
                  <c:v>43126</c:v>
                </c:pt>
                <c:pt idx="21">
                  <c:v>43127</c:v>
                </c:pt>
                <c:pt idx="22">
                  <c:v>43128</c:v>
                </c:pt>
                <c:pt idx="23">
                  <c:v>43129</c:v>
                </c:pt>
                <c:pt idx="24">
                  <c:v>43130</c:v>
                </c:pt>
                <c:pt idx="25">
                  <c:v>43131</c:v>
                </c:pt>
                <c:pt idx="26">
                  <c:v>43132</c:v>
                </c:pt>
                <c:pt idx="27">
                  <c:v>43133</c:v>
                </c:pt>
                <c:pt idx="28">
                  <c:v>43134</c:v>
                </c:pt>
                <c:pt idx="29">
                  <c:v>43135</c:v>
                </c:pt>
                <c:pt idx="30">
                  <c:v>43136</c:v>
                </c:pt>
                <c:pt idx="31">
                  <c:v>43137</c:v>
                </c:pt>
                <c:pt idx="32">
                  <c:v>43138</c:v>
                </c:pt>
                <c:pt idx="33">
                  <c:v>43139</c:v>
                </c:pt>
                <c:pt idx="34">
                  <c:v>43140</c:v>
                </c:pt>
                <c:pt idx="35">
                  <c:v>43141</c:v>
                </c:pt>
                <c:pt idx="36">
                  <c:v>43142</c:v>
                </c:pt>
                <c:pt idx="37">
                  <c:v>43143</c:v>
                </c:pt>
                <c:pt idx="38">
                  <c:v>43144</c:v>
                </c:pt>
                <c:pt idx="39">
                  <c:v>43145</c:v>
                </c:pt>
                <c:pt idx="40">
                  <c:v>43146</c:v>
                </c:pt>
                <c:pt idx="41">
                  <c:v>43147</c:v>
                </c:pt>
                <c:pt idx="42">
                  <c:v>43148</c:v>
                </c:pt>
                <c:pt idx="43">
                  <c:v>43149</c:v>
                </c:pt>
                <c:pt idx="44">
                  <c:v>43150</c:v>
                </c:pt>
                <c:pt idx="45">
                  <c:v>43151</c:v>
                </c:pt>
                <c:pt idx="46">
                  <c:v>43152</c:v>
                </c:pt>
                <c:pt idx="47">
                  <c:v>43153</c:v>
                </c:pt>
                <c:pt idx="48">
                  <c:v>43154</c:v>
                </c:pt>
                <c:pt idx="49">
                  <c:v>43155</c:v>
                </c:pt>
                <c:pt idx="50">
                  <c:v>43156</c:v>
                </c:pt>
                <c:pt idx="51">
                  <c:v>43157</c:v>
                </c:pt>
                <c:pt idx="52">
                  <c:v>43158</c:v>
                </c:pt>
                <c:pt idx="53">
                  <c:v>43159</c:v>
                </c:pt>
                <c:pt idx="54">
                  <c:v>43160</c:v>
                </c:pt>
                <c:pt idx="55">
                  <c:v>43161</c:v>
                </c:pt>
                <c:pt idx="56">
                  <c:v>43162</c:v>
                </c:pt>
                <c:pt idx="57">
                  <c:v>43163</c:v>
                </c:pt>
                <c:pt idx="58">
                  <c:v>43164</c:v>
                </c:pt>
                <c:pt idx="59">
                  <c:v>43165</c:v>
                </c:pt>
                <c:pt idx="60">
                  <c:v>43166</c:v>
                </c:pt>
                <c:pt idx="61">
                  <c:v>43167</c:v>
                </c:pt>
                <c:pt idx="62">
                  <c:v>43168</c:v>
                </c:pt>
                <c:pt idx="63">
                  <c:v>43169</c:v>
                </c:pt>
                <c:pt idx="64">
                  <c:v>43170</c:v>
                </c:pt>
                <c:pt idx="65">
                  <c:v>43171</c:v>
                </c:pt>
                <c:pt idx="66">
                  <c:v>43172</c:v>
                </c:pt>
                <c:pt idx="67">
                  <c:v>43173</c:v>
                </c:pt>
                <c:pt idx="68">
                  <c:v>43174</c:v>
                </c:pt>
                <c:pt idx="69">
                  <c:v>43175</c:v>
                </c:pt>
                <c:pt idx="70">
                  <c:v>43176</c:v>
                </c:pt>
                <c:pt idx="71">
                  <c:v>43177</c:v>
                </c:pt>
                <c:pt idx="72">
                  <c:v>43178</c:v>
                </c:pt>
                <c:pt idx="73">
                  <c:v>43179</c:v>
                </c:pt>
                <c:pt idx="74">
                  <c:v>43180</c:v>
                </c:pt>
                <c:pt idx="75">
                  <c:v>43181</c:v>
                </c:pt>
                <c:pt idx="76">
                  <c:v>43182</c:v>
                </c:pt>
                <c:pt idx="77">
                  <c:v>43183</c:v>
                </c:pt>
                <c:pt idx="78">
                  <c:v>43184</c:v>
                </c:pt>
                <c:pt idx="79">
                  <c:v>43185</c:v>
                </c:pt>
                <c:pt idx="80">
                  <c:v>43186</c:v>
                </c:pt>
                <c:pt idx="81">
                  <c:v>43187</c:v>
                </c:pt>
                <c:pt idx="82">
                  <c:v>43188</c:v>
                </c:pt>
                <c:pt idx="83">
                  <c:v>43189</c:v>
                </c:pt>
                <c:pt idx="84">
                  <c:v>43191</c:v>
                </c:pt>
                <c:pt idx="85">
                  <c:v>43192</c:v>
                </c:pt>
                <c:pt idx="86">
                  <c:v>43193</c:v>
                </c:pt>
                <c:pt idx="87">
                  <c:v>43194</c:v>
                </c:pt>
                <c:pt idx="88">
                  <c:v>43195</c:v>
                </c:pt>
                <c:pt idx="89">
                  <c:v>43196</c:v>
                </c:pt>
                <c:pt idx="90">
                  <c:v>43197</c:v>
                </c:pt>
                <c:pt idx="91">
                  <c:v>43198</c:v>
                </c:pt>
                <c:pt idx="92">
                  <c:v>43199</c:v>
                </c:pt>
                <c:pt idx="93">
                  <c:v>43200</c:v>
                </c:pt>
                <c:pt idx="94">
                  <c:v>43201</c:v>
                </c:pt>
                <c:pt idx="95">
                  <c:v>43202</c:v>
                </c:pt>
                <c:pt idx="96">
                  <c:v>43203</c:v>
                </c:pt>
                <c:pt idx="97">
                  <c:v>43204</c:v>
                </c:pt>
                <c:pt idx="98">
                  <c:v>43205</c:v>
                </c:pt>
                <c:pt idx="99">
                  <c:v>43206</c:v>
                </c:pt>
                <c:pt idx="100">
                  <c:v>43207</c:v>
                </c:pt>
                <c:pt idx="101">
                  <c:v>43208</c:v>
                </c:pt>
                <c:pt idx="102">
                  <c:v>43209</c:v>
                </c:pt>
                <c:pt idx="103">
                  <c:v>43210</c:v>
                </c:pt>
                <c:pt idx="104">
                  <c:v>43211</c:v>
                </c:pt>
                <c:pt idx="105">
                  <c:v>43212</c:v>
                </c:pt>
                <c:pt idx="106">
                  <c:v>43213</c:v>
                </c:pt>
                <c:pt idx="107">
                  <c:v>43214</c:v>
                </c:pt>
                <c:pt idx="108">
                  <c:v>43215</c:v>
                </c:pt>
                <c:pt idx="109">
                  <c:v>43216</c:v>
                </c:pt>
                <c:pt idx="110">
                  <c:v>43217</c:v>
                </c:pt>
                <c:pt idx="111">
                  <c:v>43218</c:v>
                </c:pt>
                <c:pt idx="112">
                  <c:v>43219</c:v>
                </c:pt>
              </c:numCache>
              <c:extLst xmlns:c15="http://schemas.microsoft.com/office/drawing/2012/chart"/>
            </c:numRef>
          </c:xVal>
          <c:yVal>
            <c:numRef>
              <c:f>'RC Chart Data'!$L$7:$L$119</c:f>
              <c:numCache>
                <c:formatCode>0</c:formatCode>
                <c:ptCount val="11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36.422990000000006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91.790661846932892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331D-4DE2-BB3A-CE8508EB2F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9691064"/>
        <c:axId val="489691720"/>
        <c:extLst>
          <c:ext xmlns:c15="http://schemas.microsoft.com/office/drawing/2012/chart" uri="{02D57815-91ED-43cb-92C2-25804820EDAC}">
            <c15:filteredScatterSeries>
              <c15:ser>
                <c:idx val="10"/>
                <c:order val="10"/>
                <c:tx>
                  <c:strRef>
                    <c:extLst>
                      <c:ext uri="{02D57815-91ED-43cb-92C2-25804820EDAC}">
                        <c15:formulaRef>
                          <c15:sqref>'RC Chart Data'!$M$6</c15:sqref>
                        </c15:formulaRef>
                      </c:ext>
                    </c:extLst>
                    <c:strCache>
                      <c:ptCount val="1"/>
                      <c:pt idx="0">
                        <c:v> </c:v>
                      </c:pt>
                    </c:strCache>
                  </c:strRef>
                </c:tx>
                <c:spPr>
                  <a:ln w="25400" cap="rnd">
                    <a:noFill/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circle"/>
                  <c:size val="6"/>
                  <c:spPr>
                    <a:gradFill rotWithShape="1">
                      <a:gsLst>
                        <a:gs pos="0">
                          <a:schemeClr val="accent5">
                            <a:lumMod val="60000"/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5">
                            <a:lumMod val="60000"/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5">
                            <a:lumMod val="60000"/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 w="9525">
                      <a:solidFill>
                        <a:schemeClr val="accent5">
                          <a:lumMod val="60000"/>
                        </a:schemeClr>
                      </a:solidFill>
                      <a:round/>
                    </a:ln>
                    <a:effectLst>
                      <a:outerShdw blurRad="57150" dist="19050" dir="5400000" algn="ctr" rotWithShape="0">
                        <a:srgbClr val="000000">
                          <a:alpha val="63000"/>
                        </a:srgbClr>
                      </a:outerShdw>
                    </a:effectLst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'RC Chart Data'!$A$7:$A$119</c15:sqref>
                        </c15:formulaRef>
                      </c:ext>
                    </c:extLst>
                    <c:numCache>
                      <c:formatCode>m/d/yyyy</c:formatCode>
                      <c:ptCount val="113"/>
                      <c:pt idx="0">
                        <c:v>43106</c:v>
                      </c:pt>
                      <c:pt idx="1">
                        <c:v>43107</c:v>
                      </c:pt>
                      <c:pt idx="2">
                        <c:v>43108</c:v>
                      </c:pt>
                      <c:pt idx="3">
                        <c:v>43109</c:v>
                      </c:pt>
                      <c:pt idx="4">
                        <c:v>43110</c:v>
                      </c:pt>
                      <c:pt idx="5">
                        <c:v>43111</c:v>
                      </c:pt>
                      <c:pt idx="6">
                        <c:v>43112</c:v>
                      </c:pt>
                      <c:pt idx="7">
                        <c:v>43113</c:v>
                      </c:pt>
                      <c:pt idx="8">
                        <c:v>43114</c:v>
                      </c:pt>
                      <c:pt idx="9">
                        <c:v>43115</c:v>
                      </c:pt>
                      <c:pt idx="10">
                        <c:v>43116</c:v>
                      </c:pt>
                      <c:pt idx="11">
                        <c:v>43117</c:v>
                      </c:pt>
                      <c:pt idx="12">
                        <c:v>43118</c:v>
                      </c:pt>
                      <c:pt idx="13">
                        <c:v>43119</c:v>
                      </c:pt>
                      <c:pt idx="14">
                        <c:v>43120</c:v>
                      </c:pt>
                      <c:pt idx="15">
                        <c:v>43121</c:v>
                      </c:pt>
                      <c:pt idx="16">
                        <c:v>43122</c:v>
                      </c:pt>
                      <c:pt idx="17">
                        <c:v>43123</c:v>
                      </c:pt>
                      <c:pt idx="18">
                        <c:v>43124</c:v>
                      </c:pt>
                      <c:pt idx="19">
                        <c:v>43125</c:v>
                      </c:pt>
                      <c:pt idx="20">
                        <c:v>43126</c:v>
                      </c:pt>
                      <c:pt idx="21">
                        <c:v>43127</c:v>
                      </c:pt>
                      <c:pt idx="22">
                        <c:v>43128</c:v>
                      </c:pt>
                      <c:pt idx="23">
                        <c:v>43129</c:v>
                      </c:pt>
                      <c:pt idx="24">
                        <c:v>43130</c:v>
                      </c:pt>
                      <c:pt idx="25">
                        <c:v>43131</c:v>
                      </c:pt>
                      <c:pt idx="26">
                        <c:v>43132</c:v>
                      </c:pt>
                      <c:pt idx="27">
                        <c:v>43133</c:v>
                      </c:pt>
                      <c:pt idx="28">
                        <c:v>43134</c:v>
                      </c:pt>
                      <c:pt idx="29">
                        <c:v>43135</c:v>
                      </c:pt>
                      <c:pt idx="30">
                        <c:v>43136</c:v>
                      </c:pt>
                      <c:pt idx="31">
                        <c:v>43137</c:v>
                      </c:pt>
                      <c:pt idx="32">
                        <c:v>43138</c:v>
                      </c:pt>
                      <c:pt idx="33">
                        <c:v>43139</c:v>
                      </c:pt>
                      <c:pt idx="34">
                        <c:v>43140</c:v>
                      </c:pt>
                      <c:pt idx="35">
                        <c:v>43141</c:v>
                      </c:pt>
                      <c:pt idx="36">
                        <c:v>43142</c:v>
                      </c:pt>
                      <c:pt idx="37">
                        <c:v>43143</c:v>
                      </c:pt>
                      <c:pt idx="38">
                        <c:v>43144</c:v>
                      </c:pt>
                      <c:pt idx="39">
                        <c:v>43145</c:v>
                      </c:pt>
                      <c:pt idx="40">
                        <c:v>43146</c:v>
                      </c:pt>
                      <c:pt idx="41">
                        <c:v>43147</c:v>
                      </c:pt>
                      <c:pt idx="42">
                        <c:v>43148</c:v>
                      </c:pt>
                      <c:pt idx="43">
                        <c:v>43149</c:v>
                      </c:pt>
                      <c:pt idx="44">
                        <c:v>43150</c:v>
                      </c:pt>
                      <c:pt idx="45">
                        <c:v>43151</c:v>
                      </c:pt>
                      <c:pt idx="46">
                        <c:v>43152</c:v>
                      </c:pt>
                      <c:pt idx="47">
                        <c:v>43153</c:v>
                      </c:pt>
                      <c:pt idx="48">
                        <c:v>43154</c:v>
                      </c:pt>
                      <c:pt idx="49">
                        <c:v>43155</c:v>
                      </c:pt>
                      <c:pt idx="50">
                        <c:v>43156</c:v>
                      </c:pt>
                      <c:pt idx="51">
                        <c:v>43157</c:v>
                      </c:pt>
                      <c:pt idx="52">
                        <c:v>43158</c:v>
                      </c:pt>
                      <c:pt idx="53">
                        <c:v>43159</c:v>
                      </c:pt>
                      <c:pt idx="54">
                        <c:v>43160</c:v>
                      </c:pt>
                      <c:pt idx="55">
                        <c:v>43161</c:v>
                      </c:pt>
                      <c:pt idx="56">
                        <c:v>43162</c:v>
                      </c:pt>
                      <c:pt idx="57">
                        <c:v>43163</c:v>
                      </c:pt>
                      <c:pt idx="58">
                        <c:v>43164</c:v>
                      </c:pt>
                      <c:pt idx="59">
                        <c:v>43165</c:v>
                      </c:pt>
                      <c:pt idx="60">
                        <c:v>43166</c:v>
                      </c:pt>
                      <c:pt idx="61">
                        <c:v>43167</c:v>
                      </c:pt>
                      <c:pt idx="62">
                        <c:v>43168</c:v>
                      </c:pt>
                      <c:pt idx="63">
                        <c:v>43169</c:v>
                      </c:pt>
                      <c:pt idx="64">
                        <c:v>43170</c:v>
                      </c:pt>
                      <c:pt idx="65">
                        <c:v>43171</c:v>
                      </c:pt>
                      <c:pt idx="66">
                        <c:v>43172</c:v>
                      </c:pt>
                      <c:pt idx="67">
                        <c:v>43173</c:v>
                      </c:pt>
                      <c:pt idx="68">
                        <c:v>43174</c:v>
                      </c:pt>
                      <c:pt idx="69">
                        <c:v>43175</c:v>
                      </c:pt>
                      <c:pt idx="70">
                        <c:v>43176</c:v>
                      </c:pt>
                      <c:pt idx="71">
                        <c:v>43177</c:v>
                      </c:pt>
                      <c:pt idx="72">
                        <c:v>43178</c:v>
                      </c:pt>
                      <c:pt idx="73">
                        <c:v>43179</c:v>
                      </c:pt>
                      <c:pt idx="74">
                        <c:v>43180</c:v>
                      </c:pt>
                      <c:pt idx="75">
                        <c:v>43181</c:v>
                      </c:pt>
                      <c:pt idx="76">
                        <c:v>43182</c:v>
                      </c:pt>
                      <c:pt idx="77">
                        <c:v>43183</c:v>
                      </c:pt>
                      <c:pt idx="78">
                        <c:v>43184</c:v>
                      </c:pt>
                      <c:pt idx="79">
                        <c:v>43185</c:v>
                      </c:pt>
                      <c:pt idx="80">
                        <c:v>43186</c:v>
                      </c:pt>
                      <c:pt idx="81">
                        <c:v>43187</c:v>
                      </c:pt>
                      <c:pt idx="82">
                        <c:v>43188</c:v>
                      </c:pt>
                      <c:pt idx="83">
                        <c:v>43189</c:v>
                      </c:pt>
                      <c:pt idx="84">
                        <c:v>43191</c:v>
                      </c:pt>
                      <c:pt idx="85">
                        <c:v>43192</c:v>
                      </c:pt>
                      <c:pt idx="86">
                        <c:v>43193</c:v>
                      </c:pt>
                      <c:pt idx="87">
                        <c:v>43194</c:v>
                      </c:pt>
                      <c:pt idx="88">
                        <c:v>43195</c:v>
                      </c:pt>
                      <c:pt idx="89">
                        <c:v>43196</c:v>
                      </c:pt>
                      <c:pt idx="90">
                        <c:v>43197</c:v>
                      </c:pt>
                      <c:pt idx="91">
                        <c:v>43198</c:v>
                      </c:pt>
                      <c:pt idx="92">
                        <c:v>43199</c:v>
                      </c:pt>
                      <c:pt idx="93">
                        <c:v>43200</c:v>
                      </c:pt>
                      <c:pt idx="94">
                        <c:v>43201</c:v>
                      </c:pt>
                      <c:pt idx="95">
                        <c:v>43202</c:v>
                      </c:pt>
                      <c:pt idx="96">
                        <c:v>43203</c:v>
                      </c:pt>
                      <c:pt idx="97">
                        <c:v>43204</c:v>
                      </c:pt>
                      <c:pt idx="98">
                        <c:v>43205</c:v>
                      </c:pt>
                      <c:pt idx="99">
                        <c:v>43206</c:v>
                      </c:pt>
                      <c:pt idx="100">
                        <c:v>43207</c:v>
                      </c:pt>
                      <c:pt idx="101">
                        <c:v>43208</c:v>
                      </c:pt>
                      <c:pt idx="102">
                        <c:v>43209</c:v>
                      </c:pt>
                      <c:pt idx="103">
                        <c:v>43210</c:v>
                      </c:pt>
                      <c:pt idx="104">
                        <c:v>43211</c:v>
                      </c:pt>
                      <c:pt idx="105">
                        <c:v>43212</c:v>
                      </c:pt>
                      <c:pt idx="106">
                        <c:v>43213</c:v>
                      </c:pt>
                      <c:pt idx="107">
                        <c:v>43214</c:v>
                      </c:pt>
                      <c:pt idx="108">
                        <c:v>43215</c:v>
                      </c:pt>
                      <c:pt idx="109">
                        <c:v>43216</c:v>
                      </c:pt>
                      <c:pt idx="110">
                        <c:v>43217</c:v>
                      </c:pt>
                      <c:pt idx="111">
                        <c:v>43218</c:v>
                      </c:pt>
                      <c:pt idx="112">
                        <c:v>43219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'RC Chart Data'!$M$7:$M$119</c15:sqref>
                        </c15:formulaRef>
                      </c:ext>
                    </c:extLst>
                    <c:numCache>
                      <c:formatCode>0</c:formatCode>
                      <c:ptCount val="11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  <c:pt idx="33">
                        <c:v>#N/A</c:v>
                      </c:pt>
                      <c:pt idx="34">
                        <c:v>#N/A</c:v>
                      </c:pt>
                      <c:pt idx="35">
                        <c:v>#N/A</c:v>
                      </c:pt>
                      <c:pt idx="36">
                        <c:v>#N/A</c:v>
                      </c:pt>
                      <c:pt idx="37">
                        <c:v>#N/A</c:v>
                      </c:pt>
                      <c:pt idx="38">
                        <c:v>#N/A</c:v>
                      </c:pt>
                      <c:pt idx="39">
                        <c:v>#N/A</c:v>
                      </c:pt>
                      <c:pt idx="40">
                        <c:v>#N/A</c:v>
                      </c:pt>
                      <c:pt idx="41">
                        <c:v>#N/A</c:v>
                      </c:pt>
                      <c:pt idx="42">
                        <c:v>#N/A</c:v>
                      </c:pt>
                      <c:pt idx="43">
                        <c:v>#N/A</c:v>
                      </c:pt>
                      <c:pt idx="44">
                        <c:v>#N/A</c:v>
                      </c:pt>
                      <c:pt idx="45">
                        <c:v>#N/A</c:v>
                      </c:pt>
                      <c:pt idx="46">
                        <c:v>#N/A</c:v>
                      </c:pt>
                      <c:pt idx="47">
                        <c:v>#N/A</c:v>
                      </c:pt>
                      <c:pt idx="48">
                        <c:v>#N/A</c:v>
                      </c:pt>
                      <c:pt idx="49">
                        <c:v>#N/A</c:v>
                      </c:pt>
                      <c:pt idx="50">
                        <c:v>#N/A</c:v>
                      </c:pt>
                      <c:pt idx="51">
                        <c:v>#N/A</c:v>
                      </c:pt>
                      <c:pt idx="52">
                        <c:v>#N/A</c:v>
                      </c:pt>
                      <c:pt idx="53">
                        <c:v>#N/A</c:v>
                      </c:pt>
                      <c:pt idx="54">
                        <c:v>#N/A</c:v>
                      </c:pt>
                      <c:pt idx="55">
                        <c:v>#N/A</c:v>
                      </c:pt>
                      <c:pt idx="56">
                        <c:v>#N/A</c:v>
                      </c:pt>
                      <c:pt idx="57">
                        <c:v>#N/A</c:v>
                      </c:pt>
                      <c:pt idx="58">
                        <c:v>#N/A</c:v>
                      </c:pt>
                      <c:pt idx="59">
                        <c:v>#N/A</c:v>
                      </c:pt>
                      <c:pt idx="60">
                        <c:v>#N/A</c:v>
                      </c:pt>
                      <c:pt idx="61">
                        <c:v>#N/A</c:v>
                      </c:pt>
                      <c:pt idx="62">
                        <c:v>#N/A</c:v>
                      </c:pt>
                      <c:pt idx="63">
                        <c:v>#N/A</c:v>
                      </c:pt>
                      <c:pt idx="64">
                        <c:v>#N/A</c:v>
                      </c:pt>
                      <c:pt idx="65">
                        <c:v>#N/A</c:v>
                      </c:pt>
                      <c:pt idx="66">
                        <c:v>#N/A</c:v>
                      </c:pt>
                      <c:pt idx="67">
                        <c:v>#N/A</c:v>
                      </c:pt>
                      <c:pt idx="68">
                        <c:v>#N/A</c:v>
                      </c:pt>
                      <c:pt idx="69">
                        <c:v>#N/A</c:v>
                      </c:pt>
                      <c:pt idx="70">
                        <c:v>#N/A</c:v>
                      </c:pt>
                      <c:pt idx="71">
                        <c:v>#N/A</c:v>
                      </c:pt>
                      <c:pt idx="72">
                        <c:v>#N/A</c:v>
                      </c:pt>
                      <c:pt idx="73">
                        <c:v>#N/A</c:v>
                      </c:pt>
                      <c:pt idx="74">
                        <c:v>#N/A</c:v>
                      </c:pt>
                      <c:pt idx="75">
                        <c:v>#N/A</c:v>
                      </c:pt>
                      <c:pt idx="76">
                        <c:v>#N/A</c:v>
                      </c:pt>
                      <c:pt idx="77">
                        <c:v>#N/A</c:v>
                      </c:pt>
                      <c:pt idx="78">
                        <c:v>#N/A</c:v>
                      </c:pt>
                      <c:pt idx="79">
                        <c:v>#N/A</c:v>
                      </c:pt>
                      <c:pt idx="80">
                        <c:v>#N/A</c:v>
                      </c:pt>
                      <c:pt idx="81">
                        <c:v>#N/A</c:v>
                      </c:pt>
                      <c:pt idx="82">
                        <c:v>#N/A</c:v>
                      </c:pt>
                      <c:pt idx="83">
                        <c:v>#N/A</c:v>
                      </c:pt>
                      <c:pt idx="84">
                        <c:v>#N/A</c:v>
                      </c:pt>
                      <c:pt idx="85">
                        <c:v>#N/A</c:v>
                      </c:pt>
                      <c:pt idx="86">
                        <c:v>#N/A</c:v>
                      </c:pt>
                      <c:pt idx="87">
                        <c:v>#N/A</c:v>
                      </c:pt>
                      <c:pt idx="88">
                        <c:v>#N/A</c:v>
                      </c:pt>
                      <c:pt idx="89">
                        <c:v>#N/A</c:v>
                      </c:pt>
                      <c:pt idx="90">
                        <c:v>#N/A</c:v>
                      </c:pt>
                      <c:pt idx="91">
                        <c:v>#N/A</c:v>
                      </c:pt>
                      <c:pt idx="92">
                        <c:v>#N/A</c:v>
                      </c:pt>
                      <c:pt idx="93">
                        <c:v>#N/A</c:v>
                      </c:pt>
                      <c:pt idx="94">
                        <c:v>#N/A</c:v>
                      </c:pt>
                      <c:pt idx="95">
                        <c:v>#N/A</c:v>
                      </c:pt>
                      <c:pt idx="96">
                        <c:v>#N/A</c:v>
                      </c:pt>
                      <c:pt idx="97">
                        <c:v>#N/A</c:v>
                      </c:pt>
                      <c:pt idx="98">
                        <c:v>#N/A</c:v>
                      </c:pt>
                      <c:pt idx="99">
                        <c:v>#N/A</c:v>
                      </c:pt>
                      <c:pt idx="100">
                        <c:v>#N/A</c:v>
                      </c:pt>
                      <c:pt idx="101">
                        <c:v>#N/A</c:v>
                      </c:pt>
                      <c:pt idx="102">
                        <c:v>#N/A</c:v>
                      </c:pt>
                      <c:pt idx="103">
                        <c:v>#N/A</c:v>
                      </c:pt>
                      <c:pt idx="104">
                        <c:v>#N/A</c:v>
                      </c:pt>
                      <c:pt idx="105">
                        <c:v>#N/A</c:v>
                      </c:pt>
                      <c:pt idx="106">
                        <c:v>#N/A</c:v>
                      </c:pt>
                      <c:pt idx="107">
                        <c:v>#N/A</c:v>
                      </c:pt>
                      <c:pt idx="108">
                        <c:v>#N/A</c:v>
                      </c:pt>
                      <c:pt idx="109">
                        <c:v>#N/A</c:v>
                      </c:pt>
                      <c:pt idx="110">
                        <c:v>#N/A</c:v>
                      </c:pt>
                      <c:pt idx="111">
                        <c:v>#N/A</c:v>
                      </c:pt>
                      <c:pt idx="112">
                        <c:v>#N/A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A-331D-4DE2-BB3A-CE8508EB2F33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'RC Chart Data'!$N$6</c15:sqref>
                        </c15:formulaRef>
                      </c:ext>
                    </c:extLst>
                    <c:strCache>
                      <c:ptCount val="1"/>
                      <c:pt idx="0">
                        <c:v>1</c:v>
                      </c:pt>
                    </c:strCache>
                  </c:strRef>
                </c:tx>
                <c:spPr>
                  <a:ln w="25400" cap="rnd">
                    <a:noFill/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circle"/>
                  <c:size val="6"/>
                  <c:spPr>
                    <a:gradFill rotWithShape="1">
                      <a:gsLst>
                        <a:gs pos="0">
                          <a:schemeClr val="accent6">
                            <a:lumMod val="60000"/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6">
                            <a:lumMod val="60000"/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6">
                            <a:lumMod val="60000"/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 w="9525">
                      <a:solidFill>
                        <a:schemeClr val="accent6">
                          <a:lumMod val="60000"/>
                        </a:schemeClr>
                      </a:solidFill>
                      <a:round/>
                    </a:ln>
                    <a:effectLst>
                      <a:outerShdw blurRad="57150" dist="19050" dir="5400000" algn="ctr" rotWithShape="0">
                        <a:srgbClr val="000000">
                          <a:alpha val="63000"/>
                        </a:srgbClr>
                      </a:outerShdw>
                    </a:effectLst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'RC Chart Data'!$A$7:$A$119</c15:sqref>
                        </c15:formulaRef>
                      </c:ext>
                    </c:extLst>
                    <c:numCache>
                      <c:formatCode>m/d/yyyy</c:formatCode>
                      <c:ptCount val="113"/>
                      <c:pt idx="0">
                        <c:v>43106</c:v>
                      </c:pt>
                      <c:pt idx="1">
                        <c:v>43107</c:v>
                      </c:pt>
                      <c:pt idx="2">
                        <c:v>43108</c:v>
                      </c:pt>
                      <c:pt idx="3">
                        <c:v>43109</c:v>
                      </c:pt>
                      <c:pt idx="4">
                        <c:v>43110</c:v>
                      </c:pt>
                      <c:pt idx="5">
                        <c:v>43111</c:v>
                      </c:pt>
                      <c:pt idx="6">
                        <c:v>43112</c:v>
                      </c:pt>
                      <c:pt idx="7">
                        <c:v>43113</c:v>
                      </c:pt>
                      <c:pt idx="8">
                        <c:v>43114</c:v>
                      </c:pt>
                      <c:pt idx="9">
                        <c:v>43115</c:v>
                      </c:pt>
                      <c:pt idx="10">
                        <c:v>43116</c:v>
                      </c:pt>
                      <c:pt idx="11">
                        <c:v>43117</c:v>
                      </c:pt>
                      <c:pt idx="12">
                        <c:v>43118</c:v>
                      </c:pt>
                      <c:pt idx="13">
                        <c:v>43119</c:v>
                      </c:pt>
                      <c:pt idx="14">
                        <c:v>43120</c:v>
                      </c:pt>
                      <c:pt idx="15">
                        <c:v>43121</c:v>
                      </c:pt>
                      <c:pt idx="16">
                        <c:v>43122</c:v>
                      </c:pt>
                      <c:pt idx="17">
                        <c:v>43123</c:v>
                      </c:pt>
                      <c:pt idx="18">
                        <c:v>43124</c:v>
                      </c:pt>
                      <c:pt idx="19">
                        <c:v>43125</c:v>
                      </c:pt>
                      <c:pt idx="20">
                        <c:v>43126</c:v>
                      </c:pt>
                      <c:pt idx="21">
                        <c:v>43127</c:v>
                      </c:pt>
                      <c:pt idx="22">
                        <c:v>43128</c:v>
                      </c:pt>
                      <c:pt idx="23">
                        <c:v>43129</c:v>
                      </c:pt>
                      <c:pt idx="24">
                        <c:v>43130</c:v>
                      </c:pt>
                      <c:pt idx="25">
                        <c:v>43131</c:v>
                      </c:pt>
                      <c:pt idx="26">
                        <c:v>43132</c:v>
                      </c:pt>
                      <c:pt idx="27">
                        <c:v>43133</c:v>
                      </c:pt>
                      <c:pt idx="28">
                        <c:v>43134</c:v>
                      </c:pt>
                      <c:pt idx="29">
                        <c:v>43135</c:v>
                      </c:pt>
                      <c:pt idx="30">
                        <c:v>43136</c:v>
                      </c:pt>
                      <c:pt idx="31">
                        <c:v>43137</c:v>
                      </c:pt>
                      <c:pt idx="32">
                        <c:v>43138</c:v>
                      </c:pt>
                      <c:pt idx="33">
                        <c:v>43139</c:v>
                      </c:pt>
                      <c:pt idx="34">
                        <c:v>43140</c:v>
                      </c:pt>
                      <c:pt idx="35">
                        <c:v>43141</c:v>
                      </c:pt>
                      <c:pt idx="36">
                        <c:v>43142</c:v>
                      </c:pt>
                      <c:pt idx="37">
                        <c:v>43143</c:v>
                      </c:pt>
                      <c:pt idx="38">
                        <c:v>43144</c:v>
                      </c:pt>
                      <c:pt idx="39">
                        <c:v>43145</c:v>
                      </c:pt>
                      <c:pt idx="40">
                        <c:v>43146</c:v>
                      </c:pt>
                      <c:pt idx="41">
                        <c:v>43147</c:v>
                      </c:pt>
                      <c:pt idx="42">
                        <c:v>43148</c:v>
                      </c:pt>
                      <c:pt idx="43">
                        <c:v>43149</c:v>
                      </c:pt>
                      <c:pt idx="44">
                        <c:v>43150</c:v>
                      </c:pt>
                      <c:pt idx="45">
                        <c:v>43151</c:v>
                      </c:pt>
                      <c:pt idx="46">
                        <c:v>43152</c:v>
                      </c:pt>
                      <c:pt idx="47">
                        <c:v>43153</c:v>
                      </c:pt>
                      <c:pt idx="48">
                        <c:v>43154</c:v>
                      </c:pt>
                      <c:pt idx="49">
                        <c:v>43155</c:v>
                      </c:pt>
                      <c:pt idx="50">
                        <c:v>43156</c:v>
                      </c:pt>
                      <c:pt idx="51">
                        <c:v>43157</c:v>
                      </c:pt>
                      <c:pt idx="52">
                        <c:v>43158</c:v>
                      </c:pt>
                      <c:pt idx="53">
                        <c:v>43159</c:v>
                      </c:pt>
                      <c:pt idx="54">
                        <c:v>43160</c:v>
                      </c:pt>
                      <c:pt idx="55">
                        <c:v>43161</c:v>
                      </c:pt>
                      <c:pt idx="56">
                        <c:v>43162</c:v>
                      </c:pt>
                      <c:pt idx="57">
                        <c:v>43163</c:v>
                      </c:pt>
                      <c:pt idx="58">
                        <c:v>43164</c:v>
                      </c:pt>
                      <c:pt idx="59">
                        <c:v>43165</c:v>
                      </c:pt>
                      <c:pt idx="60">
                        <c:v>43166</c:v>
                      </c:pt>
                      <c:pt idx="61">
                        <c:v>43167</c:v>
                      </c:pt>
                      <c:pt idx="62">
                        <c:v>43168</c:v>
                      </c:pt>
                      <c:pt idx="63">
                        <c:v>43169</c:v>
                      </c:pt>
                      <c:pt idx="64">
                        <c:v>43170</c:v>
                      </c:pt>
                      <c:pt idx="65">
                        <c:v>43171</c:v>
                      </c:pt>
                      <c:pt idx="66">
                        <c:v>43172</c:v>
                      </c:pt>
                      <c:pt idx="67">
                        <c:v>43173</c:v>
                      </c:pt>
                      <c:pt idx="68">
                        <c:v>43174</c:v>
                      </c:pt>
                      <c:pt idx="69">
                        <c:v>43175</c:v>
                      </c:pt>
                      <c:pt idx="70">
                        <c:v>43176</c:v>
                      </c:pt>
                      <c:pt idx="71">
                        <c:v>43177</c:v>
                      </c:pt>
                      <c:pt idx="72">
                        <c:v>43178</c:v>
                      </c:pt>
                      <c:pt idx="73">
                        <c:v>43179</c:v>
                      </c:pt>
                      <c:pt idx="74">
                        <c:v>43180</c:v>
                      </c:pt>
                      <c:pt idx="75">
                        <c:v>43181</c:v>
                      </c:pt>
                      <c:pt idx="76">
                        <c:v>43182</c:v>
                      </c:pt>
                      <c:pt idx="77">
                        <c:v>43183</c:v>
                      </c:pt>
                      <c:pt idx="78">
                        <c:v>43184</c:v>
                      </c:pt>
                      <c:pt idx="79">
                        <c:v>43185</c:v>
                      </c:pt>
                      <c:pt idx="80">
                        <c:v>43186</c:v>
                      </c:pt>
                      <c:pt idx="81">
                        <c:v>43187</c:v>
                      </c:pt>
                      <c:pt idx="82">
                        <c:v>43188</c:v>
                      </c:pt>
                      <c:pt idx="83">
                        <c:v>43189</c:v>
                      </c:pt>
                      <c:pt idx="84">
                        <c:v>43191</c:v>
                      </c:pt>
                      <c:pt idx="85">
                        <c:v>43192</c:v>
                      </c:pt>
                      <c:pt idx="86">
                        <c:v>43193</c:v>
                      </c:pt>
                      <c:pt idx="87">
                        <c:v>43194</c:v>
                      </c:pt>
                      <c:pt idx="88">
                        <c:v>43195</c:v>
                      </c:pt>
                      <c:pt idx="89">
                        <c:v>43196</c:v>
                      </c:pt>
                      <c:pt idx="90">
                        <c:v>43197</c:v>
                      </c:pt>
                      <c:pt idx="91">
                        <c:v>43198</c:v>
                      </c:pt>
                      <c:pt idx="92">
                        <c:v>43199</c:v>
                      </c:pt>
                      <c:pt idx="93">
                        <c:v>43200</c:v>
                      </c:pt>
                      <c:pt idx="94">
                        <c:v>43201</c:v>
                      </c:pt>
                      <c:pt idx="95">
                        <c:v>43202</c:v>
                      </c:pt>
                      <c:pt idx="96">
                        <c:v>43203</c:v>
                      </c:pt>
                      <c:pt idx="97">
                        <c:v>43204</c:v>
                      </c:pt>
                      <c:pt idx="98">
                        <c:v>43205</c:v>
                      </c:pt>
                      <c:pt idx="99">
                        <c:v>43206</c:v>
                      </c:pt>
                      <c:pt idx="100">
                        <c:v>43207</c:v>
                      </c:pt>
                      <c:pt idx="101">
                        <c:v>43208</c:v>
                      </c:pt>
                      <c:pt idx="102">
                        <c:v>43209</c:v>
                      </c:pt>
                      <c:pt idx="103">
                        <c:v>43210</c:v>
                      </c:pt>
                      <c:pt idx="104">
                        <c:v>43211</c:v>
                      </c:pt>
                      <c:pt idx="105">
                        <c:v>43212</c:v>
                      </c:pt>
                      <c:pt idx="106">
                        <c:v>43213</c:v>
                      </c:pt>
                      <c:pt idx="107">
                        <c:v>43214</c:v>
                      </c:pt>
                      <c:pt idx="108">
                        <c:v>43215</c:v>
                      </c:pt>
                      <c:pt idx="109">
                        <c:v>43216</c:v>
                      </c:pt>
                      <c:pt idx="110">
                        <c:v>43217</c:v>
                      </c:pt>
                      <c:pt idx="111">
                        <c:v>43218</c:v>
                      </c:pt>
                      <c:pt idx="112">
                        <c:v>43219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'RC Chart Data'!$N$7:$N$119</c15:sqref>
                        </c15:formulaRef>
                      </c:ext>
                    </c:extLst>
                    <c:numCache>
                      <c:formatCode>0</c:formatCode>
                      <c:ptCount val="11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  <c:pt idx="33">
                        <c:v>#N/A</c:v>
                      </c:pt>
                      <c:pt idx="34">
                        <c:v>#N/A</c:v>
                      </c:pt>
                      <c:pt idx="35">
                        <c:v>#N/A</c:v>
                      </c:pt>
                      <c:pt idx="36">
                        <c:v>#N/A</c:v>
                      </c:pt>
                      <c:pt idx="37">
                        <c:v>#N/A</c:v>
                      </c:pt>
                      <c:pt idx="38">
                        <c:v>#N/A</c:v>
                      </c:pt>
                      <c:pt idx="39">
                        <c:v>#N/A</c:v>
                      </c:pt>
                      <c:pt idx="40">
                        <c:v>#N/A</c:v>
                      </c:pt>
                      <c:pt idx="41">
                        <c:v>#N/A</c:v>
                      </c:pt>
                      <c:pt idx="42">
                        <c:v>#N/A</c:v>
                      </c:pt>
                      <c:pt idx="43">
                        <c:v>#N/A</c:v>
                      </c:pt>
                      <c:pt idx="44">
                        <c:v>#N/A</c:v>
                      </c:pt>
                      <c:pt idx="45">
                        <c:v>#N/A</c:v>
                      </c:pt>
                      <c:pt idx="46">
                        <c:v>#N/A</c:v>
                      </c:pt>
                      <c:pt idx="47">
                        <c:v>#N/A</c:v>
                      </c:pt>
                      <c:pt idx="48">
                        <c:v>#N/A</c:v>
                      </c:pt>
                      <c:pt idx="49">
                        <c:v>#N/A</c:v>
                      </c:pt>
                      <c:pt idx="50">
                        <c:v>#N/A</c:v>
                      </c:pt>
                      <c:pt idx="51">
                        <c:v>#N/A</c:v>
                      </c:pt>
                      <c:pt idx="52">
                        <c:v>#N/A</c:v>
                      </c:pt>
                      <c:pt idx="53">
                        <c:v>#N/A</c:v>
                      </c:pt>
                      <c:pt idx="54">
                        <c:v>#N/A</c:v>
                      </c:pt>
                      <c:pt idx="55">
                        <c:v>#N/A</c:v>
                      </c:pt>
                      <c:pt idx="56">
                        <c:v>#N/A</c:v>
                      </c:pt>
                      <c:pt idx="57">
                        <c:v>#N/A</c:v>
                      </c:pt>
                      <c:pt idx="58">
                        <c:v>#N/A</c:v>
                      </c:pt>
                      <c:pt idx="59">
                        <c:v>#N/A</c:v>
                      </c:pt>
                      <c:pt idx="60">
                        <c:v>#N/A</c:v>
                      </c:pt>
                      <c:pt idx="61">
                        <c:v>#N/A</c:v>
                      </c:pt>
                      <c:pt idx="62">
                        <c:v>#N/A</c:v>
                      </c:pt>
                      <c:pt idx="63">
                        <c:v>#N/A</c:v>
                      </c:pt>
                      <c:pt idx="64">
                        <c:v>#N/A</c:v>
                      </c:pt>
                      <c:pt idx="65">
                        <c:v>#N/A</c:v>
                      </c:pt>
                      <c:pt idx="66">
                        <c:v>#N/A</c:v>
                      </c:pt>
                      <c:pt idx="67">
                        <c:v>#N/A</c:v>
                      </c:pt>
                      <c:pt idx="68">
                        <c:v>#N/A</c:v>
                      </c:pt>
                      <c:pt idx="69">
                        <c:v>#N/A</c:v>
                      </c:pt>
                      <c:pt idx="70">
                        <c:v>#N/A</c:v>
                      </c:pt>
                      <c:pt idx="71">
                        <c:v>#N/A</c:v>
                      </c:pt>
                      <c:pt idx="72">
                        <c:v>#N/A</c:v>
                      </c:pt>
                      <c:pt idx="73">
                        <c:v>#N/A</c:v>
                      </c:pt>
                      <c:pt idx="74">
                        <c:v>#N/A</c:v>
                      </c:pt>
                      <c:pt idx="75">
                        <c:v>#N/A</c:v>
                      </c:pt>
                      <c:pt idx="76">
                        <c:v>#N/A</c:v>
                      </c:pt>
                      <c:pt idx="77">
                        <c:v>#N/A</c:v>
                      </c:pt>
                      <c:pt idx="78">
                        <c:v>#N/A</c:v>
                      </c:pt>
                      <c:pt idx="79">
                        <c:v>#N/A</c:v>
                      </c:pt>
                      <c:pt idx="80">
                        <c:v>#N/A</c:v>
                      </c:pt>
                      <c:pt idx="81">
                        <c:v>#N/A</c:v>
                      </c:pt>
                      <c:pt idx="82">
                        <c:v>#N/A</c:v>
                      </c:pt>
                      <c:pt idx="83">
                        <c:v>#N/A</c:v>
                      </c:pt>
                      <c:pt idx="84">
                        <c:v>#N/A</c:v>
                      </c:pt>
                      <c:pt idx="85">
                        <c:v>#N/A</c:v>
                      </c:pt>
                      <c:pt idx="86">
                        <c:v>#N/A</c:v>
                      </c:pt>
                      <c:pt idx="87">
                        <c:v>#N/A</c:v>
                      </c:pt>
                      <c:pt idx="88">
                        <c:v>#N/A</c:v>
                      </c:pt>
                      <c:pt idx="89">
                        <c:v>#N/A</c:v>
                      </c:pt>
                      <c:pt idx="90">
                        <c:v>#N/A</c:v>
                      </c:pt>
                      <c:pt idx="91">
                        <c:v>#N/A</c:v>
                      </c:pt>
                      <c:pt idx="92">
                        <c:v>#N/A</c:v>
                      </c:pt>
                      <c:pt idx="93">
                        <c:v>#N/A</c:v>
                      </c:pt>
                      <c:pt idx="94">
                        <c:v>#N/A</c:v>
                      </c:pt>
                      <c:pt idx="95">
                        <c:v>#N/A</c:v>
                      </c:pt>
                      <c:pt idx="96">
                        <c:v>#N/A</c:v>
                      </c:pt>
                      <c:pt idx="97">
                        <c:v>#N/A</c:v>
                      </c:pt>
                      <c:pt idx="98">
                        <c:v>#N/A</c:v>
                      </c:pt>
                      <c:pt idx="99">
                        <c:v>#N/A</c:v>
                      </c:pt>
                      <c:pt idx="100">
                        <c:v>#N/A</c:v>
                      </c:pt>
                      <c:pt idx="101">
                        <c:v>#N/A</c:v>
                      </c:pt>
                      <c:pt idx="102">
                        <c:v>#N/A</c:v>
                      </c:pt>
                      <c:pt idx="103">
                        <c:v>#N/A</c:v>
                      </c:pt>
                      <c:pt idx="104">
                        <c:v>#N/A</c:v>
                      </c:pt>
                      <c:pt idx="105">
                        <c:v>#N/A</c:v>
                      </c:pt>
                      <c:pt idx="106">
                        <c:v>#N/A</c:v>
                      </c:pt>
                      <c:pt idx="107">
                        <c:v>#N/A</c:v>
                      </c:pt>
                      <c:pt idx="108">
                        <c:v>#N/A</c:v>
                      </c:pt>
                      <c:pt idx="109">
                        <c:v>#N/A</c:v>
                      </c:pt>
                      <c:pt idx="110">
                        <c:v>#N/A</c:v>
                      </c:pt>
                      <c:pt idx="111">
                        <c:v>#N/A</c:v>
                      </c:pt>
                      <c:pt idx="11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331D-4DE2-BB3A-CE8508EB2F33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'RC Chart Data'!$O$6</c15:sqref>
                        </c15:formulaRef>
                      </c:ext>
                    </c:extLst>
                    <c:strCache>
                      <c:ptCount val="1"/>
                      <c:pt idx="0">
                        <c:v>2</c:v>
                      </c:pt>
                    </c:strCache>
                  </c:strRef>
                </c:tx>
                <c:spPr>
                  <a:ln w="25400" cap="rnd">
                    <a:noFill/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circle"/>
                  <c:size val="6"/>
                  <c:spPr>
                    <a:gradFill rotWithShape="1">
                      <a:gsLst>
                        <a:gs pos="0">
                          <a:schemeClr val="accent1">
                            <a:lumMod val="80000"/>
                            <a:lumOff val="20000"/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1">
                            <a:lumMod val="80000"/>
                            <a:lumOff val="20000"/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1">
                            <a:lumMod val="80000"/>
                            <a:lumOff val="20000"/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 w="9525">
                      <a:solidFill>
                        <a:schemeClr val="accent1">
                          <a:lumMod val="80000"/>
                          <a:lumOff val="20000"/>
                        </a:schemeClr>
                      </a:solidFill>
                      <a:round/>
                    </a:ln>
                    <a:effectLst>
                      <a:outerShdw blurRad="57150" dist="19050" dir="5400000" algn="ctr" rotWithShape="0">
                        <a:srgbClr val="000000">
                          <a:alpha val="63000"/>
                        </a:srgbClr>
                      </a:outerShdw>
                    </a:effectLst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'RC Chart Data'!$A$7:$A$119</c15:sqref>
                        </c15:formulaRef>
                      </c:ext>
                    </c:extLst>
                    <c:numCache>
                      <c:formatCode>m/d/yyyy</c:formatCode>
                      <c:ptCount val="113"/>
                      <c:pt idx="0">
                        <c:v>43106</c:v>
                      </c:pt>
                      <c:pt idx="1">
                        <c:v>43107</c:v>
                      </c:pt>
                      <c:pt idx="2">
                        <c:v>43108</c:v>
                      </c:pt>
                      <c:pt idx="3">
                        <c:v>43109</c:v>
                      </c:pt>
                      <c:pt idx="4">
                        <c:v>43110</c:v>
                      </c:pt>
                      <c:pt idx="5">
                        <c:v>43111</c:v>
                      </c:pt>
                      <c:pt idx="6">
                        <c:v>43112</c:v>
                      </c:pt>
                      <c:pt idx="7">
                        <c:v>43113</c:v>
                      </c:pt>
                      <c:pt idx="8">
                        <c:v>43114</c:v>
                      </c:pt>
                      <c:pt idx="9">
                        <c:v>43115</c:v>
                      </c:pt>
                      <c:pt idx="10">
                        <c:v>43116</c:v>
                      </c:pt>
                      <c:pt idx="11">
                        <c:v>43117</c:v>
                      </c:pt>
                      <c:pt idx="12">
                        <c:v>43118</c:v>
                      </c:pt>
                      <c:pt idx="13">
                        <c:v>43119</c:v>
                      </c:pt>
                      <c:pt idx="14">
                        <c:v>43120</c:v>
                      </c:pt>
                      <c:pt idx="15">
                        <c:v>43121</c:v>
                      </c:pt>
                      <c:pt idx="16">
                        <c:v>43122</c:v>
                      </c:pt>
                      <c:pt idx="17">
                        <c:v>43123</c:v>
                      </c:pt>
                      <c:pt idx="18">
                        <c:v>43124</c:v>
                      </c:pt>
                      <c:pt idx="19">
                        <c:v>43125</c:v>
                      </c:pt>
                      <c:pt idx="20">
                        <c:v>43126</c:v>
                      </c:pt>
                      <c:pt idx="21">
                        <c:v>43127</c:v>
                      </c:pt>
                      <c:pt idx="22">
                        <c:v>43128</c:v>
                      </c:pt>
                      <c:pt idx="23">
                        <c:v>43129</c:v>
                      </c:pt>
                      <c:pt idx="24">
                        <c:v>43130</c:v>
                      </c:pt>
                      <c:pt idx="25">
                        <c:v>43131</c:v>
                      </c:pt>
                      <c:pt idx="26">
                        <c:v>43132</c:v>
                      </c:pt>
                      <c:pt idx="27">
                        <c:v>43133</c:v>
                      </c:pt>
                      <c:pt idx="28">
                        <c:v>43134</c:v>
                      </c:pt>
                      <c:pt idx="29">
                        <c:v>43135</c:v>
                      </c:pt>
                      <c:pt idx="30">
                        <c:v>43136</c:v>
                      </c:pt>
                      <c:pt idx="31">
                        <c:v>43137</c:v>
                      </c:pt>
                      <c:pt idx="32">
                        <c:v>43138</c:v>
                      </c:pt>
                      <c:pt idx="33">
                        <c:v>43139</c:v>
                      </c:pt>
                      <c:pt idx="34">
                        <c:v>43140</c:v>
                      </c:pt>
                      <c:pt idx="35">
                        <c:v>43141</c:v>
                      </c:pt>
                      <c:pt idx="36">
                        <c:v>43142</c:v>
                      </c:pt>
                      <c:pt idx="37">
                        <c:v>43143</c:v>
                      </c:pt>
                      <c:pt idx="38">
                        <c:v>43144</c:v>
                      </c:pt>
                      <c:pt idx="39">
                        <c:v>43145</c:v>
                      </c:pt>
                      <c:pt idx="40">
                        <c:v>43146</c:v>
                      </c:pt>
                      <c:pt idx="41">
                        <c:v>43147</c:v>
                      </c:pt>
                      <c:pt idx="42">
                        <c:v>43148</c:v>
                      </c:pt>
                      <c:pt idx="43">
                        <c:v>43149</c:v>
                      </c:pt>
                      <c:pt idx="44">
                        <c:v>43150</c:v>
                      </c:pt>
                      <c:pt idx="45">
                        <c:v>43151</c:v>
                      </c:pt>
                      <c:pt idx="46">
                        <c:v>43152</c:v>
                      </c:pt>
                      <c:pt idx="47">
                        <c:v>43153</c:v>
                      </c:pt>
                      <c:pt idx="48">
                        <c:v>43154</c:v>
                      </c:pt>
                      <c:pt idx="49">
                        <c:v>43155</c:v>
                      </c:pt>
                      <c:pt idx="50">
                        <c:v>43156</c:v>
                      </c:pt>
                      <c:pt idx="51">
                        <c:v>43157</c:v>
                      </c:pt>
                      <c:pt idx="52">
                        <c:v>43158</c:v>
                      </c:pt>
                      <c:pt idx="53">
                        <c:v>43159</c:v>
                      </c:pt>
                      <c:pt idx="54">
                        <c:v>43160</c:v>
                      </c:pt>
                      <c:pt idx="55">
                        <c:v>43161</c:v>
                      </c:pt>
                      <c:pt idx="56">
                        <c:v>43162</c:v>
                      </c:pt>
                      <c:pt idx="57">
                        <c:v>43163</c:v>
                      </c:pt>
                      <c:pt idx="58">
                        <c:v>43164</c:v>
                      </c:pt>
                      <c:pt idx="59">
                        <c:v>43165</c:v>
                      </c:pt>
                      <c:pt idx="60">
                        <c:v>43166</c:v>
                      </c:pt>
                      <c:pt idx="61">
                        <c:v>43167</c:v>
                      </c:pt>
                      <c:pt idx="62">
                        <c:v>43168</c:v>
                      </c:pt>
                      <c:pt idx="63">
                        <c:v>43169</c:v>
                      </c:pt>
                      <c:pt idx="64">
                        <c:v>43170</c:v>
                      </c:pt>
                      <c:pt idx="65">
                        <c:v>43171</c:v>
                      </c:pt>
                      <c:pt idx="66">
                        <c:v>43172</c:v>
                      </c:pt>
                      <c:pt idx="67">
                        <c:v>43173</c:v>
                      </c:pt>
                      <c:pt idx="68">
                        <c:v>43174</c:v>
                      </c:pt>
                      <c:pt idx="69">
                        <c:v>43175</c:v>
                      </c:pt>
                      <c:pt idx="70">
                        <c:v>43176</c:v>
                      </c:pt>
                      <c:pt idx="71">
                        <c:v>43177</c:v>
                      </c:pt>
                      <c:pt idx="72">
                        <c:v>43178</c:v>
                      </c:pt>
                      <c:pt idx="73">
                        <c:v>43179</c:v>
                      </c:pt>
                      <c:pt idx="74">
                        <c:v>43180</c:v>
                      </c:pt>
                      <c:pt idx="75">
                        <c:v>43181</c:v>
                      </c:pt>
                      <c:pt idx="76">
                        <c:v>43182</c:v>
                      </c:pt>
                      <c:pt idx="77">
                        <c:v>43183</c:v>
                      </c:pt>
                      <c:pt idx="78">
                        <c:v>43184</c:v>
                      </c:pt>
                      <c:pt idx="79">
                        <c:v>43185</c:v>
                      </c:pt>
                      <c:pt idx="80">
                        <c:v>43186</c:v>
                      </c:pt>
                      <c:pt idx="81">
                        <c:v>43187</c:v>
                      </c:pt>
                      <c:pt idx="82">
                        <c:v>43188</c:v>
                      </c:pt>
                      <c:pt idx="83">
                        <c:v>43189</c:v>
                      </c:pt>
                      <c:pt idx="84">
                        <c:v>43191</c:v>
                      </c:pt>
                      <c:pt idx="85">
                        <c:v>43192</c:v>
                      </c:pt>
                      <c:pt idx="86">
                        <c:v>43193</c:v>
                      </c:pt>
                      <c:pt idx="87">
                        <c:v>43194</c:v>
                      </c:pt>
                      <c:pt idx="88">
                        <c:v>43195</c:v>
                      </c:pt>
                      <c:pt idx="89">
                        <c:v>43196</c:v>
                      </c:pt>
                      <c:pt idx="90">
                        <c:v>43197</c:v>
                      </c:pt>
                      <c:pt idx="91">
                        <c:v>43198</c:v>
                      </c:pt>
                      <c:pt idx="92">
                        <c:v>43199</c:v>
                      </c:pt>
                      <c:pt idx="93">
                        <c:v>43200</c:v>
                      </c:pt>
                      <c:pt idx="94">
                        <c:v>43201</c:v>
                      </c:pt>
                      <c:pt idx="95">
                        <c:v>43202</c:v>
                      </c:pt>
                      <c:pt idx="96">
                        <c:v>43203</c:v>
                      </c:pt>
                      <c:pt idx="97">
                        <c:v>43204</c:v>
                      </c:pt>
                      <c:pt idx="98">
                        <c:v>43205</c:v>
                      </c:pt>
                      <c:pt idx="99">
                        <c:v>43206</c:v>
                      </c:pt>
                      <c:pt idx="100">
                        <c:v>43207</c:v>
                      </c:pt>
                      <c:pt idx="101">
                        <c:v>43208</c:v>
                      </c:pt>
                      <c:pt idx="102">
                        <c:v>43209</c:v>
                      </c:pt>
                      <c:pt idx="103">
                        <c:v>43210</c:v>
                      </c:pt>
                      <c:pt idx="104">
                        <c:v>43211</c:v>
                      </c:pt>
                      <c:pt idx="105">
                        <c:v>43212</c:v>
                      </c:pt>
                      <c:pt idx="106">
                        <c:v>43213</c:v>
                      </c:pt>
                      <c:pt idx="107">
                        <c:v>43214</c:v>
                      </c:pt>
                      <c:pt idx="108">
                        <c:v>43215</c:v>
                      </c:pt>
                      <c:pt idx="109">
                        <c:v>43216</c:v>
                      </c:pt>
                      <c:pt idx="110">
                        <c:v>43217</c:v>
                      </c:pt>
                      <c:pt idx="111">
                        <c:v>43218</c:v>
                      </c:pt>
                      <c:pt idx="112">
                        <c:v>43219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'RC Chart Data'!$O$7:$O$119</c15:sqref>
                        </c15:formulaRef>
                      </c:ext>
                    </c:extLst>
                    <c:numCache>
                      <c:formatCode>0</c:formatCode>
                      <c:ptCount val="11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  <c:pt idx="33">
                        <c:v>#N/A</c:v>
                      </c:pt>
                      <c:pt idx="34">
                        <c:v>#N/A</c:v>
                      </c:pt>
                      <c:pt idx="35">
                        <c:v>#N/A</c:v>
                      </c:pt>
                      <c:pt idx="36">
                        <c:v>#N/A</c:v>
                      </c:pt>
                      <c:pt idx="37">
                        <c:v>#N/A</c:v>
                      </c:pt>
                      <c:pt idx="38">
                        <c:v>#N/A</c:v>
                      </c:pt>
                      <c:pt idx="39">
                        <c:v>#N/A</c:v>
                      </c:pt>
                      <c:pt idx="40">
                        <c:v>#N/A</c:v>
                      </c:pt>
                      <c:pt idx="41">
                        <c:v>#N/A</c:v>
                      </c:pt>
                      <c:pt idx="42">
                        <c:v>#N/A</c:v>
                      </c:pt>
                      <c:pt idx="43">
                        <c:v>#N/A</c:v>
                      </c:pt>
                      <c:pt idx="44">
                        <c:v>#N/A</c:v>
                      </c:pt>
                      <c:pt idx="45">
                        <c:v>#N/A</c:v>
                      </c:pt>
                      <c:pt idx="46">
                        <c:v>#N/A</c:v>
                      </c:pt>
                      <c:pt idx="47">
                        <c:v>#N/A</c:v>
                      </c:pt>
                      <c:pt idx="48">
                        <c:v>#N/A</c:v>
                      </c:pt>
                      <c:pt idx="49">
                        <c:v>#N/A</c:v>
                      </c:pt>
                      <c:pt idx="50">
                        <c:v>#N/A</c:v>
                      </c:pt>
                      <c:pt idx="51">
                        <c:v>#N/A</c:v>
                      </c:pt>
                      <c:pt idx="52">
                        <c:v>#N/A</c:v>
                      </c:pt>
                      <c:pt idx="53">
                        <c:v>#N/A</c:v>
                      </c:pt>
                      <c:pt idx="54">
                        <c:v>#N/A</c:v>
                      </c:pt>
                      <c:pt idx="55">
                        <c:v>#N/A</c:v>
                      </c:pt>
                      <c:pt idx="56">
                        <c:v>#N/A</c:v>
                      </c:pt>
                      <c:pt idx="57">
                        <c:v>#N/A</c:v>
                      </c:pt>
                      <c:pt idx="58">
                        <c:v>#N/A</c:v>
                      </c:pt>
                      <c:pt idx="59">
                        <c:v>#N/A</c:v>
                      </c:pt>
                      <c:pt idx="60">
                        <c:v>#N/A</c:v>
                      </c:pt>
                      <c:pt idx="61">
                        <c:v>#N/A</c:v>
                      </c:pt>
                      <c:pt idx="62">
                        <c:v>#N/A</c:v>
                      </c:pt>
                      <c:pt idx="63">
                        <c:v>#N/A</c:v>
                      </c:pt>
                      <c:pt idx="64">
                        <c:v>#N/A</c:v>
                      </c:pt>
                      <c:pt idx="65">
                        <c:v>#N/A</c:v>
                      </c:pt>
                      <c:pt idx="66">
                        <c:v>#N/A</c:v>
                      </c:pt>
                      <c:pt idx="67">
                        <c:v>#N/A</c:v>
                      </c:pt>
                      <c:pt idx="68">
                        <c:v>#N/A</c:v>
                      </c:pt>
                      <c:pt idx="69">
                        <c:v>#N/A</c:v>
                      </c:pt>
                      <c:pt idx="70">
                        <c:v>#N/A</c:v>
                      </c:pt>
                      <c:pt idx="71">
                        <c:v>#N/A</c:v>
                      </c:pt>
                      <c:pt idx="72">
                        <c:v>#N/A</c:v>
                      </c:pt>
                      <c:pt idx="73">
                        <c:v>#N/A</c:v>
                      </c:pt>
                      <c:pt idx="74">
                        <c:v>#N/A</c:v>
                      </c:pt>
                      <c:pt idx="75">
                        <c:v>#N/A</c:v>
                      </c:pt>
                      <c:pt idx="76">
                        <c:v>#N/A</c:v>
                      </c:pt>
                      <c:pt idx="77">
                        <c:v>#N/A</c:v>
                      </c:pt>
                      <c:pt idx="78">
                        <c:v>#N/A</c:v>
                      </c:pt>
                      <c:pt idx="79">
                        <c:v>#N/A</c:v>
                      </c:pt>
                      <c:pt idx="80">
                        <c:v>#N/A</c:v>
                      </c:pt>
                      <c:pt idx="81">
                        <c:v>#N/A</c:v>
                      </c:pt>
                      <c:pt idx="82">
                        <c:v>#N/A</c:v>
                      </c:pt>
                      <c:pt idx="83">
                        <c:v>#N/A</c:v>
                      </c:pt>
                      <c:pt idx="84">
                        <c:v>#N/A</c:v>
                      </c:pt>
                      <c:pt idx="85">
                        <c:v>#N/A</c:v>
                      </c:pt>
                      <c:pt idx="86">
                        <c:v>#N/A</c:v>
                      </c:pt>
                      <c:pt idx="87">
                        <c:v>#N/A</c:v>
                      </c:pt>
                      <c:pt idx="88">
                        <c:v>#N/A</c:v>
                      </c:pt>
                      <c:pt idx="89">
                        <c:v>#N/A</c:v>
                      </c:pt>
                      <c:pt idx="90">
                        <c:v>#N/A</c:v>
                      </c:pt>
                      <c:pt idx="91">
                        <c:v>#N/A</c:v>
                      </c:pt>
                      <c:pt idx="92">
                        <c:v>#N/A</c:v>
                      </c:pt>
                      <c:pt idx="93">
                        <c:v>#N/A</c:v>
                      </c:pt>
                      <c:pt idx="94">
                        <c:v>#N/A</c:v>
                      </c:pt>
                      <c:pt idx="95">
                        <c:v>#N/A</c:v>
                      </c:pt>
                      <c:pt idx="96">
                        <c:v>#N/A</c:v>
                      </c:pt>
                      <c:pt idx="97">
                        <c:v>#N/A</c:v>
                      </c:pt>
                      <c:pt idx="98">
                        <c:v>#N/A</c:v>
                      </c:pt>
                      <c:pt idx="99">
                        <c:v>#N/A</c:v>
                      </c:pt>
                      <c:pt idx="100">
                        <c:v>#N/A</c:v>
                      </c:pt>
                      <c:pt idx="101">
                        <c:v>#N/A</c:v>
                      </c:pt>
                      <c:pt idx="102">
                        <c:v>#N/A</c:v>
                      </c:pt>
                      <c:pt idx="103">
                        <c:v>#N/A</c:v>
                      </c:pt>
                      <c:pt idx="104">
                        <c:v>#N/A</c:v>
                      </c:pt>
                      <c:pt idx="105">
                        <c:v>#N/A</c:v>
                      </c:pt>
                      <c:pt idx="106">
                        <c:v>#N/A</c:v>
                      </c:pt>
                      <c:pt idx="107">
                        <c:v>#N/A</c:v>
                      </c:pt>
                      <c:pt idx="108">
                        <c:v>#N/A</c:v>
                      </c:pt>
                      <c:pt idx="109">
                        <c:v>#N/A</c:v>
                      </c:pt>
                      <c:pt idx="110">
                        <c:v>#N/A</c:v>
                      </c:pt>
                      <c:pt idx="111">
                        <c:v>#N/A</c:v>
                      </c:pt>
                      <c:pt idx="11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331D-4DE2-BB3A-CE8508EB2F33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'RC Chart Data'!$P$6</c15:sqref>
                        </c15:formulaRef>
                      </c:ext>
                    </c:extLst>
                    <c:strCache>
                      <c:ptCount val="1"/>
                      <c:pt idx="0">
                        <c:v>3</c:v>
                      </c:pt>
                    </c:strCache>
                  </c:strRef>
                </c:tx>
                <c:spPr>
                  <a:ln w="25400" cap="rnd">
                    <a:noFill/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circle"/>
                  <c:size val="6"/>
                  <c:spPr>
                    <a:gradFill rotWithShape="1">
                      <a:gsLst>
                        <a:gs pos="0">
                          <a:schemeClr val="accent2">
                            <a:lumMod val="80000"/>
                            <a:lumOff val="20000"/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2">
                            <a:lumMod val="80000"/>
                            <a:lumOff val="20000"/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2">
                            <a:lumMod val="80000"/>
                            <a:lumOff val="20000"/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 w="9525">
                      <a:solidFill>
                        <a:schemeClr val="accent2">
                          <a:lumMod val="80000"/>
                          <a:lumOff val="20000"/>
                        </a:schemeClr>
                      </a:solidFill>
                      <a:round/>
                    </a:ln>
                    <a:effectLst>
                      <a:outerShdw blurRad="57150" dist="19050" dir="5400000" algn="ctr" rotWithShape="0">
                        <a:srgbClr val="000000">
                          <a:alpha val="63000"/>
                        </a:srgbClr>
                      </a:outerShdw>
                    </a:effectLst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'RC Chart Data'!$A$7:$A$119</c15:sqref>
                        </c15:formulaRef>
                      </c:ext>
                    </c:extLst>
                    <c:numCache>
                      <c:formatCode>m/d/yyyy</c:formatCode>
                      <c:ptCount val="113"/>
                      <c:pt idx="0">
                        <c:v>43106</c:v>
                      </c:pt>
                      <c:pt idx="1">
                        <c:v>43107</c:v>
                      </c:pt>
                      <c:pt idx="2">
                        <c:v>43108</c:v>
                      </c:pt>
                      <c:pt idx="3">
                        <c:v>43109</c:v>
                      </c:pt>
                      <c:pt idx="4">
                        <c:v>43110</c:v>
                      </c:pt>
                      <c:pt idx="5">
                        <c:v>43111</c:v>
                      </c:pt>
                      <c:pt idx="6">
                        <c:v>43112</c:v>
                      </c:pt>
                      <c:pt idx="7">
                        <c:v>43113</c:v>
                      </c:pt>
                      <c:pt idx="8">
                        <c:v>43114</c:v>
                      </c:pt>
                      <c:pt idx="9">
                        <c:v>43115</c:v>
                      </c:pt>
                      <c:pt idx="10">
                        <c:v>43116</c:v>
                      </c:pt>
                      <c:pt idx="11">
                        <c:v>43117</c:v>
                      </c:pt>
                      <c:pt idx="12">
                        <c:v>43118</c:v>
                      </c:pt>
                      <c:pt idx="13">
                        <c:v>43119</c:v>
                      </c:pt>
                      <c:pt idx="14">
                        <c:v>43120</c:v>
                      </c:pt>
                      <c:pt idx="15">
                        <c:v>43121</c:v>
                      </c:pt>
                      <c:pt idx="16">
                        <c:v>43122</c:v>
                      </c:pt>
                      <c:pt idx="17">
                        <c:v>43123</c:v>
                      </c:pt>
                      <c:pt idx="18">
                        <c:v>43124</c:v>
                      </c:pt>
                      <c:pt idx="19">
                        <c:v>43125</c:v>
                      </c:pt>
                      <c:pt idx="20">
                        <c:v>43126</c:v>
                      </c:pt>
                      <c:pt idx="21">
                        <c:v>43127</c:v>
                      </c:pt>
                      <c:pt idx="22">
                        <c:v>43128</c:v>
                      </c:pt>
                      <c:pt idx="23">
                        <c:v>43129</c:v>
                      </c:pt>
                      <c:pt idx="24">
                        <c:v>43130</c:v>
                      </c:pt>
                      <c:pt idx="25">
                        <c:v>43131</c:v>
                      </c:pt>
                      <c:pt idx="26">
                        <c:v>43132</c:v>
                      </c:pt>
                      <c:pt idx="27">
                        <c:v>43133</c:v>
                      </c:pt>
                      <c:pt idx="28">
                        <c:v>43134</c:v>
                      </c:pt>
                      <c:pt idx="29">
                        <c:v>43135</c:v>
                      </c:pt>
                      <c:pt idx="30">
                        <c:v>43136</c:v>
                      </c:pt>
                      <c:pt idx="31">
                        <c:v>43137</c:v>
                      </c:pt>
                      <c:pt idx="32">
                        <c:v>43138</c:v>
                      </c:pt>
                      <c:pt idx="33">
                        <c:v>43139</c:v>
                      </c:pt>
                      <c:pt idx="34">
                        <c:v>43140</c:v>
                      </c:pt>
                      <c:pt idx="35">
                        <c:v>43141</c:v>
                      </c:pt>
                      <c:pt idx="36">
                        <c:v>43142</c:v>
                      </c:pt>
                      <c:pt idx="37">
                        <c:v>43143</c:v>
                      </c:pt>
                      <c:pt idx="38">
                        <c:v>43144</c:v>
                      </c:pt>
                      <c:pt idx="39">
                        <c:v>43145</c:v>
                      </c:pt>
                      <c:pt idx="40">
                        <c:v>43146</c:v>
                      </c:pt>
                      <c:pt idx="41">
                        <c:v>43147</c:v>
                      </c:pt>
                      <c:pt idx="42">
                        <c:v>43148</c:v>
                      </c:pt>
                      <c:pt idx="43">
                        <c:v>43149</c:v>
                      </c:pt>
                      <c:pt idx="44">
                        <c:v>43150</c:v>
                      </c:pt>
                      <c:pt idx="45">
                        <c:v>43151</c:v>
                      </c:pt>
                      <c:pt idx="46">
                        <c:v>43152</c:v>
                      </c:pt>
                      <c:pt idx="47">
                        <c:v>43153</c:v>
                      </c:pt>
                      <c:pt idx="48">
                        <c:v>43154</c:v>
                      </c:pt>
                      <c:pt idx="49">
                        <c:v>43155</c:v>
                      </c:pt>
                      <c:pt idx="50">
                        <c:v>43156</c:v>
                      </c:pt>
                      <c:pt idx="51">
                        <c:v>43157</c:v>
                      </c:pt>
                      <c:pt idx="52">
                        <c:v>43158</c:v>
                      </c:pt>
                      <c:pt idx="53">
                        <c:v>43159</c:v>
                      </c:pt>
                      <c:pt idx="54">
                        <c:v>43160</c:v>
                      </c:pt>
                      <c:pt idx="55">
                        <c:v>43161</c:v>
                      </c:pt>
                      <c:pt idx="56">
                        <c:v>43162</c:v>
                      </c:pt>
                      <c:pt idx="57">
                        <c:v>43163</c:v>
                      </c:pt>
                      <c:pt idx="58">
                        <c:v>43164</c:v>
                      </c:pt>
                      <c:pt idx="59">
                        <c:v>43165</c:v>
                      </c:pt>
                      <c:pt idx="60">
                        <c:v>43166</c:v>
                      </c:pt>
                      <c:pt idx="61">
                        <c:v>43167</c:v>
                      </c:pt>
                      <c:pt idx="62">
                        <c:v>43168</c:v>
                      </c:pt>
                      <c:pt idx="63">
                        <c:v>43169</c:v>
                      </c:pt>
                      <c:pt idx="64">
                        <c:v>43170</c:v>
                      </c:pt>
                      <c:pt idx="65">
                        <c:v>43171</c:v>
                      </c:pt>
                      <c:pt idx="66">
                        <c:v>43172</c:v>
                      </c:pt>
                      <c:pt idx="67">
                        <c:v>43173</c:v>
                      </c:pt>
                      <c:pt idx="68">
                        <c:v>43174</c:v>
                      </c:pt>
                      <c:pt idx="69">
                        <c:v>43175</c:v>
                      </c:pt>
                      <c:pt idx="70">
                        <c:v>43176</c:v>
                      </c:pt>
                      <c:pt idx="71">
                        <c:v>43177</c:v>
                      </c:pt>
                      <c:pt idx="72">
                        <c:v>43178</c:v>
                      </c:pt>
                      <c:pt idx="73">
                        <c:v>43179</c:v>
                      </c:pt>
                      <c:pt idx="74">
                        <c:v>43180</c:v>
                      </c:pt>
                      <c:pt idx="75">
                        <c:v>43181</c:v>
                      </c:pt>
                      <c:pt idx="76">
                        <c:v>43182</c:v>
                      </c:pt>
                      <c:pt idx="77">
                        <c:v>43183</c:v>
                      </c:pt>
                      <c:pt idx="78">
                        <c:v>43184</c:v>
                      </c:pt>
                      <c:pt idx="79">
                        <c:v>43185</c:v>
                      </c:pt>
                      <c:pt idx="80">
                        <c:v>43186</c:v>
                      </c:pt>
                      <c:pt idx="81">
                        <c:v>43187</c:v>
                      </c:pt>
                      <c:pt idx="82">
                        <c:v>43188</c:v>
                      </c:pt>
                      <c:pt idx="83">
                        <c:v>43189</c:v>
                      </c:pt>
                      <c:pt idx="84">
                        <c:v>43191</c:v>
                      </c:pt>
                      <c:pt idx="85">
                        <c:v>43192</c:v>
                      </c:pt>
                      <c:pt idx="86">
                        <c:v>43193</c:v>
                      </c:pt>
                      <c:pt idx="87">
                        <c:v>43194</c:v>
                      </c:pt>
                      <c:pt idx="88">
                        <c:v>43195</c:v>
                      </c:pt>
                      <c:pt idx="89">
                        <c:v>43196</c:v>
                      </c:pt>
                      <c:pt idx="90">
                        <c:v>43197</c:v>
                      </c:pt>
                      <c:pt idx="91">
                        <c:v>43198</c:v>
                      </c:pt>
                      <c:pt idx="92">
                        <c:v>43199</c:v>
                      </c:pt>
                      <c:pt idx="93">
                        <c:v>43200</c:v>
                      </c:pt>
                      <c:pt idx="94">
                        <c:v>43201</c:v>
                      </c:pt>
                      <c:pt idx="95">
                        <c:v>43202</c:v>
                      </c:pt>
                      <c:pt idx="96">
                        <c:v>43203</c:v>
                      </c:pt>
                      <c:pt idx="97">
                        <c:v>43204</c:v>
                      </c:pt>
                      <c:pt idx="98">
                        <c:v>43205</c:v>
                      </c:pt>
                      <c:pt idx="99">
                        <c:v>43206</c:v>
                      </c:pt>
                      <c:pt idx="100">
                        <c:v>43207</c:v>
                      </c:pt>
                      <c:pt idx="101">
                        <c:v>43208</c:v>
                      </c:pt>
                      <c:pt idx="102">
                        <c:v>43209</c:v>
                      </c:pt>
                      <c:pt idx="103">
                        <c:v>43210</c:v>
                      </c:pt>
                      <c:pt idx="104">
                        <c:v>43211</c:v>
                      </c:pt>
                      <c:pt idx="105">
                        <c:v>43212</c:v>
                      </c:pt>
                      <c:pt idx="106">
                        <c:v>43213</c:v>
                      </c:pt>
                      <c:pt idx="107">
                        <c:v>43214</c:v>
                      </c:pt>
                      <c:pt idx="108">
                        <c:v>43215</c:v>
                      </c:pt>
                      <c:pt idx="109">
                        <c:v>43216</c:v>
                      </c:pt>
                      <c:pt idx="110">
                        <c:v>43217</c:v>
                      </c:pt>
                      <c:pt idx="111">
                        <c:v>43218</c:v>
                      </c:pt>
                      <c:pt idx="112">
                        <c:v>43219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'RC Chart Data'!$P$7:$P$119</c15:sqref>
                        </c15:formulaRef>
                      </c:ext>
                    </c:extLst>
                    <c:numCache>
                      <c:formatCode>0</c:formatCode>
                      <c:ptCount val="11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  <c:pt idx="33">
                        <c:v>#N/A</c:v>
                      </c:pt>
                      <c:pt idx="34">
                        <c:v>#N/A</c:v>
                      </c:pt>
                      <c:pt idx="35">
                        <c:v>#N/A</c:v>
                      </c:pt>
                      <c:pt idx="36">
                        <c:v>#N/A</c:v>
                      </c:pt>
                      <c:pt idx="37">
                        <c:v>#N/A</c:v>
                      </c:pt>
                      <c:pt idx="38">
                        <c:v>#N/A</c:v>
                      </c:pt>
                      <c:pt idx="39">
                        <c:v>#N/A</c:v>
                      </c:pt>
                      <c:pt idx="40">
                        <c:v>#N/A</c:v>
                      </c:pt>
                      <c:pt idx="41">
                        <c:v>#N/A</c:v>
                      </c:pt>
                      <c:pt idx="42">
                        <c:v>#N/A</c:v>
                      </c:pt>
                      <c:pt idx="43">
                        <c:v>#N/A</c:v>
                      </c:pt>
                      <c:pt idx="44">
                        <c:v>#N/A</c:v>
                      </c:pt>
                      <c:pt idx="45">
                        <c:v>#N/A</c:v>
                      </c:pt>
                      <c:pt idx="46">
                        <c:v>#N/A</c:v>
                      </c:pt>
                      <c:pt idx="47">
                        <c:v>#N/A</c:v>
                      </c:pt>
                      <c:pt idx="48">
                        <c:v>#N/A</c:v>
                      </c:pt>
                      <c:pt idx="49">
                        <c:v>#N/A</c:v>
                      </c:pt>
                      <c:pt idx="50">
                        <c:v>#N/A</c:v>
                      </c:pt>
                      <c:pt idx="51">
                        <c:v>#N/A</c:v>
                      </c:pt>
                      <c:pt idx="52">
                        <c:v>#N/A</c:v>
                      </c:pt>
                      <c:pt idx="53">
                        <c:v>#N/A</c:v>
                      </c:pt>
                      <c:pt idx="54">
                        <c:v>#N/A</c:v>
                      </c:pt>
                      <c:pt idx="55">
                        <c:v>#N/A</c:v>
                      </c:pt>
                      <c:pt idx="56">
                        <c:v>#N/A</c:v>
                      </c:pt>
                      <c:pt idx="57">
                        <c:v>#N/A</c:v>
                      </c:pt>
                      <c:pt idx="58">
                        <c:v>#N/A</c:v>
                      </c:pt>
                      <c:pt idx="59">
                        <c:v>#N/A</c:v>
                      </c:pt>
                      <c:pt idx="60">
                        <c:v>#N/A</c:v>
                      </c:pt>
                      <c:pt idx="61">
                        <c:v>#N/A</c:v>
                      </c:pt>
                      <c:pt idx="62">
                        <c:v>#N/A</c:v>
                      </c:pt>
                      <c:pt idx="63">
                        <c:v>#N/A</c:v>
                      </c:pt>
                      <c:pt idx="64">
                        <c:v>#N/A</c:v>
                      </c:pt>
                      <c:pt idx="65">
                        <c:v>#N/A</c:v>
                      </c:pt>
                      <c:pt idx="66">
                        <c:v>#N/A</c:v>
                      </c:pt>
                      <c:pt idx="67">
                        <c:v>#N/A</c:v>
                      </c:pt>
                      <c:pt idx="68">
                        <c:v>#N/A</c:v>
                      </c:pt>
                      <c:pt idx="69">
                        <c:v>#N/A</c:v>
                      </c:pt>
                      <c:pt idx="70">
                        <c:v>#N/A</c:v>
                      </c:pt>
                      <c:pt idx="71">
                        <c:v>#N/A</c:v>
                      </c:pt>
                      <c:pt idx="72">
                        <c:v>#N/A</c:v>
                      </c:pt>
                      <c:pt idx="73">
                        <c:v>#N/A</c:v>
                      </c:pt>
                      <c:pt idx="74">
                        <c:v>#N/A</c:v>
                      </c:pt>
                      <c:pt idx="75">
                        <c:v>#N/A</c:v>
                      </c:pt>
                      <c:pt idx="76">
                        <c:v>#N/A</c:v>
                      </c:pt>
                      <c:pt idx="77">
                        <c:v>#N/A</c:v>
                      </c:pt>
                      <c:pt idx="78">
                        <c:v>#N/A</c:v>
                      </c:pt>
                      <c:pt idx="79">
                        <c:v>#N/A</c:v>
                      </c:pt>
                      <c:pt idx="80">
                        <c:v>#N/A</c:v>
                      </c:pt>
                      <c:pt idx="81">
                        <c:v>#N/A</c:v>
                      </c:pt>
                      <c:pt idx="82">
                        <c:v>#N/A</c:v>
                      </c:pt>
                      <c:pt idx="83">
                        <c:v>#N/A</c:v>
                      </c:pt>
                      <c:pt idx="84">
                        <c:v>#N/A</c:v>
                      </c:pt>
                      <c:pt idx="85">
                        <c:v>#N/A</c:v>
                      </c:pt>
                      <c:pt idx="86">
                        <c:v>#N/A</c:v>
                      </c:pt>
                      <c:pt idx="87">
                        <c:v>#N/A</c:v>
                      </c:pt>
                      <c:pt idx="88">
                        <c:v>#N/A</c:v>
                      </c:pt>
                      <c:pt idx="89">
                        <c:v>#N/A</c:v>
                      </c:pt>
                      <c:pt idx="90">
                        <c:v>#N/A</c:v>
                      </c:pt>
                      <c:pt idx="91">
                        <c:v>#N/A</c:v>
                      </c:pt>
                      <c:pt idx="92">
                        <c:v>#N/A</c:v>
                      </c:pt>
                      <c:pt idx="93">
                        <c:v>#N/A</c:v>
                      </c:pt>
                      <c:pt idx="94">
                        <c:v>#N/A</c:v>
                      </c:pt>
                      <c:pt idx="95">
                        <c:v>#N/A</c:v>
                      </c:pt>
                      <c:pt idx="96">
                        <c:v>#N/A</c:v>
                      </c:pt>
                      <c:pt idx="97">
                        <c:v>#N/A</c:v>
                      </c:pt>
                      <c:pt idx="98">
                        <c:v>#N/A</c:v>
                      </c:pt>
                      <c:pt idx="99">
                        <c:v>#N/A</c:v>
                      </c:pt>
                      <c:pt idx="100">
                        <c:v>#N/A</c:v>
                      </c:pt>
                      <c:pt idx="101">
                        <c:v>#N/A</c:v>
                      </c:pt>
                      <c:pt idx="102">
                        <c:v>#N/A</c:v>
                      </c:pt>
                      <c:pt idx="103">
                        <c:v>#N/A</c:v>
                      </c:pt>
                      <c:pt idx="104">
                        <c:v>#N/A</c:v>
                      </c:pt>
                      <c:pt idx="105">
                        <c:v>#N/A</c:v>
                      </c:pt>
                      <c:pt idx="106">
                        <c:v>#N/A</c:v>
                      </c:pt>
                      <c:pt idx="107">
                        <c:v>#N/A</c:v>
                      </c:pt>
                      <c:pt idx="108">
                        <c:v>#N/A</c:v>
                      </c:pt>
                      <c:pt idx="109">
                        <c:v>#N/A</c:v>
                      </c:pt>
                      <c:pt idx="110">
                        <c:v>#N/A</c:v>
                      </c:pt>
                      <c:pt idx="111">
                        <c:v>#N/A</c:v>
                      </c:pt>
                      <c:pt idx="11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331D-4DE2-BB3A-CE8508EB2F33}"/>
                  </c:ext>
                </c:extLst>
              </c15:ser>
            </c15:filteredScatterSeries>
          </c:ext>
        </c:extLst>
      </c:scatterChart>
      <c:dateAx>
        <c:axId val="4896910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/yyyy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691720"/>
        <c:crosses val="autoZero"/>
        <c:auto val="1"/>
        <c:lblOffset val="100"/>
        <c:baseTimeUnit val="days"/>
        <c:majorUnit val="7"/>
        <c:majorTimeUnit val="days"/>
        <c:minorUnit val="7"/>
        <c:minorTimeUnit val="days"/>
      </c:dateAx>
      <c:valAx>
        <c:axId val="489691720"/>
        <c:scaling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SCORE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691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E10043-8564-4C57-ADC5-211F6E51EDAB}">
  <sheetPr codeName="Chart1">
    <tabColor theme="5" tint="-0.249977111117893"/>
  </sheetPr>
  <sheetViews>
    <sheetView zoomScale="67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3F04A87-836B-498B-9203-9D8C3584D713}">
  <sheetPr codeName="Chart2">
    <tabColor theme="5" tint="-0.249977111117893"/>
  </sheetPr>
  <sheetViews>
    <sheetView zoomScale="67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4955" cy="627797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E34E91-1EA7-43AD-B3B7-98E094973B07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54955" cy="627797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279C7CF-DBBD-4592-81D4-8B864CFA6AD1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51</xdr:col>
          <xdr:colOff>579120</xdr:colOff>
          <xdr:row>2</xdr:row>
          <xdr:rowOff>22860</xdr:rowOff>
        </xdr:from>
        <xdr:to>
          <xdr:col>52</xdr:col>
          <xdr:colOff>487680</xdr:colOff>
          <xdr:row>3</xdr:row>
          <xdr:rowOff>53340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ger" refreshedDate="43287.879839004629" createdVersion="6" refreshedVersion="6" minRefreshableVersion="3" recordCount="150" xr:uid="{120A883F-A351-49F5-8B77-5A2E7AFEF601}">
  <cacheSource type="worksheet">
    <worksheetSource ref="A7:BG157" sheet="RC Template"/>
  </cacheSource>
  <cacheFields count="61">
    <cacheField name="Row" numFmtId="0">
      <sharedItems containsSemiMixedTypes="0" containsString="0" containsNumber="1" containsInteger="1" minValue="1" maxValue="150"/>
    </cacheField>
    <cacheField name="Date" numFmtId="14">
      <sharedItems containsSemiMixedTypes="0" containsNonDate="0" containsDate="1" containsString="0" minDate="1899-12-30T00:00:00" maxDate="2018-04-30T00:00:00" count="39">
        <d v="2018-01-06T00:00:00"/>
        <d v="2018-01-08T00:00:00"/>
        <d v="2018-01-11T00:00:00"/>
        <d v="2018-01-13T00:00:00"/>
        <d v="2018-01-16T00:00:00"/>
        <d v="2018-01-17T00:00:00"/>
        <d v="2018-01-19T00:00:00"/>
        <d v="2018-01-21T00:00:00"/>
        <d v="2018-01-24T00:00:00"/>
        <d v="2018-01-26T00:00:00"/>
        <d v="2018-01-28T00:00:00"/>
        <d v="2018-01-30T00:00:00"/>
        <d v="2018-02-01T00:00:00"/>
        <d v="2018-02-03T00:00:00"/>
        <d v="2018-02-06T00:00:00"/>
        <d v="2018-02-08T00:00:00"/>
        <d v="2018-02-11T00:00:00"/>
        <d v="2018-02-15T00:00:00"/>
        <d v="2018-02-18T00:00:00"/>
        <d v="2018-02-22T00:00:00"/>
        <d v="2018-02-25T00:00:00"/>
        <d v="2018-02-27T00:00:00"/>
        <d v="2018-02-28T00:00:00"/>
        <d v="2018-03-02T00:00:00"/>
        <d v="2018-03-04T00:00:00"/>
        <d v="2018-03-06T00:00:00"/>
        <d v="2018-03-07T00:00:00"/>
        <d v="2018-03-09T00:00:00"/>
        <d v="2018-03-11T00:00:00"/>
        <d v="2018-03-14T00:00:00"/>
        <d v="2018-03-17T00:00:00"/>
        <d v="2018-03-19T00:00:00"/>
        <d v="2018-03-23T00:00:00"/>
        <d v="2018-03-26T00:00:00"/>
        <d v="2018-03-28T00:00:00"/>
        <d v="2018-03-30T00:00:00"/>
        <d v="2018-04-22T00:00:00"/>
        <d v="2018-04-29T00:00:00"/>
        <d v="1899-12-30T00:00:00"/>
      </sharedItems>
      <fieldGroup par="60" base="1">
        <rangePr groupBy="months" startDate="1899-12-30T00:00:00" endDate="2018-04-30T00:00:00"/>
        <groupItems count="14">
          <s v="&lt;1/0/190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4/30/2018"/>
        </groupItems>
      </fieldGroup>
    </cacheField>
    <cacheField name="Climber" numFmtId="0">
      <sharedItems containsMixedTypes="1" containsNumber="1" containsInteger="1" minValue="0" maxValue="0" count="11">
        <s v="Lester"/>
        <s v="Jan"/>
        <s v="Sameena"/>
        <s v="Mark Guste"/>
        <s v="Edwin"/>
        <s v="Michelle"/>
        <s v="Kenneth Bautista"/>
        <s v="Angel"/>
        <s v="Oz"/>
        <s v="Benjie"/>
        <n v="0"/>
      </sharedItems>
    </cacheField>
    <cacheField name="5'5" numFmtId="43">
      <sharedItems containsSemiMixedTypes="0" containsString="0" containsNumber="1" containsInteger="1" minValue="0" maxValue="10"/>
    </cacheField>
    <cacheField name="5'52" numFmtId="43">
      <sharedItems containsSemiMixedTypes="0" containsString="0" containsNumber="1" containsInteger="1" minValue="0" maxValue="10"/>
    </cacheField>
    <cacheField name="5'53" numFmtId="43">
      <sharedItems containsSemiMixedTypes="0" containsString="0" containsNumber="1" containsInteger="1" minValue="0" maxValue="5"/>
    </cacheField>
    <cacheField name="5'6" numFmtId="43">
      <sharedItems containsSemiMixedTypes="0" containsString="0" containsNumber="1" minValue="0" maxValue="12.5"/>
    </cacheField>
    <cacheField name="5'62" numFmtId="43">
      <sharedItems containsSemiMixedTypes="0" containsString="0" containsNumber="1" minValue="0" maxValue="12.5"/>
    </cacheField>
    <cacheField name="5'63" numFmtId="43">
      <sharedItems containsSemiMixedTypes="0" containsString="0" containsNumber="1" minValue="0" maxValue="12.5"/>
    </cacheField>
    <cacheField name="5'7" numFmtId="43">
      <sharedItems containsSemiMixedTypes="0" containsString="0" containsNumber="1" minValue="0" maxValue="15.75"/>
    </cacheField>
    <cacheField name="5'72" numFmtId="43">
      <sharedItems containsSemiMixedTypes="0" containsString="0" containsNumber="1" minValue="0" maxValue="15.75"/>
    </cacheField>
    <cacheField name="5'73" numFmtId="43">
      <sharedItems containsSemiMixedTypes="0" containsString="0" containsNumber="1" minValue="0" maxValue="15.75"/>
    </cacheField>
    <cacheField name="5'8" numFmtId="43">
      <sharedItems containsSemiMixedTypes="0" containsString="0" containsNumber="1" minValue="0" maxValue="20.002500000000001"/>
    </cacheField>
    <cacheField name="5'82" numFmtId="43">
      <sharedItems containsSemiMixedTypes="0" containsString="0" containsNumber="1" minValue="0" maxValue="20.002500000000001"/>
    </cacheField>
    <cacheField name="5'83" numFmtId="43">
      <sharedItems containsSemiMixedTypes="0" containsString="0" containsNumber="1" minValue="0" maxValue="20.002500000000001"/>
    </cacheField>
    <cacheField name="5'8+" numFmtId="43">
      <sharedItems containsSemiMixedTypes="0" containsString="0" containsNumber="1" minValue="0" maxValue="23.922990000000006"/>
    </cacheField>
    <cacheField name="5'8+2" numFmtId="43">
      <sharedItems containsSemiMixedTypes="0" containsString="0" containsNumber="1" minValue="0" maxValue="11.961495000000003"/>
    </cacheField>
    <cacheField name="5'8+3" numFmtId="43">
      <sharedItems containsSemiMixedTypes="0" containsString="0" containsNumber="1" minValue="0" maxValue="11.961495000000003"/>
    </cacheField>
    <cacheField name="5'9-" numFmtId="43">
      <sharedItems containsSemiMixedTypes="0" containsString="0" containsNumber="1" minValue="0" maxValue="28.898971920000012"/>
    </cacheField>
    <cacheField name="5'9-2" numFmtId="43">
      <sharedItems containsSemiMixedTypes="0" containsString="0" containsNumber="1" containsInteger="1" minValue="0" maxValue="0"/>
    </cacheField>
    <cacheField name="5'9-3" numFmtId="43">
      <sharedItems containsSemiMixedTypes="0" containsString="0" containsNumber="1" containsInteger="1" minValue="0" maxValue="0"/>
    </cacheField>
    <cacheField name="5'9" numFmtId="43">
      <sharedItems containsSemiMixedTypes="0" containsString="0" containsNumber="1" minValue="0" maxValue="35.256745742400021"/>
    </cacheField>
    <cacheField name="5'92" numFmtId="43">
      <sharedItems containsSemiMixedTypes="0" containsString="0" containsNumber="1" minValue="0" maxValue="35.256745742400021"/>
    </cacheField>
    <cacheField name="5'93" numFmtId="43">
      <sharedItems containsSemiMixedTypes="0" containsString="0" containsNumber="1" minValue="0" maxValue="35.256745742400021"/>
    </cacheField>
    <cacheField name="5'9+" numFmtId="43">
      <sharedItems containsSemiMixedTypes="0" containsString="0" containsNumber="1" minValue="0" maxValue="39.092679679173152"/>
    </cacheField>
    <cacheField name="5'9+2" numFmtId="43">
      <sharedItems containsSemiMixedTypes="0" containsString="0" containsNumber="1" containsInteger="1" minValue="0" maxValue="0"/>
    </cacheField>
    <cacheField name="5'9+3" numFmtId="43">
      <sharedItems containsSemiMixedTypes="0" containsString="0" containsNumber="1" containsInteger="1" minValue="0" maxValue="0"/>
    </cacheField>
    <cacheField name="5'10-" numFmtId="43">
      <sharedItems containsSemiMixedTypes="0" containsString="0" containsNumber="1" minValue="0" maxValue="54.034770578768224"/>
    </cacheField>
    <cacheField name="5'10-2" numFmtId="43">
      <sharedItems containsSemiMixedTypes="0" containsString="0" containsNumber="1" minValue="0" maxValue="54.034770578768224"/>
    </cacheField>
    <cacheField name="5'10-3" numFmtId="43">
      <sharedItems containsSemiMixedTypes="0" containsString="0" containsNumber="1" containsInteger="1" minValue="0" maxValue="0"/>
    </cacheField>
    <cacheField name="5'10" numFmtId="43">
      <sharedItems containsSemiMixedTypes="0" containsString="0" containsNumber="1" minValue="0" maxValue="67.867671846932893"/>
    </cacheField>
    <cacheField name="5'102" numFmtId="43">
      <sharedItems containsSemiMixedTypes="0" containsString="0" containsNumber="1" minValue="0" maxValue="67.867671846932893"/>
    </cacheField>
    <cacheField name="5'103" numFmtId="43">
      <sharedItems containsSemiMixedTypes="0" containsString="0" containsNumber="1" minValue="0" maxValue="67.867671846932893"/>
    </cacheField>
    <cacheField name="5'10+" numFmtId="43">
      <sharedItems containsSemiMixedTypes="0" containsString="0" containsNumber="1" minValue="0" maxValue="86.056207901910909"/>
    </cacheField>
    <cacheField name="5'10+2" numFmtId="43">
      <sharedItems containsSemiMixedTypes="0" containsString="0" containsNumber="1" minValue="0" maxValue="86.056207901910909"/>
    </cacheField>
    <cacheField name="5'10+3" numFmtId="43">
      <sharedItems containsSemiMixedTypes="0" containsString="0" containsNumber="1" containsInteger="1" minValue="0" maxValue="0"/>
    </cacheField>
    <cacheField name="5'11-" numFmtId="43">
      <sharedItems containsSemiMixedTypes="0" containsString="0" containsNumber="1" minValue="0" maxValue="110.15194611444596"/>
    </cacheField>
    <cacheField name="5'11-2" numFmtId="43">
      <sharedItems containsSemiMixedTypes="0" containsString="0" containsNumber="1" minValue="0" maxValue="99.136751503001364"/>
    </cacheField>
    <cacheField name="5'11-3" numFmtId="43">
      <sharedItems containsSemiMixedTypes="0" containsString="0" containsNumber="1" containsInteger="1" minValue="0" maxValue="0"/>
    </cacheField>
    <cacheField name="5'11" numFmtId="43">
      <sharedItems containsSemiMixedTypes="0" containsString="0" containsNumber="1" minValue="0" maxValue="142.3163143798642"/>
    </cacheField>
    <cacheField name="5'112" numFmtId="43">
      <sharedItems containsSemiMixedTypes="0" containsString="0" containsNumber="1" minValue="0" maxValue="103.74859318292101"/>
    </cacheField>
    <cacheField name="5'113" numFmtId="43">
      <sharedItems containsSemiMixedTypes="0" containsString="0" containsNumber="1" minValue="0" maxValue="71.158157189932098"/>
    </cacheField>
    <cacheField name="5'11+" numFmtId="43">
      <sharedItems containsSemiMixedTypes="0" containsString="0" containsNumber="1" minValue="0" maxValue="92.790236975671462"/>
    </cacheField>
    <cacheField name="5'11+2" numFmtId="43">
      <sharedItems containsSemiMixedTypes="0" containsString="0" containsNumber="1" containsInteger="1" minValue="0" maxValue="0"/>
    </cacheField>
    <cacheField name="5'11+3" numFmtId="43">
      <sharedItems containsSemiMixedTypes="0" containsString="0" containsNumber="1" containsInteger="1" minValue="0" maxValue="0"/>
    </cacheField>
    <cacheField name="5'12-" numFmtId="43">
      <sharedItems containsSemiMixedTypes="0" containsString="0" containsNumber="1" minValue="0" maxValue="244.2239037199673"/>
    </cacheField>
    <cacheField name="5'12-2" numFmtId="43">
      <sharedItems containsSemiMixedTypes="0" containsString="0" containsNumber="1" containsInteger="1" minValue="0" maxValue="0"/>
    </cacheField>
    <cacheField name="5'12-3" numFmtId="43">
      <sharedItems containsSemiMixedTypes="0" containsString="0" containsNumber="1" containsInteger="1" minValue="0" maxValue="0"/>
    </cacheField>
    <cacheField name="Top 3 Sum" numFmtId="43">
      <sharedItems containsSemiMixedTypes="0" containsString="0" containsNumber="1" minValue="0" maxValue="347.34832130930022"/>
    </cacheField>
    <cacheField name="3 Day Avg" numFmtId="43">
      <sharedItems containsSemiMixedTypes="0" containsString="0" containsNumber="1" minValue="0" maxValue="327.79109356292747"/>
    </cacheField>
    <cacheField name="5 Day Avg" numFmtId="43">
      <sharedItems containsSemiMixedTypes="0" containsString="0" containsNumber="1" minValue="0" maxValue="300.82617985783048"/>
    </cacheField>
    <cacheField name="4-6 Day Avg" numFmtId="43">
      <sharedItems containsMixedTypes="1" containsNumber="1" minValue="0" maxValue="288.15972492612406"/>
    </cacheField>
    <cacheField name="3 Day High" numFmtId="43">
      <sharedItems containsMixedTypes="1" containsNumber="1" minValue="0" maxValue="347.34832130930022" count="55">
        <e v="#NUM!"/>
        <n v="103.24839734157318"/>
        <n v="47.960195371200015"/>
        <n v="79.182235742400024"/>
        <n v="61.553862871200025"/>
        <n v="116.34015040463962"/>
        <n v="40.46194787120001"/>
        <n v="132.02338950933293"/>
        <n v="157.15918816810114"/>
        <n v="170.99208943626581"/>
        <n v="37.5"/>
        <n v="196.8162483561054"/>
        <n v="56.807964051344015"/>
        <n v="245.88728980831175"/>
        <n v="46.135872871200014"/>
        <n v="277.15636946438019"/>
        <n v="124.54826206356827"/>
        <n v="113.21450632116824"/>
        <n v="286.97854356828344"/>
        <n v="129.6209076903377"/>
        <n v="51.380622871200011"/>
        <n v="56.884200881588654"/>
        <n v="138.38116333173295"/>
        <n v="30.002500000000001"/>
        <n v="306.69077627303841"/>
        <n v="55.755000000000003"/>
        <n v="93.921658740000055"/>
        <n v="99.027409911202284"/>
        <n v="38.25"/>
        <n v="221.7915515957767"/>
        <n v="75.261745742400024"/>
        <n v="104.44732740826649"/>
        <n v="229.1090775584947"/>
        <n v="100.92165283402647"/>
        <n v="293.29583260906884"/>
        <n v="55.259245742400026"/>
        <n v="77.106502938628864"/>
        <n v="89.291516321168245"/>
        <n v="80.56518969595831"/>
        <n v="137.64110250158083"/>
        <n v="36.422990000000006"/>
        <n v="103.12441758933291"/>
        <n v="0"/>
        <n v="243.27057299375392"/>
        <n v="90.51599148480004"/>
        <n v="97.530876774184151"/>
        <n v="128.08468294187779"/>
        <n v="250.00460206751447"/>
        <n v="131.92555722635953"/>
        <n v="318.80189462676492"/>
        <n v="133.25766388937112"/>
        <n v="347.34832130930022"/>
        <n v="137.87811629646592"/>
        <n v="133.81949581994093"/>
        <n v="91.790661846932892"/>
      </sharedItems>
    </cacheField>
    <cacheField name="Tier" numFmtId="43">
      <sharedItems/>
    </cacheField>
    <cacheField name="TA T3 Sum" numFmtId="43">
      <sharedItems containsSemiMixedTypes="0" containsString="0" containsNumber="1" minValue="0" maxValue="229.76813947667526"/>
    </cacheField>
    <cacheField name="TA 3DA" numFmtId="43">
      <sharedItems containsSemiMixedTypes="0" containsString="0" containsNumber="1" minValue="0" maxValue="224.42277205241214"/>
    </cacheField>
    <cacheField name="TA P3DA" numFmtId="43">
      <sharedItems containsMixedTypes="1" containsNumber="1" minValue="0" maxValue="195.94065488321311"/>
    </cacheField>
    <cacheField name="TA 3DH" numFmtId="43">
      <sharedItems containsMixedTypes="1" containsNumber="1" minValue="0" maxValue="229.76813947667526"/>
    </cacheField>
    <cacheField name="5 Highest" numFmtId="43">
      <sharedItems containsSemiMixedTypes="0" containsString="0" containsNumber="1" minValue="0" maxValue="316.67197791417794"/>
    </cacheField>
    <cacheField name="Quarters" numFmtId="0" databaseField="0">
      <fieldGroup base="1">
        <rangePr groupBy="quarters" startDate="1899-12-30T00:00:00" endDate="2018-04-30T00:00:00"/>
        <groupItems count="6">
          <s v="&lt;1/0/1900"/>
          <s v="Qtr1"/>
          <s v="Qtr2"/>
          <s v="Qtr3"/>
          <s v="Qtr4"/>
          <s v="&gt;4/30/2018"/>
        </groupItems>
      </fieldGroup>
    </cacheField>
    <cacheField name="Years" numFmtId="0" databaseField="0">
      <fieldGroup base="1">
        <rangePr groupBy="years" startDate="1899-12-30T00:00:00" endDate="2018-04-30T00:00:00"/>
        <groupItems count="121">
          <s v="&lt;1/0/1900"/>
          <s v="1900"/>
          <s v="1901"/>
          <s v="1902"/>
          <s v="1903"/>
          <s v="1904"/>
          <s v="1905"/>
          <s v="1906"/>
          <s v="1907"/>
          <s v="1908"/>
          <s v="1909"/>
          <s v="1910"/>
          <s v="1911"/>
          <s v="1912"/>
          <s v="1913"/>
          <s v="1914"/>
          <s v="1915"/>
          <s v="1916"/>
          <s v="1917"/>
          <s v="1918"/>
          <s v="1919"/>
          <s v="1920"/>
          <s v="1921"/>
          <s v="1922"/>
          <s v="1923"/>
          <s v="1924"/>
          <s v="1925"/>
          <s v="1926"/>
          <s v="1927"/>
          <s v="1928"/>
          <s v="1929"/>
          <s v="1930"/>
          <s v="1931"/>
          <s v="1932"/>
          <s v="1933"/>
          <s v="1934"/>
          <s v="1935"/>
          <s v="1936"/>
          <s v="1937"/>
          <s v="1938"/>
          <s v="1939"/>
          <s v="1940"/>
          <s v="1941"/>
          <s v="1942"/>
          <s v="1943"/>
          <s v="1944"/>
          <s v="1945"/>
          <s v="1946"/>
          <s v="1947"/>
          <s v="1948"/>
          <s v="1949"/>
          <s v="1950"/>
          <s v="1951"/>
          <s v="1952"/>
          <s v="1953"/>
          <s v="1954"/>
          <s v="1955"/>
          <s v="1956"/>
          <s v="1957"/>
          <s v="1958"/>
          <s v="1959"/>
          <s v="1960"/>
          <s v="1961"/>
          <s v="1962"/>
          <s v="1963"/>
          <s v="1964"/>
          <s v="1965"/>
          <s v="1966"/>
          <s v="1967"/>
          <s v="1968"/>
          <s v="1969"/>
          <s v="1970"/>
          <s v="1971"/>
          <s v="1972"/>
          <s v="1973"/>
          <s v="1974"/>
          <s v="1975"/>
          <s v="1976"/>
          <s v="1977"/>
          <s v="1978"/>
          <s v="1979"/>
          <s v="1980"/>
          <s v="1981"/>
          <s v="1982"/>
          <s v="1983"/>
          <s v="1984"/>
          <s v="1985"/>
          <s v="1986"/>
          <s v="1987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&gt;4/30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0">
  <r>
    <n v="1"/>
    <x v="0"/>
    <x v="0"/>
    <n v="0"/>
    <n v="0"/>
    <n v="0"/>
    <n v="12.5"/>
    <n v="0"/>
    <n v="0"/>
    <n v="15.75"/>
    <n v="0"/>
    <n v="0"/>
    <n v="20.002500000000001"/>
    <n v="0"/>
    <n v="0"/>
    <n v="23.922990000000006"/>
    <n v="0"/>
    <n v="0"/>
    <n v="0"/>
    <n v="0"/>
    <n v="0"/>
    <n v="35.2567457424000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9.182235742400024"/>
    <n v="79.182235742400024"/>
    <n v="79.182235742400024"/>
    <e v="#NUM!"/>
    <x v="0"/>
    <s v="T2"/>
    <n v="23.961518168164748"/>
    <n v="23.961518168164748"/>
    <e v="#NUM!"/>
    <e v="#NUM!"/>
    <n v="79.182235742400024"/>
  </r>
  <r>
    <n v="2"/>
    <x v="0"/>
    <x v="1"/>
    <n v="10"/>
    <n v="0"/>
    <n v="0"/>
    <n v="12.5"/>
    <n v="0"/>
    <n v="0"/>
    <n v="12.75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.2575"/>
    <n v="35.2575"/>
    <n v="35.2575"/>
    <e v="#NUM!"/>
    <x v="0"/>
    <s v="T1"/>
    <n v="27.056855878915592"/>
    <n v="27.056855878915592"/>
    <e v="#NUM!"/>
    <e v="#NUM!"/>
    <n v="35.2575"/>
  </r>
  <r>
    <n v="3"/>
    <x v="0"/>
    <x v="2"/>
    <n v="0"/>
    <n v="0"/>
    <n v="0"/>
    <n v="0"/>
    <n v="0"/>
    <n v="0"/>
    <n v="15.75"/>
    <n v="0"/>
    <n v="0"/>
    <n v="20.002500000000001"/>
    <n v="0"/>
    <n v="0"/>
    <n v="0"/>
    <n v="0"/>
    <n v="0"/>
    <n v="28.898971920000012"/>
    <n v="0"/>
    <n v="0"/>
    <n v="35.256745742400021"/>
    <n v="0"/>
    <n v="0"/>
    <n v="39.0926796791731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3.24839734157318"/>
    <n v="103.24839734157318"/>
    <n v="103.2483973415732"/>
    <e v="#NUM!"/>
    <x v="1"/>
    <s v="T3"/>
    <n v="50.710642505628265"/>
    <n v="50.710642505628257"/>
    <e v="#NUM!"/>
    <n v="50.710642505628265"/>
    <n v="103.24839734157318"/>
  </r>
  <r>
    <n v="4"/>
    <x v="0"/>
    <x v="3"/>
    <n v="0"/>
    <n v="0"/>
    <n v="0"/>
    <n v="12.5"/>
    <n v="0"/>
    <n v="0"/>
    <n v="15.75"/>
    <n v="0"/>
    <n v="0"/>
    <n v="14.581822500000003"/>
    <n v="0"/>
    <n v="0"/>
    <n v="0"/>
    <n v="0"/>
    <n v="0"/>
    <n v="0"/>
    <n v="0"/>
    <n v="0"/>
    <n v="17.6283728712000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7.960195371200015"/>
    <n v="47.960195371200015"/>
    <n v="47.960195371200015"/>
    <e v="#NUM!"/>
    <x v="2"/>
    <s v="T1"/>
    <n v="79.923668493438342"/>
    <n v="79.923668493438342"/>
    <e v="#NUM!"/>
    <n v="79.923668493438342"/>
    <n v="47.960195371200015"/>
  </r>
  <r>
    <n v="5"/>
    <x v="1"/>
    <x v="0"/>
    <n v="0"/>
    <n v="0"/>
    <n v="0"/>
    <n v="12.5"/>
    <n v="0"/>
    <n v="0"/>
    <n v="15.75"/>
    <n v="0"/>
    <n v="0"/>
    <n v="20.002500000000001"/>
    <n v="0"/>
    <n v="0"/>
    <n v="23.922990000000006"/>
    <n v="0"/>
    <n v="0"/>
    <n v="0"/>
    <n v="0"/>
    <n v="0"/>
    <n v="35.2567457424000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9.182235742400024"/>
    <n v="79.182235742400024"/>
    <n v="79.182235742400024"/>
    <e v="#NUM!"/>
    <x v="3"/>
    <s v="T2"/>
    <n v="23.961518168164748"/>
    <n v="23.961518168164748"/>
    <e v="#NUM!"/>
    <n v="23.961518168164748"/>
    <n v="79.182235742400024"/>
  </r>
  <r>
    <n v="6"/>
    <x v="1"/>
    <x v="4"/>
    <n v="0"/>
    <n v="0"/>
    <n v="0"/>
    <n v="12.5"/>
    <n v="0"/>
    <n v="0"/>
    <n v="15.75"/>
    <n v="0"/>
    <n v="0"/>
    <n v="20.002500000000001"/>
    <n v="0"/>
    <n v="0"/>
    <n v="23.922990000000006"/>
    <n v="0"/>
    <n v="0"/>
    <n v="0"/>
    <n v="0"/>
    <n v="0"/>
    <n v="17.6283728712000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1.553862871200025"/>
    <n v="61.553862871200025"/>
    <n v="61.553862871200025"/>
    <n v="0"/>
    <x v="4"/>
    <s v="T2"/>
    <n v="47.236871488239167"/>
    <n v="47.236871488239167"/>
    <n v="0"/>
    <n v="47.236871488239167"/>
    <n v="61.553862871200025"/>
  </r>
  <r>
    <n v="7"/>
    <x v="2"/>
    <x v="0"/>
    <n v="0"/>
    <n v="0"/>
    <n v="0"/>
    <n v="12.5"/>
    <n v="0"/>
    <n v="0"/>
    <n v="15.75"/>
    <n v="0"/>
    <n v="0"/>
    <n v="20.002500000000001"/>
    <n v="0"/>
    <n v="0"/>
    <n v="0"/>
    <n v="0"/>
    <n v="0"/>
    <n v="0"/>
    <n v="0"/>
    <n v="0"/>
    <n v="35.256745742400021"/>
    <n v="0"/>
    <n v="0"/>
    <n v="0"/>
    <n v="0"/>
    <n v="0"/>
    <n v="0"/>
    <n v="0"/>
    <n v="0"/>
    <n v="61.080904662239604"/>
    <n v="0"/>
    <n v="0"/>
    <n v="0"/>
    <n v="0"/>
    <n v="0"/>
    <n v="0"/>
    <n v="0"/>
    <n v="0"/>
    <n v="0"/>
    <n v="0"/>
    <n v="0"/>
    <n v="0"/>
    <n v="0"/>
    <n v="0"/>
    <n v="0"/>
    <n v="0"/>
    <n v="0"/>
    <n v="116.34015040463962"/>
    <n v="91.568207296479898"/>
    <n v="86.613818674847948"/>
    <n v="0"/>
    <x v="5"/>
    <s v="T3"/>
    <n v="35.205960042311077"/>
    <n v="27.709665459546855"/>
    <n v="0"/>
    <n v="35.205960042311077"/>
    <n v="91.568207296479883"/>
  </r>
  <r>
    <n v="8"/>
    <x v="2"/>
    <x v="1"/>
    <n v="10"/>
    <n v="0"/>
    <n v="0"/>
    <n v="12.5"/>
    <n v="0"/>
    <n v="0"/>
    <n v="10.333575000000002"/>
    <n v="0"/>
    <n v="0"/>
    <n v="0"/>
    <n v="0"/>
    <n v="0"/>
    <n v="0"/>
    <n v="0"/>
    <n v="0"/>
    <n v="0"/>
    <n v="0"/>
    <n v="0"/>
    <n v="17.6283728712000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0.46194787120001"/>
    <n v="36.992315957066666"/>
    <n v="36.298389574240005"/>
    <n v="0"/>
    <x v="6"/>
    <s v="T1"/>
    <n v="31.050786134333237"/>
    <n v="28.388165964054807"/>
    <n v="0"/>
    <n v="31.050786134333237"/>
    <n v="37.859723935600002"/>
  </r>
  <r>
    <n v="9"/>
    <x v="2"/>
    <x v="4"/>
    <n v="10"/>
    <n v="0"/>
    <n v="0"/>
    <n v="12.5"/>
    <n v="0"/>
    <n v="0"/>
    <n v="0"/>
    <n v="0"/>
    <n v="0"/>
    <n v="20.002500000000001"/>
    <n v="0"/>
    <n v="0"/>
    <n v="0"/>
    <n v="0"/>
    <n v="0"/>
    <n v="0"/>
    <n v="0"/>
    <n v="0"/>
    <n v="25.702167646209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8.204667646209622"/>
    <n v="60.437464462869897"/>
    <n v="60.88402382620194"/>
    <n v="0"/>
    <x v="4"/>
    <s v="T2"/>
    <n v="44.666675288482587"/>
    <n v="46.380139421653638"/>
    <n v="0"/>
    <n v="47.236871488239167"/>
    <n v="59.87926525870482"/>
  </r>
  <r>
    <n v="10"/>
    <x v="3"/>
    <x v="0"/>
    <n v="0"/>
    <n v="0"/>
    <n v="0"/>
    <n v="12.5"/>
    <n v="0"/>
    <n v="0"/>
    <n v="15.75"/>
    <n v="0"/>
    <n v="0"/>
    <n v="20.002500000000001"/>
    <n v="0"/>
    <n v="0"/>
    <n v="0"/>
    <n v="0"/>
    <n v="0"/>
    <n v="28.898971920000012"/>
    <n v="0"/>
    <n v="0"/>
    <n v="35.256745742400021"/>
    <n v="0"/>
    <n v="0"/>
    <n v="0"/>
    <n v="0"/>
    <n v="0"/>
    <n v="0"/>
    <n v="0"/>
    <n v="0"/>
    <n v="67.867671846932893"/>
    <n v="0"/>
    <n v="0"/>
    <n v="0"/>
    <n v="0"/>
    <n v="0"/>
    <n v="0"/>
    <n v="0"/>
    <n v="0"/>
    <n v="0"/>
    <n v="0"/>
    <n v="0"/>
    <n v="0"/>
    <n v="0"/>
    <n v="0"/>
    <n v="0"/>
    <n v="0"/>
    <n v="0"/>
    <n v="132.02338950933293"/>
    <n v="109.18192521879085"/>
    <n v="97.182049428234521"/>
    <n v="26.394078580800009"/>
    <x v="7"/>
    <s v="T3"/>
    <n v="39.951901038033085"/>
    <n v="33.039793082836304"/>
    <n v="7.9871727227215823"/>
    <n v="39.951901038033085"/>
    <n v="101.68200284969316"/>
  </r>
  <r>
    <n v="11"/>
    <x v="3"/>
    <x v="2"/>
    <n v="10"/>
    <n v="0"/>
    <n v="0"/>
    <n v="12.5"/>
    <n v="0"/>
    <n v="0"/>
    <n v="15.75"/>
    <n v="0"/>
    <n v="0"/>
    <n v="20.002500000000001"/>
    <n v="0"/>
    <n v="0"/>
    <n v="23.922990000000006"/>
    <n v="0"/>
    <n v="0"/>
    <n v="0"/>
    <n v="0"/>
    <n v="0"/>
    <n v="23.13195088158865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7.057440881588661"/>
    <n v="91.184745188245003"/>
    <n v="96.010206049576283"/>
    <n v="0"/>
    <x v="1"/>
    <s v="T3"/>
    <n v="32.935386886817234"/>
    <n v="44.785557299357919"/>
    <n v="0"/>
    <n v="50.710642505628265"/>
    <n v="85.152919111580928"/>
  </r>
  <r>
    <n v="12"/>
    <x v="4"/>
    <x v="4"/>
    <n v="10"/>
    <n v="0"/>
    <n v="0"/>
    <n v="12.5"/>
    <n v="0"/>
    <n v="0"/>
    <n v="15.75"/>
    <n v="0"/>
    <n v="0"/>
    <n v="20.002500000000001"/>
    <n v="0"/>
    <n v="0"/>
    <n v="23.922990000000006"/>
    <n v="0"/>
    <n v="0"/>
    <n v="0"/>
    <n v="0"/>
    <n v="0"/>
    <n v="35.2567457424000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9.182235742400024"/>
    <n v="66.313588753269897"/>
    <n v="64.40969840044194"/>
    <n v="0"/>
    <x v="3"/>
    <s v="T2"/>
    <n v="60.765010016377687"/>
    <n v="50.889518931033145"/>
    <n v="0"/>
    <n v="60.765010016377687"/>
    <n v="66.313588753269897"/>
  </r>
  <r>
    <n v="13"/>
    <x v="4"/>
    <x v="1"/>
    <n v="10"/>
    <n v="0"/>
    <n v="0"/>
    <n v="12.5"/>
    <n v="0"/>
    <n v="0"/>
    <n v="12.75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.2575"/>
    <n v="36.992315957066666"/>
    <n v="36.298389574240005"/>
    <n v="0"/>
    <x v="6"/>
    <s v="T1"/>
    <n v="27.056855878915592"/>
    <n v="28.388165964054807"/>
    <n v="0"/>
    <n v="31.050786134333237"/>
    <n v="36.992315957066666"/>
  </r>
  <r>
    <n v="14"/>
    <x v="5"/>
    <x v="0"/>
    <n v="0"/>
    <n v="0"/>
    <n v="0"/>
    <n v="12.5"/>
    <n v="0"/>
    <n v="0"/>
    <n v="15.75"/>
    <n v="0"/>
    <n v="0"/>
    <n v="20.002500000000001"/>
    <n v="0"/>
    <n v="0"/>
    <n v="0"/>
    <n v="0"/>
    <n v="0"/>
    <n v="0"/>
    <n v="0"/>
    <n v="0"/>
    <n v="35.256745742400021"/>
    <n v="0"/>
    <n v="0"/>
    <n v="0"/>
    <n v="0"/>
    <n v="0"/>
    <n v="54.034770578768224"/>
    <n v="0"/>
    <n v="0"/>
    <n v="67.867671846932893"/>
    <n v="0"/>
    <n v="0"/>
    <n v="0"/>
    <n v="0"/>
    <n v="0"/>
    <n v="0"/>
    <n v="0"/>
    <n v="0"/>
    <n v="0"/>
    <n v="0"/>
    <n v="0"/>
    <n v="0"/>
    <n v="0"/>
    <n v="0"/>
    <n v="0"/>
    <n v="0"/>
    <n v="0"/>
    <n v="157.15918816810114"/>
    <n v="135.17424269402454"/>
    <n v="112.77743991337474"/>
    <n v="52.788157161600019"/>
    <x v="8"/>
    <s v="T4"/>
    <n v="47.55830278441487"/>
    <n v="40.905387954919675"/>
    <n v="15.974345445443165"/>
    <n v="47.55830278441487"/>
    <n v="112.77743991337476"/>
  </r>
  <r>
    <n v="15"/>
    <x v="6"/>
    <x v="0"/>
    <n v="10"/>
    <n v="0"/>
    <n v="0"/>
    <n v="0"/>
    <n v="0"/>
    <n v="0"/>
    <n v="15.75"/>
    <n v="0"/>
    <n v="0"/>
    <n v="20.002500000000001"/>
    <n v="0"/>
    <n v="0"/>
    <n v="0"/>
    <n v="0"/>
    <n v="0"/>
    <n v="0"/>
    <n v="0"/>
    <n v="0"/>
    <n v="35.256745742400021"/>
    <n v="0"/>
    <n v="0"/>
    <n v="35.183411711255836"/>
    <n v="0"/>
    <n v="0"/>
    <n v="54.034770578768224"/>
    <n v="0"/>
    <n v="0"/>
    <n v="67.867671846932893"/>
    <n v="0"/>
    <n v="0"/>
    <n v="0"/>
    <n v="0"/>
    <n v="0"/>
    <n v="0"/>
    <n v="0"/>
    <n v="0"/>
    <n v="0"/>
    <n v="0"/>
    <n v="0"/>
    <n v="0"/>
    <n v="0"/>
    <n v="0"/>
    <n v="0"/>
    <n v="0"/>
    <n v="0"/>
    <n v="157.15918816810114"/>
    <n v="148.7805886151784"/>
    <n v="128.37283039851496"/>
    <n v="91.568207296479883"/>
    <x v="8"/>
    <s v="T4"/>
    <n v="47.55830278441487"/>
    <n v="45.022835535620942"/>
    <n v="27.709665459546855"/>
    <n v="47.55830278441487"/>
    <n v="128.37283039851496"/>
  </r>
  <r>
    <n v="16"/>
    <x v="7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.256745742400021"/>
    <n v="0"/>
    <n v="0"/>
    <n v="0"/>
    <n v="0"/>
    <n v="0"/>
    <n v="0"/>
    <n v="0"/>
    <n v="0"/>
    <n v="67.867671846932893"/>
    <n v="67.867671846932893"/>
    <n v="0"/>
    <n v="0"/>
    <n v="0"/>
    <n v="0"/>
    <n v="0"/>
    <n v="0"/>
    <n v="0"/>
    <n v="0"/>
    <n v="0"/>
    <n v="0"/>
    <n v="0"/>
    <n v="0"/>
    <n v="0"/>
    <n v="0"/>
    <n v="0"/>
    <n v="0"/>
    <n v="170.99208943626581"/>
    <n v="161.77015525748936"/>
    <n v="146.73480113728814"/>
    <n v="109.18192521879087"/>
    <x v="9"/>
    <s v="T4"/>
    <n v="51.74430879886831"/>
    <n v="48.953638122566019"/>
    <n v="33.039793082836304"/>
    <n v="51.74430879886831"/>
    <n v="146.73480113728812"/>
  </r>
  <r>
    <n v="17"/>
    <x v="7"/>
    <x v="5"/>
    <n v="10"/>
    <n v="0"/>
    <n v="0"/>
    <n v="12.5"/>
    <n v="12.5"/>
    <n v="12.5"/>
    <n v="0"/>
    <n v="0"/>
    <n v="0"/>
    <n v="0"/>
    <n v="0"/>
    <n v="0"/>
    <n v="11.961495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7.5"/>
    <n v="37.5"/>
    <n v="37.5"/>
    <n v="0"/>
    <x v="10"/>
    <s v="T1"/>
    <n v="43.254133865395978"/>
    <n v="43.254133865395978"/>
    <n v="0"/>
    <n v="43.254133865395978"/>
    <n v="37.5"/>
  </r>
  <r>
    <n v="18"/>
    <x v="8"/>
    <x v="4"/>
    <n v="0"/>
    <n v="0"/>
    <n v="0"/>
    <n v="0"/>
    <n v="0"/>
    <n v="0"/>
    <n v="0"/>
    <n v="0"/>
    <n v="0"/>
    <n v="20.002500000000001"/>
    <n v="0"/>
    <n v="0"/>
    <n v="0"/>
    <n v="0"/>
    <n v="0"/>
    <n v="0"/>
    <n v="0"/>
    <n v="0"/>
    <n v="31.731071168160021"/>
    <n v="0"/>
    <n v="0"/>
    <n v="0"/>
    <n v="0"/>
    <n v="0"/>
    <n v="27.0173852893841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8.750956457544135"/>
    <n v="72.045953282051258"/>
    <n v="67.849117117710762"/>
    <n v="20.517954290400009"/>
    <x v="3"/>
    <s v="T2"/>
    <n v="60.434043230476597"/>
    <n v="55.288576178445624"/>
    <n v="15.745623829413056"/>
    <n v="60.765010016377687"/>
    <n v="69.42293067933845"/>
  </r>
  <r>
    <n v="19"/>
    <x v="8"/>
    <x v="0"/>
    <n v="0"/>
    <n v="0"/>
    <n v="0"/>
    <n v="0"/>
    <n v="0"/>
    <n v="0"/>
    <n v="0"/>
    <n v="0"/>
    <n v="0"/>
    <n v="20.002500000000001"/>
    <n v="0"/>
    <n v="0"/>
    <n v="0"/>
    <n v="0"/>
    <n v="0"/>
    <n v="0"/>
    <n v="0"/>
    <n v="0"/>
    <n v="35.256745742400021"/>
    <n v="35.256745742400021"/>
    <n v="0"/>
    <n v="0"/>
    <n v="0"/>
    <n v="0"/>
    <n v="0"/>
    <n v="0"/>
    <n v="0"/>
    <n v="61.080904662239604"/>
    <n v="67.867671846932893"/>
    <n v="67.867671846932893"/>
    <n v="43.028103950955455"/>
    <n v="0"/>
    <n v="0"/>
    <n v="0"/>
    <n v="0"/>
    <n v="0"/>
    <n v="0"/>
    <n v="0"/>
    <n v="0"/>
    <n v="0"/>
    <n v="0"/>
    <n v="0"/>
    <n v="0"/>
    <n v="0"/>
    <n v="0"/>
    <n v="196.8162483561054"/>
    <n v="174.98917532015744"/>
    <n v="162.83002072758131"/>
    <n v="135.17424269402457"/>
    <x v="11"/>
    <s v="T4"/>
    <n v="59.559016824395385"/>
    <n v="52.953876135892855"/>
    <n v="40.905387954919675"/>
    <n v="59.559016824395385"/>
    <n v="162.83002072758126"/>
  </r>
  <r>
    <n v="20"/>
    <x v="8"/>
    <x v="1"/>
    <n v="10"/>
    <n v="0"/>
    <n v="0"/>
    <n v="12.5"/>
    <n v="0"/>
    <n v="0"/>
    <n v="15.75"/>
    <n v="0"/>
    <n v="0"/>
    <n v="0"/>
    <n v="0"/>
    <n v="0"/>
    <n v="0"/>
    <n v="0"/>
    <n v="0"/>
    <n v="0"/>
    <n v="0"/>
    <n v="0"/>
    <n v="28.5579640513440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6.807964051344015"/>
    <n v="44.175803974181342"/>
    <n v="40.608482384508804"/>
    <n v="11.7525"/>
    <x v="12"/>
    <s v="T1"/>
    <n v="43.594835031180111"/>
    <n v="33.900825681476313"/>
    <n v="9.0189519596385299"/>
    <n v="43.594835031180111"/>
    <n v="41.946227980636003"/>
  </r>
  <r>
    <n v="21"/>
    <x v="9"/>
    <x v="0"/>
    <n v="0"/>
    <n v="0"/>
    <n v="0"/>
    <n v="0"/>
    <n v="0"/>
    <n v="0"/>
    <n v="0"/>
    <n v="0"/>
    <n v="0"/>
    <n v="20.0025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67.867671846932893"/>
    <n v="67.867671846932893"/>
    <n v="67.867671846932893"/>
    <n v="0"/>
    <n v="0"/>
    <n v="0"/>
    <n v="110.15194611444596"/>
    <n v="0"/>
    <n v="0"/>
    <n v="0"/>
    <n v="0"/>
    <n v="0"/>
    <n v="0"/>
    <n v="0"/>
    <n v="0"/>
    <n v="0"/>
    <n v="0"/>
    <n v="0"/>
    <n v="245.88728980831175"/>
    <n v="204.56520920022766"/>
    <n v="185.60280078737705"/>
    <n v="148.7805886151784"/>
    <x v="13"/>
    <s v="T5"/>
    <n v="74.408517350157737"/>
    <n v="61.903947657807137"/>
    <n v="45.022835535620942"/>
    <n v="74.408517350157737"/>
    <n v="185.60280078737705"/>
  </r>
  <r>
    <n v="22"/>
    <x v="9"/>
    <x v="5"/>
    <n v="5"/>
    <n v="10"/>
    <n v="0"/>
    <n v="12.5"/>
    <n v="12.5"/>
    <n v="0"/>
    <n v="12.7575"/>
    <n v="15.75"/>
    <n v="0"/>
    <n v="0"/>
    <n v="0"/>
    <n v="0"/>
    <n v="11.961495000000003"/>
    <n v="0"/>
    <n v="0"/>
    <n v="0"/>
    <n v="0"/>
    <n v="0"/>
    <n v="17.6283728712000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6.135872871200014"/>
    <n v="40.378624290400005"/>
    <n v="39.227174574240003"/>
    <n v="0"/>
    <x v="14"/>
    <s v="T1"/>
    <n v="53.215125897807361"/>
    <n v="46.574464542866437"/>
    <n v="0"/>
    <n v="53.215125897807361"/>
    <n v="41.817936435600004"/>
  </r>
  <r>
    <n v="23"/>
    <x v="10"/>
    <x v="0"/>
    <n v="0"/>
    <n v="0"/>
    <n v="0"/>
    <n v="0"/>
    <n v="0"/>
    <n v="0"/>
    <n v="15.75"/>
    <n v="0"/>
    <n v="0"/>
    <n v="20.002500000000001"/>
    <n v="0"/>
    <n v="0"/>
    <n v="0"/>
    <n v="0"/>
    <n v="0"/>
    <n v="0"/>
    <n v="0"/>
    <n v="0"/>
    <n v="0"/>
    <n v="0"/>
    <n v="0"/>
    <n v="0"/>
    <n v="0"/>
    <n v="0"/>
    <n v="54.034770578768224"/>
    <n v="0"/>
    <n v="0"/>
    <n v="67.867671846932893"/>
    <n v="0"/>
    <n v="0"/>
    <n v="0"/>
    <n v="0"/>
    <n v="0"/>
    <n v="110.15194611444596"/>
    <n v="99.136751503001364"/>
    <n v="0"/>
    <n v="0"/>
    <n v="0"/>
    <n v="0"/>
    <n v="0"/>
    <n v="0"/>
    <n v="0"/>
    <n v="0"/>
    <n v="0"/>
    <n v="0"/>
    <n v="277.15636946438019"/>
    <n v="239.95330254293242"/>
    <n v="209.60223704663287"/>
    <n v="161.77015525748936"/>
    <x v="15"/>
    <s v="T5"/>
    <n v="83.870925341745533"/>
    <n v="72.612819838766214"/>
    <n v="48.953638122566019"/>
    <n v="83.870925341745533"/>
    <n v="209.60223704663287"/>
  </r>
  <r>
    <n v="24"/>
    <x v="10"/>
    <x v="1"/>
    <n v="0"/>
    <n v="0"/>
    <n v="0"/>
    <n v="0"/>
    <n v="0"/>
    <n v="0"/>
    <n v="15.75"/>
    <n v="15.75"/>
    <n v="0"/>
    <n v="20.002500000000001"/>
    <n v="10.001250000000001"/>
    <n v="20.0025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5.755000000000003"/>
    <n v="49.273488017114673"/>
    <n v="44.707982384508803"/>
    <n v="25.239815957066668"/>
    <x v="12"/>
    <s v="T1"/>
    <n v="42.786782940620824"/>
    <n v="37.812824616905509"/>
    <n v="19.369214004416275"/>
    <n v="43.594835031180111"/>
    <n v="44.707982384508803"/>
  </r>
  <r>
    <n v="25"/>
    <x v="10"/>
    <x v="2"/>
    <n v="0"/>
    <n v="0"/>
    <n v="0"/>
    <n v="0"/>
    <n v="0"/>
    <n v="0"/>
    <n v="0"/>
    <n v="0"/>
    <n v="0"/>
    <n v="20.002500000000001"/>
    <n v="0"/>
    <n v="0"/>
    <n v="23.922990000000006"/>
    <n v="0"/>
    <n v="0"/>
    <n v="0"/>
    <n v="0"/>
    <n v="0"/>
    <n v="35.256745742400021"/>
    <n v="35.256745742400021"/>
    <n v="0"/>
    <n v="0"/>
    <n v="0"/>
    <n v="0"/>
    <n v="54.0347705787682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24.54826206356827"/>
    <n v="98.28470009557671"/>
    <n v="100.27017899397529"/>
    <n v="0"/>
    <x v="16"/>
    <s v="T3"/>
    <n v="61.17211070413191"/>
    <n v="48.272713365525803"/>
    <n v="0"/>
    <n v="61.17211070413191"/>
    <n v="98.284700095576696"/>
  </r>
  <r>
    <n v="26"/>
    <x v="10"/>
    <x v="4"/>
    <n v="0"/>
    <n v="0"/>
    <n v="0"/>
    <n v="0"/>
    <n v="0"/>
    <n v="0"/>
    <n v="0"/>
    <n v="0"/>
    <n v="0"/>
    <n v="20.002500000000001"/>
    <n v="0"/>
    <n v="0"/>
    <n v="23.922990000000006"/>
    <n v="11.961495000000003"/>
    <n v="0"/>
    <n v="0"/>
    <n v="0"/>
    <n v="0"/>
    <n v="35.256745742400021"/>
    <n v="0"/>
    <n v="0"/>
    <n v="0"/>
    <n v="0"/>
    <n v="0"/>
    <n v="54.0347705787682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3.21450632116824"/>
    <n v="90.382566173704134"/>
    <n v="78.181245807704414"/>
    <n v="39.919510172469877"/>
    <x v="17"/>
    <s v="T3"/>
    <n v="86.881616136550448"/>
    <n v="69.360223127801575"/>
    <n v="30.634515592240586"/>
    <n v="86.881616136550448"/>
    <n v="78.1812458077044"/>
  </r>
  <r>
    <n v="27"/>
    <x v="11"/>
    <x v="0"/>
    <n v="0"/>
    <n v="0"/>
    <n v="0"/>
    <n v="0"/>
    <n v="0"/>
    <n v="0"/>
    <n v="0"/>
    <n v="0"/>
    <n v="0"/>
    <n v="20.002500000000001"/>
    <n v="0"/>
    <n v="0"/>
    <n v="0"/>
    <n v="0"/>
    <n v="0"/>
    <n v="0"/>
    <n v="0"/>
    <n v="0"/>
    <n v="35.256745742400021"/>
    <n v="0"/>
    <n v="0"/>
    <n v="0"/>
    <n v="0"/>
    <n v="0"/>
    <n v="0"/>
    <n v="0"/>
    <n v="0"/>
    <n v="67.867671846932893"/>
    <n v="67.867671846932893"/>
    <n v="0"/>
    <n v="0"/>
    <n v="0"/>
    <n v="0"/>
    <n v="0"/>
    <n v="0"/>
    <n v="0"/>
    <n v="0"/>
    <n v="0"/>
    <n v="0"/>
    <n v="92.790236975671462"/>
    <n v="0"/>
    <n v="0"/>
    <n v="0"/>
    <n v="0"/>
    <n v="0"/>
    <n v="228.52558066953725"/>
    <n v="250.52307998074306"/>
    <n v="223.87551554692007"/>
    <n v="174.98917532015744"/>
    <x v="15"/>
    <s v="T5"/>
    <n v="69.15465068349107"/>
    <n v="75.81136445846478"/>
    <n v="52.953876135892862"/>
    <n v="83.870925341745533"/>
    <n v="223.8755155469201"/>
  </r>
  <r>
    <n v="28"/>
    <x v="12"/>
    <x v="0"/>
    <n v="0"/>
    <n v="0"/>
    <n v="0"/>
    <n v="1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7.867671846932893"/>
    <n v="67.867671846932893"/>
    <n v="0"/>
    <n v="0"/>
    <n v="0"/>
    <n v="0"/>
    <n v="110.15194611444596"/>
    <n v="99.136751503001364"/>
    <n v="0"/>
    <n v="0"/>
    <n v="0"/>
    <n v="0"/>
    <n v="0"/>
    <n v="0"/>
    <n v="0"/>
    <n v="0"/>
    <n v="0"/>
    <n v="0"/>
    <n v="277.15636946438019"/>
    <n v="260.9461065327659"/>
    <n v="245.10837155254296"/>
    <n v="204.56520920022766"/>
    <x v="15"/>
    <s v="T5"/>
    <n v="83.870925341745533"/>
    <n v="78.965500455660717"/>
    <n v="61.903947657807144"/>
    <n v="83.870925341745533"/>
    <n v="245.10837155254293"/>
  </r>
  <r>
    <n v="29"/>
    <x v="12"/>
    <x v="4"/>
    <n v="10"/>
    <n v="0"/>
    <n v="0"/>
    <n v="0"/>
    <n v="0"/>
    <n v="0"/>
    <n v="0"/>
    <n v="0"/>
    <n v="0"/>
    <n v="20.002500000000001"/>
    <n v="0"/>
    <n v="0"/>
    <n v="0"/>
    <n v="0"/>
    <n v="0"/>
    <n v="0"/>
    <n v="0"/>
    <n v="0"/>
    <n v="31.731071168160021"/>
    <n v="0"/>
    <n v="0"/>
    <n v="0"/>
    <n v="0"/>
    <n v="0"/>
    <n v="39.3913477519220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1.124918920082052"/>
    <n v="94.363460566264806"/>
    <n v="84.095457017480811"/>
    <n v="66.313588753269883"/>
    <x v="17"/>
    <s v="T3"/>
    <n v="69.929909897143261"/>
    <n v="72.415189754723428"/>
    <n v="50.889518931033145"/>
    <n v="86.881616136550448"/>
    <n v="84.765296062478896"/>
  </r>
  <r>
    <n v="30"/>
    <x v="13"/>
    <x v="0"/>
    <n v="0"/>
    <n v="0"/>
    <n v="0"/>
    <n v="0"/>
    <n v="0"/>
    <n v="0"/>
    <n v="0"/>
    <n v="0"/>
    <n v="0"/>
    <n v="20.002500000000001"/>
    <n v="0"/>
    <n v="0"/>
    <n v="0"/>
    <n v="0"/>
    <n v="0"/>
    <n v="0"/>
    <n v="0"/>
    <n v="0"/>
    <n v="35.256745742400021"/>
    <n v="0"/>
    <n v="0"/>
    <n v="0"/>
    <n v="0"/>
    <n v="0"/>
    <n v="0"/>
    <n v="0"/>
    <n v="0"/>
    <n v="67.867671846932893"/>
    <n v="67.867671846932893"/>
    <n v="0"/>
    <n v="0"/>
    <n v="0"/>
    <n v="0"/>
    <n v="110.15194611444596"/>
    <n v="80.300768717431112"/>
    <n v="0"/>
    <n v="84.036360478166031"/>
    <n v="0"/>
    <n v="0"/>
    <n v="92.790236975671462"/>
    <n v="0"/>
    <n v="0"/>
    <n v="0"/>
    <n v="0"/>
    <n v="0"/>
    <n v="286.97854356828344"/>
    <n v="264.22016456740027"/>
    <n v="263.14083059497858"/>
    <n v="239.95330254293245"/>
    <x v="18"/>
    <s v="T5"/>
    <n v="86.843236000000019"/>
    <n v="79.956270675078883"/>
    <n v="72.612819838766214"/>
    <n v="86.843236000000019"/>
    <n v="263.14083059497858"/>
  </r>
  <r>
    <n v="31"/>
    <x v="13"/>
    <x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.256745742400021"/>
    <n v="35.256745742400021"/>
    <n v="0"/>
    <n v="0"/>
    <n v="0"/>
    <n v="0"/>
    <n v="39.391347751922041"/>
    <n v="0"/>
    <n v="0"/>
    <n v="54.972814196015648"/>
    <n v="0"/>
    <n v="0"/>
    <n v="0"/>
    <n v="0"/>
    <n v="0"/>
    <n v="0"/>
    <n v="0"/>
    <n v="0"/>
    <n v="0"/>
    <n v="0"/>
    <n v="0"/>
    <n v="0"/>
    <n v="0"/>
    <n v="0"/>
    <n v="0"/>
    <n v="0"/>
    <n v="0"/>
    <n v="129.6209076903377"/>
    <n v="107.07553687849821"/>
    <n v="105.54468106372821"/>
    <n v="34.41613244719106"/>
    <x v="19"/>
    <s v="T3"/>
    <n v="63.663550044210325"/>
    <n v="52.590349211719825"/>
    <n v="16.903547501876087"/>
    <n v="63.663550044210325"/>
    <n v="106.11875199426696"/>
  </r>
  <r>
    <n v="32"/>
    <x v="13"/>
    <x v="5"/>
    <n v="10"/>
    <n v="0"/>
    <n v="0"/>
    <n v="0"/>
    <n v="0"/>
    <n v="0"/>
    <n v="15.75"/>
    <n v="15.75"/>
    <n v="0"/>
    <n v="18.00225"/>
    <n v="10.001250000000001"/>
    <n v="0"/>
    <n v="11.961495000000003"/>
    <n v="0"/>
    <n v="0"/>
    <n v="0"/>
    <n v="0"/>
    <n v="0"/>
    <n v="17.6283728712000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1.380622871200011"/>
    <n v="45.005498580800008"/>
    <n v="42.003299148480004"/>
    <n v="0"/>
    <x v="20"/>
    <s v="T1"/>
    <n v="59.264649060221636"/>
    <n v="51.911302941141656"/>
    <n v="0"/>
    <n v="59.264649060221636"/>
    <n v="45.005498580800008"/>
  </r>
  <r>
    <n v="33"/>
    <x v="14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.256745742400021"/>
    <n v="0"/>
    <n v="0"/>
    <n v="0"/>
    <n v="0"/>
    <n v="0"/>
    <n v="0"/>
    <n v="0"/>
    <n v="0"/>
    <n v="67.867671846932893"/>
    <n v="67.867671846932893"/>
    <n v="0"/>
    <n v="0"/>
    <n v="0"/>
    <n v="0"/>
    <n v="110.15194611444596"/>
    <n v="0"/>
    <n v="0"/>
    <n v="0"/>
    <n v="0"/>
    <n v="0"/>
    <n v="92.790236975671462"/>
    <n v="0"/>
    <n v="0"/>
    <n v="0"/>
    <n v="0"/>
    <n v="0"/>
    <n v="270.80985493705032"/>
    <n v="278.3149226565713"/>
    <n v="268.12534362072626"/>
    <n v="250.52307998074306"/>
    <x v="18"/>
    <s v="T5"/>
    <n v="81.950392008412209"/>
    <n v="84.22151778338592"/>
    <n v="75.81136445846478"/>
    <n v="86.843236000000019"/>
    <n v="271.59768544848123"/>
  </r>
  <r>
    <n v="34"/>
    <x v="14"/>
    <x v="5"/>
    <n v="10"/>
    <n v="10"/>
    <n v="0"/>
    <n v="12.5"/>
    <n v="0"/>
    <n v="0"/>
    <n v="15.75"/>
    <n v="0"/>
    <n v="0"/>
    <n v="18.00225"/>
    <n v="0"/>
    <n v="0"/>
    <n v="0"/>
    <n v="0"/>
    <n v="0"/>
    <n v="0"/>
    <n v="0"/>
    <n v="0"/>
    <n v="23.13195088158865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6.884200881588654"/>
    <n v="51.466898874662895"/>
    <n v="45.880139324797739"/>
    <n v="12.5"/>
    <x v="21"/>
    <s v="T1"/>
    <n v="65.612715726888311"/>
    <n v="59.364163561639103"/>
    <n v="14.418044621798659"/>
    <n v="65.612715726888311"/>
    <n v="47.975174155997166"/>
  </r>
  <r>
    <n v="35"/>
    <x v="14"/>
    <x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.256745742400021"/>
    <n v="35.256745742400021"/>
    <n v="0"/>
    <n v="0"/>
    <n v="0"/>
    <n v="0"/>
    <n v="0"/>
    <n v="0"/>
    <n v="0"/>
    <n v="67.867671846932893"/>
    <n v="0"/>
    <n v="0"/>
    <n v="0"/>
    <n v="0"/>
    <n v="0"/>
    <n v="0"/>
    <n v="0"/>
    <n v="0"/>
    <n v="0"/>
    <n v="0"/>
    <n v="0"/>
    <n v="0"/>
    <n v="0"/>
    <n v="0"/>
    <n v="0"/>
    <n v="0"/>
    <n v="0"/>
    <n v="138.38116333173295"/>
    <n v="130.85011102854631"/>
    <n v="112.57123426176017"/>
    <n v="56.76861274105395"/>
    <x v="22"/>
    <s v="T4"/>
    <n v="67.966165905830437"/>
    <n v="64.267275551390895"/>
    <n v="27.882009797481832"/>
    <n v="67.966165905830437"/>
    <n v="112.57123426176017"/>
  </r>
  <r>
    <n v="36"/>
    <x v="14"/>
    <x v="4"/>
    <n v="10"/>
    <n v="0"/>
    <n v="0"/>
    <n v="0"/>
    <n v="0"/>
    <n v="0"/>
    <n v="0"/>
    <n v="0"/>
    <n v="0"/>
    <n v="20.002500000000001"/>
    <n v="0"/>
    <n v="0"/>
    <n v="0"/>
    <n v="0"/>
    <n v="0"/>
    <n v="0"/>
    <n v="0"/>
    <n v="0"/>
    <n v="35.256745742400021"/>
    <n v="0"/>
    <n v="0"/>
    <n v="0"/>
    <n v="0"/>
    <n v="0"/>
    <n v="43.7681641688022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9.027409911202284"/>
    <n v="101.12227838415086"/>
    <n v="92.260005470479342"/>
    <n v="72.045953282051258"/>
    <x v="17"/>
    <s v="T3"/>
    <n v="75.994337602770969"/>
    <n v="77.601954545488226"/>
    <n v="55.288576178445624"/>
    <n v="86.881616136550448"/>
    <n v="92.260005470479356"/>
  </r>
  <r>
    <n v="37"/>
    <x v="14"/>
    <x v="6"/>
    <n v="10"/>
    <n v="5"/>
    <n v="5"/>
    <n v="6.25"/>
    <n v="6.25"/>
    <n v="0"/>
    <n v="0"/>
    <n v="0"/>
    <n v="0"/>
    <n v="10.001250000000001"/>
    <n v="10.00125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.002500000000001"/>
    <n v="30.002500000000005"/>
    <n v="30.002500000000005"/>
    <n v="0"/>
    <x v="23"/>
    <s v="T1"/>
    <n v="49.997916927050781"/>
    <n v="49.997916927050781"/>
    <n v="0"/>
    <n v="49.997916927050781"/>
    <n v="30.002500000000001"/>
  </r>
  <r>
    <n v="38"/>
    <x v="15"/>
    <x v="0"/>
    <n v="0"/>
    <n v="0"/>
    <n v="0"/>
    <n v="0"/>
    <n v="0"/>
    <n v="0"/>
    <n v="0"/>
    <n v="0"/>
    <n v="0"/>
    <n v="20.0025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67.867671846932893"/>
    <n v="0"/>
    <n v="0"/>
    <n v="0"/>
    <n v="0"/>
    <n v="0"/>
    <n v="110.15194611444596"/>
    <n v="0"/>
    <n v="0"/>
    <n v="103.74859318292101"/>
    <n v="0"/>
    <n v="0"/>
    <n v="92.790236975671462"/>
    <n v="0"/>
    <n v="0"/>
    <n v="0"/>
    <n v="0"/>
    <n v="0"/>
    <n v="306.69077627303841"/>
    <n v="288.15972492612406"/>
    <n v="274.03222498245793"/>
    <n v="260.9461065327659"/>
    <x v="24"/>
    <s v="T5"/>
    <n v="92.80840000000002"/>
    <n v="87.200676002804087"/>
    <n v="78.965500455660717"/>
    <n v="92.80840000000002"/>
    <n v="283.75838274142654"/>
  </r>
  <r>
    <n v="39"/>
    <x v="15"/>
    <x v="1"/>
    <n v="0"/>
    <n v="0"/>
    <n v="0"/>
    <n v="12.5"/>
    <n v="0"/>
    <n v="0"/>
    <n v="15.75"/>
    <n v="0"/>
    <n v="0"/>
    <n v="20.0025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8.252499999999998"/>
    <n v="53.605154683781336"/>
    <n v="47.3069823845088"/>
    <n v="36.992315957066666"/>
    <x v="12"/>
    <s v="T1"/>
    <n v="37.029311162089613"/>
    <n v="41.136976377963514"/>
    <n v="28.388165964054807"/>
    <n v="43.594835031180111"/>
    <n v="47.3069823845088"/>
  </r>
  <r>
    <n v="40"/>
    <x v="16"/>
    <x v="1"/>
    <n v="0"/>
    <n v="0"/>
    <n v="0"/>
    <n v="0"/>
    <n v="0"/>
    <n v="0"/>
    <n v="15.75"/>
    <n v="0"/>
    <n v="0"/>
    <n v="18.00225"/>
    <n v="20.0025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3.754750000000001"/>
    <n v="52.587416666666662"/>
    <n v="49.965542810268794"/>
    <n v="44.175803974181342"/>
    <x v="25"/>
    <s v="T1"/>
    <n v="41.251776885971438"/>
    <n v="40.355956996227292"/>
    <n v="33.900825681476313"/>
    <n v="42.786782940620824"/>
    <n v="51.006432384508805"/>
  </r>
  <r>
    <n v="41"/>
    <x v="17"/>
    <x v="0"/>
    <n v="0"/>
    <n v="0"/>
    <n v="0"/>
    <n v="12.5"/>
    <n v="0"/>
    <n v="0"/>
    <n v="0"/>
    <n v="0"/>
    <n v="0"/>
    <n v="0"/>
    <n v="0"/>
    <n v="0"/>
    <n v="0"/>
    <n v="0"/>
    <n v="0"/>
    <n v="0"/>
    <n v="0"/>
    <n v="0"/>
    <n v="35.256745742400021"/>
    <n v="35.256745742400021"/>
    <n v="35.2567457424000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5.77023722720006"/>
    <n v="227.7569561457629"/>
    <n v="249.48115629399047"/>
    <n v="264.22016456740033"/>
    <x v="24"/>
    <s v="T5"/>
    <n v="32.007374346131726"/>
    <n v="68.922055451514652"/>
    <n v="79.956270675078869"/>
    <n v="92.80840000000002"/>
    <n v="283.75838274142654"/>
  </r>
  <r>
    <n v="42"/>
    <x v="17"/>
    <x v="1"/>
    <n v="0"/>
    <n v="0"/>
    <n v="0"/>
    <n v="12.5"/>
    <n v="0"/>
    <n v="0"/>
    <n v="0"/>
    <n v="0"/>
    <n v="0"/>
    <n v="20.002500000000001"/>
    <n v="0"/>
    <n v="0"/>
    <n v="0"/>
    <n v="0"/>
    <n v="0"/>
    <n v="23.408167255200009"/>
    <n v="0"/>
    <n v="0"/>
    <n v="35.256745742400021"/>
    <n v="35.256745742400021"/>
    <n v="23.13195088158865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3.921658740000055"/>
    <n v="65.309636246666685"/>
    <n v="61.69837455826881"/>
    <n v="49.273488017114666"/>
    <x v="26"/>
    <s v="T2"/>
    <n v="72.076147895820014"/>
    <n v="50.119078647960357"/>
    <n v="37.812824616905509"/>
    <n v="72.076147895820014"/>
    <n v="61.69837455826881"/>
  </r>
  <r>
    <n v="43"/>
    <x v="18"/>
    <x v="1"/>
    <n v="0"/>
    <n v="0"/>
    <n v="0"/>
    <n v="0"/>
    <n v="0"/>
    <n v="0"/>
    <n v="15.75"/>
    <n v="0"/>
    <n v="0"/>
    <n v="0"/>
    <n v="0"/>
    <n v="0"/>
    <n v="0"/>
    <n v="0"/>
    <n v="0"/>
    <n v="0"/>
    <n v="0"/>
    <n v="0"/>
    <n v="35.256745742400021"/>
    <n v="35.2567457424000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6.263491484800042"/>
    <n v="77.979966741600037"/>
    <n v="67.589480044960027"/>
    <n v="53.605154683781336"/>
    <x v="26"/>
    <s v="T2"/>
    <n v="66.199215960187104"/>
    <n v="59.84238024732619"/>
    <n v="41.136976377963514"/>
    <n v="72.076147895820014"/>
    <n v="69.300572855228822"/>
  </r>
  <r>
    <n v="44"/>
    <x v="18"/>
    <x v="0"/>
    <n v="0"/>
    <n v="0"/>
    <n v="0"/>
    <n v="0"/>
    <n v="0"/>
    <n v="0"/>
    <n v="0"/>
    <n v="0"/>
    <n v="0"/>
    <n v="20.002500000000001"/>
    <n v="0"/>
    <n v="0"/>
    <n v="0"/>
    <n v="0"/>
    <n v="0"/>
    <n v="0"/>
    <n v="0"/>
    <n v="0"/>
    <n v="0"/>
    <n v="0"/>
    <n v="0"/>
    <n v="0"/>
    <n v="0"/>
    <n v="0"/>
    <n v="54.034770578768224"/>
    <n v="0"/>
    <n v="0"/>
    <n v="67.867671846932893"/>
    <n v="67.867671846932893"/>
    <n v="0"/>
    <n v="86.056207901910909"/>
    <n v="0"/>
    <n v="0"/>
    <n v="0"/>
    <n v="0"/>
    <n v="0"/>
    <n v="0"/>
    <n v="0"/>
    <n v="0"/>
    <n v="0"/>
    <n v="0"/>
    <n v="0"/>
    <n v="0"/>
    <n v="0"/>
    <n v="0"/>
    <n v="221.7915515957767"/>
    <n v="211.41752169867169"/>
    <n v="238.4081927202698"/>
    <n v="278.31492265657135"/>
    <x v="24"/>
    <s v="T5"/>
    <n v="67.116850683491066"/>
    <n v="63.977541676540937"/>
    <n v="84.22151778338592"/>
    <n v="92.80840000000002"/>
    <n v="283.75838274142654"/>
  </r>
  <r>
    <n v="45"/>
    <x v="18"/>
    <x v="4"/>
    <n v="0"/>
    <n v="0"/>
    <n v="0"/>
    <n v="0"/>
    <n v="0"/>
    <n v="0"/>
    <n v="0"/>
    <n v="0"/>
    <n v="0"/>
    <n v="20.002500000000001"/>
    <n v="0"/>
    <n v="0"/>
    <n v="0"/>
    <n v="0"/>
    <n v="0"/>
    <n v="0"/>
    <n v="0"/>
    <n v="0"/>
    <n v="35.256745742400021"/>
    <n v="35.2567457424000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0.51599148480004"/>
    <n v="93.55610677202813"/>
    <n v="94.526756618959354"/>
    <n v="90.38256617370412"/>
    <x v="27"/>
    <s v="T3"/>
    <n v="69.462614659048015"/>
    <n v="71.795620719654082"/>
    <n v="69.360223127801575"/>
    <n v="75.994337602770969"/>
    <n v="94.613012475930532"/>
  </r>
  <r>
    <n v="46"/>
    <x v="18"/>
    <x v="2"/>
    <n v="0"/>
    <n v="0"/>
    <n v="0"/>
    <n v="0"/>
    <n v="0"/>
    <n v="0"/>
    <n v="0"/>
    <n v="0"/>
    <n v="0"/>
    <n v="0"/>
    <n v="0"/>
    <n v="0"/>
    <n v="0"/>
    <n v="0"/>
    <n v="0"/>
    <n v="28.898971920000012"/>
    <n v="0"/>
    <n v="0"/>
    <n v="35.256745742400021"/>
    <n v="0"/>
    <n v="0"/>
    <n v="0"/>
    <n v="0"/>
    <n v="0"/>
    <n v="54.0347705787682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8.19048824116825"/>
    <n v="128.73085308774631"/>
    <n v="115.55965244167916"/>
    <n v="98.284700095576696"/>
    <x v="22"/>
    <s v="T3"/>
    <n v="58.049478259070689"/>
    <n v="63.226398069703819"/>
    <n v="48.27271336552581"/>
    <n v="67.966165905830437"/>
    <n v="122.79784373367609"/>
  </r>
  <r>
    <n v="47"/>
    <x v="18"/>
    <x v="5"/>
    <n v="0"/>
    <n v="0"/>
    <n v="0"/>
    <n v="0"/>
    <n v="0"/>
    <n v="0"/>
    <n v="15.75"/>
    <n v="15.75"/>
    <n v="0"/>
    <n v="20.002500000000001"/>
    <n v="0"/>
    <n v="0"/>
    <n v="0"/>
    <n v="0"/>
    <n v="0"/>
    <n v="0"/>
    <n v="0"/>
    <n v="0"/>
    <n v="17.6283728712000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3.380872871200012"/>
    <n v="53.881898874662888"/>
    <n v="49.05631389903774"/>
    <n v="27.878624290400001"/>
    <x v="21"/>
    <s v="T1"/>
    <n v="61.571824560601861"/>
    <n v="62.149729782570603"/>
    <n v="32.15641992106778"/>
    <n v="65.612715726888311"/>
    <n v="49.056313899037733"/>
  </r>
  <r>
    <n v="48"/>
    <x v="18"/>
    <x v="7"/>
    <n v="10"/>
    <n v="0"/>
    <n v="0"/>
    <n v="12.5"/>
    <n v="0"/>
    <n v="0"/>
    <n v="15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8.25"/>
    <n v="38.25"/>
    <n v="38.25"/>
    <n v="0"/>
    <x v="28"/>
    <s v="T1"/>
    <n v="63.742032245969249"/>
    <n v="63.742032245969241"/>
    <n v="0"/>
    <n v="63.742032245969249"/>
    <n v="38.25"/>
  </r>
  <r>
    <n v="49"/>
    <x v="19"/>
    <x v="0"/>
    <n v="0"/>
    <n v="0"/>
    <n v="0"/>
    <n v="0"/>
    <n v="0"/>
    <n v="0"/>
    <n v="0"/>
    <n v="0"/>
    <n v="0"/>
    <n v="20.002500000000001"/>
    <n v="0"/>
    <n v="0"/>
    <n v="23.922990000000006"/>
    <n v="0"/>
    <n v="0"/>
    <n v="0"/>
    <n v="0"/>
    <n v="0"/>
    <n v="0"/>
    <n v="0"/>
    <n v="0"/>
    <n v="0"/>
    <n v="0"/>
    <n v="0"/>
    <n v="0"/>
    <n v="0"/>
    <n v="0"/>
    <n v="67.867671846932893"/>
    <n v="67.867671846932893"/>
    <n v="67.867671846932893"/>
    <n v="0"/>
    <n v="0"/>
    <n v="0"/>
    <n v="0"/>
    <n v="0"/>
    <n v="0"/>
    <n v="0"/>
    <n v="0"/>
    <n v="0"/>
    <n v="0"/>
    <n v="0"/>
    <n v="0"/>
    <n v="0"/>
    <n v="0"/>
    <n v="0"/>
    <n v="203.60301554079868"/>
    <n v="177.05493478792516"/>
    <n v="221.73308711477281"/>
    <n v="288.15972492612406"/>
    <x v="29"/>
    <s v="T5"/>
    <n v="61.612776025236599"/>
    <n v="53.579000351619797"/>
    <n v="87.200676002804087"/>
    <n v="67.116850683491066"/>
    <n v="283.75838274142654"/>
  </r>
  <r>
    <n v="50"/>
    <x v="19"/>
    <x v="1"/>
    <n v="0"/>
    <n v="0"/>
    <n v="0"/>
    <n v="0"/>
    <n v="0"/>
    <n v="0"/>
    <n v="15.75"/>
    <n v="0"/>
    <n v="0"/>
    <n v="20.002500000000001"/>
    <n v="0"/>
    <n v="0"/>
    <n v="0"/>
    <n v="0"/>
    <n v="0"/>
    <n v="0"/>
    <n v="0"/>
    <n v="0"/>
    <n v="35.256745742400021"/>
    <n v="35.2567457424000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0.51599148480004"/>
    <n v="90.233713903200055"/>
    <n v="74.541678341920033"/>
    <n v="52.587416666666662"/>
    <x v="26"/>
    <s v="T3"/>
    <n v="69.462614659048015"/>
    <n v="69.245992838351711"/>
    <n v="40.355956996227292"/>
    <n v="72.076147895820014"/>
    <n v="76.652821152188835"/>
  </r>
  <r>
    <n v="51"/>
    <x v="19"/>
    <x v="5"/>
    <n v="0"/>
    <n v="0"/>
    <n v="0"/>
    <n v="0"/>
    <n v="0"/>
    <n v="0"/>
    <n v="15.75"/>
    <n v="15.75"/>
    <n v="0"/>
    <n v="20.002500000000001"/>
    <n v="20.002500000000001"/>
    <n v="0"/>
    <n v="0"/>
    <n v="0"/>
    <n v="0"/>
    <n v="0"/>
    <n v="0"/>
    <n v="0"/>
    <n v="35.256745742400021"/>
    <n v="17.6283728712000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5.261745742400024"/>
    <n v="61.842273165062892"/>
    <n v="56.608663047517744"/>
    <n v="45.005498580800008"/>
    <x v="30"/>
    <s v="T2"/>
    <n v="86.810176674271105"/>
    <n v="71.3315723205871"/>
    <n v="51.911302941141656"/>
    <n v="86.810176674271105"/>
    <n v="56.608663047517744"/>
  </r>
  <r>
    <n v="52"/>
    <x v="20"/>
    <x v="8"/>
    <n v="0"/>
    <n v="0"/>
    <n v="0"/>
    <n v="0"/>
    <n v="0"/>
    <n v="0"/>
    <n v="15.75"/>
    <n v="0"/>
    <n v="0"/>
    <n v="0"/>
    <n v="0"/>
    <n v="0"/>
    <n v="0"/>
    <n v="0"/>
    <n v="0"/>
    <n v="0"/>
    <n v="0"/>
    <n v="0"/>
    <n v="35.256745742400021"/>
    <n v="35.256745742400021"/>
    <n v="0"/>
    <n v="0"/>
    <n v="0"/>
    <n v="0"/>
    <n v="54.034770578768224"/>
    <n v="27.0173852893841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24.54826206356827"/>
    <n v="124.54826206356827"/>
    <n v="124.54826206356827"/>
    <n v="0"/>
    <x v="16"/>
    <s v="T3"/>
    <n v="61.17211070413191"/>
    <n v="61.17211070413191"/>
    <n v="0"/>
    <n v="61.17211070413191"/>
    <n v="124.54826206356827"/>
  </r>
  <r>
    <n v="53"/>
    <x v="20"/>
    <x v="5"/>
    <n v="0"/>
    <n v="0"/>
    <n v="0"/>
    <n v="0"/>
    <n v="0"/>
    <n v="0"/>
    <n v="15.75"/>
    <n v="0"/>
    <n v="0"/>
    <n v="20.002500000000001"/>
    <n v="0"/>
    <n v="0"/>
    <n v="0"/>
    <n v="0"/>
    <n v="0"/>
    <n v="0"/>
    <n v="0"/>
    <n v="0"/>
    <n v="35.2567457424000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1.009245742400026"/>
    <n v="66.550621452000016"/>
    <n v="61.58333762175775"/>
    <n v="51.466898874662888"/>
    <x v="30"/>
    <s v="T2"/>
    <n v="81.905157893935197"/>
    <n v="76.76238637626939"/>
    <n v="59.364163561639096"/>
    <n v="86.810176674271105"/>
    <n v="61.583337621757735"/>
  </r>
  <r>
    <n v="54"/>
    <x v="20"/>
    <x v="7"/>
    <n v="10"/>
    <n v="0"/>
    <n v="0"/>
    <n v="12.5"/>
    <n v="0"/>
    <n v="0"/>
    <n v="15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8.25"/>
    <n v="38.25"/>
    <n v="38.25"/>
    <n v="0"/>
    <x v="28"/>
    <s v="T1"/>
    <n v="63.742032245969249"/>
    <n v="63.742032245969241"/>
    <n v="0"/>
    <n v="63.742032245969249"/>
    <n v="38.25"/>
  </r>
  <r>
    <n v="55"/>
    <x v="20"/>
    <x v="4"/>
    <n v="0"/>
    <n v="0"/>
    <n v="0"/>
    <n v="0"/>
    <n v="0"/>
    <n v="0"/>
    <n v="0"/>
    <n v="0"/>
    <n v="0"/>
    <n v="20.002500000000001"/>
    <n v="0"/>
    <n v="0"/>
    <n v="0"/>
    <n v="0"/>
    <n v="0"/>
    <n v="0"/>
    <n v="0"/>
    <n v="0"/>
    <n v="35.256745742400021"/>
    <n v="35.256745742400021"/>
    <n v="0"/>
    <n v="0"/>
    <n v="0"/>
    <n v="0"/>
    <n v="0"/>
    <n v="0"/>
    <n v="0"/>
    <n v="33.933835923466447"/>
    <n v="0"/>
    <n v="0"/>
    <n v="0"/>
    <n v="0"/>
    <n v="0"/>
    <n v="0"/>
    <n v="0"/>
    <n v="0"/>
    <n v="0"/>
    <n v="0"/>
    <n v="0"/>
    <n v="0"/>
    <n v="0"/>
    <n v="0"/>
    <n v="0"/>
    <n v="0"/>
    <n v="0"/>
    <n v="104.44732740826649"/>
    <n v="97.996909601422942"/>
    <n v="99.66603080910383"/>
    <n v="94.363460566264806"/>
    <x v="31"/>
    <s v="T3"/>
    <n v="80.153620779220773"/>
    <n v="75.203524347013243"/>
    <n v="72.415189754723443"/>
    <n v="80.153620779220773"/>
    <n v="99.66603080910383"/>
  </r>
  <r>
    <n v="56"/>
    <x v="2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.256745742400021"/>
    <n v="0"/>
    <n v="0"/>
    <n v="0"/>
    <n v="0"/>
    <n v="0"/>
    <n v="0"/>
    <n v="0"/>
    <n v="0"/>
    <n v="67.867671846932893"/>
    <n v="67.867671846932893"/>
    <n v="0"/>
    <n v="0"/>
    <n v="0"/>
    <n v="0"/>
    <n v="0"/>
    <n v="0"/>
    <n v="0"/>
    <n v="93.373733864628917"/>
    <n v="0"/>
    <n v="0"/>
    <n v="0"/>
    <n v="0"/>
    <n v="0"/>
    <n v="0"/>
    <n v="0"/>
    <n v="0"/>
    <n v="229.1090775584947"/>
    <n v="218.16788156502332"/>
    <n v="213.39293163906171"/>
    <n v="227.75695614576293"/>
    <x v="32"/>
    <s v="T5"/>
    <n v="69.331224016824407"/>
    <n v="66.020283575184024"/>
    <n v="68.922055451514652"/>
    <n v="69.331224016824407"/>
    <n v="283.75838274142654"/>
  </r>
  <r>
    <n v="57"/>
    <x v="20"/>
    <x v="2"/>
    <n v="0"/>
    <n v="0"/>
    <n v="0"/>
    <n v="0"/>
    <n v="0"/>
    <n v="0"/>
    <n v="0"/>
    <n v="0"/>
    <n v="0"/>
    <n v="20.002500000000001"/>
    <n v="0"/>
    <n v="0"/>
    <n v="0"/>
    <n v="0"/>
    <n v="0"/>
    <n v="0"/>
    <n v="0"/>
    <n v="0"/>
    <n v="17.628372871200011"/>
    <n v="35.256745742400021"/>
    <n v="35.256745742400021"/>
    <n v="0"/>
    <n v="0"/>
    <n v="0"/>
    <n v="0"/>
    <n v="0"/>
    <n v="0"/>
    <n v="67.867671846932893"/>
    <n v="0"/>
    <n v="0"/>
    <n v="0"/>
    <n v="0"/>
    <n v="0"/>
    <n v="0"/>
    <n v="0"/>
    <n v="0"/>
    <n v="0"/>
    <n v="0"/>
    <n v="0"/>
    <n v="0"/>
    <n v="0"/>
    <n v="0"/>
    <n v="0"/>
    <n v="0"/>
    <n v="0"/>
    <n v="138.38116333173295"/>
    <n v="131.65093830154473"/>
    <n v="129.82439693170801"/>
    <n v="107.07553687849821"/>
    <x v="22"/>
    <s v="T4"/>
    <n v="67.966165905830437"/>
    <n v="64.660603356910514"/>
    <n v="52.590349211719825"/>
    <n v="67.966165905830437"/>
    <n v="129.82439693170801"/>
  </r>
  <r>
    <n v="58"/>
    <x v="21"/>
    <x v="5"/>
    <n v="0"/>
    <n v="0"/>
    <n v="0"/>
    <n v="0"/>
    <n v="0"/>
    <n v="0"/>
    <n v="15.75"/>
    <n v="15.75"/>
    <n v="0"/>
    <n v="20.002500000000001"/>
    <n v="20.002500000000001"/>
    <n v="0"/>
    <n v="0"/>
    <n v="0"/>
    <n v="0"/>
    <n v="0"/>
    <n v="0"/>
    <n v="0"/>
    <n v="17.628372871200011"/>
    <n v="35.2567457424000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5.261745742400024"/>
    <n v="73.84424574240002"/>
    <n v="66.359562195997754"/>
    <n v="53.881898874662888"/>
    <x v="30"/>
    <s v="T2"/>
    <n v="86.810176674271105"/>
    <n v="85.17517041415914"/>
    <n v="62.149729782570603"/>
    <n v="86.810176674271105"/>
    <n v="66.359562195997754"/>
  </r>
  <r>
    <n v="59"/>
    <x v="22"/>
    <x v="1"/>
    <n v="0"/>
    <n v="0"/>
    <n v="0"/>
    <n v="12.5"/>
    <n v="0"/>
    <n v="0"/>
    <n v="15.75"/>
    <n v="0"/>
    <n v="0"/>
    <n v="20.002500000000001"/>
    <n v="0"/>
    <n v="0"/>
    <n v="0"/>
    <n v="0"/>
    <n v="0"/>
    <n v="0"/>
    <n v="0"/>
    <n v="0"/>
    <n v="31.731071168160021"/>
    <n v="35.256745742400021"/>
    <n v="0"/>
    <n v="0"/>
    <n v="0"/>
    <n v="0"/>
    <n v="0"/>
    <n v="0"/>
    <n v="0"/>
    <n v="33.933835923466447"/>
    <n v="0"/>
    <n v="0"/>
    <n v="0"/>
    <n v="0"/>
    <n v="0"/>
    <n v="0"/>
    <n v="0"/>
    <n v="0"/>
    <n v="0"/>
    <n v="0"/>
    <n v="0"/>
    <n v="0"/>
    <n v="0"/>
    <n v="0"/>
    <n v="0"/>
    <n v="0"/>
    <n v="0"/>
    <n v="100.92165283402647"/>
    <n v="92.567045267875514"/>
    <n v="85.075508908725325"/>
    <n v="65.309636246666685"/>
    <x v="33"/>
    <s v="T3"/>
    <n v="77.447993073593068"/>
    <n v="71.0366078976094"/>
    <n v="50.11907864796035"/>
    <n v="77.447993073593068"/>
    <n v="85.686151718994125"/>
  </r>
  <r>
    <n v="60"/>
    <x v="22"/>
    <x v="0"/>
    <n v="0"/>
    <n v="0"/>
    <n v="0"/>
    <n v="0"/>
    <n v="0"/>
    <n v="0"/>
    <n v="0"/>
    <n v="0"/>
    <n v="0"/>
    <n v="20.0025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67.867671846932893"/>
    <n v="0"/>
    <n v="0"/>
    <n v="0"/>
    <n v="0"/>
    <n v="0"/>
    <n v="110.15194611444596"/>
    <n v="0"/>
    <n v="0"/>
    <n v="115.27621464769001"/>
    <n v="0"/>
    <n v="0"/>
    <n v="0"/>
    <n v="0"/>
    <n v="0"/>
    <n v="0"/>
    <n v="0"/>
    <n v="0"/>
    <n v="293.29583260906884"/>
    <n v="242.00264190278742"/>
    <n v="210.71394290626776"/>
    <n v="211.41752169867172"/>
    <x v="34"/>
    <s v="T5"/>
    <n v="88.754925341745547"/>
    <n v="73.232975127935518"/>
    <n v="63.977541676540937"/>
    <n v="88.754925341745547"/>
    <n v="288.25557827583015"/>
  </r>
  <r>
    <n v="61"/>
    <x v="23"/>
    <x v="8"/>
    <n v="0"/>
    <n v="0"/>
    <n v="0"/>
    <n v="0"/>
    <n v="0"/>
    <n v="0"/>
    <n v="15.75"/>
    <n v="0"/>
    <n v="0"/>
    <n v="10.001250000000001"/>
    <n v="0"/>
    <n v="0"/>
    <n v="0"/>
    <n v="0"/>
    <n v="0"/>
    <n v="14.449485960000006"/>
    <n v="0"/>
    <n v="0"/>
    <n v="31.731071168160021"/>
    <n v="35.256745742400021"/>
    <n v="17.628372871200011"/>
    <n v="0"/>
    <n v="0"/>
    <n v="0"/>
    <n v="0"/>
    <n v="0"/>
    <n v="0"/>
    <n v="54.972814196015648"/>
    <n v="33.933835923466447"/>
    <n v="0"/>
    <n v="0"/>
    <n v="0"/>
    <n v="0"/>
    <n v="0"/>
    <n v="0"/>
    <n v="0"/>
    <n v="0"/>
    <n v="0"/>
    <n v="0"/>
    <n v="0"/>
    <n v="0"/>
    <n v="0"/>
    <n v="0"/>
    <n v="0"/>
    <n v="0"/>
    <n v="124.16339586188211"/>
    <n v="124.4199733296729"/>
    <n v="124.47128882323105"/>
    <n v="0"/>
    <x v="16"/>
    <s v="T3"/>
    <n v="60.983082952915211"/>
    <n v="61.109101453726353"/>
    <n v="0"/>
    <n v="61.17211070413191"/>
    <n v="124.35582896272518"/>
  </r>
  <r>
    <n v="62"/>
    <x v="23"/>
    <x v="7"/>
    <n v="0"/>
    <n v="0"/>
    <n v="0"/>
    <n v="0"/>
    <n v="0"/>
    <n v="0"/>
    <n v="15.75"/>
    <n v="15.75"/>
    <n v="0"/>
    <n v="20.002500000000001"/>
    <n v="0"/>
    <n v="0"/>
    <n v="0"/>
    <n v="0"/>
    <n v="0"/>
    <n v="0"/>
    <n v="0"/>
    <n v="0"/>
    <n v="17.628372871200011"/>
    <n v="17.6283728712000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5.259245742400026"/>
    <n v="43.919748580800004"/>
    <n v="41.651849148480004"/>
    <n v="0"/>
    <x v="35"/>
    <s v="T1"/>
    <n v="92.087232000000029"/>
    <n v="73.190432163979509"/>
    <n v="0"/>
    <n v="92.087232000000029"/>
    <n v="43.919748580800011"/>
  </r>
  <r>
    <n v="63"/>
    <x v="23"/>
    <x v="4"/>
    <n v="0"/>
    <n v="0"/>
    <n v="0"/>
    <n v="0"/>
    <n v="0"/>
    <n v="0"/>
    <n v="0"/>
    <n v="0"/>
    <n v="0"/>
    <n v="20.002500000000001"/>
    <n v="0"/>
    <n v="0"/>
    <n v="23.922990000000006"/>
    <n v="0"/>
    <n v="0"/>
    <n v="0"/>
    <n v="0"/>
    <n v="0"/>
    <n v="35.256745742400021"/>
    <n v="0"/>
    <n v="0"/>
    <n v="0"/>
    <n v="0"/>
    <n v="0"/>
    <n v="0"/>
    <n v="0"/>
    <n v="0"/>
    <n v="33.933835923466447"/>
    <n v="33.933835923466447"/>
    <n v="0"/>
    <n v="0"/>
    <n v="0"/>
    <n v="0"/>
    <n v="0"/>
    <n v="0"/>
    <n v="0"/>
    <n v="0"/>
    <n v="0"/>
    <n v="0"/>
    <n v="0"/>
    <n v="0"/>
    <n v="0"/>
    <n v="0"/>
    <n v="0"/>
    <n v="0"/>
    <n v="103.12441758933291"/>
    <n v="99.362578827466479"/>
    <n v="97.648013062736766"/>
    <n v="101.12227838415087"/>
    <x v="31"/>
    <s v="T3"/>
    <n v="79.138410389610385"/>
    <n v="76.251548609293053"/>
    <n v="77.601954545488226"/>
    <n v="80.153620779220773"/>
    <n v="102.18771603001041"/>
  </r>
  <r>
    <n v="64"/>
    <x v="23"/>
    <x v="5"/>
    <n v="0"/>
    <n v="0"/>
    <n v="0"/>
    <n v="0"/>
    <n v="0"/>
    <n v="0"/>
    <n v="15.75"/>
    <n v="15.75"/>
    <n v="0"/>
    <n v="20.002500000000001"/>
    <n v="10.001250000000001"/>
    <n v="0"/>
    <n v="11.961495000000003"/>
    <n v="0"/>
    <n v="0"/>
    <n v="0"/>
    <n v="0"/>
    <n v="0"/>
    <n v="17.628372871200011"/>
    <n v="17.6283728712000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5.259245742400026"/>
    <n v="67.176745742400016"/>
    <n v="66.034571168160028"/>
    <n v="61.842273165062899"/>
    <x v="30"/>
    <s v="T2"/>
    <n v="63.738421670468888"/>
    <n v="77.484585412891732"/>
    <n v="71.3315723205871"/>
    <n v="86.810176674271105"/>
    <n v="66.735236770237748"/>
  </r>
  <r>
    <n v="65"/>
    <x v="24"/>
    <x v="7"/>
    <n v="0"/>
    <n v="0"/>
    <n v="0"/>
    <n v="0"/>
    <n v="0"/>
    <n v="0"/>
    <n v="0"/>
    <n v="0"/>
    <n v="0"/>
    <n v="20.002500000000001"/>
    <n v="20.002500000000001"/>
    <n v="0"/>
    <n v="0"/>
    <n v="0"/>
    <n v="0"/>
    <n v="0"/>
    <n v="0"/>
    <n v="0"/>
    <n v="25.70216764620962"/>
    <n v="25.70216764620962"/>
    <n v="25.702167646209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7.106502938628864"/>
    <n v="56.871916227009628"/>
    <n v="49.423149736205772"/>
    <n v="12.75"/>
    <x v="36"/>
    <s v="T1"/>
    <n v="128.49477638400009"/>
    <n v="94.774680209989796"/>
    <n v="21.247344081989748"/>
    <n v="128.49477638400009"/>
    <n v="52.216437170257223"/>
  </r>
  <r>
    <n v="66"/>
    <x v="24"/>
    <x v="5"/>
    <n v="0"/>
    <n v="0"/>
    <n v="0"/>
    <n v="0"/>
    <n v="0"/>
    <n v="0"/>
    <n v="15.75"/>
    <n v="0"/>
    <n v="0"/>
    <n v="10.001250000000001"/>
    <n v="10.001250000000001"/>
    <n v="0"/>
    <n v="23.922990000000006"/>
    <n v="0"/>
    <n v="0"/>
    <n v="0"/>
    <n v="0"/>
    <n v="0"/>
    <n v="35.256745742400021"/>
    <n v="0"/>
    <n v="0"/>
    <n v="0"/>
    <n v="0"/>
    <n v="0"/>
    <n v="27.017385289384112"/>
    <n v="27.0173852893841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9.291516321168245"/>
    <n v="73.270835935322765"/>
    <n v="73.216699858153675"/>
    <n v="66.550621452000016"/>
    <x v="37"/>
    <s v="T2"/>
    <n v="102.99272533333335"/>
    <n v="84.513774559357785"/>
    <n v="76.76238637626939"/>
    <n v="102.99272533333335"/>
    <n v="73.5416908859914"/>
  </r>
  <r>
    <n v="67"/>
    <x v="25"/>
    <x v="7"/>
    <n v="0"/>
    <n v="0"/>
    <n v="0"/>
    <n v="0"/>
    <n v="0"/>
    <n v="0"/>
    <n v="0"/>
    <n v="0"/>
    <n v="0"/>
    <n v="20.002500000000001"/>
    <n v="0"/>
    <n v="0"/>
    <n v="0"/>
    <n v="0"/>
    <n v="0"/>
    <n v="0"/>
    <n v="0"/>
    <n v="0"/>
    <n v="23.131950881588658"/>
    <n v="31.731071168160021"/>
    <n v="25.702167646209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0.56518969595831"/>
    <n v="70.976979458995729"/>
    <n v="57.886187675397437"/>
    <n v="25.5"/>
    <x v="38"/>
    <s v="T2"/>
    <n v="134.2585338432001"/>
    <n v="118.28018074240008"/>
    <n v="42.494688163979497"/>
    <n v="134.2585338432001"/>
    <n v="57.886187675397444"/>
  </r>
  <r>
    <n v="68"/>
    <x v="25"/>
    <x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.628372871200011"/>
    <n v="0"/>
    <n v="0"/>
    <n v="0"/>
    <n v="0"/>
    <n v="0"/>
    <n v="48.631293520891404"/>
    <n v="0"/>
    <n v="0"/>
    <n v="33.933835923466447"/>
    <n v="33.933835923466447"/>
    <n v="0"/>
    <n v="0"/>
    <n v="0"/>
    <n v="0"/>
    <n v="55.075973057222981"/>
    <n v="0"/>
    <n v="0"/>
    <n v="0"/>
    <n v="0"/>
    <n v="0"/>
    <n v="0"/>
    <n v="0"/>
    <n v="0"/>
    <n v="0"/>
    <n v="0"/>
    <n v="0"/>
    <n v="137.64110250158083"/>
    <n v="128.78425347567708"/>
    <n v="127.08985691083356"/>
    <n v="0"/>
    <x v="39"/>
    <s v="T3"/>
    <n v="67.602683651804668"/>
    <n v="63.252625769617268"/>
    <n v="0"/>
    <n v="67.602683651804668"/>
    <n v="128.78425347567708"/>
  </r>
  <r>
    <n v="69"/>
    <x v="25"/>
    <x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.256745742400021"/>
    <n v="0"/>
    <n v="0"/>
    <n v="0"/>
    <n v="0"/>
    <n v="0"/>
    <n v="0"/>
    <n v="0"/>
    <n v="0"/>
    <n v="33.933835923466447"/>
    <n v="33.933835923466447"/>
    <n v="0"/>
    <n v="0"/>
    <n v="0"/>
    <n v="0"/>
    <n v="0"/>
    <n v="0"/>
    <n v="0"/>
    <n v="0"/>
    <n v="0"/>
    <n v="0"/>
    <n v="0"/>
    <n v="0"/>
    <n v="0"/>
    <n v="0"/>
    <n v="0"/>
    <n v="0"/>
    <n v="103.12441758933291"/>
    <n v="103.56538752897744"/>
    <n v="100.04791279658693"/>
    <n v="93.556106772028116"/>
    <x v="31"/>
    <s v="T3"/>
    <n v="79.138410389610385"/>
    <n v="79.476813852813848"/>
    <n v="71.795620719654082"/>
    <n v="80.153620779220773"/>
    <n v="104.58761576386057"/>
  </r>
  <r>
    <n v="70"/>
    <x v="26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.256745742400021"/>
    <n v="0"/>
    <n v="0"/>
    <n v="0"/>
    <n v="0"/>
    <n v="0"/>
    <n v="54.034770578768224"/>
    <n v="0"/>
    <n v="0"/>
    <n v="0"/>
    <n v="0"/>
    <n v="0"/>
    <n v="86.056207901910909"/>
    <n v="86.056207901910909"/>
    <n v="0"/>
    <n v="55.075973057222981"/>
    <n v="0"/>
    <n v="0"/>
    <n v="71.158157189932098"/>
    <n v="71.158157189932098"/>
    <n v="0"/>
    <n v="0"/>
    <n v="0"/>
    <n v="0"/>
    <n v="0"/>
    <n v="0"/>
    <n v="0"/>
    <n v="243.27057299375392"/>
    <n v="255.22516105377247"/>
    <n v="238.21401005957853"/>
    <n v="177.05493478792513"/>
    <x v="34"/>
    <s v="T5"/>
    <n v="73.616666666666674"/>
    <n v="77.234272008412205"/>
    <n v="53.57900035161979"/>
    <n v="88.754925341745547"/>
    <n v="288.25557827583015"/>
  </r>
  <r>
    <n v="71"/>
    <x v="26"/>
    <x v="9"/>
    <n v="0"/>
    <n v="0"/>
    <n v="0"/>
    <n v="12.5"/>
    <n v="0"/>
    <n v="0"/>
    <n v="0"/>
    <n v="0"/>
    <n v="0"/>
    <n v="0"/>
    <n v="0"/>
    <n v="0"/>
    <n v="11.961495000000003"/>
    <n v="11.961495000000003"/>
    <n v="11.961495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.422990000000006"/>
    <n v="36.422990000000006"/>
    <n v="36.422990000000006"/>
    <n v="0"/>
    <x v="40"/>
    <s v="T1"/>
    <n v="42.011863606346111"/>
    <n v="42.011863606346111"/>
    <n v="0"/>
    <n v="42.011863606346111"/>
    <n v="36.422990000000006"/>
  </r>
  <r>
    <n v="72"/>
    <x v="27"/>
    <x v="4"/>
    <n v="0"/>
    <n v="0"/>
    <n v="0"/>
    <n v="0"/>
    <n v="0"/>
    <n v="0"/>
    <n v="0"/>
    <n v="0"/>
    <n v="0"/>
    <n v="20.002500000000001"/>
    <n v="0"/>
    <n v="0"/>
    <n v="0"/>
    <n v="0"/>
    <n v="0"/>
    <n v="0"/>
    <n v="0"/>
    <n v="0"/>
    <n v="35.256745742400021"/>
    <n v="35.2567457424000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0.51599148480004"/>
    <n v="98.921608887821947"/>
    <n v="98.345629111306494"/>
    <n v="97.996909601422928"/>
    <x v="41"/>
    <s v="T3"/>
    <n v="69.462614659048015"/>
    <n v="75.91314514608959"/>
    <n v="75.203524347013257"/>
    <n v="79.138410389610385"/>
    <n v="104.58761576386057"/>
  </r>
  <r>
    <n v="73"/>
    <x v="27"/>
    <x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.256745742400021"/>
    <n v="35.256745742400021"/>
    <n v="0"/>
    <n v="0"/>
    <n v="0"/>
    <n v="0"/>
    <n v="0"/>
    <n v="0"/>
    <n v="0"/>
    <n v="67.867671846932893"/>
    <n v="0"/>
    <n v="0"/>
    <n v="0"/>
    <n v="0"/>
    <n v="0"/>
    <n v="0"/>
    <n v="0"/>
    <n v="0"/>
    <n v="0"/>
    <n v="0"/>
    <n v="0"/>
    <n v="0"/>
    <n v="0"/>
    <n v="0"/>
    <n v="0"/>
    <n v="0"/>
    <n v="0"/>
    <n v="138.38116333173295"/>
    <n v="133.3952205650653"/>
    <n v="129.85643716446648"/>
    <n v="41.51608735452276"/>
    <x v="22"/>
    <s v="T4"/>
    <n v="67.966165905830437"/>
    <n v="65.5173108368501"/>
    <n v="20.390703568043971"/>
    <n v="67.966165905830437"/>
    <n v="131.18348093969104"/>
  </r>
  <r>
    <n v="74"/>
    <x v="27"/>
    <x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42"/>
    <s v="T1"/>
    <n v="0"/>
    <n v="0"/>
    <n v="0"/>
    <n v="0"/>
    <n v="0"/>
  </r>
  <r>
    <n v="75"/>
    <x v="28"/>
    <x v="0"/>
    <n v="0"/>
    <n v="0"/>
    <n v="0"/>
    <n v="0"/>
    <n v="0"/>
    <n v="0"/>
    <n v="0"/>
    <n v="0"/>
    <n v="0"/>
    <n v="20.0025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0.15194611444596"/>
    <n v="0"/>
    <n v="0"/>
    <n v="93.373733864628917"/>
    <n v="0"/>
    <n v="0"/>
    <n v="0"/>
    <n v="0"/>
    <n v="0"/>
    <n v="0"/>
    <n v="0"/>
    <n v="0"/>
    <n v="223.52817997907488"/>
    <n v="253.36486186063254"/>
    <n v="238.56133573623819"/>
    <n v="218.16788156502335"/>
    <x v="34"/>
    <s v="T5"/>
    <n v="67.642375786029532"/>
    <n v="76.671322598147242"/>
    <n v="66.020283575184024"/>
    <n v="88.754925341745547"/>
    <n v="288.25557827583015"/>
  </r>
  <r>
    <n v="76"/>
    <x v="28"/>
    <x v="4"/>
    <n v="0"/>
    <n v="0"/>
    <n v="0"/>
    <n v="0"/>
    <n v="0"/>
    <n v="0"/>
    <n v="0"/>
    <n v="0"/>
    <n v="0"/>
    <n v="20.002500000000001"/>
    <n v="0"/>
    <n v="0"/>
    <n v="0"/>
    <n v="0"/>
    <n v="0"/>
    <n v="0"/>
    <n v="0"/>
    <n v="0"/>
    <n v="31.731071168160021"/>
    <n v="17.628372871200011"/>
    <n v="0"/>
    <n v="0"/>
    <n v="0"/>
    <n v="0"/>
    <n v="0"/>
    <n v="0"/>
    <n v="0"/>
    <n v="0"/>
    <n v="0"/>
    <n v="0"/>
    <n v="43.028103950955455"/>
    <n v="0"/>
    <n v="0"/>
    <n v="0"/>
    <n v="0"/>
    <n v="0"/>
    <n v="0"/>
    <n v="0"/>
    <n v="0"/>
    <n v="0"/>
    <n v="0"/>
    <n v="0"/>
    <n v="0"/>
    <n v="0"/>
    <n v="0"/>
    <n v="94.761675119115466"/>
    <n v="96.134028064416142"/>
    <n v="99.194765838169559"/>
    <n v="99.362578827466493"/>
    <x v="41"/>
    <s v="T3"/>
    <n v="72.720782430476589"/>
    <n v="73.773935826378334"/>
    <n v="76.251548609293067"/>
    <n v="79.138410389610385"/>
    <n v="104.58761576386057"/>
  </r>
  <r>
    <n v="77"/>
    <x v="29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7.867671846932893"/>
    <n v="67.867671846932893"/>
    <n v="0"/>
    <n v="86.056207901910909"/>
    <n v="0"/>
    <n v="0"/>
    <n v="0"/>
    <n v="0"/>
    <n v="0"/>
    <n v="71.158157189932098"/>
    <n v="0"/>
    <n v="0"/>
    <n v="0"/>
    <n v="0"/>
    <n v="0"/>
    <n v="0"/>
    <n v="0"/>
    <n v="0"/>
    <n v="225.0820369387759"/>
    <n v="230.62692997053492"/>
    <n v="242.85714001583364"/>
    <n v="242.00264190278742"/>
    <x v="43"/>
    <s v="T5"/>
    <n v="68.112592008412207"/>
    <n v="69.790544820369462"/>
    <n v="73.232975127935518"/>
    <n v="73.616666666666674"/>
    <n v="288.25557827583015"/>
  </r>
  <r>
    <n v="78"/>
    <x v="29"/>
    <x v="7"/>
    <n v="0"/>
    <n v="0"/>
    <n v="0"/>
    <n v="0"/>
    <n v="0"/>
    <n v="0"/>
    <n v="0"/>
    <n v="0"/>
    <n v="0"/>
    <n v="20.002500000000001"/>
    <n v="20.002500000000001"/>
    <n v="0"/>
    <n v="0"/>
    <n v="0"/>
    <n v="0"/>
    <n v="0"/>
    <n v="0"/>
    <n v="0"/>
    <n v="35.256745742400021"/>
    <n v="35.256745742400021"/>
    <n v="17.6283728712000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0.51599148480004"/>
    <n v="82.729228039795743"/>
    <n v="68.339385972357462"/>
    <n v="43.919748580800011"/>
    <x v="44"/>
    <s v="T2"/>
    <n v="150.84113066666671"/>
    <n v="137.86481363128897"/>
    <n v="73.190432163979509"/>
    <n v="150.84113066666671"/>
    <n v="68.339385972357448"/>
  </r>
  <r>
    <n v="79"/>
    <x v="29"/>
    <x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.256745742400021"/>
    <n v="35.256745742400021"/>
    <n v="17.628372871200011"/>
    <n v="0"/>
    <n v="0"/>
    <n v="0"/>
    <n v="27.0173852893841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7.530876774184151"/>
    <n v="94.269514459366562"/>
    <n v="97.811475711353097"/>
    <n v="103.56538752897744"/>
    <x v="45"/>
    <s v="T3"/>
    <n v="74.845887445887442"/>
    <n v="72.343094845137344"/>
    <n v="79.476813852813848"/>
    <n v="74.845887445887442"/>
    <n v="104.58761576386057"/>
  </r>
  <r>
    <n v="80"/>
    <x v="29"/>
    <x v="5"/>
    <n v="0"/>
    <n v="0"/>
    <n v="0"/>
    <n v="0"/>
    <n v="0"/>
    <n v="0"/>
    <n v="15.75"/>
    <n v="0"/>
    <n v="0"/>
    <n v="20.002500000000001"/>
    <n v="20.002500000000001"/>
    <n v="20.002500000000001"/>
    <n v="0"/>
    <n v="0"/>
    <n v="0"/>
    <n v="0"/>
    <n v="0"/>
    <n v="0"/>
    <n v="17.6283728712000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0.007500000000007"/>
    <n v="68.186087354522755"/>
    <n v="70.165850709673663"/>
    <n v="73.84424574240002"/>
    <x v="37"/>
    <s v="T2"/>
    <n v="69.215265011406657"/>
    <n v="78.648804005069636"/>
    <n v="85.175170414159126"/>
    <n v="102.99272533333335"/>
    <n v="74.166350709673665"/>
  </r>
  <r>
    <n v="81"/>
    <x v="30"/>
    <x v="7"/>
    <n v="0"/>
    <n v="0"/>
    <n v="0"/>
    <n v="0"/>
    <n v="0"/>
    <n v="0"/>
    <n v="15.75"/>
    <n v="0"/>
    <n v="0"/>
    <n v="20.002500000000001"/>
    <n v="0"/>
    <n v="0"/>
    <n v="0"/>
    <n v="0"/>
    <n v="0"/>
    <n v="0"/>
    <n v="0"/>
    <n v="0"/>
    <n v="35.256745742400021"/>
    <n v="35.256745742400021"/>
    <n v="0"/>
    <n v="0"/>
    <n v="0"/>
    <n v="0"/>
    <n v="54.034770578768224"/>
    <n v="0"/>
    <n v="0"/>
    <n v="33.933835923466447"/>
    <n v="0"/>
    <n v="0"/>
    <n v="0"/>
    <n v="0"/>
    <n v="0"/>
    <n v="0"/>
    <n v="0"/>
    <n v="0"/>
    <n v="0"/>
    <n v="0"/>
    <n v="0"/>
    <n v="0"/>
    <n v="0"/>
    <n v="0"/>
    <n v="0"/>
    <n v="0"/>
    <n v="0"/>
    <n v="124.54826206356827"/>
    <n v="98.543147748108879"/>
    <n v="85.599038385071097"/>
    <n v="56.871916227009628"/>
    <x v="16"/>
    <s v="T3"/>
    <n v="207.55449246105613"/>
    <n v="164.21805232364099"/>
    <n v="94.774680209989796"/>
    <n v="207.55449246105613"/>
    <n v="85.599038385071097"/>
  </r>
  <r>
    <n v="82"/>
    <x v="30"/>
    <x v="5"/>
    <n v="0"/>
    <n v="0"/>
    <n v="0"/>
    <n v="0"/>
    <n v="0"/>
    <n v="0"/>
    <n v="15.75"/>
    <n v="15.75"/>
    <n v="15.75"/>
    <n v="20.002500000000001"/>
    <n v="20.002500000000001"/>
    <n v="0"/>
    <n v="0"/>
    <n v="0"/>
    <n v="0"/>
    <n v="0"/>
    <n v="0"/>
    <n v="0"/>
    <n v="35.256745742400021"/>
    <n v="0"/>
    <n v="0"/>
    <n v="0"/>
    <n v="0"/>
    <n v="0"/>
    <n v="0"/>
    <n v="0"/>
    <n v="0"/>
    <n v="33.933835923466447"/>
    <n v="0"/>
    <n v="0"/>
    <n v="0"/>
    <n v="0"/>
    <n v="0"/>
    <n v="0"/>
    <n v="0"/>
    <n v="0"/>
    <n v="0"/>
    <n v="0"/>
    <n v="0"/>
    <n v="0"/>
    <n v="0"/>
    <n v="0"/>
    <n v="0"/>
    <n v="0"/>
    <n v="0"/>
    <n v="89.193081665866458"/>
    <n v="79.497365995678237"/>
    <n v="73.802617894366946"/>
    <n v="67.17674574240003"/>
    <x v="37"/>
    <s v="T2"/>
    <n v="102.87918651313555"/>
    <n v="91.695725619291863"/>
    <n v="77.484585412891718"/>
    <n v="102.99272533333335"/>
    <n v="80.00346704284695"/>
  </r>
  <r>
    <n v="83"/>
    <x v="30"/>
    <x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28.08468294187779"/>
    <n v="0"/>
    <n v="0"/>
    <n v="0"/>
    <n v="0"/>
    <n v="0"/>
    <n v="0"/>
    <n v="0"/>
    <n v="0"/>
    <n v="128.08468294187779"/>
    <n v="106.7924116117258"/>
    <n v="102.80352878186207"/>
    <n v="98.921608887821947"/>
    <x v="46"/>
    <s v="T3"/>
    <n v="98.293095274905639"/>
    <n v="81.953255050423223"/>
    <n v="75.913145146089605"/>
    <n v="98.293095274905639"/>
    <n v="110.39907036999566"/>
  </r>
  <r>
    <n v="84"/>
    <x v="31"/>
    <x v="0"/>
    <n v="0"/>
    <n v="0"/>
    <n v="0"/>
    <n v="0"/>
    <n v="0"/>
    <n v="0"/>
    <n v="0"/>
    <n v="0"/>
    <n v="0"/>
    <n v="20.0025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67.867671846932893"/>
    <n v="0"/>
    <n v="0"/>
    <n v="86.056207901910909"/>
    <n v="0"/>
    <n v="0"/>
    <n v="0"/>
    <n v="0"/>
    <n v="0"/>
    <n v="71.158157189932098"/>
    <n v="0"/>
    <n v="0"/>
    <n v="92.790236975671462"/>
    <n v="0"/>
    <n v="0"/>
    <n v="0"/>
    <n v="0"/>
    <n v="0"/>
    <n v="250.00460206751447"/>
    <n v="232.87160632845507"/>
    <n v="247.03624491763762"/>
    <n v="255.2251610537725"/>
    <x v="47"/>
    <s v="T5"/>
    <n v="75.654466666666679"/>
    <n v="70.469811487036139"/>
    <n v="77.234272008412219"/>
    <n v="75.654466666666679"/>
    <n v="288.25557827583015"/>
  </r>
  <r>
    <n v="85"/>
    <x v="31"/>
    <x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.256745742400021"/>
    <n v="35.256745742400021"/>
    <n v="35.256745742400021"/>
    <n v="0"/>
    <n v="0"/>
    <n v="0"/>
    <n v="0"/>
    <n v="0"/>
    <n v="0"/>
    <n v="33.933835923466447"/>
    <n v="0"/>
    <n v="0"/>
    <n v="43.028103950955455"/>
    <n v="0"/>
    <n v="0"/>
    <n v="0"/>
    <n v="0"/>
    <n v="0"/>
    <n v="0"/>
    <n v="0"/>
    <n v="0"/>
    <n v="0"/>
    <n v="0"/>
    <n v="0"/>
    <n v="0"/>
    <n v="0"/>
    <n v="0"/>
    <n v="113.54159543575551"/>
    <n v="113.05238505060581"/>
    <n v="104.88696435114659"/>
    <n v="96.134028064416142"/>
    <x v="46"/>
    <s v="T3"/>
    <n v="87.132626645887456"/>
    <n v="86.757203122226855"/>
    <n v="73.77393582637832"/>
    <n v="98.293095274905639"/>
    <n v="112.48250593928019"/>
  </r>
  <r>
    <n v="86"/>
    <x v="31"/>
    <x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.256745742400021"/>
    <n v="35.256745742400021"/>
    <n v="0"/>
    <n v="0"/>
    <n v="0"/>
    <n v="0"/>
    <n v="27.017385289384112"/>
    <n v="0"/>
    <n v="0"/>
    <n v="44.52797949877268"/>
    <n v="0"/>
    <n v="0"/>
    <n v="0"/>
    <n v="0"/>
    <n v="0"/>
    <n v="0"/>
    <n v="0"/>
    <n v="0"/>
    <n v="0"/>
    <n v="0"/>
    <n v="0"/>
    <n v="0"/>
    <n v="0"/>
    <n v="0"/>
    <n v="0"/>
    <n v="0"/>
    <n v="0"/>
    <n v="115.04147098357274"/>
    <n v="110.03524151064703"/>
    <n v="97.555483433305625"/>
    <n v="70.976979458995729"/>
    <x v="16"/>
    <s v="T3"/>
    <n v="191.71182099499683"/>
    <n v="183.36914804090657"/>
    <n v="118.28018074240008"/>
    <n v="207.55449246105613"/>
    <n v="97.555483433305653"/>
  </r>
  <r>
    <n v="87"/>
    <x v="31"/>
    <x v="5"/>
    <n v="0"/>
    <n v="0"/>
    <n v="0"/>
    <n v="0"/>
    <n v="0"/>
    <n v="0"/>
    <n v="0"/>
    <n v="0"/>
    <n v="0"/>
    <n v="20.002500000000001"/>
    <n v="20.002500000000001"/>
    <n v="0"/>
    <n v="0"/>
    <n v="0"/>
    <n v="0"/>
    <n v="0"/>
    <n v="0"/>
    <n v="0"/>
    <n v="35.256745742400021"/>
    <n v="35.256745742400021"/>
    <n v="0"/>
    <n v="0"/>
    <n v="0"/>
    <n v="0"/>
    <n v="27.0173852893841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7.530876774184151"/>
    <n v="82.243819480016867"/>
    <n v="78.256444100723769"/>
    <n v="73.270835935322765"/>
    <x v="45"/>
    <s v="T2"/>
    <n v="112.49636266666668"/>
    <n v="94.863604730402969"/>
    <n v="84.513774559357785"/>
    <n v="112.49636266666668"/>
    <n v="85.307793249203783"/>
  </r>
  <r>
    <n v="88"/>
    <x v="32"/>
    <x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.256745742400021"/>
    <n v="35.256745742400021"/>
    <n v="35.2567457424000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5.77023722720006"/>
    <n v="115.11999009144702"/>
    <n v="103.28823029101989"/>
    <n v="82.729228039795728"/>
    <x v="16"/>
    <s v="T3"/>
    <n v="176.26169600000009"/>
    <n v="191.84266981868433"/>
    <n v="137.86481363128897"/>
    <n v="207.55449246105613"/>
    <n v="103.28823029101989"/>
  </r>
  <r>
    <n v="89"/>
    <x v="32"/>
    <x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.256745742400021"/>
    <n v="35.256745742400021"/>
    <n v="35.2567457424000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5.77023722720006"/>
    <n v="115.79883853494445"/>
    <n v="107.9378134996266"/>
    <n v="94.269514459366562"/>
    <x v="46"/>
    <s v="T3"/>
    <n v="81.168831168831161"/>
    <n v="88.864851029874757"/>
    <n v="72.343094845137344"/>
    <n v="98.293095274905639"/>
    <n v="113.01166986685362"/>
  </r>
  <r>
    <n v="90"/>
    <x v="33"/>
    <x v="5"/>
    <n v="0"/>
    <n v="0"/>
    <n v="0"/>
    <n v="0"/>
    <n v="0"/>
    <n v="0"/>
    <n v="15.75"/>
    <n v="15.75"/>
    <n v="0"/>
    <n v="20.002500000000001"/>
    <n v="10.00125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1.502499999999998"/>
    <n v="79.408819480016874"/>
    <n v="77.505094952243766"/>
    <n v="68.186087354522769"/>
    <x v="45"/>
    <s v="T2"/>
    <n v="59.405227450734834"/>
    <n v="91.593592210179025"/>
    <n v="78.648804005069636"/>
    <n v="112.49636266666668"/>
    <n v="85.307793249203783"/>
  </r>
  <r>
    <n v="91"/>
    <x v="34"/>
    <x v="7"/>
    <n v="0"/>
    <n v="0"/>
    <n v="0"/>
    <n v="0"/>
    <n v="0"/>
    <n v="0"/>
    <n v="0"/>
    <n v="0"/>
    <n v="0"/>
    <n v="20.002500000000001"/>
    <n v="0"/>
    <n v="0"/>
    <n v="0"/>
    <n v="0"/>
    <n v="0"/>
    <n v="0"/>
    <n v="0"/>
    <n v="0"/>
    <n v="35.256745742400021"/>
    <n v="0"/>
    <n v="0"/>
    <n v="0"/>
    <n v="0"/>
    <n v="0"/>
    <n v="0"/>
    <n v="0"/>
    <n v="0"/>
    <n v="33.933835923466447"/>
    <n v="0"/>
    <n v="0"/>
    <n v="62.734975560493062"/>
    <n v="0"/>
    <n v="0"/>
    <n v="0"/>
    <n v="0"/>
    <n v="0"/>
    <n v="0"/>
    <n v="0"/>
    <n v="0"/>
    <n v="0"/>
    <n v="0"/>
    <n v="0"/>
    <n v="0"/>
    <n v="0"/>
    <n v="0"/>
    <n v="131.92555722635953"/>
    <n v="117.57908847904412"/>
    <n v="113.56030379710012"/>
    <n v="98.543147748108865"/>
    <x v="48"/>
    <s v="T3"/>
    <n v="219.84844765464237"/>
    <n v="195.94065488321309"/>
    <n v="164.21805232364099"/>
    <n v="219.84844765464237"/>
    <n v="113.56030379710012"/>
  </r>
  <r>
    <n v="92"/>
    <x v="34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.256745742400021"/>
    <n v="0"/>
    <n v="0"/>
    <n v="0"/>
    <n v="0"/>
    <n v="0"/>
    <n v="0"/>
    <n v="0"/>
    <n v="0"/>
    <n v="67.867671846932893"/>
    <n v="0"/>
    <n v="0"/>
    <n v="0"/>
    <n v="0"/>
    <n v="0"/>
    <n v="110.15194611444596"/>
    <n v="0"/>
    <n v="0"/>
    <n v="115.27621464769001"/>
    <n v="93.373733864628917"/>
    <n v="0"/>
    <n v="0"/>
    <n v="0"/>
    <n v="0"/>
    <n v="0"/>
    <n v="0"/>
    <n v="0"/>
    <n v="318.80189462676492"/>
    <n v="264.62951121101844"/>
    <n v="252.13745732117678"/>
    <n v="253.36486186063254"/>
    <x v="49"/>
    <s v="T5"/>
    <n v="96.47337333333337"/>
    <n v="80.080144002804076"/>
    <n v="76.671322598147256"/>
    <n v="96.47337333333337"/>
    <n v="296.58468330830721"/>
  </r>
  <r>
    <n v="93"/>
    <x v="34"/>
    <x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.256745742400021"/>
    <n v="0"/>
    <n v="0"/>
    <n v="0"/>
    <n v="0"/>
    <n v="0"/>
    <n v="0"/>
    <n v="0"/>
    <n v="0"/>
    <n v="54.972814196015648"/>
    <n v="0"/>
    <n v="0"/>
    <n v="43.028103950955455"/>
    <n v="0"/>
    <n v="0"/>
    <n v="0"/>
    <n v="0"/>
    <n v="0"/>
    <n v="0"/>
    <n v="0"/>
    <n v="0"/>
    <n v="0"/>
    <n v="0"/>
    <n v="0"/>
    <n v="0"/>
    <n v="0"/>
    <n v="0"/>
    <n v="133.25766388937112"/>
    <n v="117.52316551744224"/>
    <n v="115.63701125367773"/>
    <n v="106.79241161172581"/>
    <x v="50"/>
    <s v="T3"/>
    <n v="102.2628775896104"/>
    <n v="90.188111801443"/>
    <n v="81.953255050423223"/>
    <n v="102.2628775896104"/>
    <n v="118.77373716307454"/>
  </r>
  <r>
    <n v="94"/>
    <x v="35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.256745742400021"/>
    <n v="0"/>
    <n v="0"/>
    <n v="0"/>
    <n v="0"/>
    <n v="0"/>
    <n v="0"/>
    <n v="0"/>
    <n v="0"/>
    <n v="67.867671846932893"/>
    <n v="0"/>
    <n v="0"/>
    <n v="0"/>
    <n v="0"/>
    <n v="0"/>
    <n v="0"/>
    <n v="0"/>
    <n v="0"/>
    <n v="0"/>
    <n v="0"/>
    <n v="0"/>
    <n v="0"/>
    <n v="0"/>
    <n v="0"/>
    <n v="244.2239037199673"/>
    <n v="0"/>
    <n v="0"/>
    <n v="347.34832130930022"/>
    <n v="305.38493933452651"/>
    <n v="272.95300698428611"/>
    <n v="230.62692997053489"/>
    <x v="51"/>
    <s v="T5"/>
    <n v="105.11187305712281"/>
    <n v="92.413237685707614"/>
    <n v="69.790544820369476"/>
    <n v="105.11187305712281"/>
    <n v="310.62307367729119"/>
  </r>
  <r>
    <n v="95"/>
    <x v="35"/>
    <x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.256745742400021"/>
    <n v="0"/>
    <n v="0"/>
    <n v="0"/>
    <n v="0"/>
    <n v="0"/>
    <n v="43.768164168802265"/>
    <n v="54.034770578768224"/>
    <n v="0"/>
    <n v="40.075181548895415"/>
    <n v="0"/>
    <n v="0"/>
    <n v="0"/>
    <n v="0"/>
    <n v="0"/>
    <n v="0"/>
    <n v="0"/>
    <n v="0"/>
    <n v="0"/>
    <n v="0"/>
    <n v="0"/>
    <n v="0"/>
    <n v="0"/>
    <n v="0"/>
    <n v="0"/>
    <n v="0"/>
    <n v="0"/>
    <n v="137.87811629646592"/>
    <n v="125.19130358334183"/>
    <n v="123.0327287594333"/>
    <n v="110.03524151064703"/>
    <x v="52"/>
    <s v="T3"/>
    <n v="229.76813947667526"/>
    <n v="208.62609437710589"/>
    <n v="183.36914804090657"/>
    <n v="229.76813947667526"/>
    <n v="123.03272875943328"/>
  </r>
  <r>
    <n v="96"/>
    <x v="35"/>
    <x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.256745742400021"/>
    <n v="0"/>
    <n v="0"/>
    <n v="0"/>
    <n v="0"/>
    <n v="0"/>
    <n v="54.034770578768224"/>
    <n v="0"/>
    <n v="0"/>
    <n v="44.52797949877268"/>
    <n v="0"/>
    <n v="0"/>
    <n v="0"/>
    <n v="0"/>
    <n v="0"/>
    <n v="0"/>
    <n v="0"/>
    <n v="0"/>
    <n v="0"/>
    <n v="0"/>
    <n v="0"/>
    <n v="0"/>
    <n v="0"/>
    <n v="0"/>
    <n v="0"/>
    <n v="0"/>
    <n v="0"/>
    <n v="133.81949581994093"/>
    <n v="124.28246564550403"/>
    <n v="122.89473506282908"/>
    <n v="113.05238505060582"/>
    <x v="53"/>
    <s v="T3"/>
    <n v="102.69403140294374"/>
    <n v="95.37524672046176"/>
    <n v="86.757203122226841"/>
    <n v="102.69403140294374"/>
    <n v="124.3835888816227"/>
  </r>
  <r>
    <n v="97"/>
    <x v="35"/>
    <x v="9"/>
    <n v="0"/>
    <n v="0"/>
    <n v="0"/>
    <n v="0"/>
    <n v="0"/>
    <n v="0"/>
    <n v="0"/>
    <n v="0"/>
    <n v="0"/>
    <n v="0"/>
    <n v="0"/>
    <n v="0"/>
    <n v="23.922990000000006"/>
    <n v="0"/>
    <n v="0"/>
    <n v="0"/>
    <n v="0"/>
    <n v="0"/>
    <n v="0"/>
    <n v="0"/>
    <n v="0"/>
    <n v="0"/>
    <n v="0"/>
    <n v="0"/>
    <n v="0"/>
    <n v="0"/>
    <n v="0"/>
    <n v="33.933835923466447"/>
    <n v="33.933835923466447"/>
    <n v="0"/>
    <n v="0"/>
    <n v="0"/>
    <n v="0"/>
    <n v="0"/>
    <n v="0"/>
    <n v="0"/>
    <n v="0"/>
    <n v="0"/>
    <n v="0"/>
    <n v="0"/>
    <n v="0"/>
    <n v="0"/>
    <n v="0"/>
    <n v="0"/>
    <n v="0"/>
    <n v="91.790661846932892"/>
    <n v="54.878880615644299"/>
    <n v="47.496524369386584"/>
    <n v="0"/>
    <x v="54"/>
    <s v="T2"/>
    <n v="105.87534866988081"/>
    <n v="63.299691960857679"/>
    <n v="0"/>
    <n v="105.87534866988081"/>
    <n v="64.106825923466445"/>
  </r>
  <r>
    <n v="98"/>
    <x v="36"/>
    <x v="0"/>
    <n v="0"/>
    <n v="0"/>
    <n v="0"/>
    <n v="0"/>
    <n v="0"/>
    <n v="0"/>
    <n v="0"/>
    <n v="0"/>
    <n v="0"/>
    <n v="20.0025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67.867671846932893"/>
    <n v="0"/>
    <n v="0"/>
    <n v="0"/>
    <n v="0"/>
    <n v="0"/>
    <n v="0"/>
    <n v="0"/>
    <n v="0"/>
    <n v="142.3163143798642"/>
    <n v="103.74859318292101"/>
    <n v="71.158157189932098"/>
    <n v="0"/>
    <n v="0"/>
    <n v="0"/>
    <n v="0"/>
    <n v="0"/>
    <n v="0"/>
    <n v="317.22306475271728"/>
    <n v="327.79109356292747"/>
    <n v="291.69198393901456"/>
    <n v="232.87160632845507"/>
    <x v="51"/>
    <s v="T5"/>
    <n v="95.99560000000001"/>
    <n v="99.193615463485401"/>
    <n v="70.469811487036139"/>
    <n v="105.11187305712281"/>
    <n v="316.67197791417794"/>
  </r>
  <r>
    <n v="99"/>
    <x v="36"/>
    <x v="4"/>
    <n v="0"/>
    <n v="0"/>
    <n v="0"/>
    <n v="0"/>
    <n v="0"/>
    <n v="0"/>
    <n v="0"/>
    <n v="0"/>
    <n v="0"/>
    <n v="20.002500000000001"/>
    <n v="0"/>
    <n v="0"/>
    <n v="0"/>
    <n v="0"/>
    <n v="0"/>
    <n v="0"/>
    <n v="0"/>
    <n v="0"/>
    <n v="35.256745742400021"/>
    <n v="0"/>
    <n v="0"/>
    <n v="0"/>
    <n v="0"/>
    <n v="0"/>
    <n v="0"/>
    <n v="0"/>
    <n v="0"/>
    <n v="44.52797949877268"/>
    <n v="44.52797949877268"/>
    <n v="33.933835923466447"/>
    <n v="0"/>
    <n v="0"/>
    <n v="0"/>
    <n v="0"/>
    <n v="0"/>
    <n v="0"/>
    <n v="0"/>
    <n v="0"/>
    <n v="0"/>
    <n v="0"/>
    <n v="0"/>
    <n v="0"/>
    <n v="0"/>
    <n v="0"/>
    <n v="0"/>
    <n v="124.31270473994539"/>
    <n v="130.46328814975249"/>
    <n v="122.14033942244259"/>
    <n v="115.79883853494444"/>
    <x v="53"/>
    <s v="T4"/>
    <n v="95.398452416277081"/>
    <n v="100.11845380294375"/>
    <n v="88.864851029874742"/>
    <n v="102.69403140294374"/>
    <n v="126.60322856537815"/>
  </r>
  <r>
    <n v="100"/>
    <x v="36"/>
    <x v="7"/>
    <n v="0"/>
    <n v="0"/>
    <n v="0"/>
    <n v="0"/>
    <n v="0"/>
    <n v="0"/>
    <n v="0"/>
    <n v="0"/>
    <n v="0"/>
    <n v="20.002500000000001"/>
    <n v="0"/>
    <n v="0"/>
    <n v="0"/>
    <n v="0"/>
    <n v="0"/>
    <n v="0"/>
    <n v="0"/>
    <n v="0"/>
    <n v="35.256745742400021"/>
    <n v="0"/>
    <n v="0"/>
    <n v="0"/>
    <n v="0"/>
    <n v="0"/>
    <n v="0"/>
    <n v="0"/>
    <n v="0"/>
    <n v="49.475532776414084"/>
    <n v="49.475532776414084"/>
    <n v="33.933835923466447"/>
    <n v="0"/>
    <n v="0"/>
    <n v="0"/>
    <n v="0"/>
    <n v="0"/>
    <n v="0"/>
    <n v="0"/>
    <n v="0"/>
    <n v="0"/>
    <n v="0"/>
    <n v="0"/>
    <n v="0"/>
    <n v="0"/>
    <n v="0"/>
    <n v="0"/>
    <n v="134.2078112952282"/>
    <n v="134.67049493935122"/>
    <n v="124.96463860576529"/>
    <n v="115.11999009144704"/>
    <x v="52"/>
    <s v="T4"/>
    <n v="223.65172902591874"/>
    <n v="224.42277205241214"/>
    <n v="191.84266981868436"/>
    <n v="229.76813947667526"/>
    <n v="128.72024357303891"/>
  </r>
  <r>
    <n v="101"/>
    <x v="37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7.867671846932893"/>
    <n v="0"/>
    <n v="0"/>
    <n v="0"/>
    <n v="0"/>
    <n v="0"/>
    <n v="99.136751503001364"/>
    <n v="0"/>
    <n v="0"/>
    <n v="103.74859318292101"/>
    <n v="0"/>
    <n v="0"/>
    <n v="0"/>
    <n v="0"/>
    <n v="0"/>
    <n v="0"/>
    <n v="0"/>
    <n v="0"/>
    <n v="270.75301653285527"/>
    <n v="311.77480086495757"/>
    <n v="300.82617985783048"/>
    <n v="264.62951121101844"/>
    <x v="51"/>
    <s v="T5"/>
    <n v="81.93319200841222"/>
    <n v="94.346888355178351"/>
    <n v="80.08014400280409"/>
    <n v="105.11187305712281"/>
    <n v="316.67197791417794"/>
  </r>
  <r>
    <n v="102"/>
    <x v="37"/>
    <x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.256745742400021"/>
    <n v="0"/>
    <n v="0"/>
    <n v="0"/>
    <n v="0"/>
    <n v="0"/>
    <n v="0"/>
    <n v="0"/>
    <n v="0"/>
    <n v="40.075181548895415"/>
    <n v="33.933835923466447"/>
    <n v="33.933835923466447"/>
    <n v="0"/>
    <n v="0"/>
    <n v="0"/>
    <n v="0"/>
    <n v="0"/>
    <n v="0"/>
    <n v="0"/>
    <n v="0"/>
    <n v="0"/>
    <n v="0"/>
    <n v="0"/>
    <n v="0"/>
    <n v="0"/>
    <n v="0"/>
    <n v="0"/>
    <n v="109.26576321476189"/>
    <n v="122.46598792488274"/>
    <n v="121.28517297824388"/>
    <n v="117.52316551744222"/>
    <x v="53"/>
    <s v="T3"/>
    <n v="83.851322634943742"/>
    <n v="93.981268818054843"/>
    <n v="90.188111801443014"/>
    <n v="102.69403140294374"/>
    <n v="126.60322856537815"/>
  </r>
  <r>
    <n v="103"/>
    <x v="37"/>
    <x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5.256745742400021"/>
    <n v="0"/>
    <n v="0"/>
    <n v="0"/>
    <n v="0"/>
    <n v="0"/>
    <n v="0"/>
    <n v="0"/>
    <n v="0"/>
    <n v="54.972814196015648"/>
    <n v="40.075181548895415"/>
    <n v="33.933835923466447"/>
    <n v="0"/>
    <n v="0"/>
    <n v="0"/>
    <n v="0"/>
    <n v="0"/>
    <n v="0"/>
    <n v="0"/>
    <n v="0"/>
    <n v="0"/>
    <n v="0"/>
    <n v="0"/>
    <n v="0"/>
    <n v="0"/>
    <n v="0"/>
    <n v="0"/>
    <n v="130.30474148731108"/>
    <n v="134.13022302633507"/>
    <n v="128.01729270651293"/>
    <n v="117.57908847904412"/>
    <x v="52"/>
    <s v="T4"/>
    <n v="217.14742571730378"/>
    <n v="223.52243140663256"/>
    <n v="195.94065488321311"/>
    <n v="229.76813947667526"/>
    <n v="131.77289767378659"/>
  </r>
  <r>
    <n v="104"/>
    <x v="38"/>
    <x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42"/>
    <s v="T1"/>
    <n v="0"/>
    <n v="0"/>
    <n v="0"/>
    <n v="0"/>
    <n v="0"/>
  </r>
  <r>
    <n v="105"/>
    <x v="38"/>
    <x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42"/>
    <s v="T1"/>
    <n v="0"/>
    <n v="0"/>
    <n v="0"/>
    <n v="0"/>
    <n v="0"/>
  </r>
  <r>
    <n v="106"/>
    <x v="38"/>
    <x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42"/>
    <s v="T1"/>
    <n v="0"/>
    <n v="0"/>
    <n v="0"/>
    <n v="0"/>
    <n v="0"/>
  </r>
  <r>
    <n v="107"/>
    <x v="38"/>
    <x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42"/>
    <s v="T1"/>
    <n v="0"/>
    <n v="0"/>
    <n v="0"/>
    <n v="0"/>
    <n v="0"/>
  </r>
  <r>
    <n v="108"/>
    <x v="38"/>
    <x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42"/>
    <s v="T1"/>
    <n v="0"/>
    <n v="0"/>
    <n v="0"/>
    <n v="0"/>
    <n v="0"/>
  </r>
  <r>
    <n v="109"/>
    <x v="38"/>
    <x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42"/>
    <s v="T1"/>
    <n v="0"/>
    <n v="0"/>
    <n v="0"/>
    <n v="0"/>
    <n v="0"/>
  </r>
  <r>
    <n v="110"/>
    <x v="38"/>
    <x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42"/>
    <s v="T1"/>
    <n v="0"/>
    <n v="0"/>
    <n v="0"/>
    <n v="0"/>
    <n v="0"/>
  </r>
  <r>
    <n v="111"/>
    <x v="38"/>
    <x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42"/>
    <s v="T1"/>
    <n v="0"/>
    <n v="0"/>
    <n v="0"/>
    <n v="0"/>
    <n v="0"/>
  </r>
  <r>
    <n v="112"/>
    <x v="38"/>
    <x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42"/>
    <s v="T1"/>
    <n v="0"/>
    <n v="0"/>
    <n v="0"/>
    <n v="0"/>
    <n v="0"/>
  </r>
  <r>
    <n v="113"/>
    <x v="38"/>
    <x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42"/>
    <s v="T1"/>
    <n v="0"/>
    <n v="0"/>
    <n v="0"/>
    <n v="0"/>
    <n v="0"/>
  </r>
  <r>
    <n v="114"/>
    <x v="38"/>
    <x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42"/>
    <s v="T1"/>
    <n v="0"/>
    <n v="0"/>
    <n v="0"/>
    <n v="0"/>
    <n v="0"/>
  </r>
  <r>
    <n v="115"/>
    <x v="38"/>
    <x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42"/>
    <s v="T1"/>
    <n v="0"/>
    <n v="0"/>
    <n v="0"/>
    <n v="0"/>
    <n v="0"/>
  </r>
  <r>
    <n v="116"/>
    <x v="38"/>
    <x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42"/>
    <s v="T1"/>
    <n v="0"/>
    <n v="0"/>
    <n v="0"/>
    <n v="0"/>
    <n v="0"/>
  </r>
  <r>
    <n v="117"/>
    <x v="38"/>
    <x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42"/>
    <s v="T1"/>
    <n v="0"/>
    <n v="0"/>
    <n v="0"/>
    <n v="0"/>
    <n v="0"/>
  </r>
  <r>
    <n v="118"/>
    <x v="38"/>
    <x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42"/>
    <s v="T1"/>
    <n v="0"/>
    <n v="0"/>
    <n v="0"/>
    <n v="0"/>
    <n v="0"/>
  </r>
  <r>
    <n v="119"/>
    <x v="38"/>
    <x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42"/>
    <s v="T1"/>
    <n v="0"/>
    <n v="0"/>
    <n v="0"/>
    <n v="0"/>
    <n v="0"/>
  </r>
  <r>
    <n v="120"/>
    <x v="38"/>
    <x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42"/>
    <s v="T1"/>
    <n v="0"/>
    <n v="0"/>
    <n v="0"/>
    <n v="0"/>
    <n v="0"/>
  </r>
  <r>
    <n v="121"/>
    <x v="38"/>
    <x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42"/>
    <s v="T1"/>
    <n v="0"/>
    <n v="0"/>
    <n v="0"/>
    <n v="0"/>
    <n v="0"/>
  </r>
  <r>
    <n v="122"/>
    <x v="38"/>
    <x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42"/>
    <s v="T1"/>
    <n v="0"/>
    <n v="0"/>
    <n v="0"/>
    <n v="0"/>
    <n v="0"/>
  </r>
  <r>
    <n v="123"/>
    <x v="38"/>
    <x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42"/>
    <s v="T1"/>
    <n v="0"/>
    <n v="0"/>
    <n v="0"/>
    <n v="0"/>
    <n v="0"/>
  </r>
  <r>
    <n v="124"/>
    <x v="38"/>
    <x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42"/>
    <s v="T1"/>
    <n v="0"/>
    <n v="0"/>
    <n v="0"/>
    <n v="0"/>
    <n v="0"/>
  </r>
  <r>
    <n v="125"/>
    <x v="38"/>
    <x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42"/>
    <s v="T1"/>
    <n v="0"/>
    <n v="0"/>
    <n v="0"/>
    <n v="0"/>
    <n v="0"/>
  </r>
  <r>
    <n v="126"/>
    <x v="38"/>
    <x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42"/>
    <s v="T1"/>
    <n v="0"/>
    <n v="0"/>
    <n v="0"/>
    <n v="0"/>
    <n v="0"/>
  </r>
  <r>
    <n v="127"/>
    <x v="38"/>
    <x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42"/>
    <s v="T1"/>
    <n v="0"/>
    <n v="0"/>
    <n v="0"/>
    <n v="0"/>
    <n v="0"/>
  </r>
  <r>
    <n v="128"/>
    <x v="38"/>
    <x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42"/>
    <s v="T1"/>
    <n v="0"/>
    <n v="0"/>
    <n v="0"/>
    <n v="0"/>
    <n v="0"/>
  </r>
  <r>
    <n v="129"/>
    <x v="38"/>
    <x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42"/>
    <s v="T1"/>
    <n v="0"/>
    <n v="0"/>
    <n v="0"/>
    <n v="0"/>
    <n v="0"/>
  </r>
  <r>
    <n v="130"/>
    <x v="38"/>
    <x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42"/>
    <s v="T1"/>
    <n v="0"/>
    <n v="0"/>
    <n v="0"/>
    <n v="0"/>
    <n v="0"/>
  </r>
  <r>
    <n v="131"/>
    <x v="38"/>
    <x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42"/>
    <s v="T1"/>
    <n v="0"/>
    <n v="0"/>
    <n v="0"/>
    <n v="0"/>
    <n v="0"/>
  </r>
  <r>
    <n v="132"/>
    <x v="38"/>
    <x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42"/>
    <s v="T1"/>
    <n v="0"/>
    <n v="0"/>
    <n v="0"/>
    <n v="0"/>
    <n v="0"/>
  </r>
  <r>
    <n v="133"/>
    <x v="38"/>
    <x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42"/>
    <s v="T1"/>
    <n v="0"/>
    <n v="0"/>
    <n v="0"/>
    <n v="0"/>
    <n v="0"/>
  </r>
  <r>
    <n v="134"/>
    <x v="38"/>
    <x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42"/>
    <s v="T1"/>
    <n v="0"/>
    <n v="0"/>
    <n v="0"/>
    <n v="0"/>
    <n v="0"/>
  </r>
  <r>
    <n v="135"/>
    <x v="38"/>
    <x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42"/>
    <s v="T1"/>
    <n v="0"/>
    <n v="0"/>
    <n v="0"/>
    <n v="0"/>
    <n v="0"/>
  </r>
  <r>
    <n v="136"/>
    <x v="38"/>
    <x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42"/>
    <s v="T1"/>
    <n v="0"/>
    <n v="0"/>
    <n v="0"/>
    <n v="0"/>
    <n v="0"/>
  </r>
  <r>
    <n v="137"/>
    <x v="38"/>
    <x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42"/>
    <s v="T1"/>
    <n v="0"/>
    <n v="0"/>
    <n v="0"/>
    <n v="0"/>
    <n v="0"/>
  </r>
  <r>
    <n v="138"/>
    <x v="38"/>
    <x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42"/>
    <s v="T1"/>
    <n v="0"/>
    <n v="0"/>
    <n v="0"/>
    <n v="0"/>
    <n v="0"/>
  </r>
  <r>
    <n v="139"/>
    <x v="38"/>
    <x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42"/>
    <s v="T1"/>
    <n v="0"/>
    <n v="0"/>
    <n v="0"/>
    <n v="0"/>
    <n v="0"/>
  </r>
  <r>
    <n v="140"/>
    <x v="38"/>
    <x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42"/>
    <s v="T1"/>
    <n v="0"/>
    <n v="0"/>
    <n v="0"/>
    <n v="0"/>
    <n v="0"/>
  </r>
  <r>
    <n v="141"/>
    <x v="38"/>
    <x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42"/>
    <s v="T1"/>
    <n v="0"/>
    <n v="0"/>
    <n v="0"/>
    <n v="0"/>
    <n v="0"/>
  </r>
  <r>
    <n v="142"/>
    <x v="38"/>
    <x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42"/>
    <s v="T1"/>
    <n v="0"/>
    <n v="0"/>
    <n v="0"/>
    <n v="0"/>
    <n v="0"/>
  </r>
  <r>
    <n v="143"/>
    <x v="38"/>
    <x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42"/>
    <s v="T1"/>
    <n v="0"/>
    <n v="0"/>
    <n v="0"/>
    <n v="0"/>
    <n v="0"/>
  </r>
  <r>
    <n v="144"/>
    <x v="38"/>
    <x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42"/>
    <s v="T1"/>
    <n v="0"/>
    <n v="0"/>
    <n v="0"/>
    <n v="0"/>
    <n v="0"/>
  </r>
  <r>
    <n v="145"/>
    <x v="38"/>
    <x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42"/>
    <s v="T1"/>
    <n v="0"/>
    <n v="0"/>
    <n v="0"/>
    <n v="0"/>
    <n v="0"/>
  </r>
  <r>
    <n v="146"/>
    <x v="38"/>
    <x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42"/>
    <s v="T1"/>
    <n v="0"/>
    <n v="0"/>
    <n v="0"/>
    <n v="0"/>
    <n v="0"/>
  </r>
  <r>
    <n v="147"/>
    <x v="38"/>
    <x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42"/>
    <s v="T1"/>
    <n v="0"/>
    <n v="0"/>
    <n v="0"/>
    <n v="0"/>
    <n v="0"/>
  </r>
  <r>
    <n v="148"/>
    <x v="38"/>
    <x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42"/>
    <s v="T1"/>
    <n v="0"/>
    <n v="0"/>
    <n v="0"/>
    <n v="0"/>
    <n v="0"/>
  </r>
  <r>
    <n v="149"/>
    <x v="38"/>
    <x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42"/>
    <s v="T1"/>
    <n v="0"/>
    <n v="0"/>
    <n v="0"/>
    <n v="0"/>
    <n v="0"/>
  </r>
  <r>
    <n v="150"/>
    <x v="38"/>
    <x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42"/>
    <s v="T1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6D1DAD-2DD1-4D59-B996-4B1240695634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G17" firstHeaderRow="1" firstDataRow="4" firstDataCol="1"/>
  <pivotFields count="61">
    <pivotField showAll="0"/>
    <pivotField axis="axisCol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showAll="0">
      <items count="12">
        <item h="1" x="10"/>
        <item x="1"/>
        <item x="7"/>
        <item x="9"/>
        <item x="4"/>
        <item x="6"/>
        <item x="0"/>
        <item x="3"/>
        <item x="5"/>
        <item x="8"/>
        <item x="2"/>
        <item t="default"/>
      </items>
    </pivotField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numFmtId="43" showAll="0"/>
    <pivotField numFmtId="43" showAll="0"/>
    <pivotField showAll="0"/>
    <pivotField showAll="0"/>
    <pivotField showAll="0"/>
    <pivotField numFmtId="43" showAll="0"/>
    <pivotField numFmtId="43" showAll="0"/>
    <pivotField showAll="0"/>
    <pivotField showAll="0"/>
    <pivotField numFmtId="43" showAll="0"/>
    <pivotField axis="axisCol" showAll="0" defaultSubtotal="0">
      <items count="6">
        <item sd="0" x="0"/>
        <item x="1"/>
        <item x="2"/>
        <item sd="0" x="3"/>
        <item sd="0" x="4"/>
        <item sd="0" x="5"/>
      </items>
    </pivotField>
    <pivotField axis="axisCol" showAll="0">
      <items count="122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x="119"/>
        <item h="1" sd="0" x="120"/>
        <item t="default"/>
      </items>
    </pivotField>
  </pivotFields>
  <rowFields count="1">
    <field x="2"/>
  </rowFields>
  <rowItems count="11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3">
    <field x="60"/>
    <field x="59"/>
    <field x="1"/>
  </colFields>
  <colItems count="6">
    <i>
      <x v="119"/>
      <x v="1"/>
      <x v="1"/>
    </i>
    <i r="2">
      <x v="2"/>
    </i>
    <i r="2">
      <x v="3"/>
    </i>
    <i r="1">
      <x v="2"/>
      <x v="4"/>
    </i>
    <i t="default">
      <x v="119"/>
    </i>
    <i t="grand">
      <x/>
    </i>
  </colItems>
  <dataFields count="1">
    <dataField name="Average of Top 3 Sum" fld="48" subtotal="average" baseField="2" baseItem="2"/>
  </dataFields>
  <formats count="17">
    <format dxfId="95">
      <pivotArea type="all" dataOnly="0" outline="0" fieldPosition="0"/>
    </format>
    <format dxfId="94">
      <pivotArea outline="0" collapsedLevelsAreSubtotals="1" fieldPosition="0"/>
    </format>
    <format dxfId="93">
      <pivotArea type="origin" dataOnly="0" labelOnly="1" outline="0" fieldPosition="0"/>
    </format>
    <format dxfId="92">
      <pivotArea field="60" type="button" dataOnly="0" labelOnly="1" outline="0" axis="axisCol" fieldPosition="0"/>
    </format>
    <format dxfId="91">
      <pivotArea field="59" type="button" dataOnly="0" labelOnly="1" outline="0" axis="axisCol" fieldPosition="1"/>
    </format>
    <format dxfId="90">
      <pivotArea field="1" type="button" dataOnly="0" labelOnly="1" outline="0" axis="axisCol" fieldPosition="2"/>
    </format>
    <format dxfId="89">
      <pivotArea type="topRight" dataOnly="0" labelOnly="1" outline="0" fieldPosition="0"/>
    </format>
    <format dxfId="88">
      <pivotArea field="2" type="button" dataOnly="0" labelOnly="1" outline="0" axis="axisRow" fieldPosition="0"/>
    </format>
    <format dxfId="87">
      <pivotArea dataOnly="0" labelOnly="1" fieldPosition="0">
        <references count="1">
          <reference field="2" count="0"/>
        </references>
      </pivotArea>
    </format>
    <format dxfId="86">
      <pivotArea dataOnly="0" labelOnly="1" grandRow="1" outline="0" fieldPosition="0"/>
    </format>
    <format dxfId="85">
      <pivotArea dataOnly="0" labelOnly="1" fieldPosition="0">
        <references count="1">
          <reference field="60" count="1">
            <x v="119"/>
          </reference>
        </references>
      </pivotArea>
    </format>
    <format dxfId="84">
      <pivotArea dataOnly="0" labelOnly="1" fieldPosition="0">
        <references count="1">
          <reference field="60" count="1" defaultSubtotal="1">
            <x v="119"/>
          </reference>
        </references>
      </pivotArea>
    </format>
    <format dxfId="83">
      <pivotArea dataOnly="0" labelOnly="1" grandCol="1" outline="0" fieldPosition="0"/>
    </format>
    <format dxfId="82">
      <pivotArea dataOnly="0" labelOnly="1" fieldPosition="0">
        <references count="2">
          <reference field="59" count="2">
            <x v="1"/>
            <x v="2"/>
          </reference>
          <reference field="60" count="1" selected="0">
            <x v="119"/>
          </reference>
        </references>
      </pivotArea>
    </format>
    <format dxfId="81">
      <pivotArea dataOnly="0" labelOnly="1" fieldPosition="0">
        <references count="2">
          <reference field="59" count="2" defaultSubtotal="1">
            <x v="1"/>
            <x v="2"/>
          </reference>
          <reference field="60" count="1" selected="0">
            <x v="119"/>
          </reference>
        </references>
      </pivotArea>
    </format>
    <format dxfId="80">
      <pivotArea dataOnly="0" labelOnly="1" fieldPosition="0">
        <references count="3">
          <reference field="1" count="3">
            <x v="1"/>
            <x v="2"/>
            <x v="3"/>
          </reference>
          <reference field="59" count="1" selected="0">
            <x v="1"/>
          </reference>
          <reference field="60" count="1" selected="0">
            <x v="119"/>
          </reference>
        </references>
      </pivotArea>
    </format>
    <format dxfId="79">
      <pivotArea dataOnly="0" labelOnly="1" fieldPosition="0">
        <references count="3">
          <reference field="1" count="1">
            <x v="4"/>
          </reference>
          <reference field="59" count="1" selected="0">
            <x v="2"/>
          </reference>
          <reference field="60" count="1" selected="0">
            <x v="119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A5484F0-62DF-465B-92CC-9EF05A9062CF}" name="Table1" displayName="Table1" ref="A7:BG157" totalsRowShown="0" headerRowDxfId="78" dataDxfId="76" headerRowBorderDxfId="77" tableBorderDxfId="75" headerRowCellStyle="60% - Accent1" dataCellStyle="Comma">
  <autoFilter ref="A7:BG157" xr:uid="{28C02AE3-4D78-4EB0-922B-597C9161A0AC}"/>
  <tableColumns count="59">
    <tableColumn id="1" xr3:uid="{1D5ED2FC-6B02-406E-A45B-5AD801C3A177}" name="Row" dataDxfId="74">
      <calculatedColumnFormula>+A7+1</calculatedColumnFormula>
    </tableColumn>
    <tableColumn id="2" xr3:uid="{AE328904-285E-41DC-A2AC-48720CFA5982}" name="Date" dataDxfId="73">
      <calculatedColumnFormula>'Rock Climbing Log'!B8</calculatedColumnFormula>
    </tableColumn>
    <tableColumn id="3" xr3:uid="{9F6B52B9-0F1A-4638-8F06-675905A076F0}" name="Climber" dataDxfId="72">
      <calculatedColumnFormula>'Rock Climbing Log'!C8</calculatedColumnFormula>
    </tableColumn>
    <tableColumn id="4" xr3:uid="{973EC320-368B-4B54-B57E-C3ECA9B12BF8}" name="5'5" dataDxfId="71" dataCellStyle="Comma">
      <calculatedColumnFormula>_xlfn.IFNA(IF(LEFT('Rock Climbing Log'!D8)="C",_xlfn.IFNA(VLOOKUP('Rock Climbing Log'!D8,'RC Lookup'!$A$3:$B$9,2,FALSE),0.5),VLOOKUP('Rock Climbing Log'!D8,'RC Lookup'!$G$3:$H$5,2,FALSE)),0)*VLOOKUP(D$7,'RC Lookup'!$D$3:$E$18,2,FALSE)</calculatedColumnFormula>
    </tableColumn>
    <tableColumn id="26" xr3:uid="{F767926D-5DC0-47C3-A1A3-BE207273AD51}" name="5'52" dataDxfId="70" dataCellStyle="Comma">
      <calculatedColumnFormula>_xlfn.IFNA(IF(LEFT('Rock Climbing Log'!E8)="C",_xlfn.IFNA(VLOOKUP('Rock Climbing Log'!E8,'RC Lookup'!$A$3:$B$9,2,FALSE),0.5),VLOOKUP('Rock Climbing Log'!E8,'RC Lookup'!$G$3:$H$5,2,FALSE)),0)*VLOOKUP(D$7,'RC Lookup'!$D$3:$E$18,2,FALSE)</calculatedColumnFormula>
    </tableColumn>
    <tableColumn id="25" xr3:uid="{CFB0E551-D42B-430F-A8D0-B7BC9E726509}" name="5'53" dataDxfId="69" dataCellStyle="Comma">
      <calculatedColumnFormula>_xlfn.IFNA(IF(LEFT('Rock Climbing Log'!F8)="C",_xlfn.IFNA(VLOOKUP('Rock Climbing Log'!F8,'RC Lookup'!$A$3:$B$9,2,FALSE),0.5),VLOOKUP('Rock Climbing Log'!F8,'RC Lookup'!$G$3:$H$5,2,FALSE)),0)*VLOOKUP(D$7,'RC Lookup'!$D$3:$E$18,2,FALSE)</calculatedColumnFormula>
    </tableColumn>
    <tableColumn id="5" xr3:uid="{2DA779D3-D95A-4B58-A36A-4874CD9ABB69}" name="5'6" dataDxfId="68" dataCellStyle="Comma">
      <calculatedColumnFormula>_xlfn.IFNA(IF(LEFT('Rock Climbing Log'!G8)="C",_xlfn.IFNA(VLOOKUP('Rock Climbing Log'!G8,'RC Lookup'!$A$3:$B$9,2,FALSE),0.5),VLOOKUP('Rock Climbing Log'!G8,'RC Lookup'!$G$3:$H$5,2,FALSE)),0)*VLOOKUP(G$7,'RC Lookup'!$D$3:$E$18,2,FALSE)</calculatedColumnFormula>
    </tableColumn>
    <tableColumn id="28" xr3:uid="{B6E8DB99-B707-4B9B-9647-D5CF1DED9839}" name="5'62" dataDxfId="67" dataCellStyle="Comma">
      <calculatedColumnFormula>_xlfn.IFNA(IF(LEFT('Rock Climbing Log'!H8)="C",_xlfn.IFNA(VLOOKUP('Rock Climbing Log'!H8,'RC Lookup'!$A$3:$B$9,2,FALSE),0.5),VLOOKUP('Rock Climbing Log'!H8,'RC Lookup'!$G$3:$H$5,2,FALSE)),0)*VLOOKUP(G$7,'RC Lookup'!$D$3:$E$18,2,FALSE)</calculatedColumnFormula>
    </tableColumn>
    <tableColumn id="27" xr3:uid="{2D124FFE-BBF3-4CF6-9D1B-0FDE26FFA0B8}" name="5'63" dataDxfId="66" dataCellStyle="Comma">
      <calculatedColumnFormula>_xlfn.IFNA(IF(LEFT('Rock Climbing Log'!I8)="C",_xlfn.IFNA(VLOOKUP('Rock Climbing Log'!I8,'RC Lookup'!$A$3:$B$9,2,FALSE),0.5),VLOOKUP('Rock Climbing Log'!I8,'RC Lookup'!$G$3:$H$5,2,FALSE)),0)*VLOOKUP(G$7,'RC Lookup'!$D$3:$E$18,2,FALSE)</calculatedColumnFormula>
    </tableColumn>
    <tableColumn id="6" xr3:uid="{AA1398F4-1E18-4AD6-97FD-BDDC67859381}" name="5'7" dataDxfId="65" dataCellStyle="Comma">
      <calculatedColumnFormula>_xlfn.IFNA(IF(LEFT('Rock Climbing Log'!J8)="C",_xlfn.IFNA(VLOOKUP('Rock Climbing Log'!J8,'RC Lookup'!$A$3:$B$9,2,FALSE),0.5),VLOOKUP('Rock Climbing Log'!J8,'RC Lookup'!$G$3:$H$5,2,FALSE)),0)*VLOOKUP(J$7,'RC Lookup'!$D$3:$E$18,2,FALSE)</calculatedColumnFormula>
    </tableColumn>
    <tableColumn id="30" xr3:uid="{9252B6B8-D5D5-444B-9452-1BF127945D66}" name="5'72" dataDxfId="64" dataCellStyle="Comma">
      <calculatedColumnFormula>_xlfn.IFNA(IF(LEFT('Rock Climbing Log'!K8)="C",_xlfn.IFNA(VLOOKUP('Rock Climbing Log'!K8,'RC Lookup'!$A$3:$B$9,2,FALSE),0.5),VLOOKUP('Rock Climbing Log'!K8,'RC Lookup'!$G$3:$H$5,2,FALSE)),0)*VLOOKUP(J$7,'RC Lookup'!$D$3:$E$18,2,FALSE)</calculatedColumnFormula>
    </tableColumn>
    <tableColumn id="29" xr3:uid="{F01BC896-9722-4F98-B7B1-73B6D4850C97}" name="5'73" dataDxfId="63" dataCellStyle="Comma">
      <calculatedColumnFormula>_xlfn.IFNA(IF(LEFT('Rock Climbing Log'!L8)="C",_xlfn.IFNA(VLOOKUP('Rock Climbing Log'!L8,'RC Lookup'!$A$3:$B$9,2,FALSE),0.5),VLOOKUP('Rock Climbing Log'!L8,'RC Lookup'!$G$3:$H$5,2,FALSE)),0)*VLOOKUP(J$7,'RC Lookup'!$D$3:$E$18,2,FALSE)</calculatedColumnFormula>
    </tableColumn>
    <tableColumn id="7" xr3:uid="{C8FC85B8-1829-4E35-93AC-A06382499CF0}" name="5'8" dataDxfId="62" dataCellStyle="Comma">
      <calculatedColumnFormula>_xlfn.IFNA(IF(LEFT('Rock Climbing Log'!M8)="C",_xlfn.IFNA(VLOOKUP('Rock Climbing Log'!M8,'RC Lookup'!$A$3:$B$9,2,FALSE),0.5),VLOOKUP('Rock Climbing Log'!M8,'RC Lookup'!$G$3:$H$5,2,FALSE)),0)*VLOOKUP(M$7,'RC Lookup'!$D$3:$E$18,2,FALSE)</calculatedColumnFormula>
    </tableColumn>
    <tableColumn id="32" xr3:uid="{BA85ADB9-C434-458D-9F7E-5CD293F02E18}" name="5'82" dataDxfId="61" dataCellStyle="Comma">
      <calculatedColumnFormula>_xlfn.IFNA(IF(LEFT('Rock Climbing Log'!N8)="C",_xlfn.IFNA(VLOOKUP('Rock Climbing Log'!N8,'RC Lookup'!$A$3:$B$9,2,FALSE),0.5),VLOOKUP('Rock Climbing Log'!N8,'RC Lookup'!$G$3:$H$5,2,FALSE)),0)*VLOOKUP(M$7,'RC Lookup'!$D$3:$E$18,2,FALSE)</calculatedColumnFormula>
    </tableColumn>
    <tableColumn id="31" xr3:uid="{467DD069-B5C4-4338-B6E6-B08FBF382EAF}" name="5'83" dataDxfId="60" dataCellStyle="Comma">
      <calculatedColumnFormula>_xlfn.IFNA(IF(LEFT('Rock Climbing Log'!O8)="C",_xlfn.IFNA(VLOOKUP('Rock Climbing Log'!O8,'RC Lookup'!$A$3:$B$9,2,FALSE),0.5),VLOOKUP('Rock Climbing Log'!O8,'RC Lookup'!$G$3:$H$5,2,FALSE)),0)*VLOOKUP(M$7,'RC Lookup'!$D$3:$E$18,2,FALSE)</calculatedColumnFormula>
    </tableColumn>
    <tableColumn id="8" xr3:uid="{A4767DAF-367B-475E-97EF-46D4F7CA8A70}" name="5'8+" dataDxfId="59" dataCellStyle="Comma">
      <calculatedColumnFormula>_xlfn.IFNA(IF(LEFT('Rock Climbing Log'!P8)="C",_xlfn.IFNA(VLOOKUP('Rock Climbing Log'!P8,'RC Lookup'!$A$3:$B$9,2,FALSE),0.5),VLOOKUP('Rock Climbing Log'!P8,'RC Lookup'!$G$3:$H$5,2,FALSE)),0)*VLOOKUP(P$7,'RC Lookup'!$D$3:$E$18,2,FALSE)</calculatedColumnFormula>
    </tableColumn>
    <tableColumn id="58" xr3:uid="{3E1312B9-ADEF-4DBA-A6A7-27F2A83BE8F5}" name="5'8+2" dataDxfId="58" dataCellStyle="Comma">
      <calculatedColumnFormula>_xlfn.IFNA(IF(LEFT('Rock Climbing Log'!Q8)="C",_xlfn.IFNA(VLOOKUP('Rock Climbing Log'!Q8,'RC Lookup'!$A$3:$B$9,2,FALSE),0.5),VLOOKUP('Rock Climbing Log'!Q8,'RC Lookup'!$G$3:$H$5,2,FALSE)),0)*VLOOKUP(P$7,'RC Lookup'!$D$3:$E$18,2,FALSE)</calculatedColumnFormula>
    </tableColumn>
    <tableColumn id="57" xr3:uid="{0774A124-5868-4AE1-A280-7B66861D6A40}" name="5'8+3" dataDxfId="57" dataCellStyle="Comma">
      <calculatedColumnFormula>_xlfn.IFNA(IF(LEFT('Rock Climbing Log'!R8)="C",_xlfn.IFNA(VLOOKUP('Rock Climbing Log'!R8,'RC Lookup'!$A$3:$B$9,2,FALSE),0.5),VLOOKUP('Rock Climbing Log'!R8,'RC Lookup'!$G$3:$H$5,2,FALSE)),0)*VLOOKUP(P$7,'RC Lookup'!$D$3:$E$18,2,FALSE)</calculatedColumnFormula>
    </tableColumn>
    <tableColumn id="9" xr3:uid="{0D81EF24-854A-4BAF-B654-275CC21511EA}" name="5'9-" dataDxfId="56" dataCellStyle="Comma">
      <calculatedColumnFormula>_xlfn.IFNA(IF(LEFT('Rock Climbing Log'!S8)="C",_xlfn.IFNA(VLOOKUP('Rock Climbing Log'!S8,'RC Lookup'!$A$3:$B$9,2,FALSE),0.5),VLOOKUP('Rock Climbing Log'!S8,'RC Lookup'!$G$3:$H$5,2,FALSE)),0)*VLOOKUP(S$7,'RC Lookup'!$D$3:$E$18,2,FALSE)</calculatedColumnFormula>
    </tableColumn>
    <tableColumn id="34" xr3:uid="{1D514B12-14C7-40F7-8C15-69DA713AD41D}" name="5'9-2" dataDxfId="55" dataCellStyle="Comma">
      <calculatedColumnFormula>_xlfn.IFNA(IF(LEFT('Rock Climbing Log'!T8)="C",_xlfn.IFNA(VLOOKUP('Rock Climbing Log'!T8,'RC Lookup'!$A$3:$B$9,2,FALSE),0.5),VLOOKUP('Rock Climbing Log'!T8,'RC Lookup'!$G$3:$H$5,2,FALSE)),0)*VLOOKUP(S$7,'RC Lookup'!$D$3:$E$18,2,FALSE)</calculatedColumnFormula>
    </tableColumn>
    <tableColumn id="33" xr3:uid="{43A64DDF-E6C4-48DC-A87E-323933D046E2}" name="5'9-3" dataDxfId="54" dataCellStyle="Comma">
      <calculatedColumnFormula>_xlfn.IFNA(IF(LEFT('Rock Climbing Log'!U8)="C",_xlfn.IFNA(VLOOKUP('Rock Climbing Log'!U8,'RC Lookup'!$A$3:$B$9,2,FALSE),0.5),VLOOKUP('Rock Climbing Log'!U8,'RC Lookup'!$G$3:$H$5,2,FALSE)),0)*VLOOKUP(S$7,'RC Lookup'!$D$3:$E$18,2,FALSE)</calculatedColumnFormula>
    </tableColumn>
    <tableColumn id="10" xr3:uid="{DBE56C2F-6E47-4532-BBD9-D6251123A988}" name="5'9" dataDxfId="53" dataCellStyle="Comma">
      <calculatedColumnFormula>_xlfn.IFNA(IF(LEFT('Rock Climbing Log'!V8)="C",_xlfn.IFNA(VLOOKUP('Rock Climbing Log'!V8,'RC Lookup'!$A$3:$B$9,2,FALSE),0.5),VLOOKUP('Rock Climbing Log'!V8,'RC Lookup'!$G$3:$H$5,2,FALSE)),0)*VLOOKUP(V$7,'RC Lookup'!$D$3:$E$18,2,FALSE)</calculatedColumnFormula>
    </tableColumn>
    <tableColumn id="36" xr3:uid="{0CD1B3EE-F311-47CD-A74D-869B15A26BDF}" name="5'92" dataDxfId="52" dataCellStyle="Comma">
      <calculatedColumnFormula>_xlfn.IFNA(IF(LEFT('Rock Climbing Log'!W8)="C",_xlfn.IFNA(VLOOKUP('Rock Climbing Log'!W8,'RC Lookup'!$A$3:$B$9,2,FALSE),0.5),VLOOKUP('Rock Climbing Log'!W8,'RC Lookup'!$G$3:$H$5,2,FALSE)),0)*VLOOKUP(V$7,'RC Lookup'!$D$3:$E$18,2,FALSE)</calculatedColumnFormula>
    </tableColumn>
    <tableColumn id="35" xr3:uid="{F4198E5D-970E-4CDD-9AE2-A024C12E1801}" name="5'93" dataDxfId="51" dataCellStyle="Comma">
      <calculatedColumnFormula>_xlfn.IFNA(IF(LEFT('Rock Climbing Log'!X8)="C",_xlfn.IFNA(VLOOKUP('Rock Climbing Log'!X8,'RC Lookup'!$A$3:$B$9,2,FALSE),0.5),VLOOKUP('Rock Climbing Log'!X8,'RC Lookup'!$G$3:$H$5,2,FALSE)),0)*VLOOKUP(V$7,'RC Lookup'!$D$3:$E$18,2,FALSE)</calculatedColumnFormula>
    </tableColumn>
    <tableColumn id="11" xr3:uid="{EB02D73B-FA44-4158-9F2A-A9F3737EB831}" name="5'9+" dataDxfId="50" dataCellStyle="Comma">
      <calculatedColumnFormula>_xlfn.IFNA(IF(LEFT('Rock Climbing Log'!Y8)="C",_xlfn.IFNA(VLOOKUP('Rock Climbing Log'!Y8,'RC Lookup'!$A$3:$B$9,2,FALSE),0.5),VLOOKUP('Rock Climbing Log'!Y8,'RC Lookup'!$G$3:$H$5,2,FALSE)),0)*VLOOKUP(Y$7,'RC Lookup'!$D$3:$E$18,2,FALSE)</calculatedColumnFormula>
    </tableColumn>
    <tableColumn id="38" xr3:uid="{3345954E-4096-4D9F-B496-4CB9841BE443}" name="5'9+2" dataDxfId="49" dataCellStyle="Comma">
      <calculatedColumnFormula>_xlfn.IFNA(IF(LEFT('Rock Climbing Log'!Z8)="C",_xlfn.IFNA(VLOOKUP('Rock Climbing Log'!Z8,'RC Lookup'!$A$3:$B$9,2,FALSE),0.5),VLOOKUP('Rock Climbing Log'!Z8,'RC Lookup'!$G$3:$H$5,2,FALSE)),0)*VLOOKUP(Y$7,'RC Lookup'!$D$3:$E$18,2,FALSE)</calculatedColumnFormula>
    </tableColumn>
    <tableColumn id="37" xr3:uid="{2831E781-E744-4EE8-B33D-96A9AEBC05BA}" name="5'9+3" dataDxfId="48" dataCellStyle="Comma">
      <calculatedColumnFormula>_xlfn.IFNA(IF(LEFT('Rock Climbing Log'!AA8)="C",_xlfn.IFNA(VLOOKUP('Rock Climbing Log'!AA8,'RC Lookup'!$A$3:$B$9,2,FALSE),0.5),VLOOKUP('Rock Climbing Log'!AA8,'RC Lookup'!$G$3:$H$5,2,FALSE)),0)*VLOOKUP(Y$7,'RC Lookup'!$D$3:$E$18,2,FALSE)</calculatedColumnFormula>
    </tableColumn>
    <tableColumn id="12" xr3:uid="{9F39C014-C83C-4E6B-99E1-7EB39D5D72BC}" name="5'10-" dataDxfId="47" dataCellStyle="Comma">
      <calculatedColumnFormula>_xlfn.IFNA(IF(LEFT('Rock Climbing Log'!AB8)="C",_xlfn.IFNA(VLOOKUP('Rock Climbing Log'!AB8,'RC Lookup'!$A$3:$B$9,2,FALSE),0.5),VLOOKUP('Rock Climbing Log'!AB8,'RC Lookup'!$G$3:$H$5,2,FALSE)),0)*VLOOKUP(AB$7,'RC Lookup'!$D$3:$E$18,2,FALSE)</calculatedColumnFormula>
    </tableColumn>
    <tableColumn id="40" xr3:uid="{0AF674A7-FC2D-4FA5-A308-17B74A0F47B7}" name="5'10-2" dataDxfId="46" dataCellStyle="Comma">
      <calculatedColumnFormula>_xlfn.IFNA(IF(LEFT('Rock Climbing Log'!AC8)="C",_xlfn.IFNA(VLOOKUP('Rock Climbing Log'!AC8,'RC Lookup'!$A$3:$B$9,2,FALSE),0.5),VLOOKUP('Rock Climbing Log'!AC8,'RC Lookup'!$G$3:$H$5,2,FALSE)),0)*VLOOKUP(AB$7,'RC Lookup'!$D$3:$E$18,2,FALSE)</calculatedColumnFormula>
    </tableColumn>
    <tableColumn id="39" xr3:uid="{1A20AAC1-B76F-4ABF-8BF0-11D8489ACCDC}" name="5'10-3" dataDxfId="45" dataCellStyle="Comma">
      <calculatedColumnFormula>_xlfn.IFNA(IF(LEFT('Rock Climbing Log'!AD8)="C",_xlfn.IFNA(VLOOKUP('Rock Climbing Log'!AD8,'RC Lookup'!$A$3:$B$9,2,FALSE),0.5),VLOOKUP('Rock Climbing Log'!AD8,'RC Lookup'!$G$3:$H$5,2,FALSE)),0)*VLOOKUP(AB$7,'RC Lookup'!$D$3:$E$18,2,FALSE)</calculatedColumnFormula>
    </tableColumn>
    <tableColumn id="13" xr3:uid="{9ABDF2D2-B76B-453C-852F-3FEAFFC5A824}" name="5'10" dataDxfId="44" dataCellStyle="Comma">
      <calculatedColumnFormula>_xlfn.IFNA(IF(LEFT('Rock Climbing Log'!AE8)="C",_xlfn.IFNA(VLOOKUP('Rock Climbing Log'!AE8,'RC Lookup'!$A$3:$B$9,2,FALSE),0.5),VLOOKUP('Rock Climbing Log'!AE8,'RC Lookup'!$G$3:$H$5,2,FALSE)),0)*VLOOKUP(AE$7,'RC Lookup'!$D$3:$E$18,2,FALSE)</calculatedColumnFormula>
    </tableColumn>
    <tableColumn id="42" xr3:uid="{0721C50E-1E57-4D58-A5AA-4916BE8C0C5A}" name="5'102" dataDxfId="43" dataCellStyle="Comma">
      <calculatedColumnFormula>_xlfn.IFNA(IF(LEFT('Rock Climbing Log'!AF8)="C",_xlfn.IFNA(VLOOKUP('Rock Climbing Log'!AF8,'RC Lookup'!$A$3:$B$9,2,FALSE),0.5),VLOOKUP('Rock Climbing Log'!AF8,'RC Lookup'!$G$3:$H$5,2,FALSE)),0)*VLOOKUP(AE$7,'RC Lookup'!$D$3:$E$18,2,FALSE)</calculatedColumnFormula>
    </tableColumn>
    <tableColumn id="41" xr3:uid="{D460770F-EF3C-4E6A-AF27-B2720F4CCC89}" name="5'103" dataDxfId="42" dataCellStyle="Comma">
      <calculatedColumnFormula>_xlfn.IFNA(IF(LEFT('Rock Climbing Log'!AG8)="C",_xlfn.IFNA(VLOOKUP('Rock Climbing Log'!AG8,'RC Lookup'!$A$3:$B$9,2,FALSE),0.5),VLOOKUP('Rock Climbing Log'!AG8,'RC Lookup'!$G$3:$H$5,2,FALSE)),0)*VLOOKUP(AE$7,'RC Lookup'!$D$3:$E$18,2,FALSE)</calculatedColumnFormula>
    </tableColumn>
    <tableColumn id="14" xr3:uid="{BD539C3E-B32A-4BC3-B73E-B8AB3B1CD6C0}" name="5'10+" dataDxfId="41" dataCellStyle="Comma">
      <calculatedColumnFormula>_xlfn.IFNA(IF(LEFT('Rock Climbing Log'!AH8)="C",_xlfn.IFNA(VLOOKUP('Rock Climbing Log'!AH8,'RC Lookup'!$A$3:$B$9,2,FALSE),0.5),VLOOKUP('Rock Climbing Log'!AH8,'RC Lookup'!$G$3:$H$5,2,FALSE)),0)*VLOOKUP(AH$7,'RC Lookup'!$D$3:$E$18,2,FALSE)</calculatedColumnFormula>
    </tableColumn>
    <tableColumn id="48" xr3:uid="{D24757DC-61D0-4FE2-94C7-36EE04289EC4}" name="5'10+2" dataDxfId="40" dataCellStyle="Comma">
      <calculatedColumnFormula>_xlfn.IFNA(IF(LEFT('Rock Climbing Log'!AI8)="C",_xlfn.IFNA(VLOOKUP('Rock Climbing Log'!AI8,'RC Lookup'!$A$3:$B$9,2,FALSE),0.5),VLOOKUP('Rock Climbing Log'!AI8,'RC Lookup'!$G$3:$H$5,2,FALSE)),0)*VLOOKUP(AH$7,'RC Lookup'!$D$3:$E$18,2,FALSE)</calculatedColumnFormula>
    </tableColumn>
    <tableColumn id="47" xr3:uid="{08DB6052-25DE-4786-A5DA-9EF9AF014DCF}" name="5'10+3" dataDxfId="39" dataCellStyle="Comma">
      <calculatedColumnFormula>_xlfn.IFNA(IF(LEFT('Rock Climbing Log'!AJ8)="C",_xlfn.IFNA(VLOOKUP('Rock Climbing Log'!AJ8,'RC Lookup'!$A$3:$B$9,2,FALSE),0.5),VLOOKUP('Rock Climbing Log'!AJ8,'RC Lookup'!$G$3:$H$5,2,FALSE)),0)*VLOOKUP(AH$7,'RC Lookup'!$D$3:$E$18,2,FALSE)</calculatedColumnFormula>
    </tableColumn>
    <tableColumn id="15" xr3:uid="{00EDA36D-41B2-4284-83E0-9605BBB872C6}" name="5'11-" dataDxfId="38" dataCellStyle="Comma">
      <calculatedColumnFormula>_xlfn.IFNA(IF(LEFT('Rock Climbing Log'!AK8)="C",_xlfn.IFNA(VLOOKUP('Rock Climbing Log'!AK8,'RC Lookup'!$A$3:$B$9,2,FALSE),0.5),VLOOKUP('Rock Climbing Log'!AK8,'RC Lookup'!$G$3:$H$5,2,FALSE)),0)*VLOOKUP(AK$7,'RC Lookup'!$D$3:$E$18,2,FALSE)</calculatedColumnFormula>
    </tableColumn>
    <tableColumn id="50" xr3:uid="{E5CD635A-597E-44A4-AF95-80C80528C6DB}" name="5'11-2" dataDxfId="37" dataCellStyle="Comma">
      <calculatedColumnFormula>_xlfn.IFNA(IF(LEFT('Rock Climbing Log'!AL8)="C",_xlfn.IFNA(VLOOKUP('Rock Climbing Log'!AL8,'RC Lookup'!$A$3:$B$9,2,FALSE),0.5),VLOOKUP('Rock Climbing Log'!AL8,'RC Lookup'!$G$3:$H$5,2,FALSE)),0)*VLOOKUP(AK$7,'RC Lookup'!$D$3:$E$18,2,FALSE)</calculatedColumnFormula>
    </tableColumn>
    <tableColumn id="49" xr3:uid="{562CD2BF-2275-4C05-8A93-E5FBC6320AA1}" name="5'11-3" dataDxfId="36" dataCellStyle="Comma">
      <calculatedColumnFormula>_xlfn.IFNA(IF(LEFT('Rock Climbing Log'!AM8)="C",_xlfn.IFNA(VLOOKUP('Rock Climbing Log'!AM8,'RC Lookup'!$A$3:$B$9,2,FALSE),0.5),VLOOKUP('Rock Climbing Log'!AM8,'RC Lookup'!$G$3:$H$5,2,FALSE)),0)*VLOOKUP(AK$7,'RC Lookup'!$D$3:$E$18,2,FALSE)</calculatedColumnFormula>
    </tableColumn>
    <tableColumn id="16" xr3:uid="{CB794A1B-A9D1-4B63-9981-EB3EEC1F6F70}" name="5'11" dataDxfId="35" dataCellStyle="Comma">
      <calculatedColumnFormula>_xlfn.IFNA(IF(LEFT('Rock Climbing Log'!AN8)="C",_xlfn.IFNA(VLOOKUP('Rock Climbing Log'!AN8,'RC Lookup'!$A$3:$B$9,2,FALSE),0.5),VLOOKUP('Rock Climbing Log'!AN8,'RC Lookup'!$G$3:$H$5,2,FALSE)),0)*VLOOKUP(AN$7,'RC Lookup'!$D$3:$E$18,2,FALSE)</calculatedColumnFormula>
    </tableColumn>
    <tableColumn id="52" xr3:uid="{46BF06E6-6D01-4E47-B032-BF546FD3262F}" name="5'112" dataDxfId="34" dataCellStyle="Comma">
      <calculatedColumnFormula>_xlfn.IFNA(IF(LEFT('Rock Climbing Log'!AO8)="C",_xlfn.IFNA(VLOOKUP('Rock Climbing Log'!AO8,'RC Lookup'!$A$3:$B$9,2,FALSE),0.5),VLOOKUP('Rock Climbing Log'!AO8,'RC Lookup'!$G$3:$H$5,2,FALSE)),0)*VLOOKUP(AN$7,'RC Lookup'!$D$3:$E$18,2,FALSE)</calculatedColumnFormula>
    </tableColumn>
    <tableColumn id="51" xr3:uid="{883E59E7-1717-4AEA-B179-C68FDCA4C35F}" name="5'113" dataDxfId="33" dataCellStyle="Comma">
      <calculatedColumnFormula>_xlfn.IFNA(IF(LEFT('Rock Climbing Log'!AP8)="C",_xlfn.IFNA(VLOOKUP('Rock Climbing Log'!AP8,'RC Lookup'!$A$3:$B$9,2,FALSE),0.5),VLOOKUP('Rock Climbing Log'!AP8,'RC Lookup'!$G$3:$H$5,2,FALSE)),0)*VLOOKUP(AN$7,'RC Lookup'!$D$3:$E$18,2,FALSE)</calculatedColumnFormula>
    </tableColumn>
    <tableColumn id="17" xr3:uid="{438ADDD8-E4E5-498C-9817-C7C51162402A}" name="5'11+" dataDxfId="32" dataCellStyle="Comma">
      <calculatedColumnFormula>_xlfn.IFNA(IF(LEFT('Rock Climbing Log'!AQ8)="C",_xlfn.IFNA(VLOOKUP('Rock Climbing Log'!AQ8,'RC Lookup'!$A$3:$B$9,2,FALSE),0.5),VLOOKUP('Rock Climbing Log'!AQ8,'RC Lookup'!$G$3:$H$5,2,FALSE)),0)*VLOOKUP(AQ$7,'RC Lookup'!$D$3:$E$18,2,FALSE)</calculatedColumnFormula>
    </tableColumn>
    <tableColumn id="54" xr3:uid="{5083568B-6B0B-4E01-A737-42A9C539FBD9}" name="5'11+2" dataDxfId="31" dataCellStyle="Comma">
      <calculatedColumnFormula>_xlfn.IFNA(IF(LEFT('Rock Climbing Log'!AR8)="C",_xlfn.IFNA(VLOOKUP('Rock Climbing Log'!AR8,'RC Lookup'!$A$3:$B$9,2,FALSE),0.5),VLOOKUP('Rock Climbing Log'!AR8,'RC Lookup'!$G$3:$H$5,2,FALSE)),0)*VLOOKUP(AQ$7,'RC Lookup'!$D$3:$E$18,2,FALSE)</calculatedColumnFormula>
    </tableColumn>
    <tableColumn id="53" xr3:uid="{7DE58E16-98E3-4070-A392-1D1C3CBCE7E3}" name="5'11+3" dataDxfId="30" dataCellStyle="Comma">
      <calculatedColumnFormula>_xlfn.IFNA(IF(LEFT('Rock Climbing Log'!AS8)="C",_xlfn.IFNA(VLOOKUP('Rock Climbing Log'!AS8,'RC Lookup'!$A$3:$B$9,2,FALSE),0.5),VLOOKUP('Rock Climbing Log'!AS8,'RC Lookup'!$G$3:$H$5,2,FALSE)),0)*VLOOKUP(AQ$7,'RC Lookup'!$D$3:$E$18,2,FALSE)</calculatedColumnFormula>
    </tableColumn>
    <tableColumn id="18" xr3:uid="{641E5418-AC27-4858-9F2A-7BD6BAD78DB3}" name="5'12-" dataDxfId="29" dataCellStyle="Comma">
      <calculatedColumnFormula>_xlfn.IFNA(IF(LEFT('Rock Climbing Log'!AT8)="C",_xlfn.IFNA(VLOOKUP('Rock Climbing Log'!AT8,'RC Lookup'!$A$3:$B$9,2,FALSE),0.5),VLOOKUP('Rock Climbing Log'!AT8,'RC Lookup'!$G$3:$H$5,2,FALSE)),0)*VLOOKUP(AT$7,'RC Lookup'!$D$3:$E$18,2,FALSE)</calculatedColumnFormula>
    </tableColumn>
    <tableColumn id="56" xr3:uid="{2009577D-50E4-48DD-AB25-59DE73CDDEF7}" name="5'12-2" dataDxfId="28" dataCellStyle="Comma">
      <calculatedColumnFormula>_xlfn.IFNA(IF(LEFT('Rock Climbing Log'!AU8)="C",_xlfn.IFNA(VLOOKUP('Rock Climbing Log'!AU8,'RC Lookup'!$A$3:$B$9,2,FALSE),0.5),VLOOKUP('Rock Climbing Log'!AU8,'RC Lookup'!$G$3:$H$5,2,FALSE)),0)*VLOOKUP(AT$7,'RC Lookup'!$D$3:$E$18,2,FALSE)</calculatedColumnFormula>
    </tableColumn>
    <tableColumn id="55" xr3:uid="{5B52098F-5ECF-4103-AEE7-907C30855902}" name="5'12-3" dataDxfId="27" dataCellStyle="Comma">
      <calculatedColumnFormula>_xlfn.IFNA(IF(LEFT('Rock Climbing Log'!AV8)="C",_xlfn.IFNA(VLOOKUP('Rock Climbing Log'!AV8,'RC Lookup'!$A$3:$B$9,2,FALSE),0.5),VLOOKUP('Rock Climbing Log'!AV8,'RC Lookup'!$G$3:$H$5,2,FALSE)),0)*VLOOKUP(AT$7,'RC Lookup'!$D$3:$E$18,2,FALSE)</calculatedColumnFormula>
    </tableColumn>
    <tableColumn id="19" xr3:uid="{0D9ADB6B-EE3F-468F-AE7D-A011CBD39EA2}" name="Top 3 Sum" dataDxfId="26">
      <calculatedColumnFormula>SUMPRODUCT(LARGE($D8:$AV8,ROW(INDIRECT("1:3"))))</calculatedColumnFormula>
    </tableColumn>
    <tableColumn id="22" xr3:uid="{CE0077BC-F19A-407B-8834-4DFCADC5E364}" name="3 Day Avg" dataDxfId="25">
      <calculatedColumnFormula>_xlfn.IFNA(VLOOKUP(SUMPRODUCT(LARGE(($C$8:$C8=Table1[[#This Row],[Climber]])*$A$8:$A8,1)),$A$8:$AW8,MATCH($AW$7,$A$7:$AW$7,FALSE),FALSE),0)/LEFT($AX$7,FIND(" ",$AX$7))+_xlfn.IFNA(VLOOKUP(SUMPRODUCT(LARGE(($C$8:$C8=Table1[[#This Row],[Climber]])*$A$8:$A8,MIN(2,COUNTIFS($C$8:$C8,$C8)))),$A$8:$AW8,MATCH($AW$7,$A$7:$AW$7,FALSE),FALSE),0)/LEFT($AX$7,FIND(" ",$AX$7))+_xlfn.IFNA(VLOOKUP(SUMPRODUCT(LARGE(($C$8:$C8=Table1[[#This Row],[Climber]])*$A$8:$A8,MIN(3,COUNTIFS($C$8:$C8,$C8)))),$A$8:$AW8,MATCH($AW$7,$A$7:$AW$7,FALSE),FALSE),0)/LEFT($AX$7,FIND(" ",$AX$7))</calculatedColumnFormula>
    </tableColumn>
    <tableColumn id="23" xr3:uid="{087C96D9-B54F-406A-91D1-AF119F4C74BB}" name="5 Day Avg" dataDxfId="24">
      <calculatedColumnFormula>_xlfn.IFNA(VLOOKUP(SUMPRODUCT(LARGE(($C$8:$C8=Table1[[#This Row],[Climber]])*$A$8:$A8,1)),$A$8:$AW8,MATCH($AW$7,$A$7:$AW$7,FALSE),FALSE),0)/LEFT($AY$7,FIND(" ",$AY$7))+_xlfn.IFNA(VLOOKUP(SUMPRODUCT(LARGE(($C$8:$C8=Table1[[#This Row],[Climber]])*$A$8:$A8,MIN(2,COUNTIFS($C$8:$C8,$C8)))),$A$8:$AW8,MATCH($AW$7,$A$7:$AW$7,FALSE),FALSE),0)/LEFT($AY$7,FIND(" ",$AY$7))+_xlfn.IFNA(VLOOKUP(SUMPRODUCT(LARGE(($C$8:$C8=Table1[[#This Row],[Climber]])*$A$8:$A8,MIN(3,COUNTIFS($C$8:$C8,$C8)))),$A$8:$AW8,MATCH($AW$7,$A$7:$AW$7,FALSE),FALSE),0)/LEFT($AY$7,FIND(" ",$AY$7))+_xlfn.IFNA(VLOOKUP(SUMPRODUCT(LARGE(($C$8:$C8=Table1[[#This Row],[Climber]])*$A$8:$A8,MIN(4,COUNTIFS($C$8:$C8,$C8)))),$A$8:$AW8,MATCH($AW$7,$A$7:$AW$7,FALSE),FALSE),0)/LEFT($AY$7,FIND(" ",$AY$7))+_xlfn.IFNA(VLOOKUP(SUMPRODUCT(LARGE(($C$8:$C8=Table1[[#This Row],[Climber]])*$A$8:$A8,MIN(5,COUNTIFS($C$8:$C8,$C8)))),$A$8:$AW8,MATCH($AW$7,$A$7:$AW$7,FALSE),FALSE),0)/LEFT($AY$7,FIND(" ",$AY$7))</calculatedColumnFormula>
    </tableColumn>
    <tableColumn id="24" xr3:uid="{92FF51B8-2BE2-4EEC-98A3-990063A1BFD1}" name="4-6 Day Avg" dataDxfId="23">
      <calculatedColumnFormula>(_xlfn.IFNA(VLOOKUP(SUMPRODUCT(LARGE(($C$8:$C8=Table1[[#This Row],[Climber]])*$A$8:$A8,4)),$A$8:$AW8,MATCH($AW$7,$A$7:$AW$7,FALSE),FALSE),0)+_xlfn.IFNA(VLOOKUP(SUMPRODUCT(LARGE(($C$8:$C8=Table1[[#This Row],[Climber]])*$A$8:$A8,5)),$A$8:$AW8,MATCH($AW$7,$A$7:$AW$7,FALSE),FALSE),0)+_xlfn.IFNA(VLOOKUP(SUMPRODUCT(LARGE(($C$8:$C8=Table1[[#This Row],[Climber]])*$A$8:$A8,6)),$A$8:$AW8,MATCH($AW$7,$A$7:$AW$7,FALSE),FALSE),0))/3</calculatedColumnFormula>
    </tableColumn>
    <tableColumn id="21" xr3:uid="{4772BF65-8B81-42B7-934F-7AE14902549F}" name="3 Day High" dataDxfId="22" dataCellStyle="Comma">
      <calculatedColumnFormula>_xlfn.MAXIFS(INDIRECT("$AW"&amp;IF(SUMPRODUCT(LARGE(($C$8:$C8=$C8)*$A$8:$A8,LEFT($BA$7,FIND(" ",$BA$7)-1)))=0,8,SUMPRODUCT(LARGE(($C$8:$C8=$C8)*$A$8:$A8,LEFT($BA$7,FIND(" ",$BA$7)-1)))+7)&amp;":$AW"&amp;ROW()),INDIRECT("$C"&amp;IF(SUMPRODUCT(LARGE(($C$8:$C8=$C8)*$A$8:$A8,LEFT($BA$7,FIND(" ",$BA$7)-1)))=0,8,SUMPRODUCT(LARGE(($C$8:$C8=$C8)*$A$8:$A8,LEFT($BA$7,FIND(" ",$BA$7)-1)))+7)&amp;":$C"&amp;ROW()),$C8)</calculatedColumnFormula>
    </tableColumn>
    <tableColumn id="44" xr3:uid="{CE1EB5DE-050C-4C93-BE74-50694C7FC3B9}" name="Tier" dataDxfId="21" dataCellStyle="Comma">
      <calculatedColumnFormula>VLOOKUP(MAX(BG8,$AX8),'RC Lookup'!$G$14:$J$20,2,TRUE)</calculatedColumnFormula>
    </tableColumn>
    <tableColumn id="43" xr3:uid="{F3220CF4-619B-4480-8199-AF9EF4B47395}" name="TA T3 Sum" dataDxfId="20" dataCellStyle="Comma">
      <calculatedColumnFormula>_xlfn.IFNA(VLOOKUP(VLOOKUP($C8,'RC Lookup'!$O$3:$P$50,2,FALSE),'RC Lookup'!$H$14:$J$23,2,FALSE),0)*AW8</calculatedColumnFormula>
    </tableColumn>
    <tableColumn id="20" xr3:uid="{677E69A0-692E-4D0E-B9CF-08556771C249}" name="TA 3DA" dataDxfId="19" dataCellStyle="Comma">
      <calculatedColumnFormula>_xlfn.IFNA(VLOOKUP(SUMPRODUCT(LARGE(($C$8:$C8=Table1[[#This Row],[Climber]])*$A$8:$A8,1)),$A$8:$BC8,55,FALSE),0)/LEFT($AX$7,FIND(" ",$AX$7))+_xlfn.IFNA(VLOOKUP(SUMPRODUCT(LARGE(($C$8:$C8=Table1[[#This Row],[Climber]])*$A$8:$A8,MIN(2,COUNTIFS($C$8:$C8,$C8)))),$A$8:$BC8,55,FALSE),0)/LEFT($AX$7,FIND(" ",$AX$7))+_xlfn.IFNA(VLOOKUP(SUMPRODUCT(LARGE(($C$8:$C8=Table1[[#This Row],[Climber]])*$A$8:$A8,MIN(3,COUNTIFS($C$8:$C8,$C8)))),$A$8:$BC8,55,FALSE),0)/LEFT($AX$7,FIND(" ",$AX$7))</calculatedColumnFormula>
    </tableColumn>
    <tableColumn id="46" xr3:uid="{7F7CA036-8E32-496A-B21D-CE9980D0F63E}" name="TA P3DA" dataDxfId="18" dataCellStyle="Comma">
      <calculatedColumnFormula>(_xlfn.IFNA(VLOOKUP(SUMPRODUCT(LARGE(($C$8:$C8=Table1[[#This Row],[Climber]])*$A$8:$A8,4)),$A$8:$BD8,55,FALSE),0)+_xlfn.IFNA(VLOOKUP(SUMPRODUCT(LARGE(($C$8:$C8=Table1[[#This Row],[Climber]])*$A$8:$A8,5)),$A$8:$BD8,55,FALSE),0)+_xlfn.IFNA(VLOOKUP(SUMPRODUCT(LARGE(($C$8:$C8=Table1[[#This Row],[Climber]])*$A$8:$A8,6)),$A$8:$BD8,55,FALSE),0))/3</calculatedColumnFormula>
    </tableColumn>
    <tableColumn id="45" xr3:uid="{B7E630A4-E042-4317-A548-3F796F9FDEAB}" name="TA 3DH" dataDxfId="17" dataCellStyle="Comma">
      <calculatedColumnFormula>_xlfn.MAXIFS(INDIRECT("$BC"&amp;IF(SUMPRODUCT(LARGE(($C$8:$C8=$C8)*$A$8:$A8,LEFT($BA$7,FIND(" ",$BA$7)-1)))=0,8,SUMPRODUCT(LARGE(($C$8:$C8=$C8)*$A$8:$A8,LEFT($BA$7,FIND(" ",$BA$7)-1)))+7)&amp;":$BC"&amp;ROW()),INDIRECT("$C"&amp;IF(SUMPRODUCT(LARGE(($C$8:$C8=$C8)*$A$8:$A8,LEFT($BA$7,FIND(" ",$BA$7)-1)))=0,8,SUMPRODUCT(LARGE(($C$8:$C8=$C8)*$A$8:$A8,LEFT($BA$7,FIND(" ",$BA$7)-1)))+7)&amp;":$C"&amp;ROW()),$C8)</calculatedColumnFormula>
    </tableColumn>
    <tableColumn id="59" xr3:uid="{244F9C5E-45F0-4E56-80DE-BBA6BCEB6535}" name="5 Highest" dataDxfId="16" dataCellStyle="Comma">
      <calculatedColumnFormula array="1">IFERROR(SUMPRODUCT(LARGE(($C$8:$C8=Table1[[#This Row],[Climber]])*$AW$8:$AW8,ROW(INDIRECT("1:5")))),AW8)/MIN(COUNTIFS($C$8:$C8,C8),5)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DAFA511-E550-454A-9E19-C8006264E369}" name="Table2" displayName="Table2" ref="A6:P119" totalsRowShown="0">
  <autoFilter ref="A6:P119" xr:uid="{6DBE991C-52FC-4511-B0A8-DDEF3E936652}"/>
  <tableColumns count="16">
    <tableColumn id="1" xr3:uid="{6A23E055-844B-4678-A133-241B3FD1576B}" name="Date" dataDxfId="15"/>
    <tableColumn id="2" xr3:uid="{8FBC1A18-7A1A-4ED6-BAFC-C285EBA855C3}" name="Team Total" dataDxfId="14">
      <calculatedColumnFormula>SUM(Q7:AD7)</calculatedColumnFormula>
    </tableColumn>
    <tableColumn id="3" xr3:uid="{5E134030-9E45-4BFF-BD4B-6FEBB2B43BE9}" name="Lester" dataDxfId="13">
      <calculatedColumnFormula>IF(SUMIFS('RC Template'!$AW:$AW,'RC Template'!$B:$B,$A7,'RC Template'!$C:$C,C$6)=0,#N/A,SUMIFS('RC Template'!$AW:$AW,'RC Template'!$B:$B,$A7,'RC Template'!$C:$C,C$6))</calculatedColumnFormula>
    </tableColumn>
    <tableColumn id="4" xr3:uid="{1080F063-E33F-4371-82AD-0D8C985EB2A7}" name="Jan" dataDxfId="12">
      <calculatedColumnFormula>IF(SUMIFS('RC Template'!$AW:$AW,'RC Template'!$B:$B,$A7,'RC Template'!$C:$C,D$6)=0,#N/A,SUMIFS('RC Template'!$AW:$AW,'RC Template'!$B:$B,$A7,'RC Template'!$C:$C,D$6))</calculatedColumnFormula>
    </tableColumn>
    <tableColumn id="5" xr3:uid="{E9E790E4-B383-4FB1-8A37-C9A40F34FCAE}" name="Sameena" dataDxfId="11">
      <calculatedColumnFormula>IF(SUMIFS('RC Template'!$AW:$AW,'RC Template'!$B:$B,$A7,'RC Template'!$C:$C,E$6)=0,#N/A,SUMIFS('RC Template'!$AW:$AW,'RC Template'!$B:$B,$A7,'RC Template'!$C:$C,E$6))</calculatedColumnFormula>
    </tableColumn>
    <tableColumn id="6" xr3:uid="{7D75C43C-6993-4311-908C-07349D09E6C8}" name="Mark Guste" dataDxfId="10">
      <calculatedColumnFormula>IF(SUMIFS('RC Template'!$AW:$AW,'RC Template'!$B:$B,$A7,'RC Template'!$C:$C,F$6)=0,#N/A,SUMIFS('RC Template'!$AW:$AW,'RC Template'!$B:$B,$A7,'RC Template'!$C:$C,F$6))</calculatedColumnFormula>
    </tableColumn>
    <tableColumn id="7" xr3:uid="{BBAF37CC-B65D-48B9-B127-38466DF14125}" name="Edwin" dataDxfId="9">
      <calculatedColumnFormula>IF(SUMIFS('RC Template'!$AW:$AW,'RC Template'!$B:$B,$A7,'RC Template'!$C:$C,G$6)=0,#N/A,SUMIFS('RC Template'!$AW:$AW,'RC Template'!$B:$B,$A7,'RC Template'!$C:$C,G$6))</calculatedColumnFormula>
    </tableColumn>
    <tableColumn id="8" xr3:uid="{BE33B39C-FEA6-4C98-B58F-E1A54BC70576}" name="Michelle" dataDxfId="8">
      <calculatedColumnFormula>IF(SUMIFS('RC Template'!$AW:$AW,'RC Template'!$B:$B,$A7,'RC Template'!$C:$C,H$6)=0,#N/A,SUMIFS('RC Template'!$AW:$AW,'RC Template'!$B:$B,$A7,'RC Template'!$C:$C,H$6))</calculatedColumnFormula>
    </tableColumn>
    <tableColumn id="9" xr3:uid="{B2BF4379-ADA2-4F65-B71D-86F167353D77}" name="Kenneth Bautista" dataDxfId="7">
      <calculatedColumnFormula>IF(SUMIFS('RC Template'!$AW:$AW,'RC Template'!$B:$B,$A7,'RC Template'!$C:$C,I$6)=0,#N/A,SUMIFS('RC Template'!$AW:$AW,'RC Template'!$B:$B,$A7,'RC Template'!$C:$C,I$6))</calculatedColumnFormula>
    </tableColumn>
    <tableColumn id="10" xr3:uid="{9E9BCE09-812C-45C5-8C3D-FBF42351BCDF}" name="Angel" dataDxfId="6">
      <calculatedColumnFormula>IF(SUMIFS('RC Template'!$AW:$AW,'RC Template'!$B:$B,$A7,'RC Template'!$C:$C,J$6)=0,#N/A,SUMIFS('RC Template'!$AW:$AW,'RC Template'!$B:$B,$A7,'RC Template'!$C:$C,J$6))</calculatedColumnFormula>
    </tableColumn>
    <tableColumn id="11" xr3:uid="{8A3586EE-7ED8-40E3-93D7-F1B08915BE28}" name="Oz" dataDxfId="5">
      <calculatedColumnFormula>IF(SUMIFS('RC Template'!$AW:$AW,'RC Template'!$B:$B,$A7,'RC Template'!$C:$C,K$6)=0,#N/A,SUMIFS('RC Template'!$AW:$AW,'RC Template'!$B:$B,$A7,'RC Template'!$C:$C,K$6))</calculatedColumnFormula>
    </tableColumn>
    <tableColumn id="12" xr3:uid="{9316D10F-5826-4064-BDE5-1BB9250B4EE4}" name="Benjie" dataDxfId="4">
      <calculatedColumnFormula>IF(SUMIFS('RC Template'!$AW:$AW,'RC Template'!$B:$B,$A7,'RC Template'!$C:$C,L$6)=0,#N/A,SUMIFS('RC Template'!$AW:$AW,'RC Template'!$B:$B,$A7,'RC Template'!$C:$C,L$6))</calculatedColumnFormula>
    </tableColumn>
    <tableColumn id="13" xr3:uid="{59493A0F-A91C-41DA-BC93-9B0E3E973F50}" name=" " dataDxfId="3">
      <calculatedColumnFormula>IF(SUMIFS('RC Template'!$AW:$AW,'RC Template'!$B:$B,$A7,'RC Template'!$C:$C,M$6)=0,#N/A,SUMIFS('RC Template'!$AW:$AW,'RC Template'!$B:$B,$A7,'RC Template'!$C:$C,M$6))</calculatedColumnFormula>
    </tableColumn>
    <tableColumn id="14" xr3:uid="{465A1575-10AF-4C66-95B6-495271FAC9D3}" name="1" dataDxfId="2">
      <calculatedColumnFormula>IF(SUMIFS('RC Template'!$AW:$AW,'RC Template'!$B:$B,$A7,'RC Template'!$C:$C,N$6)=0,#N/A,SUMIFS('RC Template'!$AW:$AW,'RC Template'!$B:$B,$A7,'RC Template'!$C:$C,N$6))</calculatedColumnFormula>
    </tableColumn>
    <tableColumn id="15" xr3:uid="{50D1B543-AFB7-45A8-A61C-D75607D581BF}" name="2" dataDxfId="1">
      <calculatedColumnFormula>IF(SUMIFS('RC Template'!$AW:$AW,'RC Template'!$B:$B,$A7,'RC Template'!$C:$C,O$6)=0,#N/A,SUMIFS('RC Template'!$AW:$AW,'RC Template'!$B:$B,$A7,'RC Template'!$C:$C,O$6))</calculatedColumnFormula>
    </tableColumn>
    <tableColumn id="16" xr3:uid="{0A80AD5D-A994-4003-BCAC-42522A7C59E5}" name="3" dataDxfId="0">
      <calculatedColumnFormula>IF(SUMIFS('RC Template'!$AW:$AW,'RC Template'!$B:$B,$A7,'RC Template'!$C:$C,P$6)=0,#N/A,SUMIFS('RC Template'!$AW:$AW,'RC Template'!$B:$B,$A7,'RC Template'!$C:$C,P$6))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93CC40-AC7C-4352-9C37-5D570F96C372}">
  <sheetPr codeName="Sheet1">
    <tabColor theme="5" tint="-0.249977111117893"/>
    <pageSetUpPr fitToPage="1"/>
  </sheetPr>
  <dimension ref="A1:BO160"/>
  <sheetViews>
    <sheetView zoomScale="85" zoomScaleNormal="85" workbookViewId="0">
      <pane xSplit="3" ySplit="7" topLeftCell="AZ8" activePane="bottomRight" state="frozen"/>
      <selection activeCell="BD14" sqref="BD14"/>
      <selection pane="topRight" activeCell="BD14" sqref="BD14"/>
      <selection pane="bottomLeft" activeCell="BD14" sqref="BD14"/>
      <selection pane="bottomRight" activeCell="BE28" sqref="BE28"/>
    </sheetView>
  </sheetViews>
  <sheetFormatPr defaultRowHeight="14.4" outlineLevelCol="1" x14ac:dyDescent="0.3"/>
  <cols>
    <col min="1" max="1" width="8.88671875" hidden="1" customWidth="1" outlineLevel="1"/>
    <col min="2" max="2" width="9.5546875" hidden="1" customWidth="1" outlineLevel="1"/>
    <col min="3" max="3" width="10.33203125" hidden="1" customWidth="1" outlineLevel="1"/>
    <col min="4" max="48" width="3.77734375" hidden="1" customWidth="1" outlineLevel="1"/>
    <col min="49" max="50" width="12.21875" hidden="1" customWidth="1" outlineLevel="1"/>
    <col min="51" max="51" width="30.33203125" hidden="1" customWidth="1" outlineLevel="1"/>
    <col min="52" max="52" width="8.88671875" collapsed="1"/>
    <col min="53" max="53" width="13.6640625" customWidth="1" outlineLevel="1"/>
    <col min="54" max="54" width="5.109375" customWidth="1" outlineLevel="1"/>
    <col min="55" max="55" width="16.88671875" customWidth="1" outlineLevel="1"/>
    <col min="56" max="56" width="18" bestFit="1" customWidth="1" outlineLevel="1"/>
    <col min="57" max="57" width="16.88671875" customWidth="1" outlineLevel="1"/>
    <col min="59" max="59" width="0" hidden="1" customWidth="1"/>
    <col min="60" max="60" width="13.6640625" customWidth="1" outlineLevel="1"/>
    <col min="61" max="61" width="16.88671875" style="46" customWidth="1" outlineLevel="1"/>
    <col min="62" max="62" width="18" style="46" customWidth="1" outlineLevel="1"/>
    <col min="63" max="63" width="16.88671875" customWidth="1" outlineLevel="1"/>
    <col min="64" max="64" width="28.88671875" bestFit="1" customWidth="1"/>
    <col min="65" max="65" width="12.5546875" hidden="1" customWidth="1"/>
    <col min="66" max="66" width="16.6640625" hidden="1" customWidth="1"/>
    <col min="67" max="67" width="35.109375" customWidth="1"/>
  </cols>
  <sheetData>
    <row r="1" spans="1:66" ht="15" hidden="1" thickBot="1" x14ac:dyDescent="0.35">
      <c r="A1" s="144" t="s">
        <v>17</v>
      </c>
      <c r="B1" s="145"/>
      <c r="C1" s="116"/>
      <c r="D1" s="117">
        <f ca="1">TODAY()</f>
        <v>43440</v>
      </c>
      <c r="E1" s="116"/>
      <c r="F1" s="116"/>
      <c r="G1" s="116"/>
      <c r="H1" s="116"/>
      <c r="I1" s="116"/>
      <c r="J1" s="116"/>
      <c r="K1" s="116"/>
      <c r="L1" s="116"/>
      <c r="M1" s="116"/>
      <c r="N1" s="116"/>
      <c r="O1" s="116"/>
      <c r="P1" s="116"/>
      <c r="Q1" s="116"/>
      <c r="R1" s="116"/>
      <c r="S1" s="116"/>
      <c r="T1" s="117"/>
      <c r="U1" s="117"/>
      <c r="V1" s="117"/>
      <c r="W1" s="117"/>
      <c r="X1" s="117"/>
      <c r="Y1" s="117"/>
      <c r="Z1" s="117"/>
      <c r="AA1" s="117"/>
      <c r="AB1" s="117"/>
      <c r="AC1" s="117"/>
      <c r="AD1" s="117"/>
      <c r="AE1" s="117"/>
      <c r="AF1" s="117"/>
      <c r="AG1" s="117"/>
      <c r="AH1" s="117"/>
      <c r="AI1" s="117"/>
      <c r="AJ1" s="117"/>
      <c r="AK1" s="117"/>
      <c r="AL1" s="117"/>
      <c r="AM1" s="117"/>
      <c r="AN1" s="117"/>
      <c r="AO1" s="117"/>
      <c r="AP1" s="117"/>
      <c r="AQ1" s="117"/>
      <c r="AR1" s="117"/>
      <c r="AS1" s="117"/>
      <c r="AT1" s="117"/>
      <c r="AU1" s="117"/>
      <c r="AV1" s="117"/>
      <c r="AW1" s="117"/>
      <c r="AX1" s="117"/>
      <c r="AY1" s="118"/>
    </row>
    <row r="2" spans="1:66" ht="15" hidden="1" thickBot="1" x14ac:dyDescent="0.35">
      <c r="A2" s="2" t="s">
        <v>19</v>
      </c>
      <c r="B2" s="3" t="s">
        <v>18</v>
      </c>
      <c r="C2" s="93"/>
      <c r="D2" s="93"/>
      <c r="E2" s="93"/>
      <c r="F2" s="93"/>
      <c r="G2" s="93"/>
      <c r="H2" s="93"/>
      <c r="I2" s="93"/>
      <c r="J2" s="93"/>
      <c r="K2" s="93"/>
      <c r="L2" s="93"/>
      <c r="M2" s="93"/>
      <c r="N2" s="93"/>
      <c r="O2" s="93"/>
      <c r="P2" s="93"/>
      <c r="Q2" s="93"/>
      <c r="R2" s="93"/>
      <c r="S2" s="93"/>
      <c r="T2" s="93"/>
      <c r="U2" s="93"/>
      <c r="V2" s="93"/>
      <c r="W2" s="93"/>
      <c r="X2" s="93"/>
      <c r="Y2" s="93"/>
      <c r="Z2" s="93"/>
      <c r="AA2" s="93"/>
      <c r="AB2" s="93"/>
      <c r="AC2" s="93"/>
      <c r="AD2" s="93"/>
      <c r="AE2" s="93"/>
      <c r="AF2" s="93"/>
      <c r="AG2" s="93"/>
      <c r="AH2" s="93"/>
      <c r="AI2" s="93"/>
      <c r="AJ2" s="93"/>
      <c r="AK2" s="93"/>
      <c r="AL2" s="93"/>
      <c r="AM2" s="93"/>
      <c r="AN2" s="93"/>
      <c r="AO2" s="93"/>
      <c r="AP2" s="93"/>
      <c r="AQ2" s="93"/>
      <c r="AR2" s="93"/>
      <c r="AS2" s="93"/>
      <c r="AT2" s="93"/>
      <c r="AU2" s="93"/>
      <c r="AV2" s="93"/>
      <c r="AW2" s="93"/>
      <c r="AX2" s="93"/>
      <c r="AY2" s="3"/>
    </row>
    <row r="3" spans="1:66" ht="15" hidden="1" thickBot="1" x14ac:dyDescent="0.35">
      <c r="A3" s="2" t="s">
        <v>20</v>
      </c>
      <c r="B3" s="3" t="s">
        <v>22</v>
      </c>
      <c r="C3" s="93"/>
      <c r="D3" s="93"/>
      <c r="E3" s="93"/>
      <c r="F3" s="93"/>
      <c r="G3" s="93"/>
      <c r="H3" s="93"/>
      <c r="I3" s="93"/>
      <c r="J3" s="93"/>
      <c r="K3" s="93"/>
      <c r="L3" s="93"/>
      <c r="M3" s="93"/>
      <c r="N3" s="93"/>
      <c r="O3" s="93"/>
      <c r="P3" s="93"/>
      <c r="Q3" s="93"/>
      <c r="R3" s="93"/>
      <c r="S3" s="93"/>
      <c r="T3" s="93"/>
      <c r="U3" s="93"/>
      <c r="V3" s="93"/>
      <c r="W3" s="93"/>
      <c r="X3" s="93"/>
      <c r="Y3" s="93"/>
      <c r="Z3" s="93"/>
      <c r="AA3" s="93"/>
      <c r="AB3" s="93"/>
      <c r="AC3" s="93"/>
      <c r="AD3" s="93"/>
      <c r="AE3" s="93"/>
      <c r="AF3" s="93"/>
      <c r="AG3" s="93"/>
      <c r="AH3" s="93"/>
      <c r="AI3" s="93"/>
      <c r="AJ3" s="93"/>
      <c r="AK3" s="93"/>
      <c r="AL3" s="93"/>
      <c r="AM3" s="93"/>
      <c r="AN3" s="93"/>
      <c r="AO3" s="93"/>
      <c r="AP3" s="93"/>
      <c r="AQ3" s="93"/>
      <c r="AR3" s="93"/>
      <c r="AS3" s="93"/>
      <c r="AT3" s="93"/>
      <c r="AU3" s="93"/>
      <c r="AV3" s="93"/>
      <c r="AW3" s="93"/>
      <c r="AX3" s="93"/>
      <c r="AY3" s="3"/>
    </row>
    <row r="4" spans="1:66" ht="15" hidden="1" thickBot="1" x14ac:dyDescent="0.35">
      <c r="A4" s="4" t="s">
        <v>21</v>
      </c>
      <c r="B4" s="5" t="s">
        <v>23</v>
      </c>
      <c r="C4" s="93"/>
      <c r="D4" s="146"/>
      <c r="E4" s="146"/>
      <c r="F4" s="146"/>
      <c r="G4" s="146" t="s">
        <v>55</v>
      </c>
      <c r="H4" s="146"/>
      <c r="I4" s="146"/>
      <c r="J4" s="146"/>
      <c r="K4" s="146"/>
      <c r="L4" s="146"/>
      <c r="M4" s="146"/>
      <c r="N4" s="146"/>
      <c r="O4" s="146"/>
      <c r="P4" s="146" t="s">
        <v>56</v>
      </c>
      <c r="Q4" s="146"/>
      <c r="R4" s="146"/>
      <c r="S4" s="146"/>
      <c r="T4" s="146"/>
      <c r="U4" s="146"/>
      <c r="V4" s="146" t="s">
        <v>57</v>
      </c>
      <c r="W4" s="146"/>
      <c r="X4" s="146"/>
      <c r="Y4" s="146"/>
      <c r="Z4" s="146"/>
      <c r="AA4" s="146"/>
      <c r="AB4" s="146" t="s">
        <v>58</v>
      </c>
      <c r="AC4" s="146"/>
      <c r="AD4" s="146"/>
      <c r="AE4" s="146"/>
      <c r="AF4" s="146"/>
      <c r="AG4" s="146"/>
      <c r="AH4" s="146" t="s">
        <v>59</v>
      </c>
      <c r="AI4" s="146"/>
      <c r="AJ4" s="146"/>
      <c r="AK4" s="146"/>
      <c r="AL4" s="146"/>
      <c r="AM4" s="146"/>
      <c r="AN4" s="146" t="s">
        <v>60</v>
      </c>
      <c r="AO4" s="146"/>
      <c r="AP4" s="146"/>
      <c r="AQ4" s="146"/>
      <c r="AR4" s="146"/>
      <c r="AS4" s="146"/>
      <c r="AT4" s="146" t="s">
        <v>61</v>
      </c>
      <c r="AU4" s="146"/>
      <c r="AV4" s="146"/>
      <c r="AW4" s="93"/>
      <c r="AX4" s="93"/>
      <c r="AY4" s="3"/>
    </row>
    <row r="5" spans="1:66" ht="18" customHeight="1" x14ac:dyDescent="0.3">
      <c r="A5" s="147" t="s">
        <v>47</v>
      </c>
      <c r="B5" s="148"/>
      <c r="C5" s="148"/>
      <c r="D5" s="148"/>
      <c r="E5" s="148"/>
      <c r="F5" s="148"/>
      <c r="G5" s="148"/>
      <c r="H5" s="148"/>
      <c r="I5" s="148"/>
      <c r="J5" s="148"/>
      <c r="K5" s="148"/>
      <c r="L5" s="148"/>
      <c r="M5" s="148"/>
      <c r="N5" s="148"/>
      <c r="O5" s="148"/>
      <c r="P5" s="148"/>
      <c r="Q5" s="148"/>
      <c r="R5" s="148"/>
      <c r="S5" s="148"/>
      <c r="T5" s="148"/>
      <c r="U5" s="148"/>
      <c r="V5" s="148"/>
      <c r="W5" s="148"/>
      <c r="X5" s="148"/>
      <c r="Y5" s="148"/>
      <c r="Z5" s="148"/>
      <c r="AA5" s="148"/>
      <c r="AB5" s="148"/>
      <c r="AC5" s="148"/>
      <c r="AD5" s="148"/>
      <c r="AE5" s="148"/>
      <c r="AF5" s="148"/>
      <c r="AG5" s="148"/>
      <c r="AH5" s="148"/>
      <c r="AI5" s="148"/>
      <c r="AJ5" s="148"/>
      <c r="AK5" s="148"/>
      <c r="AL5" s="148"/>
      <c r="AM5" s="148"/>
      <c r="AN5" s="148"/>
      <c r="AO5" s="148"/>
      <c r="AP5" s="148"/>
      <c r="AQ5" s="148"/>
      <c r="AR5" s="148"/>
      <c r="AS5" s="148"/>
      <c r="AT5" s="148"/>
      <c r="AU5" s="148"/>
      <c r="AV5" s="148"/>
      <c r="AW5" s="148"/>
      <c r="AX5" s="148"/>
      <c r="AY5" s="149"/>
      <c r="BA5" s="147" t="s">
        <v>140</v>
      </c>
      <c r="BB5" s="148"/>
      <c r="BC5" s="148"/>
      <c r="BD5" s="148"/>
      <c r="BE5" s="149"/>
      <c r="BF5" s="114" t="s">
        <v>176</v>
      </c>
      <c r="BH5" s="147" t="s">
        <v>139</v>
      </c>
      <c r="BI5" s="148"/>
      <c r="BJ5" s="148"/>
      <c r="BK5" s="149"/>
    </row>
    <row r="6" spans="1:66" ht="15" customHeight="1" thickBot="1" x14ac:dyDescent="0.35">
      <c r="A6" s="150"/>
      <c r="B6" s="151"/>
      <c r="C6" s="151"/>
      <c r="D6" s="151"/>
      <c r="E6" s="151"/>
      <c r="F6" s="151"/>
      <c r="G6" s="151"/>
      <c r="H6" s="151"/>
      <c r="I6" s="151"/>
      <c r="J6" s="151"/>
      <c r="K6" s="151"/>
      <c r="L6" s="151"/>
      <c r="M6" s="151"/>
      <c r="N6" s="151"/>
      <c r="O6" s="151"/>
      <c r="P6" s="151"/>
      <c r="Q6" s="151"/>
      <c r="R6" s="151"/>
      <c r="S6" s="151"/>
      <c r="T6" s="151"/>
      <c r="U6" s="151"/>
      <c r="V6" s="151"/>
      <c r="W6" s="151"/>
      <c r="X6" s="151"/>
      <c r="Y6" s="151"/>
      <c r="Z6" s="151"/>
      <c r="AA6" s="151"/>
      <c r="AB6" s="151"/>
      <c r="AC6" s="151"/>
      <c r="AD6" s="151"/>
      <c r="AE6" s="151"/>
      <c r="AF6" s="151"/>
      <c r="AG6" s="151"/>
      <c r="AH6" s="151"/>
      <c r="AI6" s="151"/>
      <c r="AJ6" s="151"/>
      <c r="AK6" s="151"/>
      <c r="AL6" s="151"/>
      <c r="AM6" s="151"/>
      <c r="AN6" s="151"/>
      <c r="AO6" s="151"/>
      <c r="AP6" s="151"/>
      <c r="AQ6" s="151"/>
      <c r="AR6" s="151"/>
      <c r="AS6" s="151"/>
      <c r="AT6" s="151"/>
      <c r="AU6" s="151"/>
      <c r="AV6" s="151"/>
      <c r="AW6" s="151"/>
      <c r="AX6" s="151"/>
      <c r="AY6" s="152"/>
      <c r="BA6" s="153"/>
      <c r="BB6" s="154"/>
      <c r="BC6" s="154"/>
      <c r="BD6" s="154"/>
      <c r="BE6" s="155"/>
      <c r="BF6" s="114" t="s">
        <v>71</v>
      </c>
      <c r="BH6" s="153"/>
      <c r="BI6" s="154"/>
      <c r="BJ6" s="154"/>
      <c r="BK6" s="155"/>
    </row>
    <row r="7" spans="1:66" ht="15" thickBot="1" x14ac:dyDescent="0.35">
      <c r="A7" s="27" t="s">
        <v>45</v>
      </c>
      <c r="B7" s="17" t="s">
        <v>14</v>
      </c>
      <c r="C7" s="18" t="s">
        <v>15</v>
      </c>
      <c r="D7" s="156" t="s">
        <v>0</v>
      </c>
      <c r="E7" s="157"/>
      <c r="F7" s="158"/>
      <c r="G7" s="156" t="s">
        <v>1</v>
      </c>
      <c r="H7" s="157"/>
      <c r="I7" s="158"/>
      <c r="J7" s="156" t="s">
        <v>2</v>
      </c>
      <c r="K7" s="157"/>
      <c r="L7" s="158"/>
      <c r="M7" s="156" t="s">
        <v>3</v>
      </c>
      <c r="N7" s="157"/>
      <c r="O7" s="158"/>
      <c r="P7" s="156" t="s">
        <v>4</v>
      </c>
      <c r="Q7" s="157"/>
      <c r="R7" s="158"/>
      <c r="S7" s="156" t="s">
        <v>5</v>
      </c>
      <c r="T7" s="157"/>
      <c r="U7" s="158"/>
      <c r="V7" s="156" t="s">
        <v>6</v>
      </c>
      <c r="W7" s="157"/>
      <c r="X7" s="158"/>
      <c r="Y7" s="156" t="s">
        <v>7</v>
      </c>
      <c r="Z7" s="157"/>
      <c r="AA7" s="158"/>
      <c r="AB7" s="156" t="s">
        <v>8</v>
      </c>
      <c r="AC7" s="157"/>
      <c r="AD7" s="158"/>
      <c r="AE7" s="156" t="s">
        <v>9</v>
      </c>
      <c r="AF7" s="157"/>
      <c r="AG7" s="158"/>
      <c r="AH7" s="156" t="s">
        <v>10</v>
      </c>
      <c r="AI7" s="157"/>
      <c r="AJ7" s="158"/>
      <c r="AK7" s="156" t="s">
        <v>11</v>
      </c>
      <c r="AL7" s="157"/>
      <c r="AM7" s="158"/>
      <c r="AN7" s="156" t="s">
        <v>12</v>
      </c>
      <c r="AO7" s="157"/>
      <c r="AP7" s="158"/>
      <c r="AQ7" s="156" t="s">
        <v>13</v>
      </c>
      <c r="AR7" s="157"/>
      <c r="AS7" s="158"/>
      <c r="AT7" s="156" t="s">
        <v>39</v>
      </c>
      <c r="AU7" s="157"/>
      <c r="AV7" s="158"/>
      <c r="AW7" s="16" t="s">
        <v>141</v>
      </c>
      <c r="AX7" s="16" t="s">
        <v>142</v>
      </c>
      <c r="AY7" s="16" t="s">
        <v>75</v>
      </c>
    </row>
    <row r="8" spans="1:66" ht="15" customHeight="1" thickTop="1" thickBot="1" x14ac:dyDescent="0.35">
      <c r="A8" s="28">
        <v>1</v>
      </c>
      <c r="B8" s="19">
        <f>'Rock Climbing Log'!B8</f>
        <v>43106</v>
      </c>
      <c r="C8" s="20" t="str">
        <f>'Rock Climbing Log'!C8</f>
        <v>Lester</v>
      </c>
      <c r="D8" s="78">
        <f>'Rock Climbing Log'!D8</f>
        <v>0</v>
      </c>
      <c r="E8" s="79">
        <f>'Rock Climbing Log'!E8</f>
        <v>0</v>
      </c>
      <c r="F8" s="80">
        <f>'Rock Climbing Log'!F8</f>
        <v>0</v>
      </c>
      <c r="G8" s="78" t="str">
        <f>'Rock Climbing Log'!G8</f>
        <v>F</v>
      </c>
      <c r="H8" s="79">
        <f>'Rock Climbing Log'!H8</f>
        <v>0</v>
      </c>
      <c r="I8" s="80">
        <f>'Rock Climbing Log'!I8</f>
        <v>0</v>
      </c>
      <c r="J8" s="78" t="str">
        <f>'Rock Climbing Log'!J8</f>
        <v>F</v>
      </c>
      <c r="K8" s="79">
        <f>'Rock Climbing Log'!K8</f>
        <v>0</v>
      </c>
      <c r="L8" s="80">
        <f>'Rock Climbing Log'!L8</f>
        <v>0</v>
      </c>
      <c r="M8" s="78" t="str">
        <f>'Rock Climbing Log'!M8</f>
        <v>F</v>
      </c>
      <c r="N8" s="79">
        <f>'Rock Climbing Log'!N8</f>
        <v>0</v>
      </c>
      <c r="O8" s="80">
        <f>'Rock Climbing Log'!O8</f>
        <v>0</v>
      </c>
      <c r="P8" s="78" t="str">
        <f>'Rock Climbing Log'!P8</f>
        <v>F</v>
      </c>
      <c r="Q8" s="79">
        <f>'Rock Climbing Log'!Q8</f>
        <v>0</v>
      </c>
      <c r="R8" s="80">
        <f>'Rock Climbing Log'!R8</f>
        <v>0</v>
      </c>
      <c r="S8" s="78">
        <f>'Rock Climbing Log'!S8</f>
        <v>0</v>
      </c>
      <c r="T8" s="79">
        <f>'Rock Climbing Log'!T8</f>
        <v>0</v>
      </c>
      <c r="U8" s="80">
        <f>'Rock Climbing Log'!U8</f>
        <v>0</v>
      </c>
      <c r="V8" s="78" t="str">
        <f>'Rock Climbing Log'!V8</f>
        <v>F</v>
      </c>
      <c r="W8" s="79">
        <f>'Rock Climbing Log'!W8</f>
        <v>0</v>
      </c>
      <c r="X8" s="80">
        <f>'Rock Climbing Log'!X8</f>
        <v>0</v>
      </c>
      <c r="Y8" s="78">
        <f>'Rock Climbing Log'!Y8</f>
        <v>0</v>
      </c>
      <c r="Z8" s="79">
        <f>'Rock Climbing Log'!Z8</f>
        <v>0</v>
      </c>
      <c r="AA8" s="80">
        <f>'Rock Climbing Log'!AA8</f>
        <v>0</v>
      </c>
      <c r="AB8" s="78">
        <f>'Rock Climbing Log'!AB8</f>
        <v>0</v>
      </c>
      <c r="AC8" s="79">
        <f>'Rock Climbing Log'!AC8</f>
        <v>0</v>
      </c>
      <c r="AD8" s="80">
        <f>'Rock Climbing Log'!AD8</f>
        <v>0</v>
      </c>
      <c r="AE8" s="78">
        <f>'Rock Climbing Log'!AE8</f>
        <v>0</v>
      </c>
      <c r="AF8" s="79">
        <f>'Rock Climbing Log'!AF8</f>
        <v>0</v>
      </c>
      <c r="AG8" s="80">
        <f>'Rock Climbing Log'!AG8</f>
        <v>0</v>
      </c>
      <c r="AH8" s="78">
        <f>'Rock Climbing Log'!AH8</f>
        <v>0</v>
      </c>
      <c r="AI8" s="79">
        <f>'Rock Climbing Log'!AI8</f>
        <v>0</v>
      </c>
      <c r="AJ8" s="80">
        <f>'Rock Climbing Log'!AJ8</f>
        <v>0</v>
      </c>
      <c r="AK8" s="78">
        <f>'Rock Climbing Log'!AK8</f>
        <v>0</v>
      </c>
      <c r="AL8" s="79">
        <f>'Rock Climbing Log'!AL8</f>
        <v>0</v>
      </c>
      <c r="AM8" s="80">
        <f>'Rock Climbing Log'!AM8</f>
        <v>0</v>
      </c>
      <c r="AN8" s="78">
        <f>'Rock Climbing Log'!AN8</f>
        <v>0</v>
      </c>
      <c r="AO8" s="79">
        <f>'Rock Climbing Log'!AO8</f>
        <v>0</v>
      </c>
      <c r="AP8" s="80">
        <f>'Rock Climbing Log'!AP8</f>
        <v>0</v>
      </c>
      <c r="AQ8" s="78">
        <f>'Rock Climbing Log'!AQ8</f>
        <v>0</v>
      </c>
      <c r="AR8" s="79">
        <f>'Rock Climbing Log'!AR8</f>
        <v>0</v>
      </c>
      <c r="AS8" s="80">
        <f>'Rock Climbing Log'!AS8</f>
        <v>0</v>
      </c>
      <c r="AT8" s="78">
        <f>'Rock Climbing Log'!AT8</f>
        <v>0</v>
      </c>
      <c r="AU8" s="79">
        <f>'Rock Climbing Log'!AU8</f>
        <v>0</v>
      </c>
      <c r="AV8" s="80">
        <f>'Rock Climbing Log'!AV8</f>
        <v>0</v>
      </c>
      <c r="AW8" s="66">
        <f ca="1">'RC Template'!AW8</f>
        <v>79.182235742400024</v>
      </c>
      <c r="AX8" s="66">
        <f ca="1">'RC Template'!BC8</f>
        <v>23.961518168164748</v>
      </c>
      <c r="AY8" s="75">
        <f>'Rock Climbing Log'!AY8</f>
        <v>0</v>
      </c>
      <c r="BA8" s="159" t="s">
        <v>63</v>
      </c>
      <c r="BB8" s="160"/>
      <c r="BC8" s="73">
        <v>43161</v>
      </c>
      <c r="BD8" s="62" t="s">
        <v>64</v>
      </c>
      <c r="BE8" s="74">
        <v>43219</v>
      </c>
      <c r="BH8" s="112" t="s">
        <v>63</v>
      </c>
      <c r="BI8" s="73">
        <f>BC8</f>
        <v>43161</v>
      </c>
      <c r="BJ8" s="62" t="s">
        <v>64</v>
      </c>
      <c r="BK8" s="74">
        <f>BE8</f>
        <v>43219</v>
      </c>
    </row>
    <row r="9" spans="1:66" ht="15" customHeight="1" thickBot="1" x14ac:dyDescent="0.35">
      <c r="A9" s="28">
        <f t="shared" ref="A9:A75" si="0">+A8+1</f>
        <v>2</v>
      </c>
      <c r="B9" s="19">
        <f>'Rock Climbing Log'!B9</f>
        <v>43106</v>
      </c>
      <c r="C9" s="24" t="str">
        <f>'Rock Climbing Log'!C9</f>
        <v>Jan</v>
      </c>
      <c r="D9" s="81" t="str">
        <f>'Rock Climbing Log'!D9</f>
        <v>F</v>
      </c>
      <c r="E9" s="82">
        <f>'Rock Climbing Log'!E9</f>
        <v>0</v>
      </c>
      <c r="F9" s="83">
        <f>'Rock Climbing Log'!F9</f>
        <v>0</v>
      </c>
      <c r="G9" s="81" t="str">
        <f>'Rock Climbing Log'!G9</f>
        <v>F</v>
      </c>
      <c r="H9" s="82">
        <f>'Rock Climbing Log'!H9</f>
        <v>0</v>
      </c>
      <c r="I9" s="83">
        <f>'Rock Climbing Log'!I9</f>
        <v>0</v>
      </c>
      <c r="J9" s="81" t="str">
        <f>'Rock Climbing Log'!J9</f>
        <v>C2</v>
      </c>
      <c r="K9" s="82">
        <f>'Rock Climbing Log'!K9</f>
        <v>0</v>
      </c>
      <c r="L9" s="83">
        <f>'Rock Climbing Log'!L9</f>
        <v>0</v>
      </c>
      <c r="M9" s="81">
        <f>'Rock Climbing Log'!M9</f>
        <v>0</v>
      </c>
      <c r="N9" s="82">
        <f>'Rock Climbing Log'!N9</f>
        <v>0</v>
      </c>
      <c r="O9" s="83">
        <f>'Rock Climbing Log'!O9</f>
        <v>0</v>
      </c>
      <c r="P9" s="81">
        <f>'Rock Climbing Log'!P9</f>
        <v>0</v>
      </c>
      <c r="Q9" s="82">
        <f>'Rock Climbing Log'!Q9</f>
        <v>0</v>
      </c>
      <c r="R9" s="83">
        <f>'Rock Climbing Log'!R9</f>
        <v>0</v>
      </c>
      <c r="S9" s="81">
        <f>'Rock Climbing Log'!S9</f>
        <v>0</v>
      </c>
      <c r="T9" s="82">
        <f>'Rock Climbing Log'!T9</f>
        <v>0</v>
      </c>
      <c r="U9" s="83">
        <f>'Rock Climbing Log'!U9</f>
        <v>0</v>
      </c>
      <c r="V9" s="81">
        <f>'Rock Climbing Log'!V9</f>
        <v>0</v>
      </c>
      <c r="W9" s="82">
        <f>'Rock Climbing Log'!W9</f>
        <v>0</v>
      </c>
      <c r="X9" s="83">
        <f>'Rock Climbing Log'!X9</f>
        <v>0</v>
      </c>
      <c r="Y9" s="81">
        <f>'Rock Climbing Log'!Y9</f>
        <v>0</v>
      </c>
      <c r="Z9" s="82">
        <f>'Rock Climbing Log'!Z9</f>
        <v>0</v>
      </c>
      <c r="AA9" s="83">
        <f>'Rock Climbing Log'!AA9</f>
        <v>0</v>
      </c>
      <c r="AB9" s="81">
        <f>'Rock Climbing Log'!AB9</f>
        <v>0</v>
      </c>
      <c r="AC9" s="82">
        <f>'Rock Climbing Log'!AC9</f>
        <v>0</v>
      </c>
      <c r="AD9" s="83">
        <f>'Rock Climbing Log'!AD9</f>
        <v>0</v>
      </c>
      <c r="AE9" s="81">
        <f>'Rock Climbing Log'!AE9</f>
        <v>0</v>
      </c>
      <c r="AF9" s="82">
        <f>'Rock Climbing Log'!AF9</f>
        <v>0</v>
      </c>
      <c r="AG9" s="83">
        <f>'Rock Climbing Log'!AG9</f>
        <v>0</v>
      </c>
      <c r="AH9" s="81">
        <f>'Rock Climbing Log'!AH9</f>
        <v>0</v>
      </c>
      <c r="AI9" s="82">
        <f>'Rock Climbing Log'!AI9</f>
        <v>0</v>
      </c>
      <c r="AJ9" s="83">
        <f>'Rock Climbing Log'!AJ9</f>
        <v>0</v>
      </c>
      <c r="AK9" s="81">
        <f>'Rock Climbing Log'!AK9</f>
        <v>0</v>
      </c>
      <c r="AL9" s="82">
        <f>'Rock Climbing Log'!AL9</f>
        <v>0</v>
      </c>
      <c r="AM9" s="83">
        <f>'Rock Climbing Log'!AM9</f>
        <v>0</v>
      </c>
      <c r="AN9" s="81">
        <f>'Rock Climbing Log'!AN9</f>
        <v>0</v>
      </c>
      <c r="AO9" s="82">
        <f>'Rock Climbing Log'!AO9</f>
        <v>0</v>
      </c>
      <c r="AP9" s="83">
        <f>'Rock Climbing Log'!AP9</f>
        <v>0</v>
      </c>
      <c r="AQ9" s="81">
        <f>'Rock Climbing Log'!AQ9</f>
        <v>0</v>
      </c>
      <c r="AR9" s="82">
        <f>'Rock Climbing Log'!AR9</f>
        <v>0</v>
      </c>
      <c r="AS9" s="83">
        <f>'Rock Climbing Log'!AS9</f>
        <v>0</v>
      </c>
      <c r="AT9" s="81">
        <f>'Rock Climbing Log'!AT9</f>
        <v>0</v>
      </c>
      <c r="AU9" s="82">
        <f>'Rock Climbing Log'!AU9</f>
        <v>0</v>
      </c>
      <c r="AV9" s="83">
        <f>'Rock Climbing Log'!AV9</f>
        <v>0</v>
      </c>
      <c r="AW9" s="66">
        <f ca="1">'RC Template'!AW9</f>
        <v>35.2575</v>
      </c>
      <c r="AX9" s="66">
        <f ca="1">'RC Template'!BC9</f>
        <v>27.056855878915592</v>
      </c>
      <c r="AY9" s="75">
        <f>'Rock Climbing Log'!AY9</f>
        <v>0</v>
      </c>
      <c r="BA9" s="159" t="s">
        <v>65</v>
      </c>
      <c r="BB9" s="160"/>
      <c r="BC9" s="73">
        <v>43106</v>
      </c>
      <c r="BD9" s="62" t="s">
        <v>66</v>
      </c>
      <c r="BE9" s="74">
        <v>43159</v>
      </c>
      <c r="BH9" s="112" t="s">
        <v>65</v>
      </c>
      <c r="BI9" s="73">
        <f>BC9</f>
        <v>43106</v>
      </c>
      <c r="BJ9" s="62" t="s">
        <v>66</v>
      </c>
      <c r="BK9" s="74">
        <f>BE9</f>
        <v>43159</v>
      </c>
    </row>
    <row r="10" spans="1:66" ht="15" thickBot="1" x14ac:dyDescent="0.35">
      <c r="A10" s="28">
        <f t="shared" si="0"/>
        <v>3</v>
      </c>
      <c r="B10" s="19">
        <f>'Rock Climbing Log'!B10</f>
        <v>43106</v>
      </c>
      <c r="C10" s="24" t="str">
        <f>'Rock Climbing Log'!C10</f>
        <v>Sameena</v>
      </c>
      <c r="D10" s="81">
        <f>'Rock Climbing Log'!D10</f>
        <v>0</v>
      </c>
      <c r="E10" s="82">
        <f>'Rock Climbing Log'!E10</f>
        <v>0</v>
      </c>
      <c r="F10" s="83">
        <f>'Rock Climbing Log'!F10</f>
        <v>0</v>
      </c>
      <c r="G10" s="81">
        <f>'Rock Climbing Log'!G10</f>
        <v>0</v>
      </c>
      <c r="H10" s="82">
        <f>'Rock Climbing Log'!H10</f>
        <v>0</v>
      </c>
      <c r="I10" s="83">
        <f>'Rock Climbing Log'!I10</f>
        <v>0</v>
      </c>
      <c r="J10" s="81" t="str">
        <f>'Rock Climbing Log'!J10</f>
        <v>F</v>
      </c>
      <c r="K10" s="82">
        <f>'Rock Climbing Log'!K10</f>
        <v>0</v>
      </c>
      <c r="L10" s="83">
        <f>'Rock Climbing Log'!L10</f>
        <v>0</v>
      </c>
      <c r="M10" s="81" t="str">
        <f>'Rock Climbing Log'!M10</f>
        <v>F</v>
      </c>
      <c r="N10" s="82">
        <f>'Rock Climbing Log'!N10</f>
        <v>0</v>
      </c>
      <c r="O10" s="83">
        <f>'Rock Climbing Log'!O10</f>
        <v>0</v>
      </c>
      <c r="P10" s="81">
        <f>'Rock Climbing Log'!P10</f>
        <v>0</v>
      </c>
      <c r="Q10" s="82">
        <f>'Rock Climbing Log'!Q10</f>
        <v>0</v>
      </c>
      <c r="R10" s="83">
        <f>'Rock Climbing Log'!R10</f>
        <v>0</v>
      </c>
      <c r="S10" s="81" t="str">
        <f>'Rock Climbing Log'!S10</f>
        <v>F</v>
      </c>
      <c r="T10" s="82">
        <f>'Rock Climbing Log'!T10</f>
        <v>0</v>
      </c>
      <c r="U10" s="83">
        <f>'Rock Climbing Log'!U10</f>
        <v>0</v>
      </c>
      <c r="V10" s="81" t="str">
        <f>'Rock Climbing Log'!V10</f>
        <v>F</v>
      </c>
      <c r="W10" s="82">
        <f>'Rock Climbing Log'!W10</f>
        <v>0</v>
      </c>
      <c r="X10" s="83">
        <f>'Rock Climbing Log'!X10</f>
        <v>0</v>
      </c>
      <c r="Y10" s="81" t="str">
        <f>'Rock Climbing Log'!Y10</f>
        <v>C1</v>
      </c>
      <c r="Z10" s="82">
        <f>'Rock Climbing Log'!Z10</f>
        <v>0</v>
      </c>
      <c r="AA10" s="83">
        <f>'Rock Climbing Log'!AA10</f>
        <v>0</v>
      </c>
      <c r="AB10" s="81">
        <f>'Rock Climbing Log'!AB10</f>
        <v>0</v>
      </c>
      <c r="AC10" s="82">
        <f>'Rock Climbing Log'!AC10</f>
        <v>0</v>
      </c>
      <c r="AD10" s="83">
        <f>'Rock Climbing Log'!AD10</f>
        <v>0</v>
      </c>
      <c r="AE10" s="81">
        <f>'Rock Climbing Log'!AE10</f>
        <v>0</v>
      </c>
      <c r="AF10" s="82">
        <f>'Rock Climbing Log'!AF10</f>
        <v>0</v>
      </c>
      <c r="AG10" s="83">
        <f>'Rock Climbing Log'!AG10</f>
        <v>0</v>
      </c>
      <c r="AH10" s="81">
        <f>'Rock Climbing Log'!AH10</f>
        <v>0</v>
      </c>
      <c r="AI10" s="82">
        <f>'Rock Climbing Log'!AI10</f>
        <v>0</v>
      </c>
      <c r="AJ10" s="83">
        <f>'Rock Climbing Log'!AJ10</f>
        <v>0</v>
      </c>
      <c r="AK10" s="81">
        <f>'Rock Climbing Log'!AK10</f>
        <v>0</v>
      </c>
      <c r="AL10" s="82">
        <f>'Rock Climbing Log'!AL10</f>
        <v>0</v>
      </c>
      <c r="AM10" s="83">
        <f>'Rock Climbing Log'!AM10</f>
        <v>0</v>
      </c>
      <c r="AN10" s="81">
        <f>'Rock Climbing Log'!AN10</f>
        <v>0</v>
      </c>
      <c r="AO10" s="82">
        <f>'Rock Climbing Log'!AO10</f>
        <v>0</v>
      </c>
      <c r="AP10" s="83">
        <f>'Rock Climbing Log'!AP10</f>
        <v>0</v>
      </c>
      <c r="AQ10" s="81">
        <f>'Rock Climbing Log'!AQ10</f>
        <v>0</v>
      </c>
      <c r="AR10" s="82">
        <f>'Rock Climbing Log'!AR10</f>
        <v>0</v>
      </c>
      <c r="AS10" s="83">
        <f>'Rock Climbing Log'!AS10</f>
        <v>0</v>
      </c>
      <c r="AT10" s="81">
        <f>'Rock Climbing Log'!AT10</f>
        <v>0</v>
      </c>
      <c r="AU10" s="82">
        <f>'Rock Climbing Log'!AU10</f>
        <v>0</v>
      </c>
      <c r="AV10" s="83">
        <f>'Rock Climbing Log'!AV10</f>
        <v>0</v>
      </c>
      <c r="AW10" s="66">
        <f ca="1">'RC Template'!AW10</f>
        <v>103.24839734157318</v>
      </c>
      <c r="AX10" s="66">
        <f ca="1">'RC Template'!BC10</f>
        <v>50.710642505628265</v>
      </c>
      <c r="AY10" s="75">
        <f>'Rock Climbing Log'!AY10</f>
        <v>0</v>
      </c>
      <c r="BA10" s="69"/>
      <c r="BB10" s="99"/>
      <c r="BC10" s="70"/>
      <c r="BD10" s="71"/>
      <c r="BE10" s="72"/>
      <c r="BH10" s="69"/>
      <c r="BI10" s="70"/>
      <c r="BJ10" s="71"/>
      <c r="BK10" s="72"/>
      <c r="BN10" s="52"/>
    </row>
    <row r="11" spans="1:66" x14ac:dyDescent="0.3">
      <c r="A11" s="28">
        <f t="shared" si="0"/>
        <v>4</v>
      </c>
      <c r="B11" s="19">
        <f>'Rock Climbing Log'!B11</f>
        <v>43106</v>
      </c>
      <c r="C11" s="24" t="str">
        <f>'Rock Climbing Log'!C11</f>
        <v>Mark Guste</v>
      </c>
      <c r="D11" s="81">
        <f>'Rock Climbing Log'!D11</f>
        <v>0</v>
      </c>
      <c r="E11" s="82">
        <f>'Rock Climbing Log'!E11</f>
        <v>0</v>
      </c>
      <c r="F11" s="83">
        <f>'Rock Climbing Log'!F11</f>
        <v>0</v>
      </c>
      <c r="G11" s="81" t="str">
        <f>'Rock Climbing Log'!G11</f>
        <v>F</v>
      </c>
      <c r="H11" s="82">
        <f>'Rock Climbing Log'!H11</f>
        <v>0</v>
      </c>
      <c r="I11" s="83">
        <f>'Rock Climbing Log'!I11</f>
        <v>0</v>
      </c>
      <c r="J11" s="81" t="str">
        <f>'Rock Climbing Log'!J11</f>
        <v>F</v>
      </c>
      <c r="K11" s="82">
        <f>'Rock Climbing Log'!K11</f>
        <v>0</v>
      </c>
      <c r="L11" s="83">
        <f>'Rock Climbing Log'!L11</f>
        <v>0</v>
      </c>
      <c r="M11" s="81" t="str">
        <f>'Rock Climbing Log'!M11</f>
        <v>C3</v>
      </c>
      <c r="N11" s="82">
        <f>'Rock Climbing Log'!N11</f>
        <v>0</v>
      </c>
      <c r="O11" s="83">
        <f>'Rock Climbing Log'!O11</f>
        <v>0</v>
      </c>
      <c r="P11" s="81">
        <f>'Rock Climbing Log'!P11</f>
        <v>0</v>
      </c>
      <c r="Q11" s="82">
        <f>'Rock Climbing Log'!Q11</f>
        <v>0</v>
      </c>
      <c r="R11" s="83">
        <f>'Rock Climbing Log'!R11</f>
        <v>0</v>
      </c>
      <c r="S11" s="81">
        <f>'Rock Climbing Log'!S11</f>
        <v>0</v>
      </c>
      <c r="T11" s="82">
        <f>'Rock Climbing Log'!T11</f>
        <v>0</v>
      </c>
      <c r="U11" s="83">
        <f>'Rock Climbing Log'!U11</f>
        <v>0</v>
      </c>
      <c r="V11" s="81" t="str">
        <f>'Rock Climbing Log'!V11</f>
        <v>A</v>
      </c>
      <c r="W11" s="82">
        <f>'Rock Climbing Log'!W11</f>
        <v>0</v>
      </c>
      <c r="X11" s="83">
        <f>'Rock Climbing Log'!X11</f>
        <v>0</v>
      </c>
      <c r="Y11" s="81">
        <f>'Rock Climbing Log'!Y11</f>
        <v>0</v>
      </c>
      <c r="Z11" s="82">
        <f>'Rock Climbing Log'!Z11</f>
        <v>0</v>
      </c>
      <c r="AA11" s="83">
        <f>'Rock Climbing Log'!AA11</f>
        <v>0</v>
      </c>
      <c r="AB11" s="81">
        <f>'Rock Climbing Log'!AB11</f>
        <v>0</v>
      </c>
      <c r="AC11" s="82">
        <f>'Rock Climbing Log'!AC11</f>
        <v>0</v>
      </c>
      <c r="AD11" s="83">
        <f>'Rock Climbing Log'!AD11</f>
        <v>0</v>
      </c>
      <c r="AE11" s="81">
        <f>'Rock Climbing Log'!AE11</f>
        <v>0</v>
      </c>
      <c r="AF11" s="82">
        <f>'Rock Climbing Log'!AF11</f>
        <v>0</v>
      </c>
      <c r="AG11" s="83">
        <f>'Rock Climbing Log'!AG11</f>
        <v>0</v>
      </c>
      <c r="AH11" s="81">
        <f>'Rock Climbing Log'!AH11</f>
        <v>0</v>
      </c>
      <c r="AI11" s="82">
        <f>'Rock Climbing Log'!AI11</f>
        <v>0</v>
      </c>
      <c r="AJ11" s="83">
        <f>'Rock Climbing Log'!AJ11</f>
        <v>0</v>
      </c>
      <c r="AK11" s="81">
        <f>'Rock Climbing Log'!AK11</f>
        <v>0</v>
      </c>
      <c r="AL11" s="82">
        <f>'Rock Climbing Log'!AL11</f>
        <v>0</v>
      </c>
      <c r="AM11" s="83">
        <f>'Rock Climbing Log'!AM11</f>
        <v>0</v>
      </c>
      <c r="AN11" s="81">
        <f>'Rock Climbing Log'!AN11</f>
        <v>0</v>
      </c>
      <c r="AO11" s="82">
        <f>'Rock Climbing Log'!AO11</f>
        <v>0</v>
      </c>
      <c r="AP11" s="83">
        <f>'Rock Climbing Log'!AP11</f>
        <v>0</v>
      </c>
      <c r="AQ11" s="81">
        <f>'Rock Climbing Log'!AQ11</f>
        <v>0</v>
      </c>
      <c r="AR11" s="82">
        <f>'Rock Climbing Log'!AR11</f>
        <v>0</v>
      </c>
      <c r="AS11" s="83">
        <f>'Rock Climbing Log'!AS11</f>
        <v>0</v>
      </c>
      <c r="AT11" s="81">
        <f>'Rock Climbing Log'!AT11</f>
        <v>0</v>
      </c>
      <c r="AU11" s="82">
        <f>'Rock Climbing Log'!AU11</f>
        <v>0</v>
      </c>
      <c r="AV11" s="83">
        <f>'Rock Climbing Log'!AV11</f>
        <v>0</v>
      </c>
      <c r="AW11" s="66">
        <f ca="1">'RC Template'!AW11</f>
        <v>47.960195371200015</v>
      </c>
      <c r="AX11" s="66">
        <f ca="1">'RC Template'!BC11</f>
        <v>79.923668493438342</v>
      </c>
      <c r="AY11" s="75">
        <f>'Rock Climbing Log'!AY11</f>
        <v>0</v>
      </c>
      <c r="BA11" s="147" t="s">
        <v>62</v>
      </c>
      <c r="BB11" s="148"/>
      <c r="BC11" s="148"/>
      <c r="BD11" s="148"/>
      <c r="BE11" s="149"/>
      <c r="BH11" s="147" t="s">
        <v>62</v>
      </c>
      <c r="BI11" s="148"/>
      <c r="BJ11" s="148"/>
      <c r="BK11" s="149"/>
      <c r="BN11" s="46"/>
    </row>
    <row r="12" spans="1:66" ht="15" thickBot="1" x14ac:dyDescent="0.35">
      <c r="A12" s="28">
        <f t="shared" si="0"/>
        <v>5</v>
      </c>
      <c r="B12" s="19">
        <f>'Rock Climbing Log'!B12</f>
        <v>43108</v>
      </c>
      <c r="C12" s="24" t="str">
        <f>'Rock Climbing Log'!C12</f>
        <v>Lester</v>
      </c>
      <c r="D12" s="81">
        <f>'Rock Climbing Log'!D12</f>
        <v>0</v>
      </c>
      <c r="E12" s="82">
        <f>'Rock Climbing Log'!E12</f>
        <v>0</v>
      </c>
      <c r="F12" s="83">
        <f>'Rock Climbing Log'!F12</f>
        <v>0</v>
      </c>
      <c r="G12" s="81" t="str">
        <f>'Rock Climbing Log'!G12</f>
        <v>F</v>
      </c>
      <c r="H12" s="82">
        <f>'Rock Climbing Log'!H12</f>
        <v>0</v>
      </c>
      <c r="I12" s="83">
        <f>'Rock Climbing Log'!I12</f>
        <v>0</v>
      </c>
      <c r="J12" s="81" t="str">
        <f>'Rock Climbing Log'!J12</f>
        <v>F</v>
      </c>
      <c r="K12" s="82">
        <f>'Rock Climbing Log'!K12</f>
        <v>0</v>
      </c>
      <c r="L12" s="83">
        <f>'Rock Climbing Log'!L12</f>
        <v>0</v>
      </c>
      <c r="M12" s="81" t="str">
        <f>'Rock Climbing Log'!M12</f>
        <v>F</v>
      </c>
      <c r="N12" s="82">
        <f>'Rock Climbing Log'!N12</f>
        <v>0</v>
      </c>
      <c r="O12" s="83">
        <f>'Rock Climbing Log'!O12</f>
        <v>0</v>
      </c>
      <c r="P12" s="81" t="str">
        <f>'Rock Climbing Log'!P12</f>
        <v>F</v>
      </c>
      <c r="Q12" s="82">
        <f>'Rock Climbing Log'!Q12</f>
        <v>0</v>
      </c>
      <c r="R12" s="83">
        <f>'Rock Climbing Log'!R12</f>
        <v>0</v>
      </c>
      <c r="S12" s="81">
        <f>'Rock Climbing Log'!S12</f>
        <v>0</v>
      </c>
      <c r="T12" s="82">
        <f>'Rock Climbing Log'!T12</f>
        <v>0</v>
      </c>
      <c r="U12" s="83">
        <f>'Rock Climbing Log'!U12</f>
        <v>0</v>
      </c>
      <c r="V12" s="81" t="str">
        <f>'Rock Climbing Log'!V12</f>
        <v>F</v>
      </c>
      <c r="W12" s="82">
        <f>'Rock Climbing Log'!W12</f>
        <v>0</v>
      </c>
      <c r="X12" s="83">
        <f>'Rock Climbing Log'!X12</f>
        <v>0</v>
      </c>
      <c r="Y12" s="81">
        <f>'Rock Climbing Log'!Y12</f>
        <v>0</v>
      </c>
      <c r="Z12" s="82">
        <f>'Rock Climbing Log'!Z12</f>
        <v>0</v>
      </c>
      <c r="AA12" s="83">
        <f>'Rock Climbing Log'!AA12</f>
        <v>0</v>
      </c>
      <c r="AB12" s="81">
        <f>'Rock Climbing Log'!AB12</f>
        <v>0</v>
      </c>
      <c r="AC12" s="82">
        <f>'Rock Climbing Log'!AC12</f>
        <v>0</v>
      </c>
      <c r="AD12" s="83">
        <f>'Rock Climbing Log'!AD12</f>
        <v>0</v>
      </c>
      <c r="AE12" s="81">
        <f>'Rock Climbing Log'!AE12</f>
        <v>0</v>
      </c>
      <c r="AF12" s="82">
        <f>'Rock Climbing Log'!AF12</f>
        <v>0</v>
      </c>
      <c r="AG12" s="83">
        <f>'Rock Climbing Log'!AG12</f>
        <v>0</v>
      </c>
      <c r="AH12" s="81">
        <f>'Rock Climbing Log'!AH12</f>
        <v>0</v>
      </c>
      <c r="AI12" s="82">
        <f>'Rock Climbing Log'!AI12</f>
        <v>0</v>
      </c>
      <c r="AJ12" s="83">
        <f>'Rock Climbing Log'!AJ12</f>
        <v>0</v>
      </c>
      <c r="AK12" s="81">
        <f>'Rock Climbing Log'!AK12</f>
        <v>0</v>
      </c>
      <c r="AL12" s="82">
        <f>'Rock Climbing Log'!AL12</f>
        <v>0</v>
      </c>
      <c r="AM12" s="83">
        <f>'Rock Climbing Log'!AM12</f>
        <v>0</v>
      </c>
      <c r="AN12" s="81">
        <f>'Rock Climbing Log'!AN12</f>
        <v>0</v>
      </c>
      <c r="AO12" s="82">
        <f>'Rock Climbing Log'!AO12</f>
        <v>0</v>
      </c>
      <c r="AP12" s="83">
        <f>'Rock Climbing Log'!AP12</f>
        <v>0</v>
      </c>
      <c r="AQ12" s="81">
        <f>'Rock Climbing Log'!AQ12</f>
        <v>0</v>
      </c>
      <c r="AR12" s="82">
        <f>'Rock Climbing Log'!AR12</f>
        <v>0</v>
      </c>
      <c r="AS12" s="83">
        <f>'Rock Climbing Log'!AS12</f>
        <v>0</v>
      </c>
      <c r="AT12" s="81">
        <f>'Rock Climbing Log'!AT12</f>
        <v>0</v>
      </c>
      <c r="AU12" s="82">
        <f>'Rock Climbing Log'!AU12</f>
        <v>0</v>
      </c>
      <c r="AV12" s="83">
        <f>'Rock Climbing Log'!AV12</f>
        <v>0</v>
      </c>
      <c r="AW12" s="66">
        <f ca="1">'RC Template'!AW12</f>
        <v>79.182235742400024</v>
      </c>
      <c r="AX12" s="66">
        <f ca="1">'RC Template'!BC12</f>
        <v>23.961518168164748</v>
      </c>
      <c r="AY12" s="75">
        <f>'Rock Climbing Log'!AY12</f>
        <v>0</v>
      </c>
      <c r="BA12" s="153"/>
      <c r="BB12" s="154"/>
      <c r="BC12" s="154"/>
      <c r="BD12" s="154"/>
      <c r="BE12" s="155"/>
      <c r="BH12" s="153"/>
      <c r="BI12" s="154"/>
      <c r="BJ12" s="154"/>
      <c r="BK12" s="155"/>
    </row>
    <row r="13" spans="1:66" ht="15" thickBot="1" x14ac:dyDescent="0.35">
      <c r="A13" s="28">
        <f t="shared" si="0"/>
        <v>6</v>
      </c>
      <c r="B13" s="19">
        <f>'Rock Climbing Log'!B13</f>
        <v>43108</v>
      </c>
      <c r="C13" s="24" t="str">
        <f>'Rock Climbing Log'!C13</f>
        <v>Edwin</v>
      </c>
      <c r="D13" s="81">
        <f>'Rock Climbing Log'!D13</f>
        <v>0</v>
      </c>
      <c r="E13" s="82">
        <f>'Rock Climbing Log'!E13</f>
        <v>0</v>
      </c>
      <c r="F13" s="83">
        <f>'Rock Climbing Log'!F13</f>
        <v>0</v>
      </c>
      <c r="G13" s="81" t="str">
        <f>'Rock Climbing Log'!G13</f>
        <v>F</v>
      </c>
      <c r="H13" s="82">
        <f>'Rock Climbing Log'!H13</f>
        <v>0</v>
      </c>
      <c r="I13" s="83">
        <f>'Rock Climbing Log'!I13</f>
        <v>0</v>
      </c>
      <c r="J13" s="81" t="str">
        <f>'Rock Climbing Log'!J13</f>
        <v>F</v>
      </c>
      <c r="K13" s="82">
        <f>'Rock Climbing Log'!K13</f>
        <v>0</v>
      </c>
      <c r="L13" s="83">
        <f>'Rock Climbing Log'!L13</f>
        <v>0</v>
      </c>
      <c r="M13" s="81" t="str">
        <f>'Rock Climbing Log'!M13</f>
        <v>F</v>
      </c>
      <c r="N13" s="82">
        <f>'Rock Climbing Log'!N13</f>
        <v>0</v>
      </c>
      <c r="O13" s="83">
        <f>'Rock Climbing Log'!O13</f>
        <v>0</v>
      </c>
      <c r="P13" s="81" t="str">
        <f>'Rock Climbing Log'!P13</f>
        <v>F</v>
      </c>
      <c r="Q13" s="82">
        <f>'Rock Climbing Log'!Q13</f>
        <v>0</v>
      </c>
      <c r="R13" s="83">
        <f>'Rock Climbing Log'!R13</f>
        <v>0</v>
      </c>
      <c r="S13" s="81">
        <f>'Rock Climbing Log'!S13</f>
        <v>0</v>
      </c>
      <c r="T13" s="82">
        <f>'Rock Climbing Log'!T13</f>
        <v>0</v>
      </c>
      <c r="U13" s="83">
        <f>'Rock Climbing Log'!U13</f>
        <v>0</v>
      </c>
      <c r="V13" s="81" t="str">
        <f>'Rock Climbing Log'!V13</f>
        <v>A</v>
      </c>
      <c r="W13" s="82">
        <f>'Rock Climbing Log'!W13</f>
        <v>0</v>
      </c>
      <c r="X13" s="83">
        <f>'Rock Climbing Log'!X13</f>
        <v>0</v>
      </c>
      <c r="Y13" s="81">
        <f>'Rock Climbing Log'!Y13</f>
        <v>0</v>
      </c>
      <c r="Z13" s="82">
        <f>'Rock Climbing Log'!Z13</f>
        <v>0</v>
      </c>
      <c r="AA13" s="83">
        <f>'Rock Climbing Log'!AA13</f>
        <v>0</v>
      </c>
      <c r="AB13" s="81">
        <f>'Rock Climbing Log'!AB13</f>
        <v>0</v>
      </c>
      <c r="AC13" s="82">
        <f>'Rock Climbing Log'!AC13</f>
        <v>0</v>
      </c>
      <c r="AD13" s="83">
        <f>'Rock Climbing Log'!AD13</f>
        <v>0</v>
      </c>
      <c r="AE13" s="81">
        <f>'Rock Climbing Log'!AE13</f>
        <v>0</v>
      </c>
      <c r="AF13" s="82">
        <f>'Rock Climbing Log'!AF13</f>
        <v>0</v>
      </c>
      <c r="AG13" s="83">
        <f>'Rock Climbing Log'!AG13</f>
        <v>0</v>
      </c>
      <c r="AH13" s="81">
        <f>'Rock Climbing Log'!AH13</f>
        <v>0</v>
      </c>
      <c r="AI13" s="82">
        <f>'Rock Climbing Log'!AI13</f>
        <v>0</v>
      </c>
      <c r="AJ13" s="83">
        <f>'Rock Climbing Log'!AJ13</f>
        <v>0</v>
      </c>
      <c r="AK13" s="81">
        <f>'Rock Climbing Log'!AK13</f>
        <v>0</v>
      </c>
      <c r="AL13" s="82">
        <f>'Rock Climbing Log'!AL13</f>
        <v>0</v>
      </c>
      <c r="AM13" s="83">
        <f>'Rock Climbing Log'!AM13</f>
        <v>0</v>
      </c>
      <c r="AN13" s="81">
        <f>'Rock Climbing Log'!AN13</f>
        <v>0</v>
      </c>
      <c r="AO13" s="82">
        <f>'Rock Climbing Log'!AO13</f>
        <v>0</v>
      </c>
      <c r="AP13" s="83">
        <f>'Rock Climbing Log'!AP13</f>
        <v>0</v>
      </c>
      <c r="AQ13" s="81">
        <f>'Rock Climbing Log'!AQ13</f>
        <v>0</v>
      </c>
      <c r="AR13" s="82">
        <f>'Rock Climbing Log'!AR13</f>
        <v>0</v>
      </c>
      <c r="AS13" s="83">
        <f>'Rock Climbing Log'!AS13</f>
        <v>0</v>
      </c>
      <c r="AT13" s="81">
        <f>'Rock Climbing Log'!AT13</f>
        <v>0</v>
      </c>
      <c r="AU13" s="82">
        <f>'Rock Climbing Log'!AU13</f>
        <v>0</v>
      </c>
      <c r="AV13" s="83">
        <f>'Rock Climbing Log'!AV13</f>
        <v>0</v>
      </c>
      <c r="AW13" s="66">
        <f ca="1">'RC Template'!AW13</f>
        <v>61.553862871200025</v>
      </c>
      <c r="AX13" s="66">
        <f ca="1">'RC Template'!BC13</f>
        <v>47.236871488239167</v>
      </c>
      <c r="AY13" s="75">
        <f>'Rock Climbing Log'!AY13</f>
        <v>0</v>
      </c>
      <c r="BA13" s="17" t="s">
        <v>15</v>
      </c>
      <c r="BB13" s="100" t="s">
        <v>132</v>
      </c>
      <c r="BC13" s="64" t="s">
        <v>67</v>
      </c>
      <c r="BD13" s="64" t="s">
        <v>68</v>
      </c>
      <c r="BE13" s="16" t="s">
        <v>176</v>
      </c>
      <c r="BH13" s="17" t="s">
        <v>15</v>
      </c>
      <c r="BI13" s="64" t="s">
        <v>67</v>
      </c>
      <c r="BJ13" s="64" t="s">
        <v>68</v>
      </c>
      <c r="BK13" s="16" t="str">
        <f>BE13</f>
        <v>% Growth</v>
      </c>
    </row>
    <row r="14" spans="1:66" ht="15" thickTop="1" x14ac:dyDescent="0.3">
      <c r="A14" s="28">
        <f t="shared" si="0"/>
        <v>7</v>
      </c>
      <c r="B14" s="19">
        <f>'Rock Climbing Log'!B14</f>
        <v>43111</v>
      </c>
      <c r="C14" s="20" t="str">
        <f>'Rock Climbing Log'!C14</f>
        <v>Lester</v>
      </c>
      <c r="D14" s="81">
        <f>'Rock Climbing Log'!D14</f>
        <v>0</v>
      </c>
      <c r="E14" s="82">
        <f>'Rock Climbing Log'!E14</f>
        <v>0</v>
      </c>
      <c r="F14" s="83">
        <f>'Rock Climbing Log'!F14</f>
        <v>0</v>
      </c>
      <c r="G14" s="81" t="str">
        <f>'Rock Climbing Log'!G14</f>
        <v>F</v>
      </c>
      <c r="H14" s="82">
        <f>'Rock Climbing Log'!H14</f>
        <v>0</v>
      </c>
      <c r="I14" s="83">
        <f>'Rock Climbing Log'!I14</f>
        <v>0</v>
      </c>
      <c r="J14" s="81" t="str">
        <f>'Rock Climbing Log'!J14</f>
        <v>F</v>
      </c>
      <c r="K14" s="82">
        <f>'Rock Climbing Log'!K14</f>
        <v>0</v>
      </c>
      <c r="L14" s="83">
        <f>'Rock Climbing Log'!L14</f>
        <v>0</v>
      </c>
      <c r="M14" s="81" t="str">
        <f>'Rock Climbing Log'!M14</f>
        <v>F</v>
      </c>
      <c r="N14" s="82">
        <f>'Rock Climbing Log'!N14</f>
        <v>0</v>
      </c>
      <c r="O14" s="83">
        <f>'Rock Climbing Log'!O14</f>
        <v>0</v>
      </c>
      <c r="P14" s="81">
        <f>'Rock Climbing Log'!P14</f>
        <v>0</v>
      </c>
      <c r="Q14" s="82">
        <f>'Rock Climbing Log'!Q14</f>
        <v>0</v>
      </c>
      <c r="R14" s="83">
        <f>'Rock Climbing Log'!R14</f>
        <v>0</v>
      </c>
      <c r="S14" s="81">
        <f>'Rock Climbing Log'!S14</f>
        <v>0</v>
      </c>
      <c r="T14" s="82">
        <f>'Rock Climbing Log'!T14</f>
        <v>0</v>
      </c>
      <c r="U14" s="83">
        <f>'Rock Climbing Log'!U14</f>
        <v>0</v>
      </c>
      <c r="V14" s="81" t="str">
        <f>'Rock Climbing Log'!V14</f>
        <v>F</v>
      </c>
      <c r="W14" s="82">
        <f>'Rock Climbing Log'!W14</f>
        <v>0</v>
      </c>
      <c r="X14" s="83">
        <f>'Rock Climbing Log'!X14</f>
        <v>0</v>
      </c>
      <c r="Y14" s="81">
        <f>'Rock Climbing Log'!Y14</f>
        <v>0</v>
      </c>
      <c r="Z14" s="82">
        <f>'Rock Climbing Log'!Z14</f>
        <v>0</v>
      </c>
      <c r="AA14" s="83">
        <f>'Rock Climbing Log'!AA14</f>
        <v>0</v>
      </c>
      <c r="AB14" s="81">
        <f>'Rock Climbing Log'!AB14</f>
        <v>0</v>
      </c>
      <c r="AC14" s="82">
        <f>'Rock Climbing Log'!AC14</f>
        <v>0</v>
      </c>
      <c r="AD14" s="83">
        <f>'Rock Climbing Log'!AD14</f>
        <v>0</v>
      </c>
      <c r="AE14" s="81" t="str">
        <f>'Rock Climbing Log'!AE14</f>
        <v>C1</v>
      </c>
      <c r="AF14" s="82">
        <f>'Rock Climbing Log'!AF14</f>
        <v>0</v>
      </c>
      <c r="AG14" s="83">
        <f>'Rock Climbing Log'!AG14</f>
        <v>0</v>
      </c>
      <c r="AH14" s="81">
        <f>'Rock Climbing Log'!AH14</f>
        <v>0</v>
      </c>
      <c r="AI14" s="82">
        <f>'Rock Climbing Log'!AI14</f>
        <v>0</v>
      </c>
      <c r="AJ14" s="83">
        <f>'Rock Climbing Log'!AJ14</f>
        <v>0</v>
      </c>
      <c r="AK14" s="81">
        <f>'Rock Climbing Log'!AK14</f>
        <v>0</v>
      </c>
      <c r="AL14" s="82">
        <f>'Rock Climbing Log'!AL14</f>
        <v>0</v>
      </c>
      <c r="AM14" s="83">
        <f>'Rock Climbing Log'!AM14</f>
        <v>0</v>
      </c>
      <c r="AN14" s="81">
        <f>'Rock Climbing Log'!AN14</f>
        <v>0</v>
      </c>
      <c r="AO14" s="82">
        <f>'Rock Climbing Log'!AO14</f>
        <v>0</v>
      </c>
      <c r="AP14" s="83">
        <f>'Rock Climbing Log'!AP14</f>
        <v>0</v>
      </c>
      <c r="AQ14" s="81">
        <f>'Rock Climbing Log'!AQ14</f>
        <v>0</v>
      </c>
      <c r="AR14" s="82">
        <f>'Rock Climbing Log'!AR14</f>
        <v>0</v>
      </c>
      <c r="AS14" s="83">
        <f>'Rock Climbing Log'!AS14</f>
        <v>0</v>
      </c>
      <c r="AT14" s="81">
        <f>'Rock Climbing Log'!AT14</f>
        <v>0</v>
      </c>
      <c r="AU14" s="82">
        <f>'Rock Climbing Log'!AU14</f>
        <v>0</v>
      </c>
      <c r="AV14" s="83">
        <f>'Rock Climbing Log'!AV14</f>
        <v>0</v>
      </c>
      <c r="AW14" s="66">
        <f ca="1">'RC Template'!AW14</f>
        <v>116.34015040463962</v>
      </c>
      <c r="AX14" s="66">
        <f ca="1">'RC Template'!BC14</f>
        <v>35.205960042311077</v>
      </c>
      <c r="AY14" s="75">
        <f>'Rock Climbing Log'!AY14</f>
        <v>0</v>
      </c>
      <c r="BA14" s="48" t="s">
        <v>25</v>
      </c>
      <c r="BB14" s="101" t="str">
        <f ca="1">VLOOKUP(BA14,'RC Lookup'!$O$3:$P$50,2,FALSE)</f>
        <v>T3</v>
      </c>
      <c r="BC14" s="65">
        <f t="shared" ref="BC14:BC20" ca="1" si="1">IFERROR(AVERAGEIFS(INDIRECT("$AX$"&amp;_xlfn.MINIFS($A$8:$A$203,$B$8:$B$203,$BC$8)+7&amp;":$AX$"&amp;_xlfn.MAXIFS($A$8:$A$203,$B$8:$B$203,$BE$8)+7),INDIRECT("$C$"&amp;_xlfn.MINIFS($A$8:$A$203,$B$8:$B$203,$BC$8)+7&amp;":$C$"&amp;_xlfn.MAXIFS($A$8:$A$203,$B$8:$B$203,$BE$8)+7),$BA14),0)</f>
        <v>85.508945204002671</v>
      </c>
      <c r="BD14" s="65">
        <f t="shared" ref="BD14:BD20" ca="1" si="2">IFERROR(AVERAGEIFS(INDIRECT("$AX$"&amp;_xlfn.MINIFS($A$8:$A$203,$B$8:$B$203,$BC$9)+7&amp;":$AX$"&amp;_xlfn.MAXIFS($A$8:$A$203,$B$8:$B$203,$BE$9)+7),INDIRECT("$C$"&amp;_xlfn.MINIFS($A$8:$A$203,$B$8:$B$203,$BC$9)+7&amp;":$C$"&amp;_xlfn.MAXIFS($A$8:$A$203,$B$8:$B$203,$BE$9)+7),$BA14),0)</f>
        <v>66.169411010923284</v>
      </c>
      <c r="BE14" s="47" t="str">
        <f ca="1">IF($BE$13="% Growth",IFERROR(TEXT((BC14/BD14)-1,"0.0%"),0),BC14-BD14)</f>
        <v>29.2%</v>
      </c>
      <c r="BF14" s="52"/>
      <c r="BH14" s="48" t="s">
        <v>25</v>
      </c>
      <c r="BI14" s="65">
        <f t="shared" ref="BI14:BI20" ca="1" si="3">IFERROR(AVERAGEIFS(INDIRECT("$AW$"&amp;_xlfn.MINIFS($A$8:$A$203,$B$8:$B$203,$BI$8)+7&amp;":$AW$"&amp;_xlfn.MAXIFS($A$8:$A$203,$B$8:$B$203,$BK$8)+7),INDIRECT("$C$"&amp;_xlfn.MINIFS($A$8:$A$203,$B$8:$B$203,$BI$8)+7&amp;":$C$"&amp;_xlfn.MAXIFS($A$8:$A$203,$B$8:$B$203,$BK$8)+7),$BH14),0)</f>
        <v>111.42579348546816</v>
      </c>
      <c r="BJ14" s="65">
        <f t="shared" ref="BJ14:BJ20" ca="1" si="4">IFERROR(AVERAGEIFS(INDIRECT("$AW$"&amp;_xlfn.MINIFS($A$8:$A$203,$B$8:$B$203,$BI$9)+7&amp;":$AW$"&amp;_xlfn.MAXIFS($A$8:$A$203,$B$8:$B$203,$BK$9)+7),INDIRECT("$C$"&amp;_xlfn.MINIFS($A$8:$A$203,$B$8:$B$203,$BI$9)+7&amp;":$C$"&amp;_xlfn.MAXIFS($A$8:$A$203,$B$8:$B$203,$BK$9)+7),$BH14),0)</f>
        <v>86.224652973652539</v>
      </c>
      <c r="BK14" s="47" t="str">
        <f ca="1">IF($BE$13="% Growth",IFERROR(TEXT((BI14/BJ14)-1,"0.0%"),0),BI14-BJ14)</f>
        <v>29.2%</v>
      </c>
    </row>
    <row r="15" spans="1:66" x14ac:dyDescent="0.3">
      <c r="A15" s="28">
        <f t="shared" si="0"/>
        <v>8</v>
      </c>
      <c r="B15" s="19">
        <f>'Rock Climbing Log'!B15</f>
        <v>43111</v>
      </c>
      <c r="C15" s="20" t="str">
        <f>'Rock Climbing Log'!C15</f>
        <v>Jan</v>
      </c>
      <c r="D15" s="81" t="str">
        <f>'Rock Climbing Log'!D15</f>
        <v>F</v>
      </c>
      <c r="E15" s="82">
        <f>'Rock Climbing Log'!E15</f>
        <v>0</v>
      </c>
      <c r="F15" s="83">
        <f>'Rock Climbing Log'!F15</f>
        <v>0</v>
      </c>
      <c r="G15" s="81" t="str">
        <f>'Rock Climbing Log'!G15</f>
        <v>F</v>
      </c>
      <c r="H15" s="82">
        <f>'Rock Climbing Log'!H15</f>
        <v>0</v>
      </c>
      <c r="I15" s="83">
        <f>'Rock Climbing Log'!I15</f>
        <v>0</v>
      </c>
      <c r="J15" s="81" t="str">
        <f>'Rock Climbing Log'!J15</f>
        <v>C4</v>
      </c>
      <c r="K15" s="82">
        <f>'Rock Climbing Log'!K15</f>
        <v>0</v>
      </c>
      <c r="L15" s="83">
        <f>'Rock Climbing Log'!L15</f>
        <v>0</v>
      </c>
      <c r="M15" s="81">
        <f>'Rock Climbing Log'!M15</f>
        <v>0</v>
      </c>
      <c r="N15" s="82">
        <f>'Rock Climbing Log'!N15</f>
        <v>0</v>
      </c>
      <c r="O15" s="83">
        <f>'Rock Climbing Log'!O15</f>
        <v>0</v>
      </c>
      <c r="P15" s="81">
        <f>'Rock Climbing Log'!P15</f>
        <v>0</v>
      </c>
      <c r="Q15" s="82">
        <f>'Rock Climbing Log'!Q15</f>
        <v>0</v>
      </c>
      <c r="R15" s="83">
        <f>'Rock Climbing Log'!R15</f>
        <v>0</v>
      </c>
      <c r="S15" s="81">
        <f>'Rock Climbing Log'!S15</f>
        <v>0</v>
      </c>
      <c r="T15" s="82">
        <f>'Rock Climbing Log'!T15</f>
        <v>0</v>
      </c>
      <c r="U15" s="83">
        <f>'Rock Climbing Log'!U15</f>
        <v>0</v>
      </c>
      <c r="V15" s="81" t="str">
        <f>'Rock Climbing Log'!V15</f>
        <v>A</v>
      </c>
      <c r="W15" s="82">
        <f>'Rock Climbing Log'!W15</f>
        <v>0</v>
      </c>
      <c r="X15" s="83">
        <f>'Rock Climbing Log'!X15</f>
        <v>0</v>
      </c>
      <c r="Y15" s="81">
        <f>'Rock Climbing Log'!Y15</f>
        <v>0</v>
      </c>
      <c r="Z15" s="82">
        <f>'Rock Climbing Log'!Z15</f>
        <v>0</v>
      </c>
      <c r="AA15" s="83">
        <f>'Rock Climbing Log'!AA15</f>
        <v>0</v>
      </c>
      <c r="AB15" s="81">
        <f>'Rock Climbing Log'!AB15</f>
        <v>0</v>
      </c>
      <c r="AC15" s="82">
        <f>'Rock Climbing Log'!AC15</f>
        <v>0</v>
      </c>
      <c r="AD15" s="83">
        <f>'Rock Climbing Log'!AD15</f>
        <v>0</v>
      </c>
      <c r="AE15" s="81">
        <f>'Rock Climbing Log'!AE15</f>
        <v>0</v>
      </c>
      <c r="AF15" s="82">
        <f>'Rock Climbing Log'!AF15</f>
        <v>0</v>
      </c>
      <c r="AG15" s="83">
        <f>'Rock Climbing Log'!AG15</f>
        <v>0</v>
      </c>
      <c r="AH15" s="81">
        <f>'Rock Climbing Log'!AH15</f>
        <v>0</v>
      </c>
      <c r="AI15" s="82">
        <f>'Rock Climbing Log'!AI15</f>
        <v>0</v>
      </c>
      <c r="AJ15" s="83">
        <f>'Rock Climbing Log'!AJ15</f>
        <v>0</v>
      </c>
      <c r="AK15" s="81">
        <f>'Rock Climbing Log'!AK15</f>
        <v>0</v>
      </c>
      <c r="AL15" s="82">
        <f>'Rock Climbing Log'!AL15</f>
        <v>0</v>
      </c>
      <c r="AM15" s="83">
        <f>'Rock Climbing Log'!AM15</f>
        <v>0</v>
      </c>
      <c r="AN15" s="81">
        <f>'Rock Climbing Log'!AN15</f>
        <v>0</v>
      </c>
      <c r="AO15" s="82">
        <f>'Rock Climbing Log'!AO15</f>
        <v>0</v>
      </c>
      <c r="AP15" s="83">
        <f>'Rock Climbing Log'!AP15</f>
        <v>0</v>
      </c>
      <c r="AQ15" s="81">
        <f>'Rock Climbing Log'!AQ15</f>
        <v>0</v>
      </c>
      <c r="AR15" s="82">
        <f>'Rock Climbing Log'!AR15</f>
        <v>0</v>
      </c>
      <c r="AS15" s="83">
        <f>'Rock Climbing Log'!AS15</f>
        <v>0</v>
      </c>
      <c r="AT15" s="81">
        <f>'Rock Climbing Log'!AT15</f>
        <v>0</v>
      </c>
      <c r="AU15" s="82">
        <f>'Rock Climbing Log'!AU15</f>
        <v>0</v>
      </c>
      <c r="AV15" s="83">
        <f>'Rock Climbing Log'!AV15</f>
        <v>0</v>
      </c>
      <c r="AW15" s="66">
        <f ca="1">'RC Template'!AW15</f>
        <v>40.46194787120001</v>
      </c>
      <c r="AX15" s="66">
        <f ca="1">'RC Template'!BC15</f>
        <v>31.050786134333237</v>
      </c>
      <c r="AY15" s="75">
        <f>'Rock Climbing Log'!AY15</f>
        <v>0</v>
      </c>
      <c r="AZ15" s="52"/>
      <c r="BA15" s="48" t="s">
        <v>24</v>
      </c>
      <c r="BB15" s="101" t="str">
        <f ca="1">VLOOKUP(BA15,'RC Lookup'!$O$3:$P$50,2,FALSE)</f>
        <v>T3</v>
      </c>
      <c r="BC15" s="65">
        <f t="shared" ca="1" si="1"/>
        <v>0</v>
      </c>
      <c r="BD15" s="65">
        <f t="shared" ca="1" si="2"/>
        <v>48.637561409152234</v>
      </c>
      <c r="BE15" s="47" t="str">
        <f t="shared" ref="BE15:BE20" ca="1" si="5">IF($BE$13="% Growth",IFERROR(TEXT((BC15/BD15)-1,"0.0%"),0),BC15-BD15)</f>
        <v>-100.0%</v>
      </c>
      <c r="BF15" s="52"/>
      <c r="BG15" s="52"/>
      <c r="BH15" s="48" t="s">
        <v>24</v>
      </c>
      <c r="BI15" s="65">
        <f t="shared" ca="1" si="3"/>
        <v>0</v>
      </c>
      <c r="BJ15" s="65">
        <f t="shared" ca="1" si="4"/>
        <v>63.37908695147005</v>
      </c>
      <c r="BK15" s="47" t="str">
        <f t="shared" ref="BK15:BK20" ca="1" si="6">IF($BE$13="% Growth",IFERROR(TEXT((BI15/BJ15)-1,"0.0%"),0),BI15-BJ15)</f>
        <v>-100.0%</v>
      </c>
    </row>
    <row r="16" spans="1:66" x14ac:dyDescent="0.3">
      <c r="A16" s="28">
        <f t="shared" si="0"/>
        <v>9</v>
      </c>
      <c r="B16" s="19">
        <f>'Rock Climbing Log'!B16</f>
        <v>43111</v>
      </c>
      <c r="C16" s="20" t="str">
        <f>'Rock Climbing Log'!C16</f>
        <v>Edwin</v>
      </c>
      <c r="D16" s="81" t="str">
        <f>'Rock Climbing Log'!D16</f>
        <v>F</v>
      </c>
      <c r="E16" s="82">
        <f>'Rock Climbing Log'!E16</f>
        <v>0</v>
      </c>
      <c r="F16" s="83">
        <f>'Rock Climbing Log'!F16</f>
        <v>0</v>
      </c>
      <c r="G16" s="81" t="str">
        <f>'Rock Climbing Log'!G16</f>
        <v>F</v>
      </c>
      <c r="H16" s="82">
        <f>'Rock Climbing Log'!H16</f>
        <v>0</v>
      </c>
      <c r="I16" s="83">
        <f>'Rock Climbing Log'!I16</f>
        <v>0</v>
      </c>
      <c r="J16" s="81">
        <f>'Rock Climbing Log'!J16</f>
        <v>0</v>
      </c>
      <c r="K16" s="82">
        <f>'Rock Climbing Log'!K16</f>
        <v>0</v>
      </c>
      <c r="L16" s="83">
        <f>'Rock Climbing Log'!L16</f>
        <v>0</v>
      </c>
      <c r="M16" s="81" t="str">
        <f>'Rock Climbing Log'!M16</f>
        <v>F</v>
      </c>
      <c r="N16" s="82">
        <f>'Rock Climbing Log'!N16</f>
        <v>0</v>
      </c>
      <c r="O16" s="83">
        <f>'Rock Climbing Log'!O16</f>
        <v>0</v>
      </c>
      <c r="P16" s="81">
        <f>'Rock Climbing Log'!P16</f>
        <v>0</v>
      </c>
      <c r="Q16" s="82">
        <f>'Rock Climbing Log'!Q16</f>
        <v>0</v>
      </c>
      <c r="R16" s="83">
        <f>'Rock Climbing Log'!R16</f>
        <v>0</v>
      </c>
      <c r="S16" s="81">
        <f>'Rock Climbing Log'!S16</f>
        <v>0</v>
      </c>
      <c r="T16" s="82">
        <f>'Rock Climbing Log'!T16</f>
        <v>0</v>
      </c>
      <c r="U16" s="83">
        <f>'Rock Climbing Log'!U16</f>
        <v>0</v>
      </c>
      <c r="V16" s="81" t="str">
        <f>'Rock Climbing Log'!V16</f>
        <v>C3</v>
      </c>
      <c r="W16" s="82">
        <f>'Rock Climbing Log'!W16</f>
        <v>0</v>
      </c>
      <c r="X16" s="83">
        <f>'Rock Climbing Log'!X16</f>
        <v>0</v>
      </c>
      <c r="Y16" s="81">
        <f>'Rock Climbing Log'!Y16</f>
        <v>0</v>
      </c>
      <c r="Z16" s="82">
        <f>'Rock Climbing Log'!Z16</f>
        <v>0</v>
      </c>
      <c r="AA16" s="83">
        <f>'Rock Climbing Log'!AA16</f>
        <v>0</v>
      </c>
      <c r="AB16" s="81">
        <f>'Rock Climbing Log'!AB16</f>
        <v>0</v>
      </c>
      <c r="AC16" s="82">
        <f>'Rock Climbing Log'!AC16</f>
        <v>0</v>
      </c>
      <c r="AD16" s="83">
        <f>'Rock Climbing Log'!AD16</f>
        <v>0</v>
      </c>
      <c r="AE16" s="81">
        <f>'Rock Climbing Log'!AE16</f>
        <v>0</v>
      </c>
      <c r="AF16" s="82">
        <f>'Rock Climbing Log'!AF16</f>
        <v>0</v>
      </c>
      <c r="AG16" s="83">
        <f>'Rock Climbing Log'!AG16</f>
        <v>0</v>
      </c>
      <c r="AH16" s="81">
        <f>'Rock Climbing Log'!AH16</f>
        <v>0</v>
      </c>
      <c r="AI16" s="82">
        <f>'Rock Climbing Log'!AI16</f>
        <v>0</v>
      </c>
      <c r="AJ16" s="83">
        <f>'Rock Climbing Log'!AJ16</f>
        <v>0</v>
      </c>
      <c r="AK16" s="81">
        <f>'Rock Climbing Log'!AK16</f>
        <v>0</v>
      </c>
      <c r="AL16" s="82">
        <f>'Rock Climbing Log'!AL16</f>
        <v>0</v>
      </c>
      <c r="AM16" s="83">
        <f>'Rock Climbing Log'!AM16</f>
        <v>0</v>
      </c>
      <c r="AN16" s="81">
        <f>'Rock Climbing Log'!AN16</f>
        <v>0</v>
      </c>
      <c r="AO16" s="82">
        <f>'Rock Climbing Log'!AO16</f>
        <v>0</v>
      </c>
      <c r="AP16" s="83">
        <f>'Rock Climbing Log'!AP16</f>
        <v>0</v>
      </c>
      <c r="AQ16" s="81">
        <f>'Rock Climbing Log'!AQ16</f>
        <v>0</v>
      </c>
      <c r="AR16" s="82">
        <f>'Rock Climbing Log'!AR16</f>
        <v>0</v>
      </c>
      <c r="AS16" s="83">
        <f>'Rock Climbing Log'!AS16</f>
        <v>0</v>
      </c>
      <c r="AT16" s="81">
        <f>'Rock Climbing Log'!AT16</f>
        <v>0</v>
      </c>
      <c r="AU16" s="82">
        <f>'Rock Climbing Log'!AU16</f>
        <v>0</v>
      </c>
      <c r="AV16" s="83">
        <f>'Rock Climbing Log'!AV16</f>
        <v>0</v>
      </c>
      <c r="AW16" s="66">
        <f ca="1">'RC Template'!AW16</f>
        <v>58.204667646209622</v>
      </c>
      <c r="AX16" s="66">
        <f ca="1">'RC Template'!BC16</f>
        <v>44.666675288482587</v>
      </c>
      <c r="AY16" s="75">
        <f>'Rock Climbing Log'!AY16</f>
        <v>0</v>
      </c>
      <c r="BA16" s="48" t="s">
        <v>16</v>
      </c>
      <c r="BB16" s="101" t="str">
        <f ca="1">VLOOKUP(BA16,'RC Lookup'!$O$3:$P$50,2,FALSE)</f>
        <v>T5</v>
      </c>
      <c r="BC16" s="65">
        <f t="shared" ca="1" si="1"/>
        <v>83.067517440830429</v>
      </c>
      <c r="BD16" s="65">
        <f t="shared" ca="1" si="2"/>
        <v>61.061551287387431</v>
      </c>
      <c r="BE16" s="47" t="str">
        <f t="shared" ca="1" si="5"/>
        <v>36.0%</v>
      </c>
      <c r="BF16" s="52"/>
      <c r="BH16" s="48" t="s">
        <v>16</v>
      </c>
      <c r="BI16" s="65">
        <f t="shared" ca="1" si="3"/>
        <v>274.5014611500946</v>
      </c>
      <c r="BJ16" s="65">
        <f t="shared" ca="1" si="4"/>
        <v>201.78146121218333</v>
      </c>
      <c r="BK16" s="47" t="str">
        <f t="shared" ca="1" si="6"/>
        <v>36.0%</v>
      </c>
      <c r="BL16" s="121"/>
    </row>
    <row r="17" spans="1:67" ht="14.4" customHeight="1" x14ac:dyDescent="0.3">
      <c r="A17" s="28">
        <f t="shared" si="0"/>
        <v>10</v>
      </c>
      <c r="B17" s="19">
        <f>'Rock Climbing Log'!B17</f>
        <v>43113</v>
      </c>
      <c r="C17" s="24" t="str">
        <f>'Rock Climbing Log'!C17</f>
        <v>Lester</v>
      </c>
      <c r="D17" s="81">
        <f>'Rock Climbing Log'!D17</f>
        <v>0</v>
      </c>
      <c r="E17" s="82">
        <f>'Rock Climbing Log'!E17</f>
        <v>0</v>
      </c>
      <c r="F17" s="83">
        <f>'Rock Climbing Log'!F17</f>
        <v>0</v>
      </c>
      <c r="G17" s="81" t="str">
        <f>'Rock Climbing Log'!G17</f>
        <v>F</v>
      </c>
      <c r="H17" s="82">
        <f>'Rock Climbing Log'!H17</f>
        <v>0</v>
      </c>
      <c r="I17" s="83">
        <f>'Rock Climbing Log'!I17</f>
        <v>0</v>
      </c>
      <c r="J17" s="81" t="str">
        <f>'Rock Climbing Log'!J17</f>
        <v>F</v>
      </c>
      <c r="K17" s="82">
        <f>'Rock Climbing Log'!K17</f>
        <v>0</v>
      </c>
      <c r="L17" s="83">
        <f>'Rock Climbing Log'!L17</f>
        <v>0</v>
      </c>
      <c r="M17" s="81" t="str">
        <f>'Rock Climbing Log'!M17</f>
        <v>F</v>
      </c>
      <c r="N17" s="82">
        <f>'Rock Climbing Log'!N17</f>
        <v>0</v>
      </c>
      <c r="O17" s="83">
        <f>'Rock Climbing Log'!O17</f>
        <v>0</v>
      </c>
      <c r="P17" s="81">
        <f>'Rock Climbing Log'!P17</f>
        <v>0</v>
      </c>
      <c r="Q17" s="82">
        <f>'Rock Climbing Log'!Q17</f>
        <v>0</v>
      </c>
      <c r="R17" s="83">
        <f>'Rock Climbing Log'!R17</f>
        <v>0</v>
      </c>
      <c r="S17" s="81" t="str">
        <f>'Rock Climbing Log'!S17</f>
        <v>F</v>
      </c>
      <c r="T17" s="82">
        <f>'Rock Climbing Log'!T17</f>
        <v>0</v>
      </c>
      <c r="U17" s="83">
        <f>'Rock Climbing Log'!U17</f>
        <v>0</v>
      </c>
      <c r="V17" s="81" t="str">
        <f>'Rock Climbing Log'!V17</f>
        <v>F</v>
      </c>
      <c r="W17" s="82">
        <f>'Rock Climbing Log'!W17</f>
        <v>0</v>
      </c>
      <c r="X17" s="83">
        <f>'Rock Climbing Log'!X17</f>
        <v>0</v>
      </c>
      <c r="Y17" s="81">
        <f>'Rock Climbing Log'!Y17</f>
        <v>0</v>
      </c>
      <c r="Z17" s="82">
        <f>'Rock Climbing Log'!Z17</f>
        <v>0</v>
      </c>
      <c r="AA17" s="83">
        <f>'Rock Climbing Log'!AA17</f>
        <v>0</v>
      </c>
      <c r="AB17" s="81">
        <f>'Rock Climbing Log'!AB17</f>
        <v>0</v>
      </c>
      <c r="AC17" s="82">
        <f>'Rock Climbing Log'!AC17</f>
        <v>0</v>
      </c>
      <c r="AD17" s="83">
        <f>'Rock Climbing Log'!AD17</f>
        <v>0</v>
      </c>
      <c r="AE17" s="81" t="str">
        <f>'Rock Climbing Log'!AE17</f>
        <v>F</v>
      </c>
      <c r="AF17" s="82">
        <f>'Rock Climbing Log'!AF17</f>
        <v>0</v>
      </c>
      <c r="AG17" s="83">
        <f>'Rock Climbing Log'!AG17</f>
        <v>0</v>
      </c>
      <c r="AH17" s="81">
        <f>'Rock Climbing Log'!AH17</f>
        <v>0</v>
      </c>
      <c r="AI17" s="82">
        <f>'Rock Climbing Log'!AI17</f>
        <v>0</v>
      </c>
      <c r="AJ17" s="83">
        <f>'Rock Climbing Log'!AJ17</f>
        <v>0</v>
      </c>
      <c r="AK17" s="81">
        <f>'Rock Climbing Log'!AK17</f>
        <v>0</v>
      </c>
      <c r="AL17" s="82">
        <f>'Rock Climbing Log'!AL17</f>
        <v>0</v>
      </c>
      <c r="AM17" s="83">
        <f>'Rock Climbing Log'!AM17</f>
        <v>0</v>
      </c>
      <c r="AN17" s="81">
        <f>'Rock Climbing Log'!AN17</f>
        <v>0</v>
      </c>
      <c r="AO17" s="82">
        <f>'Rock Climbing Log'!AO17</f>
        <v>0</v>
      </c>
      <c r="AP17" s="83">
        <f>'Rock Climbing Log'!AP17</f>
        <v>0</v>
      </c>
      <c r="AQ17" s="81">
        <f>'Rock Climbing Log'!AQ17</f>
        <v>0</v>
      </c>
      <c r="AR17" s="82">
        <f>'Rock Climbing Log'!AR17</f>
        <v>0</v>
      </c>
      <c r="AS17" s="83">
        <f>'Rock Climbing Log'!AS17</f>
        <v>0</v>
      </c>
      <c r="AT17" s="81">
        <f>'Rock Climbing Log'!AT17</f>
        <v>0</v>
      </c>
      <c r="AU17" s="82">
        <f>'Rock Climbing Log'!AU17</f>
        <v>0</v>
      </c>
      <c r="AV17" s="83">
        <f>'Rock Climbing Log'!AV17</f>
        <v>0</v>
      </c>
      <c r="AW17" s="66">
        <f ca="1">'RC Template'!AW17</f>
        <v>132.02338950933293</v>
      </c>
      <c r="AX17" s="66">
        <f ca="1">'RC Template'!BC17</f>
        <v>39.951901038033085</v>
      </c>
      <c r="AY17" s="75">
        <f>'Rock Climbing Log'!AY17</f>
        <v>0</v>
      </c>
      <c r="BA17" s="48" t="s">
        <v>43</v>
      </c>
      <c r="BB17" s="101" t="str">
        <f ca="1">VLOOKUP(BA17,'RC Lookup'!$O$3:$P$50,2,FALSE)</f>
        <v>T4</v>
      </c>
      <c r="BC17" s="65">
        <f ca="1">IFERROR(AVERAGEIFS(INDIRECT("$AX$"&amp;_xlfn.MINIFS($A$8:$A$203,$B$8:$B$203,$BC$8)+7&amp;":$AX$"&amp;_xlfn.MAXIFS($A$8:$A$203,$B$8:$B$203,$BE$8)+7),INDIRECT("$C$"&amp;_xlfn.MINIFS($A$8:$A$203,$B$8:$B$203,$BC$8)+7&amp;":$C$"&amp;_xlfn.MAXIFS($A$8:$A$203,$B$8:$B$203,$BE$8)+7),$BA17),0)</f>
        <v>0</v>
      </c>
      <c r="BD17" s="65">
        <f t="shared" ca="1" si="2"/>
        <v>57.494785744502749</v>
      </c>
      <c r="BE17" s="47" t="str">
        <f t="shared" ca="1" si="5"/>
        <v>-100.0%</v>
      </c>
      <c r="BF17" s="52"/>
      <c r="BH17" s="48" t="s">
        <v>43</v>
      </c>
      <c r="BI17" s="65">
        <f t="shared" ca="1" si="3"/>
        <v>0</v>
      </c>
      <c r="BJ17" s="65">
        <f t="shared" ca="1" si="4"/>
        <v>117.06111755452888</v>
      </c>
      <c r="BK17" s="47" t="str">
        <f t="shared" ca="1" si="6"/>
        <v>-100.0%</v>
      </c>
    </row>
    <row r="18" spans="1:67" ht="15" customHeight="1" x14ac:dyDescent="0.3">
      <c r="A18" s="28">
        <f t="shared" si="0"/>
        <v>11</v>
      </c>
      <c r="B18" s="19">
        <f>'Rock Climbing Log'!B18</f>
        <v>43113</v>
      </c>
      <c r="C18" s="24" t="str">
        <f>'Rock Climbing Log'!C18</f>
        <v>Sameena</v>
      </c>
      <c r="D18" s="81" t="str">
        <f>'Rock Climbing Log'!D18</f>
        <v>F</v>
      </c>
      <c r="E18" s="82">
        <f>'Rock Climbing Log'!E18</f>
        <v>0</v>
      </c>
      <c r="F18" s="83">
        <f>'Rock Climbing Log'!F18</f>
        <v>0</v>
      </c>
      <c r="G18" s="81" t="str">
        <f>'Rock Climbing Log'!G18</f>
        <v>F</v>
      </c>
      <c r="H18" s="82">
        <f>'Rock Climbing Log'!H18</f>
        <v>0</v>
      </c>
      <c r="I18" s="83">
        <f>'Rock Climbing Log'!I18</f>
        <v>0</v>
      </c>
      <c r="J18" s="81" t="str">
        <f>'Rock Climbing Log'!J18</f>
        <v>F</v>
      </c>
      <c r="K18" s="82">
        <f>'Rock Climbing Log'!K18</f>
        <v>0</v>
      </c>
      <c r="L18" s="83">
        <f>'Rock Climbing Log'!L18</f>
        <v>0</v>
      </c>
      <c r="M18" s="81" t="str">
        <f>'Rock Climbing Log'!M18</f>
        <v>F</v>
      </c>
      <c r="N18" s="82">
        <f>'Rock Climbing Log'!N18</f>
        <v>0</v>
      </c>
      <c r="O18" s="83">
        <f>'Rock Climbing Log'!O18</f>
        <v>0</v>
      </c>
      <c r="P18" s="81" t="str">
        <f>'Rock Climbing Log'!P18</f>
        <v>F</v>
      </c>
      <c r="Q18" s="82">
        <f>'Rock Climbing Log'!Q18</f>
        <v>0</v>
      </c>
      <c r="R18" s="83">
        <f>'Rock Climbing Log'!R18</f>
        <v>0</v>
      </c>
      <c r="S18" s="81">
        <f>'Rock Climbing Log'!S18</f>
        <v>0</v>
      </c>
      <c r="T18" s="82">
        <f>'Rock Climbing Log'!T18</f>
        <v>0</v>
      </c>
      <c r="U18" s="83">
        <f>'Rock Climbing Log'!U18</f>
        <v>0</v>
      </c>
      <c r="V18" s="81" t="str">
        <f>'Rock Climbing Log'!V18</f>
        <v>C4</v>
      </c>
      <c r="W18" s="82">
        <f>'Rock Climbing Log'!W18</f>
        <v>0</v>
      </c>
      <c r="X18" s="83">
        <f>'Rock Climbing Log'!X18</f>
        <v>0</v>
      </c>
      <c r="Y18" s="81">
        <f>'Rock Climbing Log'!Y18</f>
        <v>0</v>
      </c>
      <c r="Z18" s="82">
        <f>'Rock Climbing Log'!Z18</f>
        <v>0</v>
      </c>
      <c r="AA18" s="83">
        <f>'Rock Climbing Log'!AA18</f>
        <v>0</v>
      </c>
      <c r="AB18" s="81">
        <f>'Rock Climbing Log'!AB18</f>
        <v>0</v>
      </c>
      <c r="AC18" s="82">
        <f>'Rock Climbing Log'!AC18</f>
        <v>0</v>
      </c>
      <c r="AD18" s="83">
        <f>'Rock Climbing Log'!AD18</f>
        <v>0</v>
      </c>
      <c r="AE18" s="81">
        <f>'Rock Climbing Log'!AE18</f>
        <v>0</v>
      </c>
      <c r="AF18" s="82">
        <f>'Rock Climbing Log'!AF18</f>
        <v>0</v>
      </c>
      <c r="AG18" s="83">
        <f>'Rock Climbing Log'!AG18</f>
        <v>0</v>
      </c>
      <c r="AH18" s="81">
        <f>'Rock Climbing Log'!AH18</f>
        <v>0</v>
      </c>
      <c r="AI18" s="82">
        <f>'Rock Climbing Log'!AI18</f>
        <v>0</v>
      </c>
      <c r="AJ18" s="83">
        <f>'Rock Climbing Log'!AJ18</f>
        <v>0</v>
      </c>
      <c r="AK18" s="81">
        <f>'Rock Climbing Log'!AK18</f>
        <v>0</v>
      </c>
      <c r="AL18" s="82">
        <f>'Rock Climbing Log'!AL18</f>
        <v>0</v>
      </c>
      <c r="AM18" s="83">
        <f>'Rock Climbing Log'!AM18</f>
        <v>0</v>
      </c>
      <c r="AN18" s="81">
        <f>'Rock Climbing Log'!AN18</f>
        <v>0</v>
      </c>
      <c r="AO18" s="82">
        <f>'Rock Climbing Log'!AO18</f>
        <v>0</v>
      </c>
      <c r="AP18" s="83">
        <f>'Rock Climbing Log'!AP18</f>
        <v>0</v>
      </c>
      <c r="AQ18" s="81">
        <f>'Rock Climbing Log'!AQ18</f>
        <v>0</v>
      </c>
      <c r="AR18" s="82">
        <f>'Rock Climbing Log'!AR18</f>
        <v>0</v>
      </c>
      <c r="AS18" s="83">
        <f>'Rock Climbing Log'!AS18</f>
        <v>0</v>
      </c>
      <c r="AT18" s="81">
        <f>'Rock Climbing Log'!AT18</f>
        <v>0</v>
      </c>
      <c r="AU18" s="82">
        <f>'Rock Climbing Log'!AU18</f>
        <v>0</v>
      </c>
      <c r="AV18" s="83">
        <f>'Rock Climbing Log'!AV18</f>
        <v>0</v>
      </c>
      <c r="AW18" s="66">
        <f ca="1">'RC Template'!AW18</f>
        <v>67.057440881588661</v>
      </c>
      <c r="AX18" s="66">
        <f ca="1">'RC Template'!BC18</f>
        <v>32.935386886817234</v>
      </c>
      <c r="AY18" s="75" t="str">
        <f>'Rock Climbing Log'!AY18</f>
        <v>Forgot Equipment. Easy Day</v>
      </c>
      <c r="BA18" s="56" t="s">
        <v>106</v>
      </c>
      <c r="BB18" s="101" t="str">
        <f ca="1">VLOOKUP(BA18,'RC Lookup'!$O$3:$P$50,2,FALSE)</f>
        <v>T2</v>
      </c>
      <c r="BC18" s="65">
        <f t="shared" ca="1" si="1"/>
        <v>85.121198107624338</v>
      </c>
      <c r="BD18" s="65">
        <f t="shared" ca="1" si="2"/>
        <v>67.305495044174066</v>
      </c>
      <c r="BE18" s="47" t="str">
        <f t="shared" ca="1" si="5"/>
        <v>26.5%</v>
      </c>
      <c r="BF18" s="52"/>
      <c r="BH18" s="56" t="s">
        <v>106</v>
      </c>
      <c r="BI18" s="65">
        <f t="shared" ca="1" si="3"/>
        <v>73.797453417269821</v>
      </c>
      <c r="BJ18" s="65">
        <f t="shared" ca="1" si="4"/>
        <v>58.35178834029859</v>
      </c>
      <c r="BK18" s="47" t="str">
        <f t="shared" ca="1" si="6"/>
        <v>26.5%</v>
      </c>
      <c r="BL18" s="121"/>
      <c r="BO18" s="63"/>
    </row>
    <row r="19" spans="1:67" ht="15" customHeight="1" x14ac:dyDescent="0.3">
      <c r="A19" s="28">
        <f>+A18+1</f>
        <v>12</v>
      </c>
      <c r="B19" s="19">
        <f>'Rock Climbing Log'!B19</f>
        <v>43116</v>
      </c>
      <c r="C19" s="24" t="str">
        <f>'Rock Climbing Log'!C19</f>
        <v>Edwin</v>
      </c>
      <c r="D19" s="81" t="str">
        <f>'Rock Climbing Log'!D19</f>
        <v>F</v>
      </c>
      <c r="E19" s="82">
        <f>'Rock Climbing Log'!E19</f>
        <v>0</v>
      </c>
      <c r="F19" s="83">
        <f>'Rock Climbing Log'!F19</f>
        <v>0</v>
      </c>
      <c r="G19" s="81" t="str">
        <f>'Rock Climbing Log'!G19</f>
        <v>F</v>
      </c>
      <c r="H19" s="82">
        <f>'Rock Climbing Log'!H19</f>
        <v>0</v>
      </c>
      <c r="I19" s="83">
        <f>'Rock Climbing Log'!I19</f>
        <v>0</v>
      </c>
      <c r="J19" s="81" t="str">
        <f>'Rock Climbing Log'!J19</f>
        <v>F</v>
      </c>
      <c r="K19" s="82">
        <f>'Rock Climbing Log'!K19</f>
        <v>0</v>
      </c>
      <c r="L19" s="83">
        <f>'Rock Climbing Log'!L19</f>
        <v>0</v>
      </c>
      <c r="M19" s="81" t="str">
        <f>'Rock Climbing Log'!M19</f>
        <v>F</v>
      </c>
      <c r="N19" s="82">
        <f>'Rock Climbing Log'!N19</f>
        <v>0</v>
      </c>
      <c r="O19" s="83">
        <f>'Rock Climbing Log'!O19</f>
        <v>0</v>
      </c>
      <c r="P19" s="81" t="str">
        <f>'Rock Climbing Log'!P19</f>
        <v>F</v>
      </c>
      <c r="Q19" s="82">
        <f>'Rock Climbing Log'!Q19</f>
        <v>0</v>
      </c>
      <c r="R19" s="83">
        <f>'Rock Climbing Log'!R19</f>
        <v>0</v>
      </c>
      <c r="S19" s="81">
        <f>'Rock Climbing Log'!S19</f>
        <v>0</v>
      </c>
      <c r="T19" s="82">
        <f>'Rock Climbing Log'!T19</f>
        <v>0</v>
      </c>
      <c r="U19" s="83">
        <f>'Rock Climbing Log'!U19</f>
        <v>0</v>
      </c>
      <c r="V19" s="81" t="str">
        <f>'Rock Climbing Log'!V19</f>
        <v>F</v>
      </c>
      <c r="W19" s="82">
        <f>'Rock Climbing Log'!W19</f>
        <v>0</v>
      </c>
      <c r="X19" s="83">
        <f>'Rock Climbing Log'!X19</f>
        <v>0</v>
      </c>
      <c r="Y19" s="81">
        <f>'Rock Climbing Log'!Y19</f>
        <v>0</v>
      </c>
      <c r="Z19" s="82">
        <f>'Rock Climbing Log'!Z19</f>
        <v>0</v>
      </c>
      <c r="AA19" s="83">
        <f>'Rock Climbing Log'!AA19</f>
        <v>0</v>
      </c>
      <c r="AB19" s="81">
        <f>'Rock Climbing Log'!AB19</f>
        <v>0</v>
      </c>
      <c r="AC19" s="82">
        <f>'Rock Climbing Log'!AC19</f>
        <v>0</v>
      </c>
      <c r="AD19" s="83">
        <f>'Rock Climbing Log'!AD19</f>
        <v>0</v>
      </c>
      <c r="AE19" s="81">
        <f>'Rock Climbing Log'!AE19</f>
        <v>0</v>
      </c>
      <c r="AF19" s="82">
        <f>'Rock Climbing Log'!AF19</f>
        <v>0</v>
      </c>
      <c r="AG19" s="83">
        <f>'Rock Climbing Log'!AG19</f>
        <v>0</v>
      </c>
      <c r="AH19" s="81">
        <f>'Rock Climbing Log'!AH19</f>
        <v>0</v>
      </c>
      <c r="AI19" s="82">
        <f>'Rock Climbing Log'!AI19</f>
        <v>0</v>
      </c>
      <c r="AJ19" s="83">
        <f>'Rock Climbing Log'!AJ19</f>
        <v>0</v>
      </c>
      <c r="AK19" s="81">
        <f>'Rock Climbing Log'!AK19</f>
        <v>0</v>
      </c>
      <c r="AL19" s="82">
        <f>'Rock Climbing Log'!AL19</f>
        <v>0</v>
      </c>
      <c r="AM19" s="83">
        <f>'Rock Climbing Log'!AM19</f>
        <v>0</v>
      </c>
      <c r="AN19" s="81">
        <f>'Rock Climbing Log'!AN19</f>
        <v>0</v>
      </c>
      <c r="AO19" s="82">
        <f>'Rock Climbing Log'!AO19</f>
        <v>0</v>
      </c>
      <c r="AP19" s="83">
        <f>'Rock Climbing Log'!AP19</f>
        <v>0</v>
      </c>
      <c r="AQ19" s="81">
        <f>'Rock Climbing Log'!AQ19</f>
        <v>0</v>
      </c>
      <c r="AR19" s="82">
        <f>'Rock Climbing Log'!AR19</f>
        <v>0</v>
      </c>
      <c r="AS19" s="83">
        <f>'Rock Climbing Log'!AS19</f>
        <v>0</v>
      </c>
      <c r="AT19" s="81">
        <f>'Rock Climbing Log'!AT19</f>
        <v>0</v>
      </c>
      <c r="AU19" s="82">
        <f>'Rock Climbing Log'!AU19</f>
        <v>0</v>
      </c>
      <c r="AV19" s="83">
        <f>'Rock Climbing Log'!AV19</f>
        <v>0</v>
      </c>
      <c r="AW19" s="66">
        <f ca="1">'RC Template'!AW19</f>
        <v>79.182235742400024</v>
      </c>
      <c r="AX19" s="66">
        <f ca="1">'RC Template'!BC19</f>
        <v>60.765010016377687</v>
      </c>
      <c r="AY19" s="75">
        <f>'Rock Climbing Log'!AY19</f>
        <v>0</v>
      </c>
      <c r="BA19" s="56" t="s">
        <v>175</v>
      </c>
      <c r="BB19" s="101" t="str">
        <f ca="1">VLOOKUP(BA19,'RC Lookup'!$O$3:$P$50,2,FALSE)</f>
        <v>T4</v>
      </c>
      <c r="BC19" s="65">
        <f t="shared" ca="1" si="1"/>
        <v>65.517310836850115</v>
      </c>
      <c r="BD19" s="65">
        <f t="shared" ca="1" si="2"/>
        <v>61.17211070413191</v>
      </c>
      <c r="BE19" s="47" t="str">
        <f t="shared" ca="1" si="5"/>
        <v>7.1%</v>
      </c>
      <c r="BF19" s="52"/>
      <c r="BH19" s="56" t="s">
        <v>175</v>
      </c>
      <c r="BI19" s="65">
        <f t="shared" ca="1" si="3"/>
        <v>133.3952205650653</v>
      </c>
      <c r="BJ19" s="65">
        <f t="shared" ca="1" si="4"/>
        <v>124.54826206356827</v>
      </c>
      <c r="BK19" s="47" t="str">
        <f t="shared" ca="1" si="6"/>
        <v>7.1%</v>
      </c>
      <c r="BM19" s="45"/>
      <c r="BN19" s="52"/>
      <c r="BO19" s="127"/>
    </row>
    <row r="20" spans="1:67" ht="15" thickBot="1" x14ac:dyDescent="0.35">
      <c r="A20" s="28">
        <f t="shared" si="0"/>
        <v>13</v>
      </c>
      <c r="B20" s="19">
        <f>'Rock Climbing Log'!B20</f>
        <v>43116</v>
      </c>
      <c r="C20" s="24" t="str">
        <f>'Rock Climbing Log'!C20</f>
        <v>Jan</v>
      </c>
      <c r="D20" s="81" t="str">
        <f>'Rock Climbing Log'!D20</f>
        <v>F</v>
      </c>
      <c r="E20" s="82">
        <f>'Rock Climbing Log'!E20</f>
        <v>0</v>
      </c>
      <c r="F20" s="83">
        <f>'Rock Climbing Log'!F20</f>
        <v>0</v>
      </c>
      <c r="G20" s="81" t="str">
        <f>'Rock Climbing Log'!G20</f>
        <v>F</v>
      </c>
      <c r="H20" s="82">
        <f>'Rock Climbing Log'!H20</f>
        <v>0</v>
      </c>
      <c r="I20" s="83">
        <f>'Rock Climbing Log'!I20</f>
        <v>0</v>
      </c>
      <c r="J20" s="81" t="str">
        <f>'Rock Climbing Log'!J20</f>
        <v>C2</v>
      </c>
      <c r="K20" s="82">
        <f>'Rock Climbing Log'!K20</f>
        <v>0</v>
      </c>
      <c r="L20" s="83">
        <f>'Rock Climbing Log'!L20</f>
        <v>0</v>
      </c>
      <c r="M20" s="81">
        <f>'Rock Climbing Log'!M20</f>
        <v>0</v>
      </c>
      <c r="N20" s="82">
        <f>'Rock Climbing Log'!N20</f>
        <v>0</v>
      </c>
      <c r="O20" s="83">
        <f>'Rock Climbing Log'!O20</f>
        <v>0</v>
      </c>
      <c r="P20" s="81">
        <f>'Rock Climbing Log'!P20</f>
        <v>0</v>
      </c>
      <c r="Q20" s="82">
        <f>'Rock Climbing Log'!Q20</f>
        <v>0</v>
      </c>
      <c r="R20" s="83">
        <f>'Rock Climbing Log'!R20</f>
        <v>0</v>
      </c>
      <c r="S20" s="81">
        <f>'Rock Climbing Log'!S20</f>
        <v>0</v>
      </c>
      <c r="T20" s="82">
        <f>'Rock Climbing Log'!T20</f>
        <v>0</v>
      </c>
      <c r="U20" s="83">
        <f>'Rock Climbing Log'!U20</f>
        <v>0</v>
      </c>
      <c r="V20" s="81">
        <f>'Rock Climbing Log'!V20</f>
        <v>0</v>
      </c>
      <c r="W20" s="82">
        <f>'Rock Climbing Log'!W20</f>
        <v>0</v>
      </c>
      <c r="X20" s="83">
        <f>'Rock Climbing Log'!X20</f>
        <v>0</v>
      </c>
      <c r="Y20" s="81">
        <f>'Rock Climbing Log'!Y20</f>
        <v>0</v>
      </c>
      <c r="Z20" s="82">
        <f>'Rock Climbing Log'!Z20</f>
        <v>0</v>
      </c>
      <c r="AA20" s="83">
        <f>'Rock Climbing Log'!AA20</f>
        <v>0</v>
      </c>
      <c r="AB20" s="81">
        <f>'Rock Climbing Log'!AB20</f>
        <v>0</v>
      </c>
      <c r="AC20" s="82">
        <f>'Rock Climbing Log'!AC20</f>
        <v>0</v>
      </c>
      <c r="AD20" s="83">
        <f>'Rock Climbing Log'!AD20</f>
        <v>0</v>
      </c>
      <c r="AE20" s="81">
        <f>'Rock Climbing Log'!AE20</f>
        <v>0</v>
      </c>
      <c r="AF20" s="82">
        <f>'Rock Climbing Log'!AF20</f>
        <v>0</v>
      </c>
      <c r="AG20" s="83">
        <f>'Rock Climbing Log'!AG20</f>
        <v>0</v>
      </c>
      <c r="AH20" s="81">
        <f>'Rock Climbing Log'!AH20</f>
        <v>0</v>
      </c>
      <c r="AI20" s="82">
        <f>'Rock Climbing Log'!AI20</f>
        <v>0</v>
      </c>
      <c r="AJ20" s="83">
        <f>'Rock Climbing Log'!AJ20</f>
        <v>0</v>
      </c>
      <c r="AK20" s="81">
        <f>'Rock Climbing Log'!AK20</f>
        <v>0</v>
      </c>
      <c r="AL20" s="82">
        <f>'Rock Climbing Log'!AL20</f>
        <v>0</v>
      </c>
      <c r="AM20" s="83">
        <f>'Rock Climbing Log'!AM20</f>
        <v>0</v>
      </c>
      <c r="AN20" s="81">
        <f>'Rock Climbing Log'!AN20</f>
        <v>0</v>
      </c>
      <c r="AO20" s="82">
        <f>'Rock Climbing Log'!AO20</f>
        <v>0</v>
      </c>
      <c r="AP20" s="83">
        <f>'Rock Climbing Log'!AP20</f>
        <v>0</v>
      </c>
      <c r="AQ20" s="81">
        <f>'Rock Climbing Log'!AQ20</f>
        <v>0</v>
      </c>
      <c r="AR20" s="82">
        <f>'Rock Climbing Log'!AR20</f>
        <v>0</v>
      </c>
      <c r="AS20" s="83">
        <f>'Rock Climbing Log'!AS20</f>
        <v>0</v>
      </c>
      <c r="AT20" s="81">
        <f>'Rock Climbing Log'!AT20</f>
        <v>0</v>
      </c>
      <c r="AU20" s="82">
        <f>'Rock Climbing Log'!AU20</f>
        <v>0</v>
      </c>
      <c r="AV20" s="83">
        <f>'Rock Climbing Log'!AV20</f>
        <v>0</v>
      </c>
      <c r="AW20" s="66">
        <f ca="1">'RC Template'!AW20</f>
        <v>35.2575</v>
      </c>
      <c r="AX20" s="66">
        <f ca="1">'RC Template'!BC20</f>
        <v>27.056855878915592</v>
      </c>
      <c r="AY20" s="75" t="str">
        <f>'Rock Climbing Log'!AY20</f>
        <v>Lester had church</v>
      </c>
      <c r="BA20" s="56" t="s">
        <v>174</v>
      </c>
      <c r="BB20" s="101" t="str">
        <f>VLOOKUP(BA20,'RC Lookup'!$O$3:$P$50,2,FALSE)</f>
        <v>T1</v>
      </c>
      <c r="BC20" s="65">
        <f t="shared" ca="1" si="1"/>
        <v>179.23867492949637</v>
      </c>
      <c r="BD20" s="65">
        <f t="shared" ca="1" si="2"/>
        <v>63.742032245969249</v>
      </c>
      <c r="BE20" s="47" t="str">
        <f t="shared" ca="1" si="5"/>
        <v>181.2%</v>
      </c>
      <c r="BF20" s="52"/>
      <c r="BH20" s="56" t="s">
        <v>174</v>
      </c>
      <c r="BI20" s="65">
        <f t="shared" ca="1" si="3"/>
        <v>107.55664785831753</v>
      </c>
      <c r="BJ20" s="65">
        <f t="shared" ca="1" si="4"/>
        <v>38.25</v>
      </c>
      <c r="BK20" s="47" t="str">
        <f t="shared" ca="1" si="6"/>
        <v>181.2%</v>
      </c>
      <c r="BO20" s="128"/>
    </row>
    <row r="21" spans="1:67" ht="15" thickBot="1" x14ac:dyDescent="0.35">
      <c r="A21" s="28">
        <f t="shared" si="0"/>
        <v>14</v>
      </c>
      <c r="B21" s="19">
        <f>'Rock Climbing Log'!B21</f>
        <v>43117</v>
      </c>
      <c r="C21" s="24" t="str">
        <f>'Rock Climbing Log'!C21</f>
        <v>Lester</v>
      </c>
      <c r="D21" s="81">
        <f>'Rock Climbing Log'!D21</f>
        <v>0</v>
      </c>
      <c r="E21" s="82">
        <f>'Rock Climbing Log'!E21</f>
        <v>0</v>
      </c>
      <c r="F21" s="83">
        <f>'Rock Climbing Log'!F21</f>
        <v>0</v>
      </c>
      <c r="G21" s="81" t="str">
        <f>'Rock Climbing Log'!G21</f>
        <v>F</v>
      </c>
      <c r="H21" s="82">
        <f>'Rock Climbing Log'!H21</f>
        <v>0</v>
      </c>
      <c r="I21" s="83">
        <f>'Rock Climbing Log'!I21</f>
        <v>0</v>
      </c>
      <c r="J21" s="81" t="str">
        <f>'Rock Climbing Log'!J21</f>
        <v>F</v>
      </c>
      <c r="K21" s="82">
        <f>'Rock Climbing Log'!K21</f>
        <v>0</v>
      </c>
      <c r="L21" s="83">
        <f>'Rock Climbing Log'!L21</f>
        <v>0</v>
      </c>
      <c r="M21" s="81" t="str">
        <f>'Rock Climbing Log'!M21</f>
        <v>F</v>
      </c>
      <c r="N21" s="82">
        <f>'Rock Climbing Log'!N21</f>
        <v>0</v>
      </c>
      <c r="O21" s="83">
        <f>'Rock Climbing Log'!O21</f>
        <v>0</v>
      </c>
      <c r="P21" s="81">
        <f>'Rock Climbing Log'!P21</f>
        <v>0</v>
      </c>
      <c r="Q21" s="82">
        <f>'Rock Climbing Log'!Q21</f>
        <v>0</v>
      </c>
      <c r="R21" s="83">
        <f>'Rock Climbing Log'!R21</f>
        <v>0</v>
      </c>
      <c r="S21" s="81">
        <f>'Rock Climbing Log'!S21</f>
        <v>0</v>
      </c>
      <c r="T21" s="82">
        <f>'Rock Climbing Log'!T21</f>
        <v>0</v>
      </c>
      <c r="U21" s="83">
        <f>'Rock Climbing Log'!U21</f>
        <v>0</v>
      </c>
      <c r="V21" s="81" t="str">
        <f>'Rock Climbing Log'!V21</f>
        <v>F</v>
      </c>
      <c r="W21" s="82">
        <f>'Rock Climbing Log'!W21</f>
        <v>0</v>
      </c>
      <c r="X21" s="83">
        <f>'Rock Climbing Log'!X21</f>
        <v>0</v>
      </c>
      <c r="Y21" s="81">
        <f>'Rock Climbing Log'!Y21</f>
        <v>0</v>
      </c>
      <c r="Z21" s="82">
        <f>'Rock Climbing Log'!Z21</f>
        <v>0</v>
      </c>
      <c r="AA21" s="83">
        <f>'Rock Climbing Log'!AA21</f>
        <v>0</v>
      </c>
      <c r="AB21" s="81" t="str">
        <f>'Rock Climbing Log'!AB21</f>
        <v>F</v>
      </c>
      <c r="AC21" s="82">
        <f>'Rock Climbing Log'!AC21</f>
        <v>0</v>
      </c>
      <c r="AD21" s="83">
        <f>'Rock Climbing Log'!AD21</f>
        <v>0</v>
      </c>
      <c r="AE21" s="81" t="str">
        <f>'Rock Climbing Log'!AE21</f>
        <v>F</v>
      </c>
      <c r="AF21" s="82">
        <f>'Rock Climbing Log'!AF21</f>
        <v>0</v>
      </c>
      <c r="AG21" s="83">
        <f>'Rock Climbing Log'!AG21</f>
        <v>0</v>
      </c>
      <c r="AH21" s="81">
        <f>'Rock Climbing Log'!AH21</f>
        <v>0</v>
      </c>
      <c r="AI21" s="82">
        <f>'Rock Climbing Log'!AI21</f>
        <v>0</v>
      </c>
      <c r="AJ21" s="83">
        <f>'Rock Climbing Log'!AJ21</f>
        <v>0</v>
      </c>
      <c r="AK21" s="81">
        <f>'Rock Climbing Log'!AK21</f>
        <v>0</v>
      </c>
      <c r="AL21" s="82">
        <f>'Rock Climbing Log'!AL21</f>
        <v>0</v>
      </c>
      <c r="AM21" s="83">
        <f>'Rock Climbing Log'!AM21</f>
        <v>0</v>
      </c>
      <c r="AN21" s="81">
        <f>'Rock Climbing Log'!AN21</f>
        <v>0</v>
      </c>
      <c r="AO21" s="82">
        <f>'Rock Climbing Log'!AO21</f>
        <v>0</v>
      </c>
      <c r="AP21" s="83">
        <f>'Rock Climbing Log'!AP21</f>
        <v>0</v>
      </c>
      <c r="AQ21" s="81">
        <f>'Rock Climbing Log'!AQ21</f>
        <v>0</v>
      </c>
      <c r="AR21" s="82">
        <f>'Rock Climbing Log'!AR21</f>
        <v>0</v>
      </c>
      <c r="AS21" s="83">
        <f>'Rock Climbing Log'!AS21</f>
        <v>0</v>
      </c>
      <c r="AT21" s="81">
        <f>'Rock Climbing Log'!AT21</f>
        <v>0</v>
      </c>
      <c r="AU21" s="82">
        <f>'Rock Climbing Log'!AU21</f>
        <v>0</v>
      </c>
      <c r="AV21" s="83">
        <f>'Rock Climbing Log'!AV21</f>
        <v>0</v>
      </c>
      <c r="AW21" s="66">
        <f ca="1">'RC Template'!AW21</f>
        <v>157.15918816810114</v>
      </c>
      <c r="AX21" s="66">
        <f ca="1">'RC Template'!BC21</f>
        <v>47.55830278441487</v>
      </c>
      <c r="AY21" s="75">
        <f>'Rock Climbing Log'!AY21</f>
        <v>0</v>
      </c>
      <c r="BA21" s="53" t="s">
        <v>177</v>
      </c>
      <c r="BB21" s="102"/>
      <c r="BC21" s="54">
        <f ca="1">SUM(BC14:BC20)</f>
        <v>498.45364651880391</v>
      </c>
      <c r="BD21" s="54">
        <f ca="1">SUM(BD14:BD20)</f>
        <v>425.58294744624089</v>
      </c>
      <c r="BE21" s="55">
        <f ca="1">SUM(BE14:BE20)</f>
        <v>0</v>
      </c>
      <c r="BH21" s="53" t="s">
        <v>177</v>
      </c>
      <c r="BI21" s="54">
        <f ca="1">SUM(BI14:BI20)</f>
        <v>700.67657647621536</v>
      </c>
      <c r="BJ21" s="54">
        <f ca="1">SUM(BJ14:BJ20)</f>
        <v>689.59636909570168</v>
      </c>
      <c r="BK21" s="55">
        <f ca="1">SUM(BK14:BK20)</f>
        <v>0</v>
      </c>
      <c r="BO21" s="122"/>
    </row>
    <row r="22" spans="1:67" ht="15" thickBot="1" x14ac:dyDescent="0.35">
      <c r="A22" s="28">
        <f t="shared" si="0"/>
        <v>15</v>
      </c>
      <c r="B22" s="19">
        <f>'Rock Climbing Log'!B22</f>
        <v>43119</v>
      </c>
      <c r="C22" s="24" t="str">
        <f>'Rock Climbing Log'!C22</f>
        <v>Lester</v>
      </c>
      <c r="D22" s="81" t="str">
        <f>'Rock Climbing Log'!D22</f>
        <v>F</v>
      </c>
      <c r="E22" s="82">
        <f>'Rock Climbing Log'!E22</f>
        <v>0</v>
      </c>
      <c r="F22" s="83">
        <f>'Rock Climbing Log'!F22</f>
        <v>0</v>
      </c>
      <c r="G22" s="81">
        <f>'Rock Climbing Log'!G22</f>
        <v>0</v>
      </c>
      <c r="H22" s="82">
        <f>'Rock Climbing Log'!H22</f>
        <v>0</v>
      </c>
      <c r="I22" s="83">
        <f>'Rock Climbing Log'!I22</f>
        <v>0</v>
      </c>
      <c r="J22" s="81" t="str">
        <f>'Rock Climbing Log'!J22</f>
        <v>F</v>
      </c>
      <c r="K22" s="82">
        <f>'Rock Climbing Log'!K22</f>
        <v>0</v>
      </c>
      <c r="L22" s="83">
        <f>'Rock Climbing Log'!L22</f>
        <v>0</v>
      </c>
      <c r="M22" s="81" t="str">
        <f>'Rock Climbing Log'!M22</f>
        <v>F</v>
      </c>
      <c r="N22" s="82">
        <f>'Rock Climbing Log'!N22</f>
        <v>0</v>
      </c>
      <c r="O22" s="83">
        <f>'Rock Climbing Log'!O22</f>
        <v>0</v>
      </c>
      <c r="P22" s="81">
        <f>'Rock Climbing Log'!P22</f>
        <v>0</v>
      </c>
      <c r="Q22" s="82">
        <f>'Rock Climbing Log'!Q22</f>
        <v>0</v>
      </c>
      <c r="R22" s="83">
        <f>'Rock Climbing Log'!R22</f>
        <v>0</v>
      </c>
      <c r="S22" s="81">
        <f>'Rock Climbing Log'!S22</f>
        <v>0</v>
      </c>
      <c r="T22" s="82">
        <f>'Rock Climbing Log'!T22</f>
        <v>0</v>
      </c>
      <c r="U22" s="83">
        <f>'Rock Climbing Log'!U22</f>
        <v>0</v>
      </c>
      <c r="V22" s="81" t="str">
        <f>'Rock Climbing Log'!V22</f>
        <v>F</v>
      </c>
      <c r="W22" s="82">
        <f>'Rock Climbing Log'!W22</f>
        <v>0</v>
      </c>
      <c r="X22" s="83">
        <f>'Rock Climbing Log'!X22</f>
        <v>0</v>
      </c>
      <c r="Y22" s="81" t="str">
        <f>'Rock Climbing Log'!Y22</f>
        <v>C2</v>
      </c>
      <c r="Z22" s="82">
        <f>'Rock Climbing Log'!Z22</f>
        <v>0</v>
      </c>
      <c r="AA22" s="83">
        <f>'Rock Climbing Log'!AA22</f>
        <v>0</v>
      </c>
      <c r="AB22" s="81" t="str">
        <f>'Rock Climbing Log'!AB22</f>
        <v>F</v>
      </c>
      <c r="AC22" s="82">
        <f>'Rock Climbing Log'!AC22</f>
        <v>0</v>
      </c>
      <c r="AD22" s="83">
        <f>'Rock Climbing Log'!AD22</f>
        <v>0</v>
      </c>
      <c r="AE22" s="81" t="str">
        <f>'Rock Climbing Log'!AE22</f>
        <v>F</v>
      </c>
      <c r="AF22" s="82">
        <f>'Rock Climbing Log'!AF22</f>
        <v>0</v>
      </c>
      <c r="AG22" s="83">
        <f>'Rock Climbing Log'!AG22</f>
        <v>0</v>
      </c>
      <c r="AH22" s="81">
        <f>'Rock Climbing Log'!AH22</f>
        <v>0</v>
      </c>
      <c r="AI22" s="82">
        <f>'Rock Climbing Log'!AI22</f>
        <v>0</v>
      </c>
      <c r="AJ22" s="83">
        <f>'Rock Climbing Log'!AJ22</f>
        <v>0</v>
      </c>
      <c r="AK22" s="81">
        <f>'Rock Climbing Log'!AK22</f>
        <v>0</v>
      </c>
      <c r="AL22" s="82">
        <f>'Rock Climbing Log'!AL22</f>
        <v>0</v>
      </c>
      <c r="AM22" s="83">
        <f>'Rock Climbing Log'!AM22</f>
        <v>0</v>
      </c>
      <c r="AN22" s="81">
        <f>'Rock Climbing Log'!AN22</f>
        <v>0</v>
      </c>
      <c r="AO22" s="82">
        <f>'Rock Climbing Log'!AO22</f>
        <v>0</v>
      </c>
      <c r="AP22" s="83">
        <f>'Rock Climbing Log'!AP22</f>
        <v>0</v>
      </c>
      <c r="AQ22" s="81">
        <f>'Rock Climbing Log'!AQ22</f>
        <v>0</v>
      </c>
      <c r="AR22" s="82">
        <f>'Rock Climbing Log'!AR22</f>
        <v>0</v>
      </c>
      <c r="AS22" s="83">
        <f>'Rock Climbing Log'!AS22</f>
        <v>0</v>
      </c>
      <c r="AT22" s="81">
        <f>'Rock Climbing Log'!AT22</f>
        <v>0</v>
      </c>
      <c r="AU22" s="82">
        <f>'Rock Climbing Log'!AU22</f>
        <v>0</v>
      </c>
      <c r="AV22" s="83">
        <f>'Rock Climbing Log'!AV22</f>
        <v>0</v>
      </c>
      <c r="AW22" s="66">
        <f ca="1">'RC Template'!AW22</f>
        <v>157.15918816810114</v>
      </c>
      <c r="AX22" s="66">
        <f ca="1">'RC Template'!BC22</f>
        <v>47.55830278441487</v>
      </c>
      <c r="AY22" s="75">
        <f>'Rock Climbing Log'!AY22</f>
        <v>0</v>
      </c>
      <c r="BO22" s="121"/>
    </row>
    <row r="23" spans="1:67" x14ac:dyDescent="0.3">
      <c r="A23" s="28">
        <f t="shared" si="0"/>
        <v>16</v>
      </c>
      <c r="B23" s="19">
        <f>'Rock Climbing Log'!B23</f>
        <v>43121</v>
      </c>
      <c r="C23" s="24" t="str">
        <f>'Rock Climbing Log'!C23</f>
        <v>Lester</v>
      </c>
      <c r="D23" s="81">
        <f>'Rock Climbing Log'!D23</f>
        <v>0</v>
      </c>
      <c r="E23" s="82">
        <f>'Rock Climbing Log'!E23</f>
        <v>0</v>
      </c>
      <c r="F23" s="83">
        <f>'Rock Climbing Log'!F23</f>
        <v>0</v>
      </c>
      <c r="G23" s="81">
        <f>'Rock Climbing Log'!G23</f>
        <v>0</v>
      </c>
      <c r="H23" s="82">
        <f>'Rock Climbing Log'!H23</f>
        <v>0</v>
      </c>
      <c r="I23" s="83">
        <f>'Rock Climbing Log'!I23</f>
        <v>0</v>
      </c>
      <c r="J23" s="81">
        <f>'Rock Climbing Log'!J23</f>
        <v>0</v>
      </c>
      <c r="K23" s="82">
        <f>'Rock Climbing Log'!K23</f>
        <v>0</v>
      </c>
      <c r="L23" s="83">
        <f>'Rock Climbing Log'!L23</f>
        <v>0</v>
      </c>
      <c r="M23" s="81">
        <f>'Rock Climbing Log'!M23</f>
        <v>0</v>
      </c>
      <c r="N23" s="82">
        <f>'Rock Climbing Log'!N23</f>
        <v>0</v>
      </c>
      <c r="O23" s="83">
        <f>'Rock Climbing Log'!O23</f>
        <v>0</v>
      </c>
      <c r="P23" s="81">
        <f>'Rock Climbing Log'!P23</f>
        <v>0</v>
      </c>
      <c r="Q23" s="82">
        <f>'Rock Climbing Log'!Q23</f>
        <v>0</v>
      </c>
      <c r="R23" s="83">
        <f>'Rock Climbing Log'!R23</f>
        <v>0</v>
      </c>
      <c r="S23" s="81">
        <f>'Rock Climbing Log'!S23</f>
        <v>0</v>
      </c>
      <c r="T23" s="82">
        <f>'Rock Climbing Log'!T23</f>
        <v>0</v>
      </c>
      <c r="U23" s="83">
        <f>'Rock Climbing Log'!U23</f>
        <v>0</v>
      </c>
      <c r="V23" s="81" t="str">
        <f>'Rock Climbing Log'!V23</f>
        <v>F</v>
      </c>
      <c r="W23" s="82">
        <f>'Rock Climbing Log'!W23</f>
        <v>0</v>
      </c>
      <c r="X23" s="83">
        <f>'Rock Climbing Log'!X23</f>
        <v>0</v>
      </c>
      <c r="Y23" s="81">
        <f>'Rock Climbing Log'!Y23</f>
        <v>0</v>
      </c>
      <c r="Z23" s="82">
        <f>'Rock Climbing Log'!Z23</f>
        <v>0</v>
      </c>
      <c r="AA23" s="83">
        <f>'Rock Climbing Log'!AA23</f>
        <v>0</v>
      </c>
      <c r="AB23" s="81">
        <f>'Rock Climbing Log'!AB23</f>
        <v>0</v>
      </c>
      <c r="AC23" s="82">
        <f>'Rock Climbing Log'!AC23</f>
        <v>0</v>
      </c>
      <c r="AD23" s="83">
        <f>'Rock Climbing Log'!AD23</f>
        <v>0</v>
      </c>
      <c r="AE23" s="81" t="str">
        <f>'Rock Climbing Log'!AE23</f>
        <v>F</v>
      </c>
      <c r="AF23" s="82" t="str">
        <f>'Rock Climbing Log'!AF23</f>
        <v>F</v>
      </c>
      <c r="AG23" s="83">
        <f>'Rock Climbing Log'!AG23</f>
        <v>0</v>
      </c>
      <c r="AH23" s="81">
        <f>'Rock Climbing Log'!AH23</f>
        <v>0</v>
      </c>
      <c r="AI23" s="82">
        <f>'Rock Climbing Log'!AI23</f>
        <v>0</v>
      </c>
      <c r="AJ23" s="83">
        <f>'Rock Climbing Log'!AJ23</f>
        <v>0</v>
      </c>
      <c r="AK23" s="81">
        <f>'Rock Climbing Log'!AK23</f>
        <v>0</v>
      </c>
      <c r="AL23" s="82">
        <f>'Rock Climbing Log'!AL23</f>
        <v>0</v>
      </c>
      <c r="AM23" s="83">
        <f>'Rock Climbing Log'!AM23</f>
        <v>0</v>
      </c>
      <c r="AN23" s="81">
        <f>'Rock Climbing Log'!AN23</f>
        <v>0</v>
      </c>
      <c r="AO23" s="82">
        <f>'Rock Climbing Log'!AO23</f>
        <v>0</v>
      </c>
      <c r="AP23" s="83">
        <f>'Rock Climbing Log'!AP23</f>
        <v>0</v>
      </c>
      <c r="AQ23" s="81">
        <f>'Rock Climbing Log'!AQ23</f>
        <v>0</v>
      </c>
      <c r="AR23" s="82">
        <f>'Rock Climbing Log'!AR23</f>
        <v>0</v>
      </c>
      <c r="AS23" s="83">
        <f>'Rock Climbing Log'!AS23</f>
        <v>0</v>
      </c>
      <c r="AT23" s="81">
        <f>'Rock Climbing Log'!AT23</f>
        <v>0</v>
      </c>
      <c r="AU23" s="82">
        <f>'Rock Climbing Log'!AU23</f>
        <v>0</v>
      </c>
      <c r="AV23" s="83">
        <f>'Rock Climbing Log'!AV23</f>
        <v>0</v>
      </c>
      <c r="AW23" s="66">
        <f ca="1">'RC Template'!AW23</f>
        <v>170.99208943626581</v>
      </c>
      <c r="AX23" s="66">
        <f ca="1">'RC Template'!BC23</f>
        <v>51.74430879886831</v>
      </c>
      <c r="AY23" s="75" t="str">
        <f>'Rock Climbing Log'!AY23</f>
        <v>Implementation of multi system</v>
      </c>
      <c r="BA23" s="147" t="s">
        <v>53</v>
      </c>
      <c r="BB23" s="148"/>
      <c r="BC23" s="148"/>
      <c r="BD23" s="148"/>
      <c r="BE23" s="149"/>
      <c r="BH23" s="147" t="s">
        <v>53</v>
      </c>
      <c r="BI23" s="148"/>
      <c r="BJ23" s="148"/>
      <c r="BK23" s="149"/>
      <c r="BO23" s="121"/>
    </row>
    <row r="24" spans="1:67" ht="14.4" customHeight="1" thickBot="1" x14ac:dyDescent="0.35">
      <c r="A24" s="28">
        <f t="shared" si="0"/>
        <v>17</v>
      </c>
      <c r="B24" s="19">
        <f>'Rock Climbing Log'!B24</f>
        <v>43121</v>
      </c>
      <c r="C24" s="24" t="str">
        <f>'Rock Climbing Log'!C24</f>
        <v>Michelle</v>
      </c>
      <c r="D24" s="81" t="str">
        <f>'Rock Climbing Log'!D24</f>
        <v>F</v>
      </c>
      <c r="E24" s="82">
        <f>'Rock Climbing Log'!E24</f>
        <v>0</v>
      </c>
      <c r="F24" s="83">
        <f>'Rock Climbing Log'!F24</f>
        <v>0</v>
      </c>
      <c r="G24" s="81" t="str">
        <f>'Rock Climbing Log'!G24</f>
        <v>F</v>
      </c>
      <c r="H24" s="82" t="str">
        <f>'Rock Climbing Log'!H24</f>
        <v>F</v>
      </c>
      <c r="I24" s="83" t="str">
        <f>'Rock Climbing Log'!I24</f>
        <v>F</v>
      </c>
      <c r="J24" s="81">
        <f>'Rock Climbing Log'!J24</f>
        <v>0</v>
      </c>
      <c r="K24" s="82">
        <f>'Rock Climbing Log'!K24</f>
        <v>0</v>
      </c>
      <c r="L24" s="83">
        <f>'Rock Climbing Log'!L24</f>
        <v>0</v>
      </c>
      <c r="M24" s="81">
        <f>'Rock Climbing Log'!M24</f>
        <v>0</v>
      </c>
      <c r="N24" s="82">
        <f>'Rock Climbing Log'!N24</f>
        <v>0</v>
      </c>
      <c r="O24" s="83">
        <f>'Rock Climbing Log'!O24</f>
        <v>0</v>
      </c>
      <c r="P24" s="81" t="str">
        <f>'Rock Climbing Log'!P24</f>
        <v>A</v>
      </c>
      <c r="Q24" s="82">
        <f>'Rock Climbing Log'!Q24</f>
        <v>0</v>
      </c>
      <c r="R24" s="83">
        <f>'Rock Climbing Log'!R24</f>
        <v>0</v>
      </c>
      <c r="S24" s="81">
        <f>'Rock Climbing Log'!S24</f>
        <v>0</v>
      </c>
      <c r="T24" s="82">
        <f>'Rock Climbing Log'!T24</f>
        <v>0</v>
      </c>
      <c r="U24" s="83">
        <f>'Rock Climbing Log'!U24</f>
        <v>0</v>
      </c>
      <c r="V24" s="81">
        <f>'Rock Climbing Log'!V24</f>
        <v>0</v>
      </c>
      <c r="W24" s="82">
        <f>'Rock Climbing Log'!W24</f>
        <v>0</v>
      </c>
      <c r="X24" s="83">
        <f>'Rock Climbing Log'!X24</f>
        <v>0</v>
      </c>
      <c r="Y24" s="81">
        <f>'Rock Climbing Log'!Y24</f>
        <v>0</v>
      </c>
      <c r="Z24" s="82">
        <f>'Rock Climbing Log'!Z24</f>
        <v>0</v>
      </c>
      <c r="AA24" s="83">
        <f>'Rock Climbing Log'!AA24</f>
        <v>0</v>
      </c>
      <c r="AB24" s="81">
        <f>'Rock Climbing Log'!AB24</f>
        <v>0</v>
      </c>
      <c r="AC24" s="82">
        <f>'Rock Climbing Log'!AC24</f>
        <v>0</v>
      </c>
      <c r="AD24" s="83">
        <f>'Rock Climbing Log'!AD24</f>
        <v>0</v>
      </c>
      <c r="AE24" s="81">
        <f>'Rock Climbing Log'!AE24</f>
        <v>0</v>
      </c>
      <c r="AF24" s="82">
        <f>'Rock Climbing Log'!AF24</f>
        <v>0</v>
      </c>
      <c r="AG24" s="83">
        <f>'Rock Climbing Log'!AG24</f>
        <v>0</v>
      </c>
      <c r="AH24" s="81">
        <f>'Rock Climbing Log'!AH24</f>
        <v>0</v>
      </c>
      <c r="AI24" s="82">
        <f>'Rock Climbing Log'!AI24</f>
        <v>0</v>
      </c>
      <c r="AJ24" s="83">
        <f>'Rock Climbing Log'!AJ24</f>
        <v>0</v>
      </c>
      <c r="AK24" s="81">
        <f>'Rock Climbing Log'!AK24</f>
        <v>0</v>
      </c>
      <c r="AL24" s="82">
        <f>'Rock Climbing Log'!AL24</f>
        <v>0</v>
      </c>
      <c r="AM24" s="83">
        <f>'Rock Climbing Log'!AM24</f>
        <v>0</v>
      </c>
      <c r="AN24" s="81">
        <f>'Rock Climbing Log'!AN24</f>
        <v>0</v>
      </c>
      <c r="AO24" s="82">
        <f>'Rock Climbing Log'!AO24</f>
        <v>0</v>
      </c>
      <c r="AP24" s="83">
        <f>'Rock Climbing Log'!AP24</f>
        <v>0</v>
      </c>
      <c r="AQ24" s="81">
        <f>'Rock Climbing Log'!AQ24</f>
        <v>0</v>
      </c>
      <c r="AR24" s="82">
        <f>'Rock Climbing Log'!AR24</f>
        <v>0</v>
      </c>
      <c r="AS24" s="83">
        <f>'Rock Climbing Log'!AS24</f>
        <v>0</v>
      </c>
      <c r="AT24" s="81">
        <f>'Rock Climbing Log'!AT24</f>
        <v>0</v>
      </c>
      <c r="AU24" s="82">
        <f>'Rock Climbing Log'!AU24</f>
        <v>0</v>
      </c>
      <c r="AV24" s="83">
        <f>'Rock Climbing Log'!AV24</f>
        <v>0</v>
      </c>
      <c r="AW24" s="66">
        <f ca="1">'RC Template'!AW24</f>
        <v>37.5</v>
      </c>
      <c r="AX24" s="66">
        <f ca="1">'RC Template'!BC24</f>
        <v>43.254133865395978</v>
      </c>
      <c r="AY24" s="75">
        <f>'Rock Climbing Log'!AY24</f>
        <v>0</v>
      </c>
      <c r="BA24" s="153"/>
      <c r="BB24" s="154"/>
      <c r="BC24" s="154"/>
      <c r="BD24" s="154"/>
      <c r="BE24" s="155"/>
      <c r="BH24" s="153"/>
      <c r="BI24" s="154"/>
      <c r="BJ24" s="154"/>
      <c r="BK24" s="155"/>
      <c r="BO24" s="121"/>
    </row>
    <row r="25" spans="1:67" ht="15" customHeight="1" thickBot="1" x14ac:dyDescent="0.35">
      <c r="A25" s="28">
        <f t="shared" si="0"/>
        <v>18</v>
      </c>
      <c r="B25" s="19">
        <f>'Rock Climbing Log'!B25</f>
        <v>43124</v>
      </c>
      <c r="C25" s="24" t="str">
        <f>'Rock Climbing Log'!C25</f>
        <v>Edwin</v>
      </c>
      <c r="D25" s="81">
        <f>'Rock Climbing Log'!D25</f>
        <v>0</v>
      </c>
      <c r="E25" s="82">
        <f>'Rock Climbing Log'!E25</f>
        <v>0</v>
      </c>
      <c r="F25" s="83">
        <f>'Rock Climbing Log'!F25</f>
        <v>0</v>
      </c>
      <c r="G25" s="81">
        <f>'Rock Climbing Log'!G25</f>
        <v>0</v>
      </c>
      <c r="H25" s="82">
        <f>'Rock Climbing Log'!H25</f>
        <v>0</v>
      </c>
      <c r="I25" s="83">
        <f>'Rock Climbing Log'!I25</f>
        <v>0</v>
      </c>
      <c r="J25" s="81">
        <f>'Rock Climbing Log'!J25</f>
        <v>0</v>
      </c>
      <c r="K25" s="82">
        <f>'Rock Climbing Log'!K25</f>
        <v>0</v>
      </c>
      <c r="L25" s="83">
        <f>'Rock Climbing Log'!L25</f>
        <v>0</v>
      </c>
      <c r="M25" s="81" t="str">
        <f>'Rock Climbing Log'!M25</f>
        <v>F</v>
      </c>
      <c r="N25" s="82">
        <f>'Rock Climbing Log'!N25</f>
        <v>0</v>
      </c>
      <c r="O25" s="83">
        <f>'Rock Climbing Log'!O25</f>
        <v>0</v>
      </c>
      <c r="P25" s="81">
        <f>'Rock Climbing Log'!P25</f>
        <v>0</v>
      </c>
      <c r="Q25" s="82">
        <f>'Rock Climbing Log'!Q25</f>
        <v>0</v>
      </c>
      <c r="R25" s="83">
        <f>'Rock Climbing Log'!R25</f>
        <v>0</v>
      </c>
      <c r="S25" s="81">
        <f>'Rock Climbing Log'!S25</f>
        <v>0</v>
      </c>
      <c r="T25" s="82">
        <f>'Rock Climbing Log'!T25</f>
        <v>0</v>
      </c>
      <c r="U25" s="83">
        <f>'Rock Climbing Log'!U25</f>
        <v>0</v>
      </c>
      <c r="V25" s="81" t="str">
        <f>'Rock Climbing Log'!V25</f>
        <v>C1</v>
      </c>
      <c r="W25" s="82">
        <f>'Rock Climbing Log'!W25</f>
        <v>0</v>
      </c>
      <c r="X25" s="83">
        <f>'Rock Climbing Log'!X25</f>
        <v>0</v>
      </c>
      <c r="Y25" s="81">
        <f>'Rock Climbing Log'!Y25</f>
        <v>0</v>
      </c>
      <c r="Z25" s="82">
        <f>'Rock Climbing Log'!Z25</f>
        <v>0</v>
      </c>
      <c r="AA25" s="83">
        <f>'Rock Climbing Log'!AA25</f>
        <v>0</v>
      </c>
      <c r="AB25" s="81" t="str">
        <f>'Rock Climbing Log'!AB25</f>
        <v>A</v>
      </c>
      <c r="AC25" s="82">
        <f>'Rock Climbing Log'!AC25</f>
        <v>0</v>
      </c>
      <c r="AD25" s="83">
        <f>'Rock Climbing Log'!AD25</f>
        <v>0</v>
      </c>
      <c r="AE25" s="81">
        <f>'Rock Climbing Log'!AE25</f>
        <v>0</v>
      </c>
      <c r="AF25" s="82">
        <f>'Rock Climbing Log'!AF25</f>
        <v>0</v>
      </c>
      <c r="AG25" s="83">
        <f>'Rock Climbing Log'!AG25</f>
        <v>0</v>
      </c>
      <c r="AH25" s="81">
        <f>'Rock Climbing Log'!AH25</f>
        <v>0</v>
      </c>
      <c r="AI25" s="82">
        <f>'Rock Climbing Log'!AI25</f>
        <v>0</v>
      </c>
      <c r="AJ25" s="83">
        <f>'Rock Climbing Log'!AJ25</f>
        <v>0</v>
      </c>
      <c r="AK25" s="81">
        <f>'Rock Climbing Log'!AK25</f>
        <v>0</v>
      </c>
      <c r="AL25" s="82">
        <f>'Rock Climbing Log'!AL25</f>
        <v>0</v>
      </c>
      <c r="AM25" s="83">
        <f>'Rock Climbing Log'!AM25</f>
        <v>0</v>
      </c>
      <c r="AN25" s="81">
        <f>'Rock Climbing Log'!AN25</f>
        <v>0</v>
      </c>
      <c r="AO25" s="82">
        <f>'Rock Climbing Log'!AO25</f>
        <v>0</v>
      </c>
      <c r="AP25" s="83">
        <f>'Rock Climbing Log'!AP25</f>
        <v>0</v>
      </c>
      <c r="AQ25" s="81">
        <f>'Rock Climbing Log'!AQ25</f>
        <v>0</v>
      </c>
      <c r="AR25" s="82">
        <f>'Rock Climbing Log'!AR25</f>
        <v>0</v>
      </c>
      <c r="AS25" s="83">
        <f>'Rock Climbing Log'!AS25</f>
        <v>0</v>
      </c>
      <c r="AT25" s="81">
        <f>'Rock Climbing Log'!AT25</f>
        <v>0</v>
      </c>
      <c r="AU25" s="82">
        <f>'Rock Climbing Log'!AU25</f>
        <v>0</v>
      </c>
      <c r="AV25" s="83">
        <f>'Rock Climbing Log'!AV25</f>
        <v>0</v>
      </c>
      <c r="AW25" s="66">
        <f ca="1">'RC Template'!AW25</f>
        <v>78.750956457544135</v>
      </c>
      <c r="AX25" s="66">
        <f ca="1">'RC Template'!BC25</f>
        <v>60.434043230476597</v>
      </c>
      <c r="AY25" s="75" t="str">
        <f>'Rock Climbing Log'!AY25</f>
        <v>Early Morning Climb!</v>
      </c>
      <c r="BA25" s="17" t="s">
        <v>15</v>
      </c>
      <c r="BB25" s="100" t="s">
        <v>132</v>
      </c>
      <c r="BC25" s="50" t="s">
        <v>145</v>
      </c>
      <c r="BD25" s="50" t="s">
        <v>46</v>
      </c>
      <c r="BE25" s="60" t="s">
        <v>54</v>
      </c>
      <c r="BH25" s="17" t="s">
        <v>15</v>
      </c>
      <c r="BI25" s="50" t="s">
        <v>145</v>
      </c>
      <c r="BJ25" s="50" t="s">
        <v>46</v>
      </c>
      <c r="BK25" s="60" t="s">
        <v>54</v>
      </c>
      <c r="BO25" s="121"/>
    </row>
    <row r="26" spans="1:67" ht="15" thickTop="1" x14ac:dyDescent="0.3">
      <c r="A26" s="28">
        <f t="shared" si="0"/>
        <v>19</v>
      </c>
      <c r="B26" s="19">
        <f>'Rock Climbing Log'!B26</f>
        <v>43124</v>
      </c>
      <c r="C26" s="24" t="str">
        <f>'Rock Climbing Log'!C26</f>
        <v>Lester</v>
      </c>
      <c r="D26" s="81">
        <f>'Rock Climbing Log'!D26</f>
        <v>0</v>
      </c>
      <c r="E26" s="82">
        <f>'Rock Climbing Log'!E26</f>
        <v>0</v>
      </c>
      <c r="F26" s="83">
        <f>'Rock Climbing Log'!F26</f>
        <v>0</v>
      </c>
      <c r="G26" s="81">
        <f>'Rock Climbing Log'!G26</f>
        <v>0</v>
      </c>
      <c r="H26" s="82">
        <f>'Rock Climbing Log'!H26</f>
        <v>0</v>
      </c>
      <c r="I26" s="83">
        <f>'Rock Climbing Log'!I26</f>
        <v>0</v>
      </c>
      <c r="J26" s="81">
        <f>'Rock Climbing Log'!J26</f>
        <v>0</v>
      </c>
      <c r="K26" s="82">
        <f>'Rock Climbing Log'!K26</f>
        <v>0</v>
      </c>
      <c r="L26" s="83">
        <f>'Rock Climbing Log'!L26</f>
        <v>0</v>
      </c>
      <c r="M26" s="81" t="str">
        <f>'Rock Climbing Log'!M26</f>
        <v>F</v>
      </c>
      <c r="N26" s="82">
        <f>'Rock Climbing Log'!N26</f>
        <v>0</v>
      </c>
      <c r="O26" s="83">
        <f>'Rock Climbing Log'!O26</f>
        <v>0</v>
      </c>
      <c r="P26" s="81">
        <f>'Rock Climbing Log'!P26</f>
        <v>0</v>
      </c>
      <c r="Q26" s="82">
        <f>'Rock Climbing Log'!Q26</f>
        <v>0</v>
      </c>
      <c r="R26" s="83">
        <f>'Rock Climbing Log'!R26</f>
        <v>0</v>
      </c>
      <c r="S26" s="81">
        <f>'Rock Climbing Log'!S26</f>
        <v>0</v>
      </c>
      <c r="T26" s="82">
        <f>'Rock Climbing Log'!T26</f>
        <v>0</v>
      </c>
      <c r="U26" s="83">
        <f>'Rock Climbing Log'!U26</f>
        <v>0</v>
      </c>
      <c r="V26" s="81" t="str">
        <f>'Rock Climbing Log'!V26</f>
        <v>F</v>
      </c>
      <c r="W26" s="82" t="str">
        <f>'Rock Climbing Log'!W26</f>
        <v>F</v>
      </c>
      <c r="X26" s="83">
        <f>'Rock Climbing Log'!X26</f>
        <v>0</v>
      </c>
      <c r="Y26" s="81">
        <f>'Rock Climbing Log'!Y26</f>
        <v>0</v>
      </c>
      <c r="Z26" s="82">
        <f>'Rock Climbing Log'!Z26</f>
        <v>0</v>
      </c>
      <c r="AA26" s="83">
        <f>'Rock Climbing Log'!AA26</f>
        <v>0</v>
      </c>
      <c r="AB26" s="81">
        <f>'Rock Climbing Log'!AB26</f>
        <v>0</v>
      </c>
      <c r="AC26" s="82">
        <f>'Rock Climbing Log'!AC26</f>
        <v>0</v>
      </c>
      <c r="AD26" s="83">
        <f>'Rock Climbing Log'!AD26</f>
        <v>0</v>
      </c>
      <c r="AE26" s="81" t="str">
        <f>'Rock Climbing Log'!AE26</f>
        <v>C1</v>
      </c>
      <c r="AF26" s="82" t="str">
        <f>'Rock Climbing Log'!AF26</f>
        <v>F</v>
      </c>
      <c r="AG26" s="83" t="str">
        <f>'Rock Climbing Log'!AG26</f>
        <v>F</v>
      </c>
      <c r="AH26" s="81" t="str">
        <f>'Rock Climbing Log'!AH26</f>
        <v>A</v>
      </c>
      <c r="AI26" s="82">
        <f>'Rock Climbing Log'!AI26</f>
        <v>0</v>
      </c>
      <c r="AJ26" s="83">
        <f>'Rock Climbing Log'!AJ26</f>
        <v>0</v>
      </c>
      <c r="AK26" s="81">
        <f>'Rock Climbing Log'!AK26</f>
        <v>0</v>
      </c>
      <c r="AL26" s="82">
        <f>'Rock Climbing Log'!AL26</f>
        <v>0</v>
      </c>
      <c r="AM26" s="83">
        <f>'Rock Climbing Log'!AM26</f>
        <v>0</v>
      </c>
      <c r="AN26" s="81">
        <f>'Rock Climbing Log'!AN26</f>
        <v>0</v>
      </c>
      <c r="AO26" s="82">
        <f>'Rock Climbing Log'!AO26</f>
        <v>0</v>
      </c>
      <c r="AP26" s="83">
        <f>'Rock Climbing Log'!AP26</f>
        <v>0</v>
      </c>
      <c r="AQ26" s="81">
        <f>'Rock Climbing Log'!AQ26</f>
        <v>0</v>
      </c>
      <c r="AR26" s="82">
        <f>'Rock Climbing Log'!AR26</f>
        <v>0</v>
      </c>
      <c r="AS26" s="83">
        <f>'Rock Climbing Log'!AS26</f>
        <v>0</v>
      </c>
      <c r="AT26" s="81">
        <f>'Rock Climbing Log'!AT26</f>
        <v>0</v>
      </c>
      <c r="AU26" s="82">
        <f>'Rock Climbing Log'!AU26</f>
        <v>0</v>
      </c>
      <c r="AV26" s="83">
        <f>'Rock Climbing Log'!AV26</f>
        <v>0</v>
      </c>
      <c r="AW26" s="66">
        <f ca="1">'RC Template'!AW26</f>
        <v>196.8162483561054</v>
      </c>
      <c r="AX26" s="66">
        <f ca="1">'RC Template'!BC26</f>
        <v>59.559016824395385</v>
      </c>
      <c r="AY26" s="75">
        <f>'Rock Climbing Log'!AY26</f>
        <v>0</v>
      </c>
      <c r="BA26" s="48" t="s">
        <v>25</v>
      </c>
      <c r="BB26" s="101" t="str">
        <f ca="1">VLOOKUP(BA26,'RC Lookup'!$O$3:$P$50,2,FALSE)</f>
        <v>T3</v>
      </c>
      <c r="BC26" s="49">
        <f t="shared" ref="BC26:BC32" ca="1" si="7">SUMPRODUCT(LARGE(($C$8:$C$203=$BH26)*$AX$8:$AX$203,1))</f>
        <v>102.69403140294374</v>
      </c>
      <c r="BD26" s="49">
        <f ca="1">IF(COUNTIFS('RC Template'!$C:$C,'Rock Climbing Reports'!$BH26)&lt;2.9,AVERAGEIFS('RC Template'!$BC:$BC,'RC Template'!$C:$C,'Rock Climbing Reports'!$BH26),VLOOKUP(_xlfn.MAXIFS('RC Template'!$A$8:$A$280,'RC Template'!$C$8:$C$280,'Rock Climbing Reports'!BH26),'RC Template'!$A$7:$BF$280,56,FALSE))</f>
        <v>93.981268818054843</v>
      </c>
      <c r="BE26" s="61">
        <f t="shared" ref="BE26:BE32" ca="1" si="8">SUMIFS($AX$8:$AX$203,$C$8:$C$203,$BH26)/COUNTIF($C$8:$C$203,$BH26)</f>
        <v>77.220573406968626</v>
      </c>
      <c r="BH26" s="48" t="s">
        <v>25</v>
      </c>
      <c r="BI26" s="49">
        <f t="shared" ref="BI26:BI32" ca="1" si="9">SUMPRODUCT(LARGE(($C$8:$C$203=$BH26)*$AW$8:$AW$203,1))</f>
        <v>133.81949581994093</v>
      </c>
      <c r="BJ26" s="49">
        <f ca="1">IF(COUNTIFS('RC Template'!$C:$C,'Rock Climbing Reports'!$BH26)&lt;2.9,AVERAGEIFS('RC Template'!$AW:$AW,'RC Template'!$C:$C,'Rock Climbing Reports'!$BH26),VLOOKUP(_xlfn.MAXIFS('RC Template'!$A$8:$A$280,'RC Template'!$C$8:$C$280,'Rock Climbing Reports'!BH26),'RC Template'!$A$7:$AX$280,50,FALSE))</f>
        <v>122.46598792488274</v>
      </c>
      <c r="BK26" s="47">
        <f t="shared" ref="BK26:BK32" ca="1" si="10">SUMIFS($AW$8:$AW$203,$C$8:$C$203,$BH26)/COUNTIF($C$8:$C$203,$BH26)</f>
        <v>100.62530469469004</v>
      </c>
    </row>
    <row r="27" spans="1:67" x14ac:dyDescent="0.3">
      <c r="A27" s="28">
        <f t="shared" si="0"/>
        <v>20</v>
      </c>
      <c r="B27" s="19">
        <f>'Rock Climbing Log'!B27</f>
        <v>43124</v>
      </c>
      <c r="C27" s="24" t="str">
        <f>'Rock Climbing Log'!C27</f>
        <v>Jan</v>
      </c>
      <c r="D27" s="81" t="str">
        <f>'Rock Climbing Log'!D27</f>
        <v>F</v>
      </c>
      <c r="E27" s="82">
        <f>'Rock Climbing Log'!E27</f>
        <v>0</v>
      </c>
      <c r="F27" s="83">
        <f>'Rock Climbing Log'!F27</f>
        <v>0</v>
      </c>
      <c r="G27" s="81" t="str">
        <f>'Rock Climbing Log'!G27</f>
        <v>F</v>
      </c>
      <c r="H27" s="82">
        <f>'Rock Climbing Log'!H27</f>
        <v>0</v>
      </c>
      <c r="I27" s="83">
        <f>'Rock Climbing Log'!I27</f>
        <v>0</v>
      </c>
      <c r="J27" s="81" t="str">
        <f>'Rock Climbing Log'!J27</f>
        <v>F</v>
      </c>
      <c r="K27" s="82">
        <f>'Rock Climbing Log'!K27</f>
        <v>0</v>
      </c>
      <c r="L27" s="83">
        <f>'Rock Climbing Log'!L27</f>
        <v>0</v>
      </c>
      <c r="M27" s="81">
        <f>'Rock Climbing Log'!M27</f>
        <v>0</v>
      </c>
      <c r="N27" s="82">
        <f>'Rock Climbing Log'!N27</f>
        <v>0</v>
      </c>
      <c r="O27" s="83">
        <f>'Rock Climbing Log'!O27</f>
        <v>0</v>
      </c>
      <c r="P27" s="81">
        <f>'Rock Climbing Log'!P27</f>
        <v>0</v>
      </c>
      <c r="Q27" s="82">
        <f>'Rock Climbing Log'!Q27</f>
        <v>0</v>
      </c>
      <c r="R27" s="83">
        <f>'Rock Climbing Log'!R27</f>
        <v>0</v>
      </c>
      <c r="S27" s="81">
        <f>'Rock Climbing Log'!S27</f>
        <v>0</v>
      </c>
      <c r="T27" s="82">
        <f>'Rock Climbing Log'!T27</f>
        <v>0</v>
      </c>
      <c r="U27" s="83">
        <f>'Rock Climbing Log'!U27</f>
        <v>0</v>
      </c>
      <c r="V27" s="81" t="str">
        <f>'Rock Climbing Log'!V27</f>
        <v>C2</v>
      </c>
      <c r="W27" s="82">
        <f>'Rock Climbing Log'!W27</f>
        <v>0</v>
      </c>
      <c r="X27" s="83">
        <f>'Rock Climbing Log'!X27</f>
        <v>0</v>
      </c>
      <c r="Y27" s="81">
        <f>'Rock Climbing Log'!Y27</f>
        <v>0</v>
      </c>
      <c r="Z27" s="82">
        <f>'Rock Climbing Log'!Z27</f>
        <v>0</v>
      </c>
      <c r="AA27" s="83">
        <f>'Rock Climbing Log'!AA27</f>
        <v>0</v>
      </c>
      <c r="AB27" s="81">
        <f>'Rock Climbing Log'!AB27</f>
        <v>0</v>
      </c>
      <c r="AC27" s="82">
        <f>'Rock Climbing Log'!AC27</f>
        <v>0</v>
      </c>
      <c r="AD27" s="83">
        <f>'Rock Climbing Log'!AD27</f>
        <v>0</v>
      </c>
      <c r="AE27" s="81">
        <f>'Rock Climbing Log'!AE27</f>
        <v>0</v>
      </c>
      <c r="AF27" s="82">
        <f>'Rock Climbing Log'!AF27</f>
        <v>0</v>
      </c>
      <c r="AG27" s="83">
        <f>'Rock Climbing Log'!AG27</f>
        <v>0</v>
      </c>
      <c r="AH27" s="81">
        <f>'Rock Climbing Log'!AH27</f>
        <v>0</v>
      </c>
      <c r="AI27" s="82">
        <f>'Rock Climbing Log'!AI27</f>
        <v>0</v>
      </c>
      <c r="AJ27" s="83">
        <f>'Rock Climbing Log'!AJ27</f>
        <v>0</v>
      </c>
      <c r="AK27" s="81">
        <f>'Rock Climbing Log'!AK27</f>
        <v>0</v>
      </c>
      <c r="AL27" s="82">
        <f>'Rock Climbing Log'!AL27</f>
        <v>0</v>
      </c>
      <c r="AM27" s="83">
        <f>'Rock Climbing Log'!AM27</f>
        <v>0</v>
      </c>
      <c r="AN27" s="81">
        <f>'Rock Climbing Log'!AN27</f>
        <v>0</v>
      </c>
      <c r="AO27" s="82">
        <f>'Rock Climbing Log'!AO27</f>
        <v>0</v>
      </c>
      <c r="AP27" s="83">
        <f>'Rock Climbing Log'!AP27</f>
        <v>0</v>
      </c>
      <c r="AQ27" s="81">
        <f>'Rock Climbing Log'!AQ27</f>
        <v>0</v>
      </c>
      <c r="AR27" s="82">
        <f>'Rock Climbing Log'!AR27</f>
        <v>0</v>
      </c>
      <c r="AS27" s="83">
        <f>'Rock Climbing Log'!AS27</f>
        <v>0</v>
      </c>
      <c r="AT27" s="81">
        <f>'Rock Climbing Log'!AT27</f>
        <v>0</v>
      </c>
      <c r="AU27" s="82">
        <f>'Rock Climbing Log'!AU27</f>
        <v>0</v>
      </c>
      <c r="AV27" s="83">
        <f>'Rock Climbing Log'!AV27</f>
        <v>0</v>
      </c>
      <c r="AW27" s="66">
        <f ca="1">'RC Template'!AW27</f>
        <v>56.807964051344015</v>
      </c>
      <c r="AX27" s="66">
        <f ca="1">'RC Template'!BC27</f>
        <v>43.594835031180111</v>
      </c>
      <c r="AY27" s="75">
        <f>'Rock Climbing Log'!AY27</f>
        <v>0</v>
      </c>
      <c r="BA27" s="48" t="s">
        <v>24</v>
      </c>
      <c r="BB27" s="101" t="str">
        <f ca="1">VLOOKUP(BA27,'RC Lookup'!$O$3:$P$50,2,FALSE)</f>
        <v>T3</v>
      </c>
      <c r="BC27" s="49">
        <f t="shared" ca="1" si="7"/>
        <v>77.447993073593068</v>
      </c>
      <c r="BD27" s="49">
        <f ca="1">IF(COUNTIFS('RC Template'!$C:$C,'Rock Climbing Reports'!$BH27)&lt;2.9,AVERAGEIFS('RC Template'!$BC:$BC,'RC Template'!$C:$C,'Rock Climbing Reports'!$BH27),VLOOKUP(_xlfn.MAXIFS('RC Template'!$A$8:$A$280,'RC Template'!$C$8:$C$280,'Rock Climbing Reports'!BH27),'RC Template'!$A$7:$BF$280,56,FALSE))</f>
        <v>71.0366078976094</v>
      </c>
      <c r="BE27" s="61">
        <f t="shared" ca="1" si="8"/>
        <v>48.637561409152234</v>
      </c>
      <c r="BH27" s="48" t="s">
        <v>24</v>
      </c>
      <c r="BI27" s="49">
        <f t="shared" ca="1" si="9"/>
        <v>100.92165283402647</v>
      </c>
      <c r="BJ27" s="49">
        <f ca="1">IF(COUNTIFS('RC Template'!$C:$C,'Rock Climbing Reports'!$BH27)&lt;2.9,AVERAGEIFS('RC Template'!$AW:$AW,'RC Template'!$C:$C,'Rock Climbing Reports'!$BH27),VLOOKUP(_xlfn.MAXIFS('RC Template'!$A$8:$A$280,'RC Template'!$C$8:$C$280,'Rock Climbing Reports'!BH27),'RC Template'!$A$7:$AX$280,50,FALSE))</f>
        <v>92.567045267875514</v>
      </c>
      <c r="BK27" s="61">
        <f t="shared" ca="1" si="10"/>
        <v>63.37908695147005</v>
      </c>
    </row>
    <row r="28" spans="1:67" x14ac:dyDescent="0.3">
      <c r="A28" s="28">
        <f t="shared" si="0"/>
        <v>21</v>
      </c>
      <c r="B28" s="19">
        <f>'Rock Climbing Log'!B28</f>
        <v>43126</v>
      </c>
      <c r="C28" s="24" t="str">
        <f>'Rock Climbing Log'!C28</f>
        <v>Lester</v>
      </c>
      <c r="D28" s="81">
        <f>'Rock Climbing Log'!D28</f>
        <v>0</v>
      </c>
      <c r="E28" s="82">
        <f>'Rock Climbing Log'!E28</f>
        <v>0</v>
      </c>
      <c r="F28" s="83">
        <f>'Rock Climbing Log'!F28</f>
        <v>0</v>
      </c>
      <c r="G28" s="81">
        <f>'Rock Climbing Log'!G28</f>
        <v>0</v>
      </c>
      <c r="H28" s="82">
        <f>'Rock Climbing Log'!H28</f>
        <v>0</v>
      </c>
      <c r="I28" s="83">
        <f>'Rock Climbing Log'!I28</f>
        <v>0</v>
      </c>
      <c r="J28" s="81">
        <f>'Rock Climbing Log'!J28</f>
        <v>0</v>
      </c>
      <c r="K28" s="82">
        <f>'Rock Climbing Log'!K28</f>
        <v>0</v>
      </c>
      <c r="L28" s="83">
        <f>'Rock Climbing Log'!L28</f>
        <v>0</v>
      </c>
      <c r="M28" s="81" t="str">
        <f>'Rock Climbing Log'!M28</f>
        <v>F</v>
      </c>
      <c r="N28" s="82">
        <f>'Rock Climbing Log'!N28</f>
        <v>0</v>
      </c>
      <c r="O28" s="83">
        <f>'Rock Climbing Log'!O28</f>
        <v>0</v>
      </c>
      <c r="P28" s="81">
        <f>'Rock Climbing Log'!P28</f>
        <v>0</v>
      </c>
      <c r="Q28" s="82">
        <f>'Rock Climbing Log'!Q28</f>
        <v>0</v>
      </c>
      <c r="R28" s="83">
        <f>'Rock Climbing Log'!R28</f>
        <v>0</v>
      </c>
      <c r="S28" s="81">
        <f>'Rock Climbing Log'!S28</f>
        <v>0</v>
      </c>
      <c r="T28" s="82">
        <f>'Rock Climbing Log'!T28</f>
        <v>0</v>
      </c>
      <c r="U28" s="83">
        <f>'Rock Climbing Log'!U28</f>
        <v>0</v>
      </c>
      <c r="V28" s="81">
        <f>'Rock Climbing Log'!V28</f>
        <v>0</v>
      </c>
      <c r="W28" s="82">
        <f>'Rock Climbing Log'!W28</f>
        <v>0</v>
      </c>
      <c r="X28" s="83">
        <f>'Rock Climbing Log'!X28</f>
        <v>0</v>
      </c>
      <c r="Y28" s="81">
        <f>'Rock Climbing Log'!Y28</f>
        <v>0</v>
      </c>
      <c r="Z28" s="82">
        <f>'Rock Climbing Log'!Z28</f>
        <v>0</v>
      </c>
      <c r="AA28" s="83">
        <f>'Rock Climbing Log'!AA28</f>
        <v>0</v>
      </c>
      <c r="AB28" s="81">
        <f>'Rock Climbing Log'!AB28</f>
        <v>0</v>
      </c>
      <c r="AC28" s="82">
        <f>'Rock Climbing Log'!AC28</f>
        <v>0</v>
      </c>
      <c r="AD28" s="83">
        <f>'Rock Climbing Log'!AD28</f>
        <v>0</v>
      </c>
      <c r="AE28" s="81" t="str">
        <f>'Rock Climbing Log'!AE28</f>
        <v>F</v>
      </c>
      <c r="AF28" s="82" t="str">
        <f>'Rock Climbing Log'!AF28</f>
        <v>F</v>
      </c>
      <c r="AG28" s="83" t="str">
        <f>'Rock Climbing Log'!AG28</f>
        <v>F</v>
      </c>
      <c r="AH28" s="81">
        <f>'Rock Climbing Log'!AH28</f>
        <v>0</v>
      </c>
      <c r="AI28" s="82">
        <f>'Rock Climbing Log'!AI28</f>
        <v>0</v>
      </c>
      <c r="AJ28" s="83">
        <f>'Rock Climbing Log'!AJ28</f>
        <v>0</v>
      </c>
      <c r="AK28" s="81" t="str">
        <f>'Rock Climbing Log'!AK28</f>
        <v>F</v>
      </c>
      <c r="AL28" s="82">
        <f>'Rock Climbing Log'!AL28</f>
        <v>0</v>
      </c>
      <c r="AM28" s="83">
        <f>'Rock Climbing Log'!AM28</f>
        <v>0</v>
      </c>
      <c r="AN28" s="81">
        <f>'Rock Climbing Log'!AN28</f>
        <v>0</v>
      </c>
      <c r="AO28" s="82">
        <f>'Rock Climbing Log'!AO28</f>
        <v>0</v>
      </c>
      <c r="AP28" s="83">
        <f>'Rock Climbing Log'!AP28</f>
        <v>0</v>
      </c>
      <c r="AQ28" s="81">
        <f>'Rock Climbing Log'!AQ28</f>
        <v>0</v>
      </c>
      <c r="AR28" s="82">
        <f>'Rock Climbing Log'!AR28</f>
        <v>0</v>
      </c>
      <c r="AS28" s="83">
        <f>'Rock Climbing Log'!AS28</f>
        <v>0</v>
      </c>
      <c r="AT28" s="81">
        <f>'Rock Climbing Log'!AT28</f>
        <v>0</v>
      </c>
      <c r="AU28" s="82">
        <f>'Rock Climbing Log'!AU28</f>
        <v>0</v>
      </c>
      <c r="AV28" s="83">
        <f>'Rock Climbing Log'!AV28</f>
        <v>0</v>
      </c>
      <c r="AW28" s="66">
        <f ca="1">'RC Template'!AW28</f>
        <v>245.88728980831175</v>
      </c>
      <c r="AX28" s="66">
        <f ca="1">'RC Template'!BC28</f>
        <v>74.408517350157737</v>
      </c>
      <c r="AY28" s="75">
        <f>'Rock Climbing Log'!AY28</f>
        <v>0</v>
      </c>
      <c r="BA28" s="48" t="s">
        <v>16</v>
      </c>
      <c r="BB28" s="101" t="str">
        <f ca="1">VLOOKUP(BA28,'RC Lookup'!$O$3:$P$50,2,FALSE)</f>
        <v>T5</v>
      </c>
      <c r="BC28" s="49">
        <f t="shared" ca="1" si="7"/>
        <v>105.11187305712281</v>
      </c>
      <c r="BD28" s="49">
        <f ca="1">IF(COUNTIFS('RC Template'!$C:$C,'Rock Climbing Reports'!$BH28)&lt;2.9,AVERAGEIFS('RC Template'!$BC:$BC,'RC Template'!$C:$C,'Rock Climbing Reports'!$BH28),VLOOKUP(_xlfn.MAXIFS('RC Template'!$A$8:$A$280,'RC Template'!$C$8:$C$280,'Rock Climbing Reports'!BH28),'RC Template'!$A$7:$BF$280,56,FALSE))</f>
        <v>94.346888355178351</v>
      </c>
      <c r="BE28" s="61">
        <f t="shared" ca="1" si="8"/>
        <v>67.34897018837114</v>
      </c>
      <c r="BH28" s="48" t="s">
        <v>16</v>
      </c>
      <c r="BI28" s="49">
        <f t="shared" ca="1" si="9"/>
        <v>347.34832130930022</v>
      </c>
      <c r="BJ28" s="49">
        <f ca="1">IF(COUNTIFS('RC Template'!$C:$C,'Rock Climbing Reports'!$BH28)&lt;2.9,AVERAGEIFS('RC Template'!$AW:$AW,'RC Template'!$C:$C,'Rock Climbing Reports'!$BH28),VLOOKUP(_xlfn.MAXIFS('RC Template'!$A$8:$A$280,'RC Template'!$C$8:$C$280,'Rock Climbing Reports'!BH28),'RC Template'!$A$7:$AX$280,50,FALSE))</f>
        <v>311.77480086495757</v>
      </c>
      <c r="BK28" s="61">
        <f t="shared" ca="1" si="10"/>
        <v>222.55860405158657</v>
      </c>
    </row>
    <row r="29" spans="1:67" x14ac:dyDescent="0.3">
      <c r="A29" s="28">
        <f t="shared" si="0"/>
        <v>22</v>
      </c>
      <c r="B29" s="19">
        <f>'Rock Climbing Log'!B29</f>
        <v>43126</v>
      </c>
      <c r="C29" s="24" t="str">
        <f>'Rock Climbing Log'!C29</f>
        <v>Michelle</v>
      </c>
      <c r="D29" s="81" t="str">
        <f>'Rock Climbing Log'!D29</f>
        <v>A</v>
      </c>
      <c r="E29" s="82" t="str">
        <f>'Rock Climbing Log'!E29</f>
        <v>F</v>
      </c>
      <c r="F29" s="83">
        <f>'Rock Climbing Log'!F29</f>
        <v>0</v>
      </c>
      <c r="G29" s="81" t="str">
        <f>'Rock Climbing Log'!G29</f>
        <v>F</v>
      </c>
      <c r="H29" s="82" t="str">
        <f>'Rock Climbing Log'!H29</f>
        <v>F</v>
      </c>
      <c r="I29" s="83">
        <f>'Rock Climbing Log'!I29</f>
        <v>0</v>
      </c>
      <c r="J29" s="81" t="str">
        <f>'Rock Climbing Log'!J29</f>
        <v>C2</v>
      </c>
      <c r="K29" s="82" t="str">
        <f>'Rock Climbing Log'!K29</f>
        <v>F</v>
      </c>
      <c r="L29" s="83">
        <f>'Rock Climbing Log'!L29</f>
        <v>0</v>
      </c>
      <c r="M29" s="81">
        <f>'Rock Climbing Log'!M29</f>
        <v>0</v>
      </c>
      <c r="N29" s="82">
        <f>'Rock Climbing Log'!N29</f>
        <v>0</v>
      </c>
      <c r="O29" s="83">
        <f>'Rock Climbing Log'!O29</f>
        <v>0</v>
      </c>
      <c r="P29" s="81" t="str">
        <f>'Rock Climbing Log'!P29</f>
        <v>A</v>
      </c>
      <c r="Q29" s="82">
        <f>'Rock Climbing Log'!Q29</f>
        <v>0</v>
      </c>
      <c r="R29" s="83">
        <f>'Rock Climbing Log'!R29</f>
        <v>0</v>
      </c>
      <c r="S29" s="81">
        <f>'Rock Climbing Log'!S29</f>
        <v>0</v>
      </c>
      <c r="T29" s="82">
        <f>'Rock Climbing Log'!T29</f>
        <v>0</v>
      </c>
      <c r="U29" s="83">
        <f>'Rock Climbing Log'!U29</f>
        <v>0</v>
      </c>
      <c r="V29" s="81" t="str">
        <f>'Rock Climbing Log'!V29</f>
        <v>A</v>
      </c>
      <c r="W29" s="82">
        <f>'Rock Climbing Log'!W29</f>
        <v>0</v>
      </c>
      <c r="X29" s="83">
        <f>'Rock Climbing Log'!X29</f>
        <v>0</v>
      </c>
      <c r="Y29" s="81">
        <f>'Rock Climbing Log'!Y29</f>
        <v>0</v>
      </c>
      <c r="Z29" s="82">
        <f>'Rock Climbing Log'!Z29</f>
        <v>0</v>
      </c>
      <c r="AA29" s="83">
        <f>'Rock Climbing Log'!AA29</f>
        <v>0</v>
      </c>
      <c r="AB29" s="81">
        <f>'Rock Climbing Log'!AB29</f>
        <v>0</v>
      </c>
      <c r="AC29" s="82">
        <f>'Rock Climbing Log'!AC29</f>
        <v>0</v>
      </c>
      <c r="AD29" s="83">
        <f>'Rock Climbing Log'!AD29</f>
        <v>0</v>
      </c>
      <c r="AE29" s="81">
        <f>'Rock Climbing Log'!AE29</f>
        <v>0</v>
      </c>
      <c r="AF29" s="82">
        <f>'Rock Climbing Log'!AF29</f>
        <v>0</v>
      </c>
      <c r="AG29" s="83">
        <f>'Rock Climbing Log'!AG29</f>
        <v>0</v>
      </c>
      <c r="AH29" s="81">
        <f>'Rock Climbing Log'!AH29</f>
        <v>0</v>
      </c>
      <c r="AI29" s="82">
        <f>'Rock Climbing Log'!AI29</f>
        <v>0</v>
      </c>
      <c r="AJ29" s="83">
        <f>'Rock Climbing Log'!AJ29</f>
        <v>0</v>
      </c>
      <c r="AK29" s="81">
        <f>'Rock Climbing Log'!AK29</f>
        <v>0</v>
      </c>
      <c r="AL29" s="82">
        <f>'Rock Climbing Log'!AL29</f>
        <v>0</v>
      </c>
      <c r="AM29" s="83">
        <f>'Rock Climbing Log'!AM29</f>
        <v>0</v>
      </c>
      <c r="AN29" s="81">
        <f>'Rock Climbing Log'!AN29</f>
        <v>0</v>
      </c>
      <c r="AO29" s="82">
        <f>'Rock Climbing Log'!AO29</f>
        <v>0</v>
      </c>
      <c r="AP29" s="83">
        <f>'Rock Climbing Log'!AP29</f>
        <v>0</v>
      </c>
      <c r="AQ29" s="81">
        <f>'Rock Climbing Log'!AQ29</f>
        <v>0</v>
      </c>
      <c r="AR29" s="82">
        <f>'Rock Climbing Log'!AR29</f>
        <v>0</v>
      </c>
      <c r="AS29" s="83">
        <f>'Rock Climbing Log'!AS29</f>
        <v>0</v>
      </c>
      <c r="AT29" s="81">
        <f>'Rock Climbing Log'!AT29</f>
        <v>0</v>
      </c>
      <c r="AU29" s="82">
        <f>'Rock Climbing Log'!AU29</f>
        <v>0</v>
      </c>
      <c r="AV29" s="83">
        <f>'Rock Climbing Log'!AV29</f>
        <v>0</v>
      </c>
      <c r="AW29" s="66">
        <f ca="1">'RC Template'!AW29</f>
        <v>46.135872871200014</v>
      </c>
      <c r="AX29" s="66">
        <f ca="1">'RC Template'!BC29</f>
        <v>53.215125897807361</v>
      </c>
      <c r="AY29" s="75">
        <f>'Rock Climbing Log'!AY29</f>
        <v>0</v>
      </c>
      <c r="BA29" s="48" t="s">
        <v>43</v>
      </c>
      <c r="BB29" s="101" t="str">
        <f ca="1">VLOOKUP(BA29,'RC Lookup'!$O$3:$P$50,2,FALSE)</f>
        <v>T4</v>
      </c>
      <c r="BC29" s="49">
        <f t="shared" ca="1" si="7"/>
        <v>67.966165905830437</v>
      </c>
      <c r="BD29" s="49">
        <f ca="1">IF(COUNTIFS('RC Template'!$C:$C,'Rock Climbing Reports'!$BH29)&lt;2.9,AVERAGEIFS('RC Template'!$BC:$BC,'RC Template'!$C:$C,'Rock Climbing Reports'!$BH29),VLOOKUP(_xlfn.MAXIFS('RC Template'!$A$8:$A$280,'RC Template'!$C$8:$C$280,'Rock Climbing Reports'!BH29),'RC Template'!$A$7:$BF$280,56,FALSE))</f>
        <v>64.660603356910514</v>
      </c>
      <c r="BE29" s="61">
        <f t="shared" ca="1" si="8"/>
        <v>57.494785744502749</v>
      </c>
      <c r="BH29" s="48" t="s">
        <v>43</v>
      </c>
      <c r="BI29" s="49">
        <f t="shared" ca="1" si="9"/>
        <v>138.38116333173295</v>
      </c>
      <c r="BJ29" s="49">
        <f ca="1">IF(COUNTIFS('RC Template'!$C:$C,'Rock Climbing Reports'!$BH29)&lt;2.9,AVERAGEIFS('RC Template'!$AW:$AW,'RC Template'!$C:$C,'Rock Climbing Reports'!$BH29),VLOOKUP(_xlfn.MAXIFS('RC Template'!$A$8:$A$280,'RC Template'!$C$8:$C$280,'Rock Climbing Reports'!BH29),'RC Template'!$A$7:$AX$280,50,FALSE))</f>
        <v>131.65093830154473</v>
      </c>
      <c r="BK29" s="61">
        <f t="shared" ca="1" si="10"/>
        <v>117.06111755452888</v>
      </c>
    </row>
    <row r="30" spans="1:67" x14ac:dyDescent="0.3">
      <c r="A30" s="28">
        <f t="shared" si="0"/>
        <v>23</v>
      </c>
      <c r="B30" s="19">
        <f>'Rock Climbing Log'!B30</f>
        <v>43128</v>
      </c>
      <c r="C30" s="24" t="str">
        <f>'Rock Climbing Log'!C30</f>
        <v>Lester</v>
      </c>
      <c r="D30" s="81">
        <f>'Rock Climbing Log'!D30</f>
        <v>0</v>
      </c>
      <c r="E30" s="82">
        <f>'Rock Climbing Log'!E30</f>
        <v>0</v>
      </c>
      <c r="F30" s="83">
        <f>'Rock Climbing Log'!F30</f>
        <v>0</v>
      </c>
      <c r="G30" s="81">
        <f>'Rock Climbing Log'!G30</f>
        <v>0</v>
      </c>
      <c r="H30" s="82">
        <f>'Rock Climbing Log'!H30</f>
        <v>0</v>
      </c>
      <c r="I30" s="83">
        <f>'Rock Climbing Log'!I30</f>
        <v>0</v>
      </c>
      <c r="J30" s="81" t="str">
        <f>'Rock Climbing Log'!J30</f>
        <v>F</v>
      </c>
      <c r="K30" s="82">
        <f>'Rock Climbing Log'!K30</f>
        <v>0</v>
      </c>
      <c r="L30" s="83">
        <f>'Rock Climbing Log'!L30</f>
        <v>0</v>
      </c>
      <c r="M30" s="81" t="str">
        <f>'Rock Climbing Log'!M30</f>
        <v>F</v>
      </c>
      <c r="N30" s="82">
        <f>'Rock Climbing Log'!N30</f>
        <v>0</v>
      </c>
      <c r="O30" s="83">
        <f>'Rock Climbing Log'!O30</f>
        <v>0</v>
      </c>
      <c r="P30" s="81">
        <f>'Rock Climbing Log'!P30</f>
        <v>0</v>
      </c>
      <c r="Q30" s="82">
        <f>'Rock Climbing Log'!Q30</f>
        <v>0</v>
      </c>
      <c r="R30" s="83">
        <f>'Rock Climbing Log'!R30</f>
        <v>0</v>
      </c>
      <c r="S30" s="81">
        <f>'Rock Climbing Log'!S30</f>
        <v>0</v>
      </c>
      <c r="T30" s="82">
        <f>'Rock Climbing Log'!T30</f>
        <v>0</v>
      </c>
      <c r="U30" s="83">
        <f>'Rock Climbing Log'!U30</f>
        <v>0</v>
      </c>
      <c r="V30" s="81">
        <f>'Rock Climbing Log'!V30</f>
        <v>0</v>
      </c>
      <c r="W30" s="82">
        <f>'Rock Climbing Log'!W30</f>
        <v>0</v>
      </c>
      <c r="X30" s="83">
        <f>'Rock Climbing Log'!X30</f>
        <v>0</v>
      </c>
      <c r="Y30" s="81">
        <f>'Rock Climbing Log'!Y30</f>
        <v>0</v>
      </c>
      <c r="Z30" s="82">
        <f>'Rock Climbing Log'!Z30</f>
        <v>0</v>
      </c>
      <c r="AA30" s="83">
        <f>'Rock Climbing Log'!AA30</f>
        <v>0</v>
      </c>
      <c r="AB30" s="81" t="str">
        <f>'Rock Climbing Log'!AB30</f>
        <v>F</v>
      </c>
      <c r="AC30" s="82">
        <f>'Rock Climbing Log'!AC30</f>
        <v>0</v>
      </c>
      <c r="AD30" s="83">
        <f>'Rock Climbing Log'!AD30</f>
        <v>0</v>
      </c>
      <c r="AE30" s="81" t="str">
        <f>'Rock Climbing Log'!AE30</f>
        <v>F</v>
      </c>
      <c r="AF30" s="82">
        <f>'Rock Climbing Log'!AF30</f>
        <v>0</v>
      </c>
      <c r="AG30" s="83">
        <f>'Rock Climbing Log'!AG30</f>
        <v>0</v>
      </c>
      <c r="AH30" s="81">
        <f>'Rock Climbing Log'!AH30</f>
        <v>0</v>
      </c>
      <c r="AI30" s="82">
        <f>'Rock Climbing Log'!AI30</f>
        <v>0</v>
      </c>
      <c r="AJ30" s="83">
        <f>'Rock Climbing Log'!AJ30</f>
        <v>0</v>
      </c>
      <c r="AK30" s="81" t="str">
        <f>'Rock Climbing Log'!AK30</f>
        <v>F</v>
      </c>
      <c r="AL30" s="82" t="str">
        <f>'Rock Climbing Log'!AL30</f>
        <v>C1</v>
      </c>
      <c r="AM30" s="83">
        <f>'Rock Climbing Log'!AM30</f>
        <v>0</v>
      </c>
      <c r="AN30" s="81">
        <f>'Rock Climbing Log'!AN30</f>
        <v>0</v>
      </c>
      <c r="AO30" s="82">
        <f>'Rock Climbing Log'!AO30</f>
        <v>0</v>
      </c>
      <c r="AP30" s="83">
        <f>'Rock Climbing Log'!AP30</f>
        <v>0</v>
      </c>
      <c r="AQ30" s="81">
        <f>'Rock Climbing Log'!AQ30</f>
        <v>0</v>
      </c>
      <c r="AR30" s="82">
        <f>'Rock Climbing Log'!AR30</f>
        <v>0</v>
      </c>
      <c r="AS30" s="83">
        <f>'Rock Climbing Log'!AS30</f>
        <v>0</v>
      </c>
      <c r="AT30" s="81">
        <f>'Rock Climbing Log'!AT30</f>
        <v>0</v>
      </c>
      <c r="AU30" s="82">
        <f>'Rock Climbing Log'!AU30</f>
        <v>0</v>
      </c>
      <c r="AV30" s="83">
        <f>'Rock Climbing Log'!AV30</f>
        <v>0</v>
      </c>
      <c r="AW30" s="66">
        <f ca="1">'RC Template'!AW30</f>
        <v>277.15636946438019</v>
      </c>
      <c r="AX30" s="66">
        <f ca="1">'RC Template'!BC30</f>
        <v>83.870925341745533</v>
      </c>
      <c r="AY30" s="75">
        <f>'Rock Climbing Log'!AY30</f>
        <v>0</v>
      </c>
      <c r="BA30" s="48" t="s">
        <v>106</v>
      </c>
      <c r="BB30" s="101" t="str">
        <f ca="1">VLOOKUP(BA30,'RC Lookup'!$O$3:$P$50,2,FALSE)</f>
        <v>T2</v>
      </c>
      <c r="BC30" s="49">
        <f t="shared" ca="1" si="7"/>
        <v>112.49636266666668</v>
      </c>
      <c r="BD30" s="49">
        <f ca="1">IF(COUNTIFS('RC Template'!$C:$C,'Rock Climbing Reports'!$BH30)&lt;2.9,AVERAGEIFS('RC Template'!$BC:$BC,'RC Template'!$C:$C,'Rock Climbing Reports'!$BH30),VLOOKUP(_xlfn.MAXIFS('RC Template'!$A$8:$A$280,'RC Template'!$C$8:$C$280,'Rock Climbing Reports'!BH30),'RC Template'!$A$7:$BF$280,56,FALSE))</f>
        <v>91.593592210179025</v>
      </c>
      <c r="BE30" s="61">
        <f t="shared" ca="1" si="8"/>
        <v>74.940796357081325</v>
      </c>
      <c r="BH30" s="48" t="s">
        <v>106</v>
      </c>
      <c r="BI30" s="49">
        <f t="shared" ca="1" si="9"/>
        <v>97.530876774184151</v>
      </c>
      <c r="BJ30" s="49">
        <f ca="1">IF(COUNTIFS('RC Template'!$C:$C,'Rock Climbing Reports'!$BH30)&lt;2.9,AVERAGEIFS('RC Template'!$AW:$AW,'RC Template'!$C:$C,'Rock Climbing Reports'!$BH30),VLOOKUP(_xlfn.MAXIFS('RC Template'!$A$8:$A$280,'RC Template'!$C$8:$C$280,'Rock Climbing Reports'!BH30),'RC Template'!$A$7:$AX$280,50,FALSE))</f>
        <v>79.408819480016874</v>
      </c>
      <c r="BK30" s="61">
        <f t="shared" ca="1" si="10"/>
        <v>64.971359087571969</v>
      </c>
    </row>
    <row r="31" spans="1:67" x14ac:dyDescent="0.3">
      <c r="A31" s="28">
        <f t="shared" si="0"/>
        <v>24</v>
      </c>
      <c r="B31" s="19">
        <f>'Rock Climbing Log'!B31</f>
        <v>43128</v>
      </c>
      <c r="C31" s="24" t="str">
        <f>'Rock Climbing Log'!C31</f>
        <v>Jan</v>
      </c>
      <c r="D31" s="81">
        <f>'Rock Climbing Log'!D31</f>
        <v>0</v>
      </c>
      <c r="E31" s="82">
        <f>'Rock Climbing Log'!E31</f>
        <v>0</v>
      </c>
      <c r="F31" s="83">
        <f>'Rock Climbing Log'!F31</f>
        <v>0</v>
      </c>
      <c r="G31" s="81">
        <f>'Rock Climbing Log'!G31</f>
        <v>0</v>
      </c>
      <c r="H31" s="82">
        <f>'Rock Climbing Log'!H31</f>
        <v>0</v>
      </c>
      <c r="I31" s="83">
        <f>'Rock Climbing Log'!I31</f>
        <v>0</v>
      </c>
      <c r="J31" s="81" t="str">
        <f>'Rock Climbing Log'!J31</f>
        <v>F</v>
      </c>
      <c r="K31" s="82" t="str">
        <f>'Rock Climbing Log'!K31</f>
        <v>F</v>
      </c>
      <c r="L31" s="83">
        <f>'Rock Climbing Log'!L31</f>
        <v>0</v>
      </c>
      <c r="M31" s="81" t="str">
        <f>'Rock Climbing Log'!M31</f>
        <v>F</v>
      </c>
      <c r="N31" s="82" t="str">
        <f>'Rock Climbing Log'!N31</f>
        <v>A</v>
      </c>
      <c r="O31" s="83" t="str">
        <f>'Rock Climbing Log'!O31</f>
        <v>F</v>
      </c>
      <c r="P31" s="81">
        <f>'Rock Climbing Log'!P31</f>
        <v>0</v>
      </c>
      <c r="Q31" s="82">
        <f>'Rock Climbing Log'!Q31</f>
        <v>0</v>
      </c>
      <c r="R31" s="83">
        <f>'Rock Climbing Log'!R31</f>
        <v>0</v>
      </c>
      <c r="S31" s="81">
        <f>'Rock Climbing Log'!S31</f>
        <v>0</v>
      </c>
      <c r="T31" s="82">
        <f>'Rock Climbing Log'!T31</f>
        <v>0</v>
      </c>
      <c r="U31" s="83">
        <f>'Rock Climbing Log'!U31</f>
        <v>0</v>
      </c>
      <c r="V31" s="81">
        <f>'Rock Climbing Log'!V31</f>
        <v>0</v>
      </c>
      <c r="W31" s="82">
        <f>'Rock Climbing Log'!W31</f>
        <v>0</v>
      </c>
      <c r="X31" s="83">
        <f>'Rock Climbing Log'!X31</f>
        <v>0</v>
      </c>
      <c r="Y31" s="81">
        <f>'Rock Climbing Log'!Y31</f>
        <v>0</v>
      </c>
      <c r="Z31" s="82">
        <f>'Rock Climbing Log'!Z31</f>
        <v>0</v>
      </c>
      <c r="AA31" s="83">
        <f>'Rock Climbing Log'!AA31</f>
        <v>0</v>
      </c>
      <c r="AB31" s="81">
        <f>'Rock Climbing Log'!AB31</f>
        <v>0</v>
      </c>
      <c r="AC31" s="82">
        <f>'Rock Climbing Log'!AC31</f>
        <v>0</v>
      </c>
      <c r="AD31" s="83">
        <f>'Rock Climbing Log'!AD31</f>
        <v>0</v>
      </c>
      <c r="AE31" s="81">
        <f>'Rock Climbing Log'!AE31</f>
        <v>0</v>
      </c>
      <c r="AF31" s="82">
        <f>'Rock Climbing Log'!AF31</f>
        <v>0</v>
      </c>
      <c r="AG31" s="83">
        <f>'Rock Climbing Log'!AG31</f>
        <v>0</v>
      </c>
      <c r="AH31" s="81">
        <f>'Rock Climbing Log'!AH31</f>
        <v>0</v>
      </c>
      <c r="AI31" s="82">
        <f>'Rock Climbing Log'!AI31</f>
        <v>0</v>
      </c>
      <c r="AJ31" s="83">
        <f>'Rock Climbing Log'!AJ31</f>
        <v>0</v>
      </c>
      <c r="AK31" s="81">
        <f>'Rock Climbing Log'!AK31</f>
        <v>0</v>
      </c>
      <c r="AL31" s="82">
        <f>'Rock Climbing Log'!AL31</f>
        <v>0</v>
      </c>
      <c r="AM31" s="83">
        <f>'Rock Climbing Log'!AM31</f>
        <v>0</v>
      </c>
      <c r="AN31" s="81">
        <f>'Rock Climbing Log'!AN31</f>
        <v>0</v>
      </c>
      <c r="AO31" s="82">
        <f>'Rock Climbing Log'!AO31</f>
        <v>0</v>
      </c>
      <c r="AP31" s="83">
        <f>'Rock Climbing Log'!AP31</f>
        <v>0</v>
      </c>
      <c r="AQ31" s="81">
        <f>'Rock Climbing Log'!AQ31</f>
        <v>0</v>
      </c>
      <c r="AR31" s="82">
        <f>'Rock Climbing Log'!AR31</f>
        <v>0</v>
      </c>
      <c r="AS31" s="83">
        <f>'Rock Climbing Log'!AS31</f>
        <v>0</v>
      </c>
      <c r="AT31" s="81">
        <f>'Rock Climbing Log'!AT31</f>
        <v>0</v>
      </c>
      <c r="AU31" s="82">
        <f>'Rock Climbing Log'!AU31</f>
        <v>0</v>
      </c>
      <c r="AV31" s="83">
        <f>'Rock Climbing Log'!AV31</f>
        <v>0</v>
      </c>
      <c r="AW31" s="66">
        <f ca="1">'RC Template'!AW31</f>
        <v>55.755000000000003</v>
      </c>
      <c r="AX31" s="66">
        <f ca="1">'RC Template'!BC31</f>
        <v>42.786782940620824</v>
      </c>
      <c r="AY31" s="75">
        <f>'Rock Climbing Log'!AY31</f>
        <v>0</v>
      </c>
      <c r="BA31" s="48" t="s">
        <v>175</v>
      </c>
      <c r="BB31" s="101" t="str">
        <f ca="1">VLOOKUP(BA31,'RC Lookup'!$O$3:$P$50,2,FALSE)</f>
        <v>T4</v>
      </c>
      <c r="BC31" s="49">
        <f t="shared" ca="1" si="7"/>
        <v>67.966165905830437</v>
      </c>
      <c r="BD31" s="49">
        <f ca="1">IF(COUNTIFS('RC Template'!$C:$C,'Rock Climbing Reports'!$BH31)&lt;2.9,AVERAGEIFS('RC Template'!$BC:$BC,'RC Template'!$C:$C,'Rock Climbing Reports'!$BH31),VLOOKUP(_xlfn.MAXIFS('RC Template'!$A$8:$A$280,'RC Template'!$C$8:$C$280,'Rock Climbing Reports'!BH31),'RC Template'!$A$7:$BF$280,56,FALSE))</f>
        <v>65.5173108368501</v>
      </c>
      <c r="BE31" s="61">
        <f t="shared" ca="1" si="8"/>
        <v>64.43101080367056</v>
      </c>
      <c r="BH31" s="48" t="s">
        <v>175</v>
      </c>
      <c r="BI31" s="49">
        <f t="shared" ca="1" si="9"/>
        <v>138.38116333173295</v>
      </c>
      <c r="BJ31" s="49">
        <f ca="1">IF(COUNTIFS('RC Template'!$C:$C,'Rock Climbing Reports'!$BH31)&lt;2.9,AVERAGEIFS('RC Template'!$AW:$AW,'RC Template'!$C:$C,'Rock Climbing Reports'!$BH31),VLOOKUP(_xlfn.MAXIFS('RC Template'!$A$8:$A$280,'RC Template'!$C$8:$C$280,'Rock Climbing Reports'!BH31),'RC Template'!$A$7:$AX$280,50,FALSE))</f>
        <v>133.3952205650653</v>
      </c>
      <c r="BK31" s="61">
        <f t="shared" ca="1" si="10"/>
        <v>131.18348093969104</v>
      </c>
    </row>
    <row r="32" spans="1:67" ht="15" thickBot="1" x14ac:dyDescent="0.35">
      <c r="A32" s="28">
        <f t="shared" si="0"/>
        <v>25</v>
      </c>
      <c r="B32" s="19">
        <f>'Rock Climbing Log'!B32</f>
        <v>43128</v>
      </c>
      <c r="C32" s="24" t="str">
        <f>'Rock Climbing Log'!C32</f>
        <v>Sameena</v>
      </c>
      <c r="D32" s="81">
        <f>'Rock Climbing Log'!D32</f>
        <v>0</v>
      </c>
      <c r="E32" s="82">
        <f>'Rock Climbing Log'!E32</f>
        <v>0</v>
      </c>
      <c r="F32" s="83">
        <f>'Rock Climbing Log'!F32</f>
        <v>0</v>
      </c>
      <c r="G32" s="81">
        <f>'Rock Climbing Log'!G32</f>
        <v>0</v>
      </c>
      <c r="H32" s="82">
        <f>'Rock Climbing Log'!H32</f>
        <v>0</v>
      </c>
      <c r="I32" s="83">
        <f>'Rock Climbing Log'!I32</f>
        <v>0</v>
      </c>
      <c r="J32" s="81">
        <f>'Rock Climbing Log'!J32</f>
        <v>0</v>
      </c>
      <c r="K32" s="82">
        <f>'Rock Climbing Log'!K32</f>
        <v>0</v>
      </c>
      <c r="L32" s="83">
        <f>'Rock Climbing Log'!L32</f>
        <v>0</v>
      </c>
      <c r="M32" s="81" t="str">
        <f>'Rock Climbing Log'!M32</f>
        <v>F</v>
      </c>
      <c r="N32" s="82">
        <f>'Rock Climbing Log'!N32</f>
        <v>0</v>
      </c>
      <c r="O32" s="83">
        <f>'Rock Climbing Log'!O32</f>
        <v>0</v>
      </c>
      <c r="P32" s="81" t="str">
        <f>'Rock Climbing Log'!P32</f>
        <v>F</v>
      </c>
      <c r="Q32" s="82">
        <f>'Rock Climbing Log'!Q32</f>
        <v>0</v>
      </c>
      <c r="R32" s="83">
        <f>'Rock Climbing Log'!R32</f>
        <v>0</v>
      </c>
      <c r="S32" s="81">
        <f>'Rock Climbing Log'!S32</f>
        <v>0</v>
      </c>
      <c r="T32" s="82">
        <f>'Rock Climbing Log'!T32</f>
        <v>0</v>
      </c>
      <c r="U32" s="83">
        <f>'Rock Climbing Log'!U32</f>
        <v>0</v>
      </c>
      <c r="V32" s="81" t="str">
        <f>'Rock Climbing Log'!V32</f>
        <v>F</v>
      </c>
      <c r="W32" s="82" t="str">
        <f>'Rock Climbing Log'!W32</f>
        <v>F</v>
      </c>
      <c r="X32" s="83">
        <f>'Rock Climbing Log'!X32</f>
        <v>0</v>
      </c>
      <c r="Y32" s="81">
        <f>'Rock Climbing Log'!Y32</f>
        <v>0</v>
      </c>
      <c r="Z32" s="82">
        <f>'Rock Climbing Log'!Z32</f>
        <v>0</v>
      </c>
      <c r="AA32" s="83">
        <f>'Rock Climbing Log'!AA32</f>
        <v>0</v>
      </c>
      <c r="AB32" s="81" t="str">
        <f>'Rock Climbing Log'!AB32</f>
        <v>F</v>
      </c>
      <c r="AC32" s="82">
        <f>'Rock Climbing Log'!AC32</f>
        <v>0</v>
      </c>
      <c r="AD32" s="83">
        <f>'Rock Climbing Log'!AD32</f>
        <v>0</v>
      </c>
      <c r="AE32" s="81">
        <f>'Rock Climbing Log'!AE32</f>
        <v>0</v>
      </c>
      <c r="AF32" s="82">
        <f>'Rock Climbing Log'!AF32</f>
        <v>0</v>
      </c>
      <c r="AG32" s="83">
        <f>'Rock Climbing Log'!AG32</f>
        <v>0</v>
      </c>
      <c r="AH32" s="81">
        <f>'Rock Climbing Log'!AH32</f>
        <v>0</v>
      </c>
      <c r="AI32" s="82">
        <f>'Rock Climbing Log'!AI32</f>
        <v>0</v>
      </c>
      <c r="AJ32" s="83">
        <f>'Rock Climbing Log'!AJ32</f>
        <v>0</v>
      </c>
      <c r="AK32" s="81">
        <f>'Rock Climbing Log'!AK32</f>
        <v>0</v>
      </c>
      <c r="AL32" s="82">
        <f>'Rock Climbing Log'!AL32</f>
        <v>0</v>
      </c>
      <c r="AM32" s="83">
        <f>'Rock Climbing Log'!AM32</f>
        <v>0</v>
      </c>
      <c r="AN32" s="81">
        <f>'Rock Climbing Log'!AN32</f>
        <v>0</v>
      </c>
      <c r="AO32" s="82">
        <f>'Rock Climbing Log'!AO32</f>
        <v>0</v>
      </c>
      <c r="AP32" s="83">
        <f>'Rock Climbing Log'!AP32</f>
        <v>0</v>
      </c>
      <c r="AQ32" s="81">
        <f>'Rock Climbing Log'!AQ32</f>
        <v>0</v>
      </c>
      <c r="AR32" s="82">
        <f>'Rock Climbing Log'!AR32</f>
        <v>0</v>
      </c>
      <c r="AS32" s="83">
        <f>'Rock Climbing Log'!AS32</f>
        <v>0</v>
      </c>
      <c r="AT32" s="81">
        <f>'Rock Climbing Log'!AT32</f>
        <v>0</v>
      </c>
      <c r="AU32" s="82">
        <f>'Rock Climbing Log'!AU32</f>
        <v>0</v>
      </c>
      <c r="AV32" s="83">
        <f>'Rock Climbing Log'!AV32</f>
        <v>0</v>
      </c>
      <c r="AW32" s="66">
        <f ca="1">'RC Template'!AW32</f>
        <v>124.54826206356827</v>
      </c>
      <c r="AX32" s="66">
        <f ca="1">'RC Template'!BC32</f>
        <v>61.17211070413191</v>
      </c>
      <c r="AY32" s="75" t="str">
        <f>'Rock Climbing Log'!AY32</f>
        <v>Assumed Values from EW</v>
      </c>
      <c r="BA32" s="103" t="s">
        <v>174</v>
      </c>
      <c r="BB32" s="104" t="str">
        <f>VLOOKUP(BA32,'RC Lookup'!$O$3:$P$50,2,FALSE)</f>
        <v>T1</v>
      </c>
      <c r="BC32" s="105">
        <f t="shared" ca="1" si="7"/>
        <v>229.76813947667526</v>
      </c>
      <c r="BD32" s="105">
        <f ca="1">IF(COUNTIFS('RC Template'!$C:$C,'Rock Climbing Reports'!$BH32)&lt;2.9,AVERAGEIFS('RC Template'!$BC:$BC,'RC Template'!$C:$C,'Rock Climbing Reports'!$BH32),VLOOKUP(_xlfn.MAXIFS('RC Template'!$A$8:$A$280,'RC Template'!$C$8:$C$280,'Rock Climbing Reports'!BH32),'RC Template'!$A$7:$BF$280,56,FALSE))</f>
        <v>223.52243140663256</v>
      </c>
      <c r="BE32" s="92">
        <f t="shared" ca="1" si="8"/>
        <v>161.46996067049218</v>
      </c>
      <c r="BH32" s="48" t="s">
        <v>174</v>
      </c>
      <c r="BI32" s="49">
        <f t="shared" ca="1" si="9"/>
        <v>137.87811629646592</v>
      </c>
      <c r="BJ32" s="49">
        <f ca="1">IF(COUNTIFS('RC Template'!$C:$C,'Rock Climbing Reports'!$BH32)&lt;2.9,AVERAGEIFS('RC Template'!$AW:$AW,'RC Template'!$C:$C,'Rock Climbing Reports'!$BH32),VLOOKUP(_xlfn.MAXIFS('RC Template'!$A$8:$A$280,'RC Template'!$C$8:$C$280,'Rock Climbing Reports'!BH32),'RC Template'!$A$7:$AX$280,50,FALSE))</f>
        <v>134.13022302633507</v>
      </c>
      <c r="BK32" s="61">
        <f t="shared" ca="1" si="10"/>
        <v>96.89408664934561</v>
      </c>
    </row>
    <row r="33" spans="1:67" ht="15" thickBot="1" x14ac:dyDescent="0.35">
      <c r="A33" s="28">
        <f t="shared" si="0"/>
        <v>26</v>
      </c>
      <c r="B33" s="19">
        <f>'Rock Climbing Log'!B33</f>
        <v>43128</v>
      </c>
      <c r="C33" s="24" t="str">
        <f>'Rock Climbing Log'!C33</f>
        <v>Edwin</v>
      </c>
      <c r="D33" s="81">
        <f>'Rock Climbing Log'!D33</f>
        <v>0</v>
      </c>
      <c r="E33" s="82">
        <f>'Rock Climbing Log'!E33</f>
        <v>0</v>
      </c>
      <c r="F33" s="83">
        <f>'Rock Climbing Log'!F33</f>
        <v>0</v>
      </c>
      <c r="G33" s="81">
        <f>'Rock Climbing Log'!G33</f>
        <v>0</v>
      </c>
      <c r="H33" s="82">
        <f>'Rock Climbing Log'!H33</f>
        <v>0</v>
      </c>
      <c r="I33" s="83">
        <f>'Rock Climbing Log'!I33</f>
        <v>0</v>
      </c>
      <c r="J33" s="81">
        <f>'Rock Climbing Log'!J33</f>
        <v>0</v>
      </c>
      <c r="K33" s="82">
        <f>'Rock Climbing Log'!K33</f>
        <v>0</v>
      </c>
      <c r="L33" s="83">
        <f>'Rock Climbing Log'!L33</f>
        <v>0</v>
      </c>
      <c r="M33" s="81" t="str">
        <f>'Rock Climbing Log'!M33</f>
        <v>F</v>
      </c>
      <c r="N33" s="82">
        <f>'Rock Climbing Log'!N33</f>
        <v>0</v>
      </c>
      <c r="O33" s="83">
        <f>'Rock Climbing Log'!O33</f>
        <v>0</v>
      </c>
      <c r="P33" s="81" t="str">
        <f>'Rock Climbing Log'!P33</f>
        <v>F</v>
      </c>
      <c r="Q33" s="82" t="str">
        <f>'Rock Climbing Log'!Q33</f>
        <v>A</v>
      </c>
      <c r="R33" s="83">
        <f>'Rock Climbing Log'!R33</f>
        <v>0</v>
      </c>
      <c r="S33" s="81">
        <f>'Rock Climbing Log'!S33</f>
        <v>0</v>
      </c>
      <c r="T33" s="82">
        <f>'Rock Climbing Log'!T33</f>
        <v>0</v>
      </c>
      <c r="U33" s="83">
        <f>'Rock Climbing Log'!U33</f>
        <v>0</v>
      </c>
      <c r="V33" s="81" t="str">
        <f>'Rock Climbing Log'!V33</f>
        <v>F</v>
      </c>
      <c r="W33" s="82">
        <f>'Rock Climbing Log'!W33</f>
        <v>0</v>
      </c>
      <c r="X33" s="83">
        <f>'Rock Climbing Log'!X33</f>
        <v>0</v>
      </c>
      <c r="Y33" s="81">
        <f>'Rock Climbing Log'!Y33</f>
        <v>0</v>
      </c>
      <c r="Z33" s="82">
        <f>'Rock Climbing Log'!Z33</f>
        <v>0</v>
      </c>
      <c r="AA33" s="83">
        <f>'Rock Climbing Log'!AA33</f>
        <v>0</v>
      </c>
      <c r="AB33" s="81" t="str">
        <f>'Rock Climbing Log'!AB33</f>
        <v>F</v>
      </c>
      <c r="AC33" s="82">
        <f>'Rock Climbing Log'!AC33</f>
        <v>0</v>
      </c>
      <c r="AD33" s="83">
        <f>'Rock Climbing Log'!AD33</f>
        <v>0</v>
      </c>
      <c r="AE33" s="81">
        <f>'Rock Climbing Log'!AE33</f>
        <v>0</v>
      </c>
      <c r="AF33" s="82">
        <f>'Rock Climbing Log'!AF33</f>
        <v>0</v>
      </c>
      <c r="AG33" s="83">
        <f>'Rock Climbing Log'!AG33</f>
        <v>0</v>
      </c>
      <c r="AH33" s="81">
        <f>'Rock Climbing Log'!AH33</f>
        <v>0</v>
      </c>
      <c r="AI33" s="82">
        <f>'Rock Climbing Log'!AI33</f>
        <v>0</v>
      </c>
      <c r="AJ33" s="83">
        <f>'Rock Climbing Log'!AJ33</f>
        <v>0</v>
      </c>
      <c r="AK33" s="81">
        <f>'Rock Climbing Log'!AK33</f>
        <v>0</v>
      </c>
      <c r="AL33" s="82">
        <f>'Rock Climbing Log'!AL33</f>
        <v>0</v>
      </c>
      <c r="AM33" s="83">
        <f>'Rock Climbing Log'!AM33</f>
        <v>0</v>
      </c>
      <c r="AN33" s="81">
        <f>'Rock Climbing Log'!AN33</f>
        <v>0</v>
      </c>
      <c r="AO33" s="82">
        <f>'Rock Climbing Log'!AO33</f>
        <v>0</v>
      </c>
      <c r="AP33" s="83">
        <f>'Rock Climbing Log'!AP33</f>
        <v>0</v>
      </c>
      <c r="AQ33" s="81">
        <f>'Rock Climbing Log'!AQ33</f>
        <v>0</v>
      </c>
      <c r="AR33" s="82">
        <f>'Rock Climbing Log'!AR33</f>
        <v>0</v>
      </c>
      <c r="AS33" s="83">
        <f>'Rock Climbing Log'!AS33</f>
        <v>0</v>
      </c>
      <c r="AT33" s="81">
        <f>'Rock Climbing Log'!AT33</f>
        <v>0</v>
      </c>
      <c r="AU33" s="82">
        <f>'Rock Climbing Log'!AU33</f>
        <v>0</v>
      </c>
      <c r="AV33" s="83">
        <f>'Rock Climbing Log'!AV33</f>
        <v>0</v>
      </c>
      <c r="AW33" s="66">
        <f ca="1">'RC Template'!AW33</f>
        <v>113.21450632116824</v>
      </c>
      <c r="AX33" s="66">
        <f ca="1">'RC Template'!BC33</f>
        <v>86.881616136550448</v>
      </c>
      <c r="AY33" s="75" t="str">
        <f>'Rock Climbing Log'!AY33</f>
        <v>Assumed Values from EW</v>
      </c>
      <c r="BH33" s="53" t="s">
        <v>50</v>
      </c>
      <c r="BI33" s="54">
        <f ca="1">SUM(BI$26:BI$32)/COUNTA($BH$26:$BH$32)</f>
        <v>156.3229699567691</v>
      </c>
      <c r="BJ33" s="54">
        <f ca="1">SUM(BJ$26:BJ$32)/COUNTA($BH$26:$BH$32)</f>
        <v>143.62757649009683</v>
      </c>
      <c r="BK33" s="55">
        <f ca="1">SUM(BK$26:BK$32)/COUNTA($BH$26:$BH$32)</f>
        <v>113.8104342755549</v>
      </c>
    </row>
    <row r="34" spans="1:67" ht="15" thickBot="1" x14ac:dyDescent="0.35">
      <c r="A34" s="28">
        <f t="shared" si="0"/>
        <v>27</v>
      </c>
      <c r="B34" s="19">
        <f>'Rock Climbing Log'!B34</f>
        <v>43130</v>
      </c>
      <c r="C34" s="24" t="str">
        <f>'Rock Climbing Log'!C34</f>
        <v>Lester</v>
      </c>
      <c r="D34" s="81">
        <f>'Rock Climbing Log'!D34</f>
        <v>0</v>
      </c>
      <c r="E34" s="82">
        <f>'Rock Climbing Log'!E34</f>
        <v>0</v>
      </c>
      <c r="F34" s="83">
        <f>'Rock Climbing Log'!F34</f>
        <v>0</v>
      </c>
      <c r="G34" s="81">
        <f>'Rock Climbing Log'!G34</f>
        <v>0</v>
      </c>
      <c r="H34" s="82">
        <f>'Rock Climbing Log'!H34</f>
        <v>0</v>
      </c>
      <c r="I34" s="83">
        <f>'Rock Climbing Log'!I34</f>
        <v>0</v>
      </c>
      <c r="J34" s="81">
        <f>'Rock Climbing Log'!J34</f>
        <v>0</v>
      </c>
      <c r="K34" s="82">
        <f>'Rock Climbing Log'!K34</f>
        <v>0</v>
      </c>
      <c r="L34" s="83">
        <f>'Rock Climbing Log'!L34</f>
        <v>0</v>
      </c>
      <c r="M34" s="81" t="str">
        <f>'Rock Climbing Log'!M34</f>
        <v>F</v>
      </c>
      <c r="N34" s="82">
        <f>'Rock Climbing Log'!N34</f>
        <v>0</v>
      </c>
      <c r="O34" s="83">
        <f>'Rock Climbing Log'!O34</f>
        <v>0</v>
      </c>
      <c r="P34" s="81">
        <f>'Rock Climbing Log'!P34</f>
        <v>0</v>
      </c>
      <c r="Q34" s="82">
        <f>'Rock Climbing Log'!Q34</f>
        <v>0</v>
      </c>
      <c r="R34" s="83">
        <f>'Rock Climbing Log'!R34</f>
        <v>0</v>
      </c>
      <c r="S34" s="81">
        <f>'Rock Climbing Log'!S34</f>
        <v>0</v>
      </c>
      <c r="T34" s="82">
        <f>'Rock Climbing Log'!T34</f>
        <v>0</v>
      </c>
      <c r="U34" s="83">
        <f>'Rock Climbing Log'!U34</f>
        <v>0</v>
      </c>
      <c r="V34" s="81" t="str">
        <f>'Rock Climbing Log'!V34</f>
        <v>F</v>
      </c>
      <c r="W34" s="82">
        <f>'Rock Climbing Log'!W34</f>
        <v>0</v>
      </c>
      <c r="X34" s="83">
        <f>'Rock Climbing Log'!X34</f>
        <v>0</v>
      </c>
      <c r="Y34" s="81">
        <f>'Rock Climbing Log'!Y34</f>
        <v>0</v>
      </c>
      <c r="Z34" s="82">
        <f>'Rock Climbing Log'!Z34</f>
        <v>0</v>
      </c>
      <c r="AA34" s="83">
        <f>'Rock Climbing Log'!AA34</f>
        <v>0</v>
      </c>
      <c r="AB34" s="81">
        <f>'Rock Climbing Log'!AB34</f>
        <v>0</v>
      </c>
      <c r="AC34" s="82">
        <f>'Rock Climbing Log'!AC34</f>
        <v>0</v>
      </c>
      <c r="AD34" s="83">
        <f>'Rock Climbing Log'!AD34</f>
        <v>0</v>
      </c>
      <c r="AE34" s="81" t="str">
        <f>'Rock Climbing Log'!AE34</f>
        <v>F</v>
      </c>
      <c r="AF34" s="82" t="str">
        <f>'Rock Climbing Log'!AF34</f>
        <v>F</v>
      </c>
      <c r="AG34" s="83">
        <f>'Rock Climbing Log'!AG34</f>
        <v>0</v>
      </c>
      <c r="AH34" s="81">
        <f>'Rock Climbing Log'!AH34</f>
        <v>0</v>
      </c>
      <c r="AI34" s="82">
        <f>'Rock Climbing Log'!AI34</f>
        <v>0</v>
      </c>
      <c r="AJ34" s="83">
        <f>'Rock Climbing Log'!AJ34</f>
        <v>0</v>
      </c>
      <c r="AK34" s="81">
        <f>'Rock Climbing Log'!AK34</f>
        <v>0</v>
      </c>
      <c r="AL34" s="82">
        <f>'Rock Climbing Log'!AL34</f>
        <v>0</v>
      </c>
      <c r="AM34" s="83">
        <f>'Rock Climbing Log'!AM34</f>
        <v>0</v>
      </c>
      <c r="AN34" s="81">
        <f>'Rock Climbing Log'!AN34</f>
        <v>0</v>
      </c>
      <c r="AO34" s="82">
        <f>'Rock Climbing Log'!AO34</f>
        <v>0</v>
      </c>
      <c r="AP34" s="83">
        <f>'Rock Climbing Log'!AP34</f>
        <v>0</v>
      </c>
      <c r="AQ34" s="81" t="str">
        <f>'Rock Climbing Log'!AQ34</f>
        <v>A</v>
      </c>
      <c r="AR34" s="82">
        <f>'Rock Climbing Log'!AR34</f>
        <v>0</v>
      </c>
      <c r="AS34" s="83">
        <f>'Rock Climbing Log'!AS34</f>
        <v>0</v>
      </c>
      <c r="AT34" s="81">
        <f>'Rock Climbing Log'!AT34</f>
        <v>0</v>
      </c>
      <c r="AU34" s="82">
        <f>'Rock Climbing Log'!AU34</f>
        <v>0</v>
      </c>
      <c r="AV34" s="83">
        <f>'Rock Climbing Log'!AV34</f>
        <v>0</v>
      </c>
      <c r="AW34" s="66">
        <f ca="1">'RC Template'!AW34</f>
        <v>228.52558066953725</v>
      </c>
      <c r="AX34" s="66">
        <f ca="1">'RC Template'!BC34</f>
        <v>69.15465068349107</v>
      </c>
      <c r="AY34" s="75" t="str">
        <f>'Rock Climbing Log'!AY34</f>
        <v>Forgot to climb an actual 5 11- lol</v>
      </c>
    </row>
    <row r="35" spans="1:67" x14ac:dyDescent="0.3">
      <c r="A35" s="28">
        <f t="shared" si="0"/>
        <v>28</v>
      </c>
      <c r="B35" s="19">
        <f>'Rock Climbing Log'!B35</f>
        <v>43132</v>
      </c>
      <c r="C35" s="24" t="str">
        <f>'Rock Climbing Log'!C35</f>
        <v>Lester</v>
      </c>
      <c r="D35" s="81">
        <f>'Rock Climbing Log'!D35</f>
        <v>0</v>
      </c>
      <c r="E35" s="82">
        <f>'Rock Climbing Log'!E35</f>
        <v>0</v>
      </c>
      <c r="F35" s="83">
        <f>'Rock Climbing Log'!F35</f>
        <v>0</v>
      </c>
      <c r="G35" s="81" t="str">
        <f>'Rock Climbing Log'!G35</f>
        <v>F</v>
      </c>
      <c r="H35" s="82">
        <f>'Rock Climbing Log'!H35</f>
        <v>0</v>
      </c>
      <c r="I35" s="83">
        <f>'Rock Climbing Log'!I35</f>
        <v>0</v>
      </c>
      <c r="J35" s="81">
        <f>'Rock Climbing Log'!J35</f>
        <v>0</v>
      </c>
      <c r="K35" s="82">
        <f>'Rock Climbing Log'!K35</f>
        <v>0</v>
      </c>
      <c r="L35" s="83">
        <f>'Rock Climbing Log'!L35</f>
        <v>0</v>
      </c>
      <c r="M35" s="81">
        <f>'Rock Climbing Log'!M35</f>
        <v>0</v>
      </c>
      <c r="N35" s="82">
        <f>'Rock Climbing Log'!N35</f>
        <v>0</v>
      </c>
      <c r="O35" s="83">
        <f>'Rock Climbing Log'!O35</f>
        <v>0</v>
      </c>
      <c r="P35" s="81">
        <f>'Rock Climbing Log'!P35</f>
        <v>0</v>
      </c>
      <c r="Q35" s="82">
        <f>'Rock Climbing Log'!Q35</f>
        <v>0</v>
      </c>
      <c r="R35" s="83">
        <f>'Rock Climbing Log'!R35</f>
        <v>0</v>
      </c>
      <c r="S35" s="81">
        <f>'Rock Climbing Log'!S35</f>
        <v>0</v>
      </c>
      <c r="T35" s="82">
        <f>'Rock Climbing Log'!T35</f>
        <v>0</v>
      </c>
      <c r="U35" s="83">
        <f>'Rock Climbing Log'!U35</f>
        <v>0</v>
      </c>
      <c r="V35" s="81">
        <f>'Rock Climbing Log'!V35</f>
        <v>0</v>
      </c>
      <c r="W35" s="82">
        <f>'Rock Climbing Log'!W35</f>
        <v>0</v>
      </c>
      <c r="X35" s="83">
        <f>'Rock Climbing Log'!X35</f>
        <v>0</v>
      </c>
      <c r="Y35" s="81">
        <f>'Rock Climbing Log'!Y35</f>
        <v>0</v>
      </c>
      <c r="Z35" s="82">
        <f>'Rock Climbing Log'!Z35</f>
        <v>0</v>
      </c>
      <c r="AA35" s="83">
        <f>'Rock Climbing Log'!AA35</f>
        <v>0</v>
      </c>
      <c r="AB35" s="81">
        <f>'Rock Climbing Log'!AB35</f>
        <v>0</v>
      </c>
      <c r="AC35" s="82">
        <f>'Rock Climbing Log'!AC35</f>
        <v>0</v>
      </c>
      <c r="AD35" s="83">
        <f>'Rock Climbing Log'!AD35</f>
        <v>0</v>
      </c>
      <c r="AE35" s="81" t="str">
        <f>'Rock Climbing Log'!AE35</f>
        <v>F</v>
      </c>
      <c r="AF35" s="82" t="str">
        <f>'Rock Climbing Log'!AF35</f>
        <v>F</v>
      </c>
      <c r="AG35" s="83">
        <f>'Rock Climbing Log'!AG35</f>
        <v>0</v>
      </c>
      <c r="AH35" s="81">
        <f>'Rock Climbing Log'!AH35</f>
        <v>0</v>
      </c>
      <c r="AI35" s="82">
        <f>'Rock Climbing Log'!AI35</f>
        <v>0</v>
      </c>
      <c r="AJ35" s="83">
        <f>'Rock Climbing Log'!AJ35</f>
        <v>0</v>
      </c>
      <c r="AK35" s="81" t="str">
        <f>'Rock Climbing Log'!AK35</f>
        <v>F</v>
      </c>
      <c r="AL35" s="82" t="str">
        <f>'Rock Climbing Log'!AL35</f>
        <v>C1</v>
      </c>
      <c r="AM35" s="83">
        <f>'Rock Climbing Log'!AM35</f>
        <v>0</v>
      </c>
      <c r="AN35" s="81">
        <f>'Rock Climbing Log'!AN35</f>
        <v>0</v>
      </c>
      <c r="AO35" s="82">
        <f>'Rock Climbing Log'!AO35</f>
        <v>0</v>
      </c>
      <c r="AP35" s="83">
        <f>'Rock Climbing Log'!AP35</f>
        <v>0</v>
      </c>
      <c r="AQ35" s="81">
        <f>'Rock Climbing Log'!AQ35</f>
        <v>0</v>
      </c>
      <c r="AR35" s="82">
        <f>'Rock Climbing Log'!AR35</f>
        <v>0</v>
      </c>
      <c r="AS35" s="83">
        <f>'Rock Climbing Log'!AS35</f>
        <v>0</v>
      </c>
      <c r="AT35" s="81">
        <f>'Rock Climbing Log'!AT35</f>
        <v>0</v>
      </c>
      <c r="AU35" s="82">
        <f>'Rock Climbing Log'!AU35</f>
        <v>0</v>
      </c>
      <c r="AV35" s="83">
        <f>'Rock Climbing Log'!AV35</f>
        <v>0</v>
      </c>
      <c r="AW35" s="66">
        <f ca="1">'RC Template'!AW35</f>
        <v>277.15636946438019</v>
      </c>
      <c r="AX35" s="66">
        <f ca="1">'RC Template'!BC35</f>
        <v>83.870925341745533</v>
      </c>
      <c r="AY35" s="75">
        <f>'Rock Climbing Log'!AY35</f>
        <v>0</v>
      </c>
      <c r="BA35" s="147" t="s">
        <v>72</v>
      </c>
      <c r="BB35" s="148"/>
      <c r="BC35" s="148"/>
      <c r="BD35" s="148"/>
      <c r="BE35" s="149"/>
      <c r="BH35" s="147" t="s">
        <v>72</v>
      </c>
      <c r="BI35" s="148"/>
      <c r="BJ35" s="148"/>
      <c r="BK35" s="149"/>
    </row>
    <row r="36" spans="1:67" ht="15" thickBot="1" x14ac:dyDescent="0.35">
      <c r="A36" s="28">
        <f t="shared" si="0"/>
        <v>29</v>
      </c>
      <c r="B36" s="19">
        <f>'Rock Climbing Log'!B36</f>
        <v>43132</v>
      </c>
      <c r="C36" s="24" t="str">
        <f>'Rock Climbing Log'!C36</f>
        <v>Edwin</v>
      </c>
      <c r="D36" s="81" t="str">
        <f>'Rock Climbing Log'!D36</f>
        <v>F</v>
      </c>
      <c r="E36" s="82">
        <f>'Rock Climbing Log'!E36</f>
        <v>0</v>
      </c>
      <c r="F36" s="83">
        <f>'Rock Climbing Log'!F36</f>
        <v>0</v>
      </c>
      <c r="G36" s="81">
        <f>'Rock Climbing Log'!G36</f>
        <v>0</v>
      </c>
      <c r="H36" s="82">
        <f>'Rock Climbing Log'!H36</f>
        <v>0</v>
      </c>
      <c r="I36" s="83">
        <f>'Rock Climbing Log'!I36</f>
        <v>0</v>
      </c>
      <c r="J36" s="81">
        <f>'Rock Climbing Log'!J36</f>
        <v>0</v>
      </c>
      <c r="K36" s="82">
        <f>'Rock Climbing Log'!K36</f>
        <v>0</v>
      </c>
      <c r="L36" s="83">
        <f>'Rock Climbing Log'!L36</f>
        <v>0</v>
      </c>
      <c r="M36" s="81" t="str">
        <f>'Rock Climbing Log'!M36</f>
        <v>F</v>
      </c>
      <c r="N36" s="82">
        <f>'Rock Climbing Log'!N36</f>
        <v>0</v>
      </c>
      <c r="O36" s="83">
        <f>'Rock Climbing Log'!O36</f>
        <v>0</v>
      </c>
      <c r="P36" s="81">
        <f>'Rock Climbing Log'!P36</f>
        <v>0</v>
      </c>
      <c r="Q36" s="82">
        <f>'Rock Climbing Log'!Q36</f>
        <v>0</v>
      </c>
      <c r="R36" s="83">
        <f>'Rock Climbing Log'!R36</f>
        <v>0</v>
      </c>
      <c r="S36" s="81">
        <f>'Rock Climbing Log'!S36</f>
        <v>0</v>
      </c>
      <c r="T36" s="82">
        <f>'Rock Climbing Log'!T36</f>
        <v>0</v>
      </c>
      <c r="U36" s="83">
        <f>'Rock Climbing Log'!U36</f>
        <v>0</v>
      </c>
      <c r="V36" s="81" t="str">
        <f>'Rock Climbing Log'!V36</f>
        <v>C1</v>
      </c>
      <c r="W36" s="82">
        <f>'Rock Climbing Log'!W36</f>
        <v>0</v>
      </c>
      <c r="X36" s="83">
        <f>'Rock Climbing Log'!X36</f>
        <v>0</v>
      </c>
      <c r="Y36" s="81">
        <f>'Rock Climbing Log'!Y36</f>
        <v>0</v>
      </c>
      <c r="Z36" s="82">
        <f>'Rock Climbing Log'!Z36</f>
        <v>0</v>
      </c>
      <c r="AA36" s="83">
        <f>'Rock Climbing Log'!AA36</f>
        <v>0</v>
      </c>
      <c r="AB36" s="81" t="str">
        <f>'Rock Climbing Log'!AB36</f>
        <v>C3</v>
      </c>
      <c r="AC36" s="82">
        <f>'Rock Climbing Log'!AC36</f>
        <v>0</v>
      </c>
      <c r="AD36" s="83">
        <f>'Rock Climbing Log'!AD36</f>
        <v>0</v>
      </c>
      <c r="AE36" s="81">
        <f>'Rock Climbing Log'!AE36</f>
        <v>0</v>
      </c>
      <c r="AF36" s="82">
        <f>'Rock Climbing Log'!AF36</f>
        <v>0</v>
      </c>
      <c r="AG36" s="83">
        <f>'Rock Climbing Log'!AG36</f>
        <v>0</v>
      </c>
      <c r="AH36" s="81">
        <f>'Rock Climbing Log'!AH36</f>
        <v>0</v>
      </c>
      <c r="AI36" s="82">
        <f>'Rock Climbing Log'!AI36</f>
        <v>0</v>
      </c>
      <c r="AJ36" s="83">
        <f>'Rock Climbing Log'!AJ36</f>
        <v>0</v>
      </c>
      <c r="AK36" s="81">
        <f>'Rock Climbing Log'!AK36</f>
        <v>0</v>
      </c>
      <c r="AL36" s="82">
        <f>'Rock Climbing Log'!AL36</f>
        <v>0</v>
      </c>
      <c r="AM36" s="83">
        <f>'Rock Climbing Log'!AM36</f>
        <v>0</v>
      </c>
      <c r="AN36" s="81">
        <f>'Rock Climbing Log'!AN36</f>
        <v>0</v>
      </c>
      <c r="AO36" s="82">
        <f>'Rock Climbing Log'!AO36</f>
        <v>0</v>
      </c>
      <c r="AP36" s="83">
        <f>'Rock Climbing Log'!AP36</f>
        <v>0</v>
      </c>
      <c r="AQ36" s="81">
        <f>'Rock Climbing Log'!AQ36</f>
        <v>0</v>
      </c>
      <c r="AR36" s="82">
        <f>'Rock Climbing Log'!AR36</f>
        <v>0</v>
      </c>
      <c r="AS36" s="83">
        <f>'Rock Climbing Log'!AS36</f>
        <v>0</v>
      </c>
      <c r="AT36" s="81">
        <f>'Rock Climbing Log'!AT36</f>
        <v>0</v>
      </c>
      <c r="AU36" s="82">
        <f>'Rock Climbing Log'!AU36</f>
        <v>0</v>
      </c>
      <c r="AV36" s="83">
        <f>'Rock Climbing Log'!AV36</f>
        <v>0</v>
      </c>
      <c r="AW36" s="66">
        <f ca="1">'RC Template'!AW36</f>
        <v>91.124918920082052</v>
      </c>
      <c r="AX36" s="66">
        <f ca="1">'RC Template'!BC36</f>
        <v>69.929909897143261</v>
      </c>
      <c r="AY36" s="75">
        <f>'Rock Climbing Log'!AY36</f>
        <v>0</v>
      </c>
      <c r="BA36" s="153"/>
      <c r="BB36" s="154"/>
      <c r="BC36" s="154"/>
      <c r="BD36" s="154"/>
      <c r="BE36" s="155"/>
      <c r="BH36" s="153"/>
      <c r="BI36" s="154"/>
      <c r="BJ36" s="154"/>
      <c r="BK36" s="155"/>
    </row>
    <row r="37" spans="1:67" ht="14.4" customHeight="1" thickBot="1" x14ac:dyDescent="0.35">
      <c r="A37" s="28">
        <f t="shared" si="0"/>
        <v>30</v>
      </c>
      <c r="B37" s="19">
        <f>'Rock Climbing Log'!B37</f>
        <v>43134</v>
      </c>
      <c r="C37" s="24" t="str">
        <f>'Rock Climbing Log'!C37</f>
        <v>Lester</v>
      </c>
      <c r="D37" s="81">
        <f>'Rock Climbing Log'!D37</f>
        <v>0</v>
      </c>
      <c r="E37" s="82">
        <f>'Rock Climbing Log'!E37</f>
        <v>0</v>
      </c>
      <c r="F37" s="83">
        <f>'Rock Climbing Log'!F37</f>
        <v>0</v>
      </c>
      <c r="G37" s="81">
        <f>'Rock Climbing Log'!G37</f>
        <v>0</v>
      </c>
      <c r="H37" s="82">
        <f>'Rock Climbing Log'!H37</f>
        <v>0</v>
      </c>
      <c r="I37" s="83">
        <f>'Rock Climbing Log'!I37</f>
        <v>0</v>
      </c>
      <c r="J37" s="81">
        <f>'Rock Climbing Log'!J37</f>
        <v>0</v>
      </c>
      <c r="K37" s="82">
        <f>'Rock Climbing Log'!K37</f>
        <v>0</v>
      </c>
      <c r="L37" s="83">
        <f>'Rock Climbing Log'!L37</f>
        <v>0</v>
      </c>
      <c r="M37" s="81" t="str">
        <f>'Rock Climbing Log'!M37</f>
        <v>F</v>
      </c>
      <c r="N37" s="82">
        <f>'Rock Climbing Log'!N37</f>
        <v>0</v>
      </c>
      <c r="O37" s="83">
        <f>'Rock Climbing Log'!O37</f>
        <v>0</v>
      </c>
      <c r="P37" s="81">
        <f>'Rock Climbing Log'!P37</f>
        <v>0</v>
      </c>
      <c r="Q37" s="82">
        <f>'Rock Climbing Log'!Q37</f>
        <v>0</v>
      </c>
      <c r="R37" s="83">
        <f>'Rock Climbing Log'!R37</f>
        <v>0</v>
      </c>
      <c r="S37" s="81">
        <f>'Rock Climbing Log'!S37</f>
        <v>0</v>
      </c>
      <c r="T37" s="82">
        <f>'Rock Climbing Log'!T37</f>
        <v>0</v>
      </c>
      <c r="U37" s="83">
        <f>'Rock Climbing Log'!U37</f>
        <v>0</v>
      </c>
      <c r="V37" s="81" t="str">
        <f>'Rock Climbing Log'!V37</f>
        <v>F</v>
      </c>
      <c r="W37" s="82">
        <f>'Rock Climbing Log'!W37</f>
        <v>0</v>
      </c>
      <c r="X37" s="83">
        <f>'Rock Climbing Log'!X37</f>
        <v>0</v>
      </c>
      <c r="Y37" s="81">
        <f>'Rock Climbing Log'!Y37</f>
        <v>0</v>
      </c>
      <c r="Z37" s="82">
        <f>'Rock Climbing Log'!Z37</f>
        <v>0</v>
      </c>
      <c r="AA37" s="83">
        <f>'Rock Climbing Log'!AA37</f>
        <v>0</v>
      </c>
      <c r="AB37" s="81">
        <f>'Rock Climbing Log'!AB37</f>
        <v>0</v>
      </c>
      <c r="AC37" s="82">
        <f>'Rock Climbing Log'!AC37</f>
        <v>0</v>
      </c>
      <c r="AD37" s="83">
        <f>'Rock Climbing Log'!AD37</f>
        <v>0</v>
      </c>
      <c r="AE37" s="81" t="str">
        <f>'Rock Climbing Log'!AE37</f>
        <v>F</v>
      </c>
      <c r="AF37" s="82" t="str">
        <f>'Rock Climbing Log'!AF37</f>
        <v>F</v>
      </c>
      <c r="AG37" s="83">
        <f>'Rock Climbing Log'!AG37</f>
        <v>0</v>
      </c>
      <c r="AH37" s="81">
        <f>'Rock Climbing Log'!AH37</f>
        <v>0</v>
      </c>
      <c r="AI37" s="82">
        <f>'Rock Climbing Log'!AI37</f>
        <v>0</v>
      </c>
      <c r="AJ37" s="83">
        <f>'Rock Climbing Log'!AJ37</f>
        <v>0</v>
      </c>
      <c r="AK37" s="81" t="str">
        <f>'Rock Climbing Log'!AK37</f>
        <v>F</v>
      </c>
      <c r="AL37" s="82" t="str">
        <f>'Rock Climbing Log'!AL37</f>
        <v>C3</v>
      </c>
      <c r="AM37" s="83">
        <f>'Rock Climbing Log'!AM37</f>
        <v>0</v>
      </c>
      <c r="AN37" s="81" t="str">
        <f>'Rock Climbing Log'!AN37</f>
        <v>C5</v>
      </c>
      <c r="AO37" s="82">
        <f>'Rock Climbing Log'!AO37</f>
        <v>0</v>
      </c>
      <c r="AP37" s="83">
        <f>'Rock Climbing Log'!AP37</f>
        <v>0</v>
      </c>
      <c r="AQ37" s="81" t="str">
        <f>'Rock Climbing Log'!AQ37</f>
        <v>A</v>
      </c>
      <c r="AR37" s="82">
        <f>'Rock Climbing Log'!AR37</f>
        <v>0</v>
      </c>
      <c r="AS37" s="83">
        <f>'Rock Climbing Log'!AS37</f>
        <v>0</v>
      </c>
      <c r="AT37" s="81">
        <f>'Rock Climbing Log'!AT37</f>
        <v>0</v>
      </c>
      <c r="AU37" s="82">
        <f>'Rock Climbing Log'!AU37</f>
        <v>0</v>
      </c>
      <c r="AV37" s="83">
        <f>'Rock Climbing Log'!AV37</f>
        <v>0</v>
      </c>
      <c r="AW37" s="66">
        <f ca="1">'RC Template'!AW37</f>
        <v>286.97854356828344</v>
      </c>
      <c r="AX37" s="66">
        <f ca="1">'RC Template'!BC37</f>
        <v>86.843236000000019</v>
      </c>
      <c r="AY37" s="75">
        <f>'Rock Climbing Log'!AY37</f>
        <v>0</v>
      </c>
      <c r="BA37" s="17" t="s">
        <v>15</v>
      </c>
      <c r="BB37" s="17" t="s">
        <v>132</v>
      </c>
      <c r="BC37" s="58" t="s">
        <v>52</v>
      </c>
      <c r="BD37" s="50" t="s">
        <v>74</v>
      </c>
      <c r="BE37" s="16" t="s">
        <v>73</v>
      </c>
      <c r="BH37" s="17" t="s">
        <v>15</v>
      </c>
      <c r="BI37" s="58" t="s">
        <v>52</v>
      </c>
      <c r="BJ37" s="50" t="s">
        <v>74</v>
      </c>
      <c r="BK37" s="16" t="s">
        <v>73</v>
      </c>
    </row>
    <row r="38" spans="1:67" ht="15" customHeight="1" thickTop="1" x14ac:dyDescent="0.3">
      <c r="A38" s="28">
        <f t="shared" si="0"/>
        <v>31</v>
      </c>
      <c r="B38" s="19">
        <f>'Rock Climbing Log'!B38</f>
        <v>43134</v>
      </c>
      <c r="C38" s="24" t="str">
        <f>'Rock Climbing Log'!C38</f>
        <v>Sameena</v>
      </c>
      <c r="D38" s="81">
        <f>'Rock Climbing Log'!D38</f>
        <v>0</v>
      </c>
      <c r="E38" s="82">
        <f>'Rock Climbing Log'!E38</f>
        <v>0</v>
      </c>
      <c r="F38" s="83">
        <f>'Rock Climbing Log'!F38</f>
        <v>0</v>
      </c>
      <c r="G38" s="81">
        <f>'Rock Climbing Log'!G38</f>
        <v>0</v>
      </c>
      <c r="H38" s="82">
        <f>'Rock Climbing Log'!H38</f>
        <v>0</v>
      </c>
      <c r="I38" s="83">
        <f>'Rock Climbing Log'!I38</f>
        <v>0</v>
      </c>
      <c r="J38" s="81">
        <f>'Rock Climbing Log'!J38</f>
        <v>0</v>
      </c>
      <c r="K38" s="82">
        <f>'Rock Climbing Log'!K38</f>
        <v>0</v>
      </c>
      <c r="L38" s="83">
        <f>'Rock Climbing Log'!L38</f>
        <v>0</v>
      </c>
      <c r="M38" s="81">
        <f>'Rock Climbing Log'!M38</f>
        <v>0</v>
      </c>
      <c r="N38" s="82">
        <f>'Rock Climbing Log'!N38</f>
        <v>0</v>
      </c>
      <c r="O38" s="83">
        <f>'Rock Climbing Log'!O38</f>
        <v>0</v>
      </c>
      <c r="P38" s="81">
        <f>'Rock Climbing Log'!P38</f>
        <v>0</v>
      </c>
      <c r="Q38" s="82">
        <f>'Rock Climbing Log'!Q38</f>
        <v>0</v>
      </c>
      <c r="R38" s="83">
        <f>'Rock Climbing Log'!R38</f>
        <v>0</v>
      </c>
      <c r="S38" s="81">
        <f>'Rock Climbing Log'!S38</f>
        <v>0</v>
      </c>
      <c r="T38" s="82">
        <f>'Rock Climbing Log'!T38</f>
        <v>0</v>
      </c>
      <c r="U38" s="83">
        <f>'Rock Climbing Log'!U38</f>
        <v>0</v>
      </c>
      <c r="V38" s="81" t="str">
        <f>'Rock Climbing Log'!V38</f>
        <v>F</v>
      </c>
      <c r="W38" s="82" t="str">
        <f>'Rock Climbing Log'!W38</f>
        <v>F</v>
      </c>
      <c r="X38" s="83">
        <f>'Rock Climbing Log'!X38</f>
        <v>0</v>
      </c>
      <c r="Y38" s="81">
        <f>'Rock Climbing Log'!Y38</f>
        <v>0</v>
      </c>
      <c r="Z38" s="82">
        <f>'Rock Climbing Log'!Z38</f>
        <v>0</v>
      </c>
      <c r="AA38" s="83">
        <f>'Rock Climbing Log'!AA38</f>
        <v>0</v>
      </c>
      <c r="AB38" s="81" t="str">
        <f>'Rock Climbing Log'!AB38</f>
        <v>C3</v>
      </c>
      <c r="AC38" s="82">
        <f>'Rock Climbing Log'!AC38</f>
        <v>0</v>
      </c>
      <c r="AD38" s="83">
        <f>'Rock Climbing Log'!AD38</f>
        <v>0</v>
      </c>
      <c r="AE38" s="81" t="str">
        <f>'Rock Climbing Log'!AE38</f>
        <v>C2</v>
      </c>
      <c r="AF38" s="82">
        <f>'Rock Climbing Log'!AF38</f>
        <v>0</v>
      </c>
      <c r="AG38" s="83">
        <f>'Rock Climbing Log'!AG38</f>
        <v>0</v>
      </c>
      <c r="AH38" s="81">
        <f>'Rock Climbing Log'!AH38</f>
        <v>0</v>
      </c>
      <c r="AI38" s="82">
        <f>'Rock Climbing Log'!AI38</f>
        <v>0</v>
      </c>
      <c r="AJ38" s="83">
        <f>'Rock Climbing Log'!AJ38</f>
        <v>0</v>
      </c>
      <c r="AK38" s="81">
        <f>'Rock Climbing Log'!AK38</f>
        <v>0</v>
      </c>
      <c r="AL38" s="82">
        <f>'Rock Climbing Log'!AL38</f>
        <v>0</v>
      </c>
      <c r="AM38" s="83">
        <f>'Rock Climbing Log'!AM38</f>
        <v>0</v>
      </c>
      <c r="AN38" s="81">
        <f>'Rock Climbing Log'!AN38</f>
        <v>0</v>
      </c>
      <c r="AO38" s="82">
        <f>'Rock Climbing Log'!AO38</f>
        <v>0</v>
      </c>
      <c r="AP38" s="83">
        <f>'Rock Climbing Log'!AP38</f>
        <v>0</v>
      </c>
      <c r="AQ38" s="81">
        <f>'Rock Climbing Log'!AQ38</f>
        <v>0</v>
      </c>
      <c r="AR38" s="82">
        <f>'Rock Climbing Log'!AR38</f>
        <v>0</v>
      </c>
      <c r="AS38" s="83">
        <f>'Rock Climbing Log'!AS38</f>
        <v>0</v>
      </c>
      <c r="AT38" s="81">
        <f>'Rock Climbing Log'!AT38</f>
        <v>0</v>
      </c>
      <c r="AU38" s="82">
        <f>'Rock Climbing Log'!AU38</f>
        <v>0</v>
      </c>
      <c r="AV38" s="83">
        <f>'Rock Climbing Log'!AV38</f>
        <v>0</v>
      </c>
      <c r="AW38" s="66">
        <f ca="1">'RC Template'!AW38</f>
        <v>129.6209076903377</v>
      </c>
      <c r="AX38" s="66">
        <f ca="1">'RC Template'!BC38</f>
        <v>63.663550044210325</v>
      </c>
      <c r="AY38" s="75">
        <f>'Rock Climbing Log'!AY38</f>
        <v>0</v>
      </c>
      <c r="BA38" s="56" t="str">
        <f>BA26</f>
        <v>Edwin</v>
      </c>
      <c r="BB38" s="56" t="str">
        <f ca="1">VLOOKUP(BA38,'RC Lookup'!$O$3:$P$50,2,FALSE)</f>
        <v>T3</v>
      </c>
      <c r="BC38" s="57">
        <f t="shared" ref="BC38:BC41" ca="1" si="11">IFERROR(BD38/BE38-1,0)</f>
        <v>4.2058281749625559E-2</v>
      </c>
      <c r="BD38" s="49">
        <f ca="1">IF(COUNTIFS('RC Template'!$C:$C,'Rock Climbing Reports'!$BH38)&lt;2.9,AVERAGEIFS('RC Template'!$BC:$BC,'RC Template'!$C:$C,'Rock Climbing Reports'!$BH38),VLOOKUP(_xlfn.MAXIFS('RC Template'!$A$8:$A$280,'RC Template'!$C$8:$C$280,'Rock Climbing Reports'!BA38),'RC Template'!$A$7:$BE$280,56,FALSE))</f>
        <v>93.981268818054843</v>
      </c>
      <c r="BE38" s="47">
        <f ca="1">IF(COUNTIFS('RC Template'!$C:$C,'Rock Climbing Reports'!$BH38)&lt;5.9,AVERAGEIFS('RC Template'!$BC:$BC,'RC Template'!$C:$C,'Rock Climbing Reports'!$BH38),VLOOKUP(_xlfn.MAXIFS('RC Template'!$A$8:$A$280,'RC Template'!$C$8:$C$280,'Rock Climbing Reports'!BA38),'RC Template'!$A$7:$BE$280,57,FALSE))</f>
        <v>90.188111801443014</v>
      </c>
      <c r="BH38" s="56" t="str">
        <f>BH26</f>
        <v>Edwin</v>
      </c>
      <c r="BI38" s="57">
        <f t="shared" ref="BI38:BI41" ca="1" si="12">IFERROR(BJ38/BK38-1,0)</f>
        <v>4.2058281749626003E-2</v>
      </c>
      <c r="BJ38" s="49">
        <f ca="1">IF(COUNTIFS('RC Template'!$C:$C,'Rock Climbing Reports'!$BH38)&lt;2.9,AVERAGEIFS('RC Template'!$AW:$AW,'RC Template'!$C:$C,'Rock Climbing Reports'!$BH38),VLOOKUP(_xlfn.MAXIFS('RC Template'!$A$8:$A$280,'RC Template'!$C$8:$C$280,'Rock Climbing Reports'!BH38),'RC Template'!$A$7:$AX$280,50,FALSE))</f>
        <v>122.46598792488274</v>
      </c>
      <c r="BK38" s="47">
        <f ca="1">IF(COUNTIFS('RC Template'!$C:$C,'Rock Climbing Reports'!$BH38)&lt;5.9,AVERAGEIFS('RC Template'!$AW:$AW,'RC Template'!$C:$C,'Rock Climbing Reports'!$BH38),VLOOKUP(_xlfn.MAXIFS('RC Template'!$A$8:$A$280,'RC Template'!$C$8:$C$280,'Rock Climbing Reports'!BH38),'RC Template'!$A$7:$AZ$280,52,FALSE))</f>
        <v>117.52316551744222</v>
      </c>
      <c r="BO38" s="63"/>
    </row>
    <row r="39" spans="1:67" x14ac:dyDescent="0.3">
      <c r="A39" s="28">
        <f t="shared" si="0"/>
        <v>32</v>
      </c>
      <c r="B39" s="19">
        <f>'Rock Climbing Log'!B39</f>
        <v>43134</v>
      </c>
      <c r="C39" s="24" t="str">
        <f>'Rock Climbing Log'!C39</f>
        <v>Michelle</v>
      </c>
      <c r="D39" s="81" t="str">
        <f>'Rock Climbing Log'!D39</f>
        <v>F</v>
      </c>
      <c r="E39" s="82">
        <f>'Rock Climbing Log'!E39</f>
        <v>0</v>
      </c>
      <c r="F39" s="83">
        <f>'Rock Climbing Log'!F39</f>
        <v>0</v>
      </c>
      <c r="G39" s="81">
        <f>'Rock Climbing Log'!G39</f>
        <v>0</v>
      </c>
      <c r="H39" s="82">
        <f>'Rock Climbing Log'!H39</f>
        <v>0</v>
      </c>
      <c r="I39" s="83">
        <f>'Rock Climbing Log'!I39</f>
        <v>0</v>
      </c>
      <c r="J39" s="81" t="str">
        <f>'Rock Climbing Log'!J39</f>
        <v>F</v>
      </c>
      <c r="K39" s="82" t="str">
        <f>'Rock Climbing Log'!K39</f>
        <v>F</v>
      </c>
      <c r="L39" s="83">
        <f>'Rock Climbing Log'!L39</f>
        <v>0</v>
      </c>
      <c r="M39" s="81" t="str">
        <f>'Rock Climbing Log'!M39</f>
        <v>C1</v>
      </c>
      <c r="N39" s="82" t="str">
        <f>'Rock Climbing Log'!N39</f>
        <v>A</v>
      </c>
      <c r="O39" s="83">
        <f>'Rock Climbing Log'!O39</f>
        <v>0</v>
      </c>
      <c r="P39" s="81" t="str">
        <f>'Rock Climbing Log'!P39</f>
        <v>A</v>
      </c>
      <c r="Q39" s="82">
        <f>'Rock Climbing Log'!Q39</f>
        <v>0</v>
      </c>
      <c r="R39" s="83">
        <f>'Rock Climbing Log'!R39</f>
        <v>0</v>
      </c>
      <c r="S39" s="81">
        <f>'Rock Climbing Log'!S39</f>
        <v>0</v>
      </c>
      <c r="T39" s="82">
        <f>'Rock Climbing Log'!T39</f>
        <v>0</v>
      </c>
      <c r="U39" s="83">
        <f>'Rock Climbing Log'!U39</f>
        <v>0</v>
      </c>
      <c r="V39" s="81" t="str">
        <f>'Rock Climbing Log'!V39</f>
        <v>A</v>
      </c>
      <c r="W39" s="82">
        <f>'Rock Climbing Log'!W39</f>
        <v>0</v>
      </c>
      <c r="X39" s="83">
        <f>'Rock Climbing Log'!X39</f>
        <v>0</v>
      </c>
      <c r="Y39" s="81">
        <f>'Rock Climbing Log'!Y39</f>
        <v>0</v>
      </c>
      <c r="Z39" s="82">
        <f>'Rock Climbing Log'!Z39</f>
        <v>0</v>
      </c>
      <c r="AA39" s="83">
        <f>'Rock Climbing Log'!AA39</f>
        <v>0</v>
      </c>
      <c r="AB39" s="81">
        <f>'Rock Climbing Log'!AB39</f>
        <v>0</v>
      </c>
      <c r="AC39" s="82">
        <f>'Rock Climbing Log'!AC39</f>
        <v>0</v>
      </c>
      <c r="AD39" s="83">
        <f>'Rock Climbing Log'!AD39</f>
        <v>0</v>
      </c>
      <c r="AE39" s="81">
        <f>'Rock Climbing Log'!AE39</f>
        <v>0</v>
      </c>
      <c r="AF39" s="82">
        <f>'Rock Climbing Log'!AF39</f>
        <v>0</v>
      </c>
      <c r="AG39" s="83">
        <f>'Rock Climbing Log'!AG39</f>
        <v>0</v>
      </c>
      <c r="AH39" s="81">
        <f>'Rock Climbing Log'!AH39</f>
        <v>0</v>
      </c>
      <c r="AI39" s="82">
        <f>'Rock Climbing Log'!AI39</f>
        <v>0</v>
      </c>
      <c r="AJ39" s="83">
        <f>'Rock Climbing Log'!AJ39</f>
        <v>0</v>
      </c>
      <c r="AK39" s="81">
        <f>'Rock Climbing Log'!AK39</f>
        <v>0</v>
      </c>
      <c r="AL39" s="82">
        <f>'Rock Climbing Log'!AL39</f>
        <v>0</v>
      </c>
      <c r="AM39" s="83">
        <f>'Rock Climbing Log'!AM39</f>
        <v>0</v>
      </c>
      <c r="AN39" s="81">
        <f>'Rock Climbing Log'!AN39</f>
        <v>0</v>
      </c>
      <c r="AO39" s="82">
        <f>'Rock Climbing Log'!AO39</f>
        <v>0</v>
      </c>
      <c r="AP39" s="83">
        <f>'Rock Climbing Log'!AP39</f>
        <v>0</v>
      </c>
      <c r="AQ39" s="81">
        <f>'Rock Climbing Log'!AQ39</f>
        <v>0</v>
      </c>
      <c r="AR39" s="82">
        <f>'Rock Climbing Log'!AR39</f>
        <v>0</v>
      </c>
      <c r="AS39" s="83">
        <f>'Rock Climbing Log'!AS39</f>
        <v>0</v>
      </c>
      <c r="AT39" s="81">
        <f>'Rock Climbing Log'!AT39</f>
        <v>0</v>
      </c>
      <c r="AU39" s="82">
        <f>'Rock Climbing Log'!AU39</f>
        <v>0</v>
      </c>
      <c r="AV39" s="83">
        <f>'Rock Climbing Log'!AV39</f>
        <v>0</v>
      </c>
      <c r="AW39" s="66">
        <f ca="1">'RC Template'!AW39</f>
        <v>51.380622871200011</v>
      </c>
      <c r="AX39" s="66">
        <f ca="1">'RC Template'!BC39</f>
        <v>59.264649060221636</v>
      </c>
      <c r="AY39" s="75">
        <f>'Rock Climbing Log'!AY39</f>
        <v>0</v>
      </c>
      <c r="BA39" s="56" t="str">
        <f>BA27</f>
        <v>Jan</v>
      </c>
      <c r="BB39" s="56" t="str">
        <f ca="1">VLOOKUP(BA39,'RC Lookup'!$O$3:$P$50,2,FALSE)</f>
        <v>T3</v>
      </c>
      <c r="BC39" s="57">
        <f t="shared" ca="1" si="11"/>
        <v>0.41735661975303118</v>
      </c>
      <c r="BD39" s="49">
        <f ca="1">IF(COUNTIFS('RC Template'!$C:$C,'Rock Climbing Reports'!$BH39)&lt;2.9,AVERAGEIFS('RC Template'!$BC:$BC,'RC Template'!$C:$C,'Rock Climbing Reports'!$BH39),VLOOKUP(_xlfn.MAXIFS('RC Template'!$A$8:$A$280,'RC Template'!$C$8:$C$280,'Rock Climbing Reports'!BA39),'RC Template'!$A$7:$BE$280,56,FALSE))</f>
        <v>71.0366078976094</v>
      </c>
      <c r="BE39" s="47">
        <f ca="1">IF(COUNTIFS('RC Template'!$C:$C,'Rock Climbing Reports'!$BH39)&lt;5.9,AVERAGEIFS('RC Template'!$BC:$BC,'RC Template'!$C:$C,'Rock Climbing Reports'!$BH39),VLOOKUP(_xlfn.MAXIFS('RC Template'!$A$8:$A$280,'RC Template'!$C$8:$C$280,'Rock Climbing Reports'!BA39),'RC Template'!$A$7:$BE$280,57,FALSE))</f>
        <v>50.11907864796035</v>
      </c>
      <c r="BH39" s="56" t="str">
        <f>BH27</f>
        <v>Jan</v>
      </c>
      <c r="BI39" s="57">
        <f t="shared" ca="1" si="12"/>
        <v>0.41735661975303096</v>
      </c>
      <c r="BJ39" s="49">
        <f ca="1">IF(COUNTIFS('RC Template'!$C:$C,'Rock Climbing Reports'!$BH39)&lt;2.9,AVERAGEIFS('RC Template'!$AW:$AW,'RC Template'!$C:$C,'Rock Climbing Reports'!$BH39),VLOOKUP(_xlfn.MAXIFS('RC Template'!$A$8:$A$280,'RC Template'!$C$8:$C$280,'Rock Climbing Reports'!BH39),'RC Template'!$A$7:$AX$280,50,FALSE))</f>
        <v>92.567045267875514</v>
      </c>
      <c r="BK39" s="47">
        <f ca="1">IF(COUNTIFS('RC Template'!$C:$C,'Rock Climbing Reports'!$BH39)&lt;5.9,AVERAGEIFS('RC Template'!$AW:$AW,'RC Template'!$C:$C,'Rock Climbing Reports'!$BH39),VLOOKUP(_xlfn.MAXIFS('RC Template'!$A$8:$A$280,'RC Template'!$C$8:$C$280,'Rock Climbing Reports'!BH39),'RC Template'!$A$7:$AZ$280,52,FALSE))</f>
        <v>65.309636246666685</v>
      </c>
    </row>
    <row r="40" spans="1:67" x14ac:dyDescent="0.3">
      <c r="A40" s="28">
        <f t="shared" si="0"/>
        <v>33</v>
      </c>
      <c r="B40" s="19">
        <f>'Rock Climbing Log'!B40</f>
        <v>43137</v>
      </c>
      <c r="C40" s="24" t="str">
        <f>'Rock Climbing Log'!C40</f>
        <v>Lester</v>
      </c>
      <c r="D40" s="81">
        <f>'Rock Climbing Log'!D40</f>
        <v>0</v>
      </c>
      <c r="E40" s="82">
        <f>'Rock Climbing Log'!E40</f>
        <v>0</v>
      </c>
      <c r="F40" s="83">
        <f>'Rock Climbing Log'!F40</f>
        <v>0</v>
      </c>
      <c r="G40" s="81">
        <f>'Rock Climbing Log'!G40</f>
        <v>0</v>
      </c>
      <c r="H40" s="82">
        <f>'Rock Climbing Log'!H40</f>
        <v>0</v>
      </c>
      <c r="I40" s="83">
        <f>'Rock Climbing Log'!I40</f>
        <v>0</v>
      </c>
      <c r="J40" s="81">
        <f>'Rock Climbing Log'!J40</f>
        <v>0</v>
      </c>
      <c r="K40" s="82">
        <f>'Rock Climbing Log'!K40</f>
        <v>0</v>
      </c>
      <c r="L40" s="83">
        <f>'Rock Climbing Log'!L40</f>
        <v>0</v>
      </c>
      <c r="M40" s="81">
        <f>'Rock Climbing Log'!M40</f>
        <v>0</v>
      </c>
      <c r="N40" s="82">
        <f>'Rock Climbing Log'!N40</f>
        <v>0</v>
      </c>
      <c r="O40" s="83">
        <f>'Rock Climbing Log'!O40</f>
        <v>0</v>
      </c>
      <c r="P40" s="81">
        <f>'Rock Climbing Log'!P40</f>
        <v>0</v>
      </c>
      <c r="Q40" s="82">
        <f>'Rock Climbing Log'!Q40</f>
        <v>0</v>
      </c>
      <c r="R40" s="83">
        <f>'Rock Climbing Log'!R40</f>
        <v>0</v>
      </c>
      <c r="S40" s="81">
        <f>'Rock Climbing Log'!S40</f>
        <v>0</v>
      </c>
      <c r="T40" s="82">
        <f>'Rock Climbing Log'!T40</f>
        <v>0</v>
      </c>
      <c r="U40" s="83">
        <f>'Rock Climbing Log'!U40</f>
        <v>0</v>
      </c>
      <c r="V40" s="81" t="str">
        <f>'Rock Climbing Log'!V40</f>
        <v>F</v>
      </c>
      <c r="W40" s="82">
        <f>'Rock Climbing Log'!W40</f>
        <v>0</v>
      </c>
      <c r="X40" s="83">
        <f>'Rock Climbing Log'!X40</f>
        <v>0</v>
      </c>
      <c r="Y40" s="81">
        <f>'Rock Climbing Log'!Y40</f>
        <v>0</v>
      </c>
      <c r="Z40" s="82">
        <f>'Rock Climbing Log'!Z40</f>
        <v>0</v>
      </c>
      <c r="AA40" s="83">
        <f>'Rock Climbing Log'!AA40</f>
        <v>0</v>
      </c>
      <c r="AB40" s="81">
        <f>'Rock Climbing Log'!AB40</f>
        <v>0</v>
      </c>
      <c r="AC40" s="82">
        <f>'Rock Climbing Log'!AC40</f>
        <v>0</v>
      </c>
      <c r="AD40" s="83">
        <f>'Rock Climbing Log'!AD40</f>
        <v>0</v>
      </c>
      <c r="AE40" s="81" t="str">
        <f>'Rock Climbing Log'!AE40</f>
        <v>F</v>
      </c>
      <c r="AF40" s="82" t="str">
        <f>'Rock Climbing Log'!AF40</f>
        <v>F</v>
      </c>
      <c r="AG40" s="83">
        <f>'Rock Climbing Log'!AG40</f>
        <v>0</v>
      </c>
      <c r="AH40" s="81">
        <f>'Rock Climbing Log'!AH40</f>
        <v>0</v>
      </c>
      <c r="AI40" s="82">
        <f>'Rock Climbing Log'!AI40</f>
        <v>0</v>
      </c>
      <c r="AJ40" s="83">
        <f>'Rock Climbing Log'!AJ40</f>
        <v>0</v>
      </c>
      <c r="AK40" s="81" t="str">
        <f>'Rock Climbing Log'!AK40</f>
        <v>F</v>
      </c>
      <c r="AL40" s="82">
        <f>'Rock Climbing Log'!AL40</f>
        <v>0</v>
      </c>
      <c r="AM40" s="83">
        <f>'Rock Climbing Log'!AM40</f>
        <v>0</v>
      </c>
      <c r="AN40" s="81">
        <f>'Rock Climbing Log'!AN40</f>
        <v>0</v>
      </c>
      <c r="AO40" s="82">
        <f>'Rock Climbing Log'!AO40</f>
        <v>0</v>
      </c>
      <c r="AP40" s="83">
        <f>'Rock Climbing Log'!AP40</f>
        <v>0</v>
      </c>
      <c r="AQ40" s="81" t="str">
        <f>'Rock Climbing Log'!AQ40</f>
        <v>A</v>
      </c>
      <c r="AR40" s="82">
        <f>'Rock Climbing Log'!AR40</f>
        <v>0</v>
      </c>
      <c r="AS40" s="83">
        <f>'Rock Climbing Log'!AS40</f>
        <v>0</v>
      </c>
      <c r="AT40" s="81">
        <f>'Rock Climbing Log'!AT40</f>
        <v>0</v>
      </c>
      <c r="AU40" s="82">
        <f>'Rock Climbing Log'!AU40</f>
        <v>0</v>
      </c>
      <c r="AV40" s="83">
        <f>'Rock Climbing Log'!AV40</f>
        <v>0</v>
      </c>
      <c r="AW40" s="66">
        <f ca="1">'RC Template'!AW40</f>
        <v>270.80985493705032</v>
      </c>
      <c r="AX40" s="66">
        <f ca="1">'RC Template'!BC40</f>
        <v>81.950392008412209</v>
      </c>
      <c r="AY40" s="75" t="str">
        <f>'Rock Climbing Log'!AY40</f>
        <v>Rush Climbing; Church Early</v>
      </c>
      <c r="BA40" s="56" t="str">
        <f>BA28</f>
        <v>Lester</v>
      </c>
      <c r="BB40" s="56" t="str">
        <f ca="1">VLOOKUP(BA40,'RC Lookup'!$O$3:$P$50,2,FALSE)</f>
        <v>T5</v>
      </c>
      <c r="BC40" s="57">
        <f t="shared" ca="1" si="11"/>
        <v>0.17815582789005346</v>
      </c>
      <c r="BD40" s="49">
        <f ca="1">IF(COUNTIFS('RC Template'!$C:$C,'Rock Climbing Reports'!$BH40)&lt;2.9,AVERAGEIFS('RC Template'!$BC:$BC,'RC Template'!$C:$C,'Rock Climbing Reports'!$BH40),VLOOKUP(_xlfn.MAXIFS('RC Template'!$A$8:$A$280,'RC Template'!$C$8:$C$280,'Rock Climbing Reports'!BA40),'RC Template'!$A$7:$BE$280,56,FALSE))</f>
        <v>94.346888355178351</v>
      </c>
      <c r="BE40" s="47">
        <f ca="1">IF(COUNTIFS('RC Template'!$C:$C,'Rock Climbing Reports'!$BH40)&lt;5.9,AVERAGEIFS('RC Template'!$BC:$BC,'RC Template'!$C:$C,'Rock Climbing Reports'!$BH40),VLOOKUP(_xlfn.MAXIFS('RC Template'!$A$8:$A$280,'RC Template'!$C$8:$C$280,'Rock Climbing Reports'!BA40),'RC Template'!$A$7:$BE$280,57,FALSE))</f>
        <v>80.08014400280409</v>
      </c>
      <c r="BH40" s="56" t="str">
        <f>BH28</f>
        <v>Lester</v>
      </c>
      <c r="BI40" s="57">
        <f t="shared" ca="1" si="12"/>
        <v>0.17815582789005324</v>
      </c>
      <c r="BJ40" s="49">
        <f ca="1">IF(COUNTIFS('RC Template'!$C:$C,'Rock Climbing Reports'!$BH40)&lt;2.9,AVERAGEIFS('RC Template'!$AW:$AW,'RC Template'!$C:$C,'Rock Climbing Reports'!$BH40),VLOOKUP(_xlfn.MAXIFS('RC Template'!$A$8:$A$280,'RC Template'!$C$8:$C$280,'Rock Climbing Reports'!BH40),'RC Template'!$A$7:$AX$280,50,FALSE))</f>
        <v>311.77480086495757</v>
      </c>
      <c r="BK40" s="47">
        <f ca="1">IF(COUNTIFS('RC Template'!$C:$C,'Rock Climbing Reports'!$BH40)&lt;5.9,AVERAGEIFS('RC Template'!$AW:$AW,'RC Template'!$C:$C,'Rock Climbing Reports'!$BH40),VLOOKUP(_xlfn.MAXIFS('RC Template'!$A$8:$A$280,'RC Template'!$C$8:$C$280,'Rock Climbing Reports'!BH40),'RC Template'!$A$7:$AZ$280,52,FALSE))</f>
        <v>264.62951121101844</v>
      </c>
    </row>
    <row r="41" spans="1:67" x14ac:dyDescent="0.3">
      <c r="A41" s="28">
        <f t="shared" si="0"/>
        <v>34</v>
      </c>
      <c r="B41" s="19">
        <f>'Rock Climbing Log'!B41</f>
        <v>43137</v>
      </c>
      <c r="C41" s="24" t="str">
        <f>'Rock Climbing Log'!C41</f>
        <v>Michelle</v>
      </c>
      <c r="D41" s="81" t="str">
        <f>'Rock Climbing Log'!D41</f>
        <v>F</v>
      </c>
      <c r="E41" s="82" t="str">
        <f>'Rock Climbing Log'!E41</f>
        <v>F</v>
      </c>
      <c r="F41" s="83">
        <f>'Rock Climbing Log'!F41</f>
        <v>0</v>
      </c>
      <c r="G41" s="81" t="str">
        <f>'Rock Climbing Log'!G41</f>
        <v>F</v>
      </c>
      <c r="H41" s="82">
        <f>'Rock Climbing Log'!H41</f>
        <v>0</v>
      </c>
      <c r="I41" s="83">
        <f>'Rock Climbing Log'!I41</f>
        <v>0</v>
      </c>
      <c r="J41" s="81" t="str">
        <f>'Rock Climbing Log'!J41</f>
        <v>F</v>
      </c>
      <c r="K41" s="82">
        <f>'Rock Climbing Log'!K41</f>
        <v>0</v>
      </c>
      <c r="L41" s="83">
        <f>'Rock Climbing Log'!L41</f>
        <v>0</v>
      </c>
      <c r="M41" s="81" t="str">
        <f>'Rock Climbing Log'!M41</f>
        <v>C1</v>
      </c>
      <c r="N41" s="82">
        <f>'Rock Climbing Log'!N41</f>
        <v>0</v>
      </c>
      <c r="O41" s="83">
        <f>'Rock Climbing Log'!O41</f>
        <v>0</v>
      </c>
      <c r="P41" s="81">
        <f>'Rock Climbing Log'!P41</f>
        <v>0</v>
      </c>
      <c r="Q41" s="82">
        <f>'Rock Climbing Log'!Q41</f>
        <v>0</v>
      </c>
      <c r="R41" s="83">
        <f>'Rock Climbing Log'!R41</f>
        <v>0</v>
      </c>
      <c r="S41" s="81">
        <f>'Rock Climbing Log'!S41</f>
        <v>0</v>
      </c>
      <c r="T41" s="82">
        <f>'Rock Climbing Log'!T41</f>
        <v>0</v>
      </c>
      <c r="U41" s="83">
        <f>'Rock Climbing Log'!U41</f>
        <v>0</v>
      </c>
      <c r="V41" s="81" t="str">
        <f>'Rock Climbing Log'!V41</f>
        <v>C4</v>
      </c>
      <c r="W41" s="82">
        <f>'Rock Climbing Log'!W41</f>
        <v>0</v>
      </c>
      <c r="X41" s="83">
        <f>'Rock Climbing Log'!X41</f>
        <v>0</v>
      </c>
      <c r="Y41" s="81">
        <f>'Rock Climbing Log'!Y41</f>
        <v>0</v>
      </c>
      <c r="Z41" s="82">
        <f>'Rock Climbing Log'!Z41</f>
        <v>0</v>
      </c>
      <c r="AA41" s="83">
        <f>'Rock Climbing Log'!AA41</f>
        <v>0</v>
      </c>
      <c r="AB41" s="81">
        <f>'Rock Climbing Log'!AB41</f>
        <v>0</v>
      </c>
      <c r="AC41" s="82">
        <f>'Rock Climbing Log'!AC41</f>
        <v>0</v>
      </c>
      <c r="AD41" s="83">
        <f>'Rock Climbing Log'!AD41</f>
        <v>0</v>
      </c>
      <c r="AE41" s="81">
        <f>'Rock Climbing Log'!AE41</f>
        <v>0</v>
      </c>
      <c r="AF41" s="82">
        <f>'Rock Climbing Log'!AF41</f>
        <v>0</v>
      </c>
      <c r="AG41" s="83">
        <f>'Rock Climbing Log'!AG41</f>
        <v>0</v>
      </c>
      <c r="AH41" s="81">
        <f>'Rock Climbing Log'!AH41</f>
        <v>0</v>
      </c>
      <c r="AI41" s="82">
        <f>'Rock Climbing Log'!AI41</f>
        <v>0</v>
      </c>
      <c r="AJ41" s="83">
        <f>'Rock Climbing Log'!AJ41</f>
        <v>0</v>
      </c>
      <c r="AK41" s="81">
        <f>'Rock Climbing Log'!AK41</f>
        <v>0</v>
      </c>
      <c r="AL41" s="82">
        <f>'Rock Climbing Log'!AL41</f>
        <v>0</v>
      </c>
      <c r="AM41" s="83">
        <f>'Rock Climbing Log'!AM41</f>
        <v>0</v>
      </c>
      <c r="AN41" s="81">
        <f>'Rock Climbing Log'!AN41</f>
        <v>0</v>
      </c>
      <c r="AO41" s="82">
        <f>'Rock Climbing Log'!AO41</f>
        <v>0</v>
      </c>
      <c r="AP41" s="83">
        <f>'Rock Climbing Log'!AP41</f>
        <v>0</v>
      </c>
      <c r="AQ41" s="81">
        <f>'Rock Climbing Log'!AQ41</f>
        <v>0</v>
      </c>
      <c r="AR41" s="82">
        <f>'Rock Climbing Log'!AR41</f>
        <v>0</v>
      </c>
      <c r="AS41" s="83">
        <f>'Rock Climbing Log'!AS41</f>
        <v>0</v>
      </c>
      <c r="AT41" s="81">
        <f>'Rock Climbing Log'!AT41</f>
        <v>0</v>
      </c>
      <c r="AU41" s="82">
        <f>'Rock Climbing Log'!AU41</f>
        <v>0</v>
      </c>
      <c r="AV41" s="83">
        <f>'Rock Climbing Log'!AV41</f>
        <v>0</v>
      </c>
      <c r="AW41" s="66">
        <f ca="1">'RC Template'!AW41</f>
        <v>56.884200881588654</v>
      </c>
      <c r="AX41" s="66">
        <f ca="1">'RC Template'!BC41</f>
        <v>65.612715726888311</v>
      </c>
      <c r="AY41" s="75" t="str">
        <f>'Rock Climbing Log'!AY41</f>
        <v xml:space="preserve">Michelle Report </v>
      </c>
      <c r="BA41" s="56" t="str">
        <f>BA29</f>
        <v>Sameena</v>
      </c>
      <c r="BB41" s="56" t="str">
        <f ca="1">VLOOKUP(BA41,'RC Lookup'!$O$3:$P$50,2,FALSE)</f>
        <v>T4</v>
      </c>
      <c r="BC41" s="57">
        <f t="shared" ca="1" si="11"/>
        <v>0.22951462247565413</v>
      </c>
      <c r="BD41" s="49">
        <f ca="1">IF(COUNTIFS('RC Template'!$C:$C,'Rock Climbing Reports'!$BH41)&lt;2.9,AVERAGEIFS('RC Template'!$BC:$BC,'RC Template'!$C:$C,'Rock Climbing Reports'!$BH41),VLOOKUP(_xlfn.MAXIFS('RC Template'!$A$8:$A$280,'RC Template'!$C$8:$C$280,'Rock Climbing Reports'!BA41),'RC Template'!$A$7:$BE$280,56,FALSE))</f>
        <v>64.660603356910514</v>
      </c>
      <c r="BE41" s="47">
        <f ca="1">IF(COUNTIFS('RC Template'!$C:$C,'Rock Climbing Reports'!$BH41)&lt;5.9,AVERAGEIFS('RC Template'!$BC:$BC,'RC Template'!$C:$C,'Rock Climbing Reports'!$BH41),VLOOKUP(_xlfn.MAXIFS('RC Template'!$A$8:$A$280,'RC Template'!$C$8:$C$280,'Rock Climbing Reports'!BA41),'RC Template'!$A$7:$BE$280,57,FALSE))</f>
        <v>52.590349211719825</v>
      </c>
      <c r="BH41" s="56" t="str">
        <f>BH29</f>
        <v>Sameena</v>
      </c>
      <c r="BI41" s="57">
        <f t="shared" ca="1" si="12"/>
        <v>0.22951462247565435</v>
      </c>
      <c r="BJ41" s="49">
        <f ca="1">IF(COUNTIFS('RC Template'!$C:$C,'Rock Climbing Reports'!$BH41)&lt;2.9,AVERAGEIFS('RC Template'!$AW:$AW,'RC Template'!$C:$C,'Rock Climbing Reports'!$BH41),VLOOKUP(_xlfn.MAXIFS('RC Template'!$A$8:$A$280,'RC Template'!$C$8:$C$280,'Rock Climbing Reports'!BH41),'RC Template'!$A$7:$AX$280,50,FALSE))</f>
        <v>131.65093830154473</v>
      </c>
      <c r="BK41" s="47">
        <f ca="1">IF(COUNTIFS('RC Template'!$C:$C,'Rock Climbing Reports'!$BH41)&lt;5.9,AVERAGEIFS('RC Template'!$AW:$AW,'RC Template'!$C:$C,'Rock Climbing Reports'!$BH41),VLOOKUP(_xlfn.MAXIFS('RC Template'!$A$8:$A$280,'RC Template'!$C$8:$C$280,'Rock Climbing Reports'!BH41),'RC Template'!$A$7:$AZ$280,52,FALSE))</f>
        <v>107.07553687849821</v>
      </c>
      <c r="BO41" s="49"/>
    </row>
    <row r="42" spans="1:67" x14ac:dyDescent="0.3">
      <c r="A42" s="28">
        <f t="shared" si="0"/>
        <v>35</v>
      </c>
      <c r="B42" s="19">
        <f>'Rock Climbing Log'!B42</f>
        <v>43137</v>
      </c>
      <c r="C42" s="24" t="str">
        <f>'Rock Climbing Log'!C42</f>
        <v>Sameena</v>
      </c>
      <c r="D42" s="81">
        <f>'Rock Climbing Log'!D42</f>
        <v>0</v>
      </c>
      <c r="E42" s="82">
        <f>'Rock Climbing Log'!E42</f>
        <v>0</v>
      </c>
      <c r="F42" s="83">
        <f>'Rock Climbing Log'!F42</f>
        <v>0</v>
      </c>
      <c r="G42" s="81">
        <f>'Rock Climbing Log'!G42</f>
        <v>0</v>
      </c>
      <c r="H42" s="82">
        <f>'Rock Climbing Log'!H42</f>
        <v>0</v>
      </c>
      <c r="I42" s="83">
        <f>'Rock Climbing Log'!I42</f>
        <v>0</v>
      </c>
      <c r="J42" s="81">
        <f>'Rock Climbing Log'!J42</f>
        <v>0</v>
      </c>
      <c r="K42" s="82">
        <f>'Rock Climbing Log'!K42</f>
        <v>0</v>
      </c>
      <c r="L42" s="83">
        <f>'Rock Climbing Log'!L42</f>
        <v>0</v>
      </c>
      <c r="M42" s="81">
        <f>'Rock Climbing Log'!M42</f>
        <v>0</v>
      </c>
      <c r="N42" s="82">
        <f>'Rock Climbing Log'!N42</f>
        <v>0</v>
      </c>
      <c r="O42" s="83">
        <f>'Rock Climbing Log'!O42</f>
        <v>0</v>
      </c>
      <c r="P42" s="81">
        <f>'Rock Climbing Log'!P42</f>
        <v>0</v>
      </c>
      <c r="Q42" s="82">
        <f>'Rock Climbing Log'!Q42</f>
        <v>0</v>
      </c>
      <c r="R42" s="83">
        <f>'Rock Climbing Log'!R42</f>
        <v>0</v>
      </c>
      <c r="S42" s="81">
        <f>'Rock Climbing Log'!S42</f>
        <v>0</v>
      </c>
      <c r="T42" s="82">
        <f>'Rock Climbing Log'!T42</f>
        <v>0</v>
      </c>
      <c r="U42" s="83">
        <f>'Rock Climbing Log'!U42</f>
        <v>0</v>
      </c>
      <c r="V42" s="81" t="str">
        <f>'Rock Climbing Log'!V42</f>
        <v>F</v>
      </c>
      <c r="W42" s="82" t="str">
        <f>'Rock Climbing Log'!W42</f>
        <v>F</v>
      </c>
      <c r="X42" s="83">
        <f>'Rock Climbing Log'!X42</f>
        <v>0</v>
      </c>
      <c r="Y42" s="81">
        <f>'Rock Climbing Log'!Y42</f>
        <v>0</v>
      </c>
      <c r="Z42" s="82">
        <f>'Rock Climbing Log'!Z42</f>
        <v>0</v>
      </c>
      <c r="AA42" s="83">
        <f>'Rock Climbing Log'!AA42</f>
        <v>0</v>
      </c>
      <c r="AB42" s="81">
        <f>'Rock Climbing Log'!AB42</f>
        <v>0</v>
      </c>
      <c r="AC42" s="82">
        <f>'Rock Climbing Log'!AC42</f>
        <v>0</v>
      </c>
      <c r="AD42" s="83">
        <f>'Rock Climbing Log'!AD42</f>
        <v>0</v>
      </c>
      <c r="AE42" s="81" t="str">
        <f>'Rock Climbing Log'!AE42</f>
        <v>F</v>
      </c>
      <c r="AF42" s="82">
        <f>'Rock Climbing Log'!AF42</f>
        <v>0</v>
      </c>
      <c r="AG42" s="83">
        <f>'Rock Climbing Log'!AG42</f>
        <v>0</v>
      </c>
      <c r="AH42" s="81">
        <f>'Rock Climbing Log'!AH42</f>
        <v>0</v>
      </c>
      <c r="AI42" s="82">
        <f>'Rock Climbing Log'!AI42</f>
        <v>0</v>
      </c>
      <c r="AJ42" s="83">
        <f>'Rock Climbing Log'!AJ42</f>
        <v>0</v>
      </c>
      <c r="AK42" s="81">
        <f>'Rock Climbing Log'!AK42</f>
        <v>0</v>
      </c>
      <c r="AL42" s="82">
        <f>'Rock Climbing Log'!AL42</f>
        <v>0</v>
      </c>
      <c r="AM42" s="83">
        <f>'Rock Climbing Log'!AM42</f>
        <v>0</v>
      </c>
      <c r="AN42" s="81">
        <f>'Rock Climbing Log'!AN42</f>
        <v>0</v>
      </c>
      <c r="AO42" s="82">
        <f>'Rock Climbing Log'!AO42</f>
        <v>0</v>
      </c>
      <c r="AP42" s="83">
        <f>'Rock Climbing Log'!AP42</f>
        <v>0</v>
      </c>
      <c r="AQ42" s="81">
        <f>'Rock Climbing Log'!AQ42</f>
        <v>0</v>
      </c>
      <c r="AR42" s="82">
        <f>'Rock Climbing Log'!AR42</f>
        <v>0</v>
      </c>
      <c r="AS42" s="83">
        <f>'Rock Climbing Log'!AS42</f>
        <v>0</v>
      </c>
      <c r="AT42" s="81">
        <f>'Rock Climbing Log'!AT42</f>
        <v>0</v>
      </c>
      <c r="AU42" s="82">
        <f>'Rock Climbing Log'!AU42</f>
        <v>0</v>
      </c>
      <c r="AV42" s="83">
        <f>'Rock Climbing Log'!AV42</f>
        <v>0</v>
      </c>
      <c r="AW42" s="66">
        <f ca="1">'RC Template'!AW42</f>
        <v>138.38116333173295</v>
      </c>
      <c r="AX42" s="66">
        <f ca="1">'RC Template'!BC42</f>
        <v>67.966165905830437</v>
      </c>
      <c r="AY42" s="75" t="str">
        <f>'Rock Climbing Log'!AY42</f>
        <v>Prev Climb Adjusted</v>
      </c>
      <c r="BA42" s="56" t="s">
        <v>106</v>
      </c>
      <c r="BB42" s="56" t="str">
        <f ca="1">VLOOKUP(BA42,'RC Lookup'!$O$3:$P$50,2,FALSE)</f>
        <v>T2</v>
      </c>
      <c r="BC42" s="57">
        <f ca="1">IFERROR(BD42/BE42-1,0)</f>
        <v>0.1645897654626125</v>
      </c>
      <c r="BD42" s="49">
        <f ca="1">IF(COUNTIFS('RC Template'!$C:$C,'Rock Climbing Reports'!$BH42)&lt;2.9,AVERAGEIFS('RC Template'!$BC:$BC,'RC Template'!$C:$C,'Rock Climbing Reports'!$BH42),VLOOKUP(_xlfn.MAXIFS('RC Template'!$A$8:$A$280,'RC Template'!$C$8:$C$280,'Rock Climbing Reports'!BA42),'RC Template'!$A$7:$BE$280,56,FALSE))</f>
        <v>91.593592210179025</v>
      </c>
      <c r="BE42" s="47">
        <f ca="1">IF(COUNTIFS('RC Template'!$C:$C,'Rock Climbing Reports'!$BH42)&lt;5.9,AVERAGEIFS('RC Template'!$BC:$BC,'RC Template'!$C:$C,'Rock Climbing Reports'!$BH42),VLOOKUP(_xlfn.MAXIFS('RC Template'!$A$8:$A$280,'RC Template'!$C$8:$C$280,'Rock Climbing Reports'!BA42),'RC Template'!$A$7:$BE$280,57,FALSE))</f>
        <v>78.648804005069636</v>
      </c>
      <c r="BH42" s="56" t="s">
        <v>106</v>
      </c>
      <c r="BI42" s="57">
        <f ca="1">IFERROR(BJ42/BK42-1,0)</f>
        <v>0.1645897654626125</v>
      </c>
      <c r="BJ42" s="49">
        <f ca="1">IF(COUNTIFS('RC Template'!$C:$C,'Rock Climbing Reports'!$BH42)&lt;2.9,AVERAGEIFS('RC Template'!$AW:$AW,'RC Template'!$C:$C,'Rock Climbing Reports'!$BH42),VLOOKUP(_xlfn.MAXIFS('RC Template'!$A$8:$A$280,'RC Template'!$C$8:$C$280,'Rock Climbing Reports'!BH42),'RC Template'!$A$7:$AX$280,50,FALSE))</f>
        <v>79.408819480016874</v>
      </c>
      <c r="BK42" s="47">
        <f ca="1">IF(COUNTIFS('RC Template'!$C:$C,'Rock Climbing Reports'!$BH42)&lt;5.9,AVERAGEIFS('RC Template'!$AW:$AW,'RC Template'!$C:$C,'Rock Climbing Reports'!$BH42),VLOOKUP(_xlfn.MAXIFS('RC Template'!$A$8:$A$280,'RC Template'!$C$8:$C$280,'Rock Climbing Reports'!BH42),'RC Template'!$A$7:$AZ$280,52,FALSE))</f>
        <v>68.186087354522769</v>
      </c>
      <c r="BO42" s="49"/>
    </row>
    <row r="43" spans="1:67" x14ac:dyDescent="0.3">
      <c r="A43" s="28">
        <f t="shared" si="0"/>
        <v>36</v>
      </c>
      <c r="B43" s="19">
        <f>'Rock Climbing Log'!B43</f>
        <v>43137</v>
      </c>
      <c r="C43" s="24" t="str">
        <f>'Rock Climbing Log'!C43</f>
        <v>Edwin</v>
      </c>
      <c r="D43" s="81" t="str">
        <f>'Rock Climbing Log'!D43</f>
        <v>F</v>
      </c>
      <c r="E43" s="82">
        <f>'Rock Climbing Log'!E43</f>
        <v>0</v>
      </c>
      <c r="F43" s="83">
        <f>'Rock Climbing Log'!F43</f>
        <v>0</v>
      </c>
      <c r="G43" s="81">
        <f>'Rock Climbing Log'!G43</f>
        <v>0</v>
      </c>
      <c r="H43" s="82">
        <f>'Rock Climbing Log'!H43</f>
        <v>0</v>
      </c>
      <c r="I43" s="83">
        <f>'Rock Climbing Log'!I43</f>
        <v>0</v>
      </c>
      <c r="J43" s="81">
        <f>'Rock Climbing Log'!J43</f>
        <v>0</v>
      </c>
      <c r="K43" s="82">
        <f>'Rock Climbing Log'!K43</f>
        <v>0</v>
      </c>
      <c r="L43" s="83">
        <f>'Rock Climbing Log'!L43</f>
        <v>0</v>
      </c>
      <c r="M43" s="81" t="str">
        <f>'Rock Climbing Log'!M43</f>
        <v>F</v>
      </c>
      <c r="N43" s="82">
        <f>'Rock Climbing Log'!N43</f>
        <v>0</v>
      </c>
      <c r="O43" s="83">
        <f>'Rock Climbing Log'!O43</f>
        <v>0</v>
      </c>
      <c r="P43" s="81">
        <f>'Rock Climbing Log'!P43</f>
        <v>0</v>
      </c>
      <c r="Q43" s="82">
        <f>'Rock Climbing Log'!Q43</f>
        <v>0</v>
      </c>
      <c r="R43" s="83">
        <f>'Rock Climbing Log'!R43</f>
        <v>0</v>
      </c>
      <c r="S43" s="81">
        <f>'Rock Climbing Log'!S43</f>
        <v>0</v>
      </c>
      <c r="T43" s="82">
        <f>'Rock Climbing Log'!T43</f>
        <v>0</v>
      </c>
      <c r="U43" s="83">
        <f>'Rock Climbing Log'!U43</f>
        <v>0</v>
      </c>
      <c r="V43" s="81" t="str">
        <f>'Rock Climbing Log'!V43</f>
        <v>F</v>
      </c>
      <c r="W43" s="82">
        <f>'Rock Climbing Log'!W43</f>
        <v>0</v>
      </c>
      <c r="X43" s="83">
        <f>'Rock Climbing Log'!X43</f>
        <v>0</v>
      </c>
      <c r="Y43" s="81">
        <f>'Rock Climbing Log'!Y43</f>
        <v>0</v>
      </c>
      <c r="Z43" s="82">
        <f>'Rock Climbing Log'!Z43</f>
        <v>0</v>
      </c>
      <c r="AA43" s="83">
        <f>'Rock Climbing Log'!AA43</f>
        <v>0</v>
      </c>
      <c r="AB43" s="81" t="str">
        <f>'Rock Climbing Log'!AB43</f>
        <v>C2</v>
      </c>
      <c r="AC43" s="82">
        <f>'Rock Climbing Log'!AC43</f>
        <v>0</v>
      </c>
      <c r="AD43" s="83">
        <f>'Rock Climbing Log'!AD43</f>
        <v>0</v>
      </c>
      <c r="AE43" s="81">
        <f>'Rock Climbing Log'!AE43</f>
        <v>0</v>
      </c>
      <c r="AF43" s="82">
        <f>'Rock Climbing Log'!AF43</f>
        <v>0</v>
      </c>
      <c r="AG43" s="83">
        <f>'Rock Climbing Log'!AG43</f>
        <v>0</v>
      </c>
      <c r="AH43" s="81">
        <f>'Rock Climbing Log'!AH43</f>
        <v>0</v>
      </c>
      <c r="AI43" s="82">
        <f>'Rock Climbing Log'!AI43</f>
        <v>0</v>
      </c>
      <c r="AJ43" s="83">
        <f>'Rock Climbing Log'!AJ43</f>
        <v>0</v>
      </c>
      <c r="AK43" s="81">
        <f>'Rock Climbing Log'!AK43</f>
        <v>0</v>
      </c>
      <c r="AL43" s="82">
        <f>'Rock Climbing Log'!AL43</f>
        <v>0</v>
      </c>
      <c r="AM43" s="83">
        <f>'Rock Climbing Log'!AM43</f>
        <v>0</v>
      </c>
      <c r="AN43" s="81">
        <f>'Rock Climbing Log'!AN43</f>
        <v>0</v>
      </c>
      <c r="AO43" s="82">
        <f>'Rock Climbing Log'!AO43</f>
        <v>0</v>
      </c>
      <c r="AP43" s="83">
        <f>'Rock Climbing Log'!AP43</f>
        <v>0</v>
      </c>
      <c r="AQ43" s="81">
        <f>'Rock Climbing Log'!AQ43</f>
        <v>0</v>
      </c>
      <c r="AR43" s="82">
        <f>'Rock Climbing Log'!AR43</f>
        <v>0</v>
      </c>
      <c r="AS43" s="83">
        <f>'Rock Climbing Log'!AS43</f>
        <v>0</v>
      </c>
      <c r="AT43" s="81">
        <f>'Rock Climbing Log'!AT43</f>
        <v>0</v>
      </c>
      <c r="AU43" s="82">
        <f>'Rock Climbing Log'!AU43</f>
        <v>0</v>
      </c>
      <c r="AV43" s="83">
        <f>'Rock Climbing Log'!AV43</f>
        <v>0</v>
      </c>
      <c r="AW43" s="66">
        <f ca="1">'RC Template'!AW43</f>
        <v>99.027409911202284</v>
      </c>
      <c r="AX43" s="66">
        <f ca="1">'RC Template'!BC43</f>
        <v>75.994337602770969</v>
      </c>
      <c r="AY43" s="75" t="str">
        <f>'Rock Climbing Log'!AY43</f>
        <v>Prev Climb Adjusted</v>
      </c>
      <c r="BA43" s="56" t="s">
        <v>175</v>
      </c>
      <c r="BB43" s="56" t="str">
        <f ca="1">VLOOKUP(BA43,'RC Lookup'!$O$3:$P$50,2,FALSE)</f>
        <v>T4</v>
      </c>
      <c r="BC43" s="57">
        <f ca="1">IFERROR(BD43/BE43-1,0)</f>
        <v>1.6859894321534563E-2</v>
      </c>
      <c r="BD43" s="49">
        <f ca="1">IF(COUNTIFS('RC Template'!$C:$C,'Rock Climbing Reports'!$BH43)&lt;2.9,AVERAGEIFS('RC Template'!$BC:$BC,'RC Template'!$C:$C,'Rock Climbing Reports'!$BH43),VLOOKUP(_xlfn.MAXIFS('RC Template'!$A$8:$A$280,'RC Template'!$C$8:$C$280,'Rock Climbing Reports'!BA43),'RC Template'!$A$7:$BE$280,56,FALSE))</f>
        <v>65.5173108368501</v>
      </c>
      <c r="BE43" s="47">
        <f ca="1">IF(COUNTIFS('RC Template'!$C:$C,'Rock Climbing Reports'!$BH43)&lt;5.9,AVERAGEIFS('RC Template'!$BC:$BC,'RC Template'!$C:$C,'Rock Climbing Reports'!$BH43),VLOOKUP(_xlfn.MAXIFS('RC Template'!$A$8:$A$280,'RC Template'!$C$8:$C$280,'Rock Climbing Reports'!BA43),'RC Template'!$A$7:$BE$280,57,FALSE))</f>
        <v>64.43101080367056</v>
      </c>
      <c r="BH43" s="56" t="s">
        <v>175</v>
      </c>
      <c r="BI43" s="57">
        <f ca="1">IFERROR(BJ43/BK43-1,0)</f>
        <v>1.6859894321534785E-2</v>
      </c>
      <c r="BJ43" s="49">
        <f ca="1">IF(COUNTIFS('RC Template'!$C:$C,'Rock Climbing Reports'!$BH43)&lt;2.9,AVERAGEIFS('RC Template'!$AW:$AW,'RC Template'!$C:$C,'Rock Climbing Reports'!$BH43),VLOOKUP(_xlfn.MAXIFS('RC Template'!$A$8:$A$280,'RC Template'!$C$8:$C$280,'Rock Climbing Reports'!BH43),'RC Template'!$A$7:$AX$280,50,FALSE))</f>
        <v>133.3952205650653</v>
      </c>
      <c r="BK43" s="47">
        <f ca="1">IF(COUNTIFS('RC Template'!$C:$C,'Rock Climbing Reports'!$BH43)&lt;5.9,AVERAGEIFS('RC Template'!$AW:$AW,'RC Template'!$C:$C,'Rock Climbing Reports'!$BH43),VLOOKUP(_xlfn.MAXIFS('RC Template'!$A$8:$A$280,'RC Template'!$C$8:$C$280,'Rock Climbing Reports'!BH43),'RC Template'!$A$7:$AZ$280,52,FALSE))</f>
        <v>131.18348093969104</v>
      </c>
      <c r="BO43" s="49"/>
    </row>
    <row r="44" spans="1:67" ht="15" thickBot="1" x14ac:dyDescent="0.35">
      <c r="A44" s="28">
        <f t="shared" si="0"/>
        <v>37</v>
      </c>
      <c r="B44" s="19">
        <f>'Rock Climbing Log'!B44</f>
        <v>43137</v>
      </c>
      <c r="C44" s="24" t="str">
        <f>'Rock Climbing Log'!C44</f>
        <v>Kenneth Bautista</v>
      </c>
      <c r="D44" s="81" t="str">
        <f>'Rock Climbing Log'!D44</f>
        <v>F</v>
      </c>
      <c r="E44" s="82" t="str">
        <f>'Rock Climbing Log'!E44</f>
        <v>A</v>
      </c>
      <c r="F44" s="83" t="str">
        <f>'Rock Climbing Log'!F44</f>
        <v>A</v>
      </c>
      <c r="G44" s="81" t="str">
        <f>'Rock Climbing Log'!G44</f>
        <v>A</v>
      </c>
      <c r="H44" s="82" t="str">
        <f>'Rock Climbing Log'!H44</f>
        <v>A</v>
      </c>
      <c r="I44" s="83">
        <f>'Rock Climbing Log'!I44</f>
        <v>0</v>
      </c>
      <c r="J44" s="81">
        <f>'Rock Climbing Log'!J44</f>
        <v>0</v>
      </c>
      <c r="K44" s="82">
        <f>'Rock Climbing Log'!K44</f>
        <v>0</v>
      </c>
      <c r="L44" s="83">
        <f>'Rock Climbing Log'!L44</f>
        <v>0</v>
      </c>
      <c r="M44" s="81" t="str">
        <f>'Rock Climbing Log'!M44</f>
        <v>A</v>
      </c>
      <c r="N44" s="82" t="str">
        <f>'Rock Climbing Log'!N44</f>
        <v>A</v>
      </c>
      <c r="O44" s="83">
        <f>'Rock Climbing Log'!O44</f>
        <v>0</v>
      </c>
      <c r="P44" s="81">
        <f>'Rock Climbing Log'!P44</f>
        <v>0</v>
      </c>
      <c r="Q44" s="82">
        <f>'Rock Climbing Log'!Q44</f>
        <v>0</v>
      </c>
      <c r="R44" s="83">
        <f>'Rock Climbing Log'!R44</f>
        <v>0</v>
      </c>
      <c r="S44" s="81">
        <f>'Rock Climbing Log'!S44</f>
        <v>0</v>
      </c>
      <c r="T44" s="82">
        <f>'Rock Climbing Log'!T44</f>
        <v>0</v>
      </c>
      <c r="U44" s="83">
        <f>'Rock Climbing Log'!U44</f>
        <v>0</v>
      </c>
      <c r="V44" s="81">
        <f>'Rock Climbing Log'!V44</f>
        <v>0</v>
      </c>
      <c r="W44" s="82">
        <f>'Rock Climbing Log'!W44</f>
        <v>0</v>
      </c>
      <c r="X44" s="83">
        <f>'Rock Climbing Log'!X44</f>
        <v>0</v>
      </c>
      <c r="Y44" s="81">
        <f>'Rock Climbing Log'!Y44</f>
        <v>0</v>
      </c>
      <c r="Z44" s="82">
        <f>'Rock Climbing Log'!Z44</f>
        <v>0</v>
      </c>
      <c r="AA44" s="83">
        <f>'Rock Climbing Log'!AA44</f>
        <v>0</v>
      </c>
      <c r="AB44" s="81">
        <f>'Rock Climbing Log'!AB44</f>
        <v>0</v>
      </c>
      <c r="AC44" s="82">
        <f>'Rock Climbing Log'!AC44</f>
        <v>0</v>
      </c>
      <c r="AD44" s="83">
        <f>'Rock Climbing Log'!AD44</f>
        <v>0</v>
      </c>
      <c r="AE44" s="81">
        <f>'Rock Climbing Log'!AE44</f>
        <v>0</v>
      </c>
      <c r="AF44" s="82">
        <f>'Rock Climbing Log'!AF44</f>
        <v>0</v>
      </c>
      <c r="AG44" s="83">
        <f>'Rock Climbing Log'!AG44</f>
        <v>0</v>
      </c>
      <c r="AH44" s="81">
        <f>'Rock Climbing Log'!AH44</f>
        <v>0</v>
      </c>
      <c r="AI44" s="82">
        <f>'Rock Climbing Log'!AI44</f>
        <v>0</v>
      </c>
      <c r="AJ44" s="83">
        <f>'Rock Climbing Log'!AJ44</f>
        <v>0</v>
      </c>
      <c r="AK44" s="81">
        <f>'Rock Climbing Log'!AK44</f>
        <v>0</v>
      </c>
      <c r="AL44" s="82">
        <f>'Rock Climbing Log'!AL44</f>
        <v>0</v>
      </c>
      <c r="AM44" s="83">
        <f>'Rock Climbing Log'!AM44</f>
        <v>0</v>
      </c>
      <c r="AN44" s="81">
        <f>'Rock Climbing Log'!AN44</f>
        <v>0</v>
      </c>
      <c r="AO44" s="82">
        <f>'Rock Climbing Log'!AO44</f>
        <v>0</v>
      </c>
      <c r="AP44" s="83">
        <f>'Rock Climbing Log'!AP44</f>
        <v>0</v>
      </c>
      <c r="AQ44" s="81">
        <f>'Rock Climbing Log'!AQ44</f>
        <v>0</v>
      </c>
      <c r="AR44" s="82">
        <f>'Rock Climbing Log'!AR44</f>
        <v>0</v>
      </c>
      <c r="AS44" s="83">
        <f>'Rock Climbing Log'!AS44</f>
        <v>0</v>
      </c>
      <c r="AT44" s="81">
        <f>'Rock Climbing Log'!AT44</f>
        <v>0</v>
      </c>
      <c r="AU44" s="82">
        <f>'Rock Climbing Log'!AU44</f>
        <v>0</v>
      </c>
      <c r="AV44" s="83">
        <f>'Rock Climbing Log'!AV44</f>
        <v>0</v>
      </c>
      <c r="AW44" s="66">
        <f ca="1">'RC Template'!AW44</f>
        <v>30.002500000000001</v>
      </c>
      <c r="AX44" s="66">
        <f ca="1">'RC Template'!BC44</f>
        <v>49.997916927050781</v>
      </c>
      <c r="AY44" s="75" t="str">
        <f>'Rock Climbing Log'!AY44</f>
        <v xml:space="preserve">Michelle Report </v>
      </c>
      <c r="BA44" s="56" t="s">
        <v>174</v>
      </c>
      <c r="BB44" s="56" t="str">
        <f>VLOOKUP(BA44,'RC Lookup'!$O$3:$P$50,2,FALSE)</f>
        <v>T1</v>
      </c>
      <c r="BC44" s="57">
        <f ca="1">IFERROR(BD44/BE44-1,0)</f>
        <v>0.14076597090001086</v>
      </c>
      <c r="BD44" s="49">
        <f ca="1">IF(COUNTIFS('RC Template'!$C:$C,'Rock Climbing Reports'!$BH44)&lt;2.9,AVERAGEIFS('RC Template'!$BC:$BC,'RC Template'!$C:$C,'Rock Climbing Reports'!$BH44),VLOOKUP(_xlfn.MAXIFS('RC Template'!$A$8:$A$280,'RC Template'!$C$8:$C$280,'Rock Climbing Reports'!BA44),'RC Template'!$A$7:$BE$280,56,FALSE))</f>
        <v>223.52243140663256</v>
      </c>
      <c r="BE44" s="47">
        <f ca="1">IF(COUNTIFS('RC Template'!$C:$C,'Rock Climbing Reports'!$BH44)&lt;5.9,AVERAGEIFS('RC Template'!$BC:$BC,'RC Template'!$C:$C,'Rock Climbing Reports'!$BH44),VLOOKUP(_xlfn.MAXIFS('RC Template'!$A$8:$A$280,'RC Template'!$C$8:$C$280,'Rock Climbing Reports'!BA44),'RC Template'!$A$7:$BE$280,57,FALSE))</f>
        <v>195.94065488321311</v>
      </c>
      <c r="BH44" s="56" t="s">
        <v>174</v>
      </c>
      <c r="BI44" s="57">
        <f ca="1">IFERROR(BJ44/BK44-1,0)</f>
        <v>0.14076597090001108</v>
      </c>
      <c r="BJ44" s="49">
        <f ca="1">IF(COUNTIFS('RC Template'!$C:$C,'Rock Climbing Reports'!$BH44)&lt;2.9,AVERAGEIFS('RC Template'!$AW:$AW,'RC Template'!$C:$C,'Rock Climbing Reports'!$BH44),VLOOKUP(_xlfn.MAXIFS('RC Template'!$A$8:$A$280,'RC Template'!$C$8:$C$280,'Rock Climbing Reports'!BH44),'RC Template'!$A$7:$AX$280,50,FALSE))</f>
        <v>134.13022302633507</v>
      </c>
      <c r="BK44" s="47">
        <f ca="1">IF(COUNTIFS('RC Template'!$C:$C,'Rock Climbing Reports'!$BH44)&lt;5.9,AVERAGEIFS('RC Template'!$AW:$AW,'RC Template'!$C:$C,'Rock Climbing Reports'!$BH44),VLOOKUP(_xlfn.MAXIFS('RC Template'!$A$8:$A$280,'RC Template'!$C$8:$C$280,'Rock Climbing Reports'!BH44),'RC Template'!$A$7:$AZ$280,52,FALSE))</f>
        <v>117.57908847904412</v>
      </c>
    </row>
    <row r="45" spans="1:67" ht="15" thickBot="1" x14ac:dyDescent="0.35">
      <c r="A45" s="28">
        <f t="shared" si="0"/>
        <v>38</v>
      </c>
      <c r="B45" s="19">
        <f>'Rock Climbing Log'!B45</f>
        <v>43139</v>
      </c>
      <c r="C45" s="24" t="str">
        <f>'Rock Climbing Log'!C45</f>
        <v>Lester</v>
      </c>
      <c r="D45" s="81">
        <f>'Rock Climbing Log'!D45</f>
        <v>0</v>
      </c>
      <c r="E45" s="82">
        <f>'Rock Climbing Log'!E45</f>
        <v>0</v>
      </c>
      <c r="F45" s="83">
        <f>'Rock Climbing Log'!F45</f>
        <v>0</v>
      </c>
      <c r="G45" s="81">
        <f>'Rock Climbing Log'!G45</f>
        <v>0</v>
      </c>
      <c r="H45" s="82">
        <f>'Rock Climbing Log'!H45</f>
        <v>0</v>
      </c>
      <c r="I45" s="83">
        <f>'Rock Climbing Log'!I45</f>
        <v>0</v>
      </c>
      <c r="J45" s="81">
        <f>'Rock Climbing Log'!J45</f>
        <v>0</v>
      </c>
      <c r="K45" s="82">
        <f>'Rock Climbing Log'!K45</f>
        <v>0</v>
      </c>
      <c r="L45" s="83">
        <f>'Rock Climbing Log'!L45</f>
        <v>0</v>
      </c>
      <c r="M45" s="81" t="str">
        <f>'Rock Climbing Log'!M45</f>
        <v>F</v>
      </c>
      <c r="N45" s="82">
        <f>'Rock Climbing Log'!N45</f>
        <v>0</v>
      </c>
      <c r="O45" s="83">
        <f>'Rock Climbing Log'!O45</f>
        <v>0</v>
      </c>
      <c r="P45" s="81">
        <f>'Rock Climbing Log'!P45</f>
        <v>0</v>
      </c>
      <c r="Q45" s="82">
        <f>'Rock Climbing Log'!Q45</f>
        <v>0</v>
      </c>
      <c r="R45" s="83">
        <f>'Rock Climbing Log'!R45</f>
        <v>0</v>
      </c>
      <c r="S45" s="81">
        <f>'Rock Climbing Log'!S45</f>
        <v>0</v>
      </c>
      <c r="T45" s="82">
        <f>'Rock Climbing Log'!T45</f>
        <v>0</v>
      </c>
      <c r="U45" s="83">
        <f>'Rock Climbing Log'!U45</f>
        <v>0</v>
      </c>
      <c r="V45" s="81">
        <f>'Rock Climbing Log'!V45</f>
        <v>0</v>
      </c>
      <c r="W45" s="82">
        <f>'Rock Climbing Log'!W45</f>
        <v>0</v>
      </c>
      <c r="X45" s="83">
        <f>'Rock Climbing Log'!X45</f>
        <v>0</v>
      </c>
      <c r="Y45" s="81">
        <f>'Rock Climbing Log'!Y45</f>
        <v>0</v>
      </c>
      <c r="Z45" s="82">
        <f>'Rock Climbing Log'!Z45</f>
        <v>0</v>
      </c>
      <c r="AA45" s="83">
        <f>'Rock Climbing Log'!AA45</f>
        <v>0</v>
      </c>
      <c r="AB45" s="81">
        <f>'Rock Climbing Log'!AB45</f>
        <v>0</v>
      </c>
      <c r="AC45" s="82">
        <f>'Rock Climbing Log'!AC45</f>
        <v>0</v>
      </c>
      <c r="AD45" s="83">
        <f>'Rock Climbing Log'!AD45</f>
        <v>0</v>
      </c>
      <c r="AE45" s="81" t="str">
        <f>'Rock Climbing Log'!AE45</f>
        <v>F</v>
      </c>
      <c r="AF45" s="82">
        <f>'Rock Climbing Log'!AF45</f>
        <v>0</v>
      </c>
      <c r="AG45" s="83">
        <f>'Rock Climbing Log'!AG45</f>
        <v>0</v>
      </c>
      <c r="AH45" s="81">
        <f>'Rock Climbing Log'!AH45</f>
        <v>0</v>
      </c>
      <c r="AI45" s="82">
        <f>'Rock Climbing Log'!AI45</f>
        <v>0</v>
      </c>
      <c r="AJ45" s="83">
        <f>'Rock Climbing Log'!AJ45</f>
        <v>0</v>
      </c>
      <c r="AK45" s="81" t="str">
        <f>'Rock Climbing Log'!AK45</f>
        <v>F</v>
      </c>
      <c r="AL45" s="82">
        <f>'Rock Climbing Log'!AL45</f>
        <v>0</v>
      </c>
      <c r="AM45" s="83">
        <f>'Rock Climbing Log'!AM45</f>
        <v>0</v>
      </c>
      <c r="AN45" s="81" t="str">
        <f>'Rock Climbing Log'!AN45</f>
        <v>C3</v>
      </c>
      <c r="AO45" s="82">
        <f>'Rock Climbing Log'!AO45</f>
        <v>0</v>
      </c>
      <c r="AP45" s="83">
        <f>'Rock Climbing Log'!AP45</f>
        <v>0</v>
      </c>
      <c r="AQ45" s="81" t="str">
        <f>'Rock Climbing Log'!AQ45</f>
        <v>A</v>
      </c>
      <c r="AR45" s="82">
        <f>'Rock Climbing Log'!AR45</f>
        <v>0</v>
      </c>
      <c r="AS45" s="83">
        <f>'Rock Climbing Log'!AS45</f>
        <v>0</v>
      </c>
      <c r="AT45" s="81">
        <f>'Rock Climbing Log'!AT45</f>
        <v>0</v>
      </c>
      <c r="AU45" s="82">
        <f>'Rock Climbing Log'!AU45</f>
        <v>0</v>
      </c>
      <c r="AV45" s="83">
        <f>'Rock Climbing Log'!AV45</f>
        <v>0</v>
      </c>
      <c r="AW45" s="66">
        <f ca="1">'RC Template'!AW45</f>
        <v>306.69077627303841</v>
      </c>
      <c r="AX45" s="66">
        <f ca="1">'RC Template'!BC45</f>
        <v>92.80840000000002</v>
      </c>
      <c r="AY45" s="75" t="str">
        <f>'Rock Climbing Log'!AY45</f>
        <v>Early Morning Climb!</v>
      </c>
      <c r="BA45" s="53" t="s">
        <v>50</v>
      </c>
      <c r="BB45" s="53"/>
      <c r="BC45" s="59">
        <f ca="1">SUM(BC$38:BC$44)/COUNTA($BH$38:$BH$44)</f>
        <v>0.16990014036464604</v>
      </c>
      <c r="BD45" s="54"/>
      <c r="BE45" s="55"/>
      <c r="BH45" s="53" t="s">
        <v>50</v>
      </c>
      <c r="BI45" s="59">
        <f ca="1">SUM(BI$38:BI$44)/COUNTA($BH$38:$BH$44)</f>
        <v>0.16990014036464612</v>
      </c>
      <c r="BJ45" s="54">
        <f ca="1">SUM(BJ$38:BJ$44)/COUNTA($BH$38:$BH$44)</f>
        <v>143.62757649009683</v>
      </c>
      <c r="BK45" s="55">
        <f ca="1">SUM(BK$38:BK$44)/COUNTA($BH$38:$BH$44)</f>
        <v>124.49807237526909</v>
      </c>
    </row>
    <row r="46" spans="1:67" x14ac:dyDescent="0.3">
      <c r="A46" s="28">
        <f t="shared" si="0"/>
        <v>39</v>
      </c>
      <c r="B46" s="19">
        <f>'Rock Climbing Log'!B46</f>
        <v>43139</v>
      </c>
      <c r="C46" s="24" t="str">
        <f>'Rock Climbing Log'!C46</f>
        <v>Jan</v>
      </c>
      <c r="D46" s="81">
        <f>'Rock Climbing Log'!D46</f>
        <v>0</v>
      </c>
      <c r="E46" s="82">
        <f>'Rock Climbing Log'!E46</f>
        <v>0</v>
      </c>
      <c r="F46" s="83">
        <f>'Rock Climbing Log'!F46</f>
        <v>0</v>
      </c>
      <c r="G46" s="81" t="str">
        <f>'Rock Climbing Log'!G46</f>
        <v>F</v>
      </c>
      <c r="H46" s="82">
        <f>'Rock Climbing Log'!H46</f>
        <v>0</v>
      </c>
      <c r="I46" s="83">
        <f>'Rock Climbing Log'!I46</f>
        <v>0</v>
      </c>
      <c r="J46" s="81" t="str">
        <f>'Rock Climbing Log'!J46</f>
        <v>F</v>
      </c>
      <c r="K46" s="82">
        <f>'Rock Climbing Log'!K46</f>
        <v>0</v>
      </c>
      <c r="L46" s="83">
        <f>'Rock Climbing Log'!L46</f>
        <v>0</v>
      </c>
      <c r="M46" s="81" t="str">
        <f>'Rock Climbing Log'!M46</f>
        <v>F</v>
      </c>
      <c r="N46" s="82">
        <f>'Rock Climbing Log'!N46</f>
        <v>0</v>
      </c>
      <c r="O46" s="83">
        <f>'Rock Climbing Log'!O46</f>
        <v>0</v>
      </c>
      <c r="P46" s="81">
        <f>'Rock Climbing Log'!P46</f>
        <v>0</v>
      </c>
      <c r="Q46" s="82">
        <f>'Rock Climbing Log'!Q46</f>
        <v>0</v>
      </c>
      <c r="R46" s="83">
        <f>'Rock Climbing Log'!R46</f>
        <v>0</v>
      </c>
      <c r="S46" s="81">
        <f>'Rock Climbing Log'!S46</f>
        <v>0</v>
      </c>
      <c r="T46" s="82">
        <f>'Rock Climbing Log'!T46</f>
        <v>0</v>
      </c>
      <c r="U46" s="83">
        <f>'Rock Climbing Log'!U46</f>
        <v>0</v>
      </c>
      <c r="V46" s="81">
        <f>'Rock Climbing Log'!V46</f>
        <v>0</v>
      </c>
      <c r="W46" s="82">
        <f>'Rock Climbing Log'!W46</f>
        <v>0</v>
      </c>
      <c r="X46" s="83">
        <f>'Rock Climbing Log'!X46</f>
        <v>0</v>
      </c>
      <c r="Y46" s="81">
        <f>'Rock Climbing Log'!Y46</f>
        <v>0</v>
      </c>
      <c r="Z46" s="82">
        <f>'Rock Climbing Log'!Z46</f>
        <v>0</v>
      </c>
      <c r="AA46" s="83">
        <f>'Rock Climbing Log'!AA46</f>
        <v>0</v>
      </c>
      <c r="AB46" s="81">
        <f>'Rock Climbing Log'!AB46</f>
        <v>0</v>
      </c>
      <c r="AC46" s="82">
        <f>'Rock Climbing Log'!AC46</f>
        <v>0</v>
      </c>
      <c r="AD46" s="83">
        <f>'Rock Climbing Log'!AD46</f>
        <v>0</v>
      </c>
      <c r="AE46" s="81">
        <f>'Rock Climbing Log'!AE46</f>
        <v>0</v>
      </c>
      <c r="AF46" s="82">
        <f>'Rock Climbing Log'!AF46</f>
        <v>0</v>
      </c>
      <c r="AG46" s="83">
        <f>'Rock Climbing Log'!AG46</f>
        <v>0</v>
      </c>
      <c r="AH46" s="81">
        <f>'Rock Climbing Log'!AH46</f>
        <v>0</v>
      </c>
      <c r="AI46" s="82">
        <f>'Rock Climbing Log'!AI46</f>
        <v>0</v>
      </c>
      <c r="AJ46" s="83">
        <f>'Rock Climbing Log'!AJ46</f>
        <v>0</v>
      </c>
      <c r="AK46" s="81">
        <f>'Rock Climbing Log'!AK46</f>
        <v>0</v>
      </c>
      <c r="AL46" s="82">
        <f>'Rock Climbing Log'!AL46</f>
        <v>0</v>
      </c>
      <c r="AM46" s="83">
        <f>'Rock Climbing Log'!AM46</f>
        <v>0</v>
      </c>
      <c r="AN46" s="81">
        <f>'Rock Climbing Log'!AN46</f>
        <v>0</v>
      </c>
      <c r="AO46" s="82">
        <f>'Rock Climbing Log'!AO46</f>
        <v>0</v>
      </c>
      <c r="AP46" s="83">
        <f>'Rock Climbing Log'!AP46</f>
        <v>0</v>
      </c>
      <c r="AQ46" s="81">
        <f>'Rock Climbing Log'!AQ46</f>
        <v>0</v>
      </c>
      <c r="AR46" s="82">
        <f>'Rock Climbing Log'!AR46</f>
        <v>0</v>
      </c>
      <c r="AS46" s="83">
        <f>'Rock Climbing Log'!AS46</f>
        <v>0</v>
      </c>
      <c r="AT46" s="81">
        <f>'Rock Climbing Log'!AT46</f>
        <v>0</v>
      </c>
      <c r="AU46" s="82">
        <f>'Rock Climbing Log'!AU46</f>
        <v>0</v>
      </c>
      <c r="AV46" s="83">
        <f>'Rock Climbing Log'!AV46</f>
        <v>0</v>
      </c>
      <c r="AW46" s="66">
        <f ca="1">'RC Template'!AW46</f>
        <v>48.252499999999998</v>
      </c>
      <c r="AX46" s="66">
        <f ca="1">'RC Template'!BC46</f>
        <v>37.029311162089613</v>
      </c>
      <c r="AY46" s="75" t="str">
        <f>'Rock Climbing Log'!AY46</f>
        <v>Early Morning Climb!</v>
      </c>
    </row>
    <row r="47" spans="1:67" x14ac:dyDescent="0.3">
      <c r="A47" s="28">
        <f t="shared" si="0"/>
        <v>40</v>
      </c>
      <c r="B47" s="19">
        <f>'Rock Climbing Log'!B47</f>
        <v>43142</v>
      </c>
      <c r="C47" s="24" t="str">
        <f>'Rock Climbing Log'!C47</f>
        <v>Jan</v>
      </c>
      <c r="D47" s="81">
        <f>'Rock Climbing Log'!D47</f>
        <v>0</v>
      </c>
      <c r="E47" s="82">
        <f>'Rock Climbing Log'!E47</f>
        <v>0</v>
      </c>
      <c r="F47" s="83">
        <f>'Rock Climbing Log'!F47</f>
        <v>0</v>
      </c>
      <c r="G47" s="81">
        <f>'Rock Climbing Log'!G47</f>
        <v>0</v>
      </c>
      <c r="H47" s="82">
        <f>'Rock Climbing Log'!H47</f>
        <v>0</v>
      </c>
      <c r="I47" s="83">
        <f>'Rock Climbing Log'!I47</f>
        <v>0</v>
      </c>
      <c r="J47" s="81" t="str">
        <f>'Rock Climbing Log'!J47</f>
        <v>F</v>
      </c>
      <c r="K47" s="82">
        <f>'Rock Climbing Log'!K47</f>
        <v>0</v>
      </c>
      <c r="L47" s="83">
        <f>'Rock Climbing Log'!L47</f>
        <v>0</v>
      </c>
      <c r="M47" s="81" t="str">
        <f>'Rock Climbing Log'!M47</f>
        <v>C1</v>
      </c>
      <c r="N47" s="82" t="str">
        <f>'Rock Climbing Log'!N47</f>
        <v>F</v>
      </c>
      <c r="O47" s="83">
        <f>'Rock Climbing Log'!O47</f>
        <v>0</v>
      </c>
      <c r="P47" s="81">
        <f>'Rock Climbing Log'!P47</f>
        <v>0</v>
      </c>
      <c r="Q47" s="82">
        <f>'Rock Climbing Log'!Q47</f>
        <v>0</v>
      </c>
      <c r="R47" s="83">
        <f>'Rock Climbing Log'!R47</f>
        <v>0</v>
      </c>
      <c r="S47" s="81">
        <f>'Rock Climbing Log'!S47</f>
        <v>0</v>
      </c>
      <c r="T47" s="82">
        <f>'Rock Climbing Log'!T47</f>
        <v>0</v>
      </c>
      <c r="U47" s="83">
        <f>'Rock Climbing Log'!U47</f>
        <v>0</v>
      </c>
      <c r="V47" s="81">
        <f>'Rock Climbing Log'!V47</f>
        <v>0</v>
      </c>
      <c r="W47" s="82">
        <f>'Rock Climbing Log'!W47</f>
        <v>0</v>
      </c>
      <c r="X47" s="83">
        <f>'Rock Climbing Log'!X47</f>
        <v>0</v>
      </c>
      <c r="Y47" s="81">
        <f>'Rock Climbing Log'!Y47</f>
        <v>0</v>
      </c>
      <c r="Z47" s="82">
        <f>'Rock Climbing Log'!Z47</f>
        <v>0</v>
      </c>
      <c r="AA47" s="83">
        <f>'Rock Climbing Log'!AA47</f>
        <v>0</v>
      </c>
      <c r="AB47" s="81">
        <f>'Rock Climbing Log'!AB47</f>
        <v>0</v>
      </c>
      <c r="AC47" s="82">
        <f>'Rock Climbing Log'!AC47</f>
        <v>0</v>
      </c>
      <c r="AD47" s="83">
        <f>'Rock Climbing Log'!AD47</f>
        <v>0</v>
      </c>
      <c r="AE47" s="81">
        <f>'Rock Climbing Log'!AE47</f>
        <v>0</v>
      </c>
      <c r="AF47" s="82">
        <f>'Rock Climbing Log'!AF47</f>
        <v>0</v>
      </c>
      <c r="AG47" s="83">
        <f>'Rock Climbing Log'!AG47</f>
        <v>0</v>
      </c>
      <c r="AH47" s="81">
        <f>'Rock Climbing Log'!AH47</f>
        <v>0</v>
      </c>
      <c r="AI47" s="82">
        <f>'Rock Climbing Log'!AI47</f>
        <v>0</v>
      </c>
      <c r="AJ47" s="83">
        <f>'Rock Climbing Log'!AJ47</f>
        <v>0</v>
      </c>
      <c r="AK47" s="81">
        <f>'Rock Climbing Log'!AK47</f>
        <v>0</v>
      </c>
      <c r="AL47" s="82">
        <f>'Rock Climbing Log'!AL47</f>
        <v>0</v>
      </c>
      <c r="AM47" s="83">
        <f>'Rock Climbing Log'!AM47</f>
        <v>0</v>
      </c>
      <c r="AN47" s="81">
        <f>'Rock Climbing Log'!AN47</f>
        <v>0</v>
      </c>
      <c r="AO47" s="82">
        <f>'Rock Climbing Log'!AO47</f>
        <v>0</v>
      </c>
      <c r="AP47" s="83">
        <f>'Rock Climbing Log'!AP47</f>
        <v>0</v>
      </c>
      <c r="AQ47" s="81">
        <f>'Rock Climbing Log'!AQ47</f>
        <v>0</v>
      </c>
      <c r="AR47" s="82">
        <f>'Rock Climbing Log'!AR47</f>
        <v>0</v>
      </c>
      <c r="AS47" s="83">
        <f>'Rock Climbing Log'!AS47</f>
        <v>0</v>
      </c>
      <c r="AT47" s="81">
        <f>'Rock Climbing Log'!AT47</f>
        <v>0</v>
      </c>
      <c r="AU47" s="82">
        <f>'Rock Climbing Log'!AU47</f>
        <v>0</v>
      </c>
      <c r="AV47" s="83">
        <f>'Rock Climbing Log'!AV47</f>
        <v>0</v>
      </c>
      <c r="AW47" s="66">
        <f ca="1">'RC Template'!AW47</f>
        <v>53.754750000000001</v>
      </c>
      <c r="AX47" s="66">
        <f ca="1">'RC Template'!BC47</f>
        <v>41.251776885971438</v>
      </c>
      <c r="AY47" s="75">
        <f>'Rock Climbing Log'!AY47</f>
        <v>0</v>
      </c>
    </row>
    <row r="48" spans="1:67" x14ac:dyDescent="0.3">
      <c r="A48" s="28">
        <f t="shared" si="0"/>
        <v>41</v>
      </c>
      <c r="B48" s="19">
        <f>'Rock Climbing Log'!B48</f>
        <v>43146</v>
      </c>
      <c r="C48" s="24" t="str">
        <f>'Rock Climbing Log'!C48</f>
        <v>Lester</v>
      </c>
      <c r="D48" s="81">
        <f>'Rock Climbing Log'!D48</f>
        <v>0</v>
      </c>
      <c r="E48" s="82">
        <f>'Rock Climbing Log'!E48</f>
        <v>0</v>
      </c>
      <c r="F48" s="83">
        <f>'Rock Climbing Log'!F48</f>
        <v>0</v>
      </c>
      <c r="G48" s="81" t="str">
        <f>'Rock Climbing Log'!G48</f>
        <v>F</v>
      </c>
      <c r="H48" s="82">
        <f>'Rock Climbing Log'!H48</f>
        <v>0</v>
      </c>
      <c r="I48" s="83">
        <f>'Rock Climbing Log'!I48</f>
        <v>0</v>
      </c>
      <c r="J48" s="81">
        <f>'Rock Climbing Log'!J48</f>
        <v>0</v>
      </c>
      <c r="K48" s="82">
        <f>'Rock Climbing Log'!K48</f>
        <v>0</v>
      </c>
      <c r="L48" s="83">
        <f>'Rock Climbing Log'!L48</f>
        <v>0</v>
      </c>
      <c r="M48" s="81">
        <f>'Rock Climbing Log'!M48</f>
        <v>0</v>
      </c>
      <c r="N48" s="82">
        <f>'Rock Climbing Log'!N48</f>
        <v>0</v>
      </c>
      <c r="O48" s="83">
        <f>'Rock Climbing Log'!O48</f>
        <v>0</v>
      </c>
      <c r="P48" s="81">
        <f>'Rock Climbing Log'!P48</f>
        <v>0</v>
      </c>
      <c r="Q48" s="82">
        <f>'Rock Climbing Log'!Q48</f>
        <v>0</v>
      </c>
      <c r="R48" s="83">
        <f>'Rock Climbing Log'!R48</f>
        <v>0</v>
      </c>
      <c r="S48" s="81">
        <f>'Rock Climbing Log'!S48</f>
        <v>0</v>
      </c>
      <c r="T48" s="82">
        <f>'Rock Climbing Log'!T48</f>
        <v>0</v>
      </c>
      <c r="U48" s="83">
        <f>'Rock Climbing Log'!U48</f>
        <v>0</v>
      </c>
      <c r="V48" s="81" t="str">
        <f>'Rock Climbing Log'!V48</f>
        <v>F</v>
      </c>
      <c r="W48" s="82" t="str">
        <f>'Rock Climbing Log'!W48</f>
        <v>F</v>
      </c>
      <c r="X48" s="83" t="str">
        <f>'Rock Climbing Log'!X48</f>
        <v>F</v>
      </c>
      <c r="Y48" s="81">
        <f>'Rock Climbing Log'!Y48</f>
        <v>0</v>
      </c>
      <c r="Z48" s="82">
        <f>'Rock Climbing Log'!Z48</f>
        <v>0</v>
      </c>
      <c r="AA48" s="83">
        <f>'Rock Climbing Log'!AA48</f>
        <v>0</v>
      </c>
      <c r="AB48" s="81">
        <f>'Rock Climbing Log'!AB48</f>
        <v>0</v>
      </c>
      <c r="AC48" s="82">
        <f>'Rock Climbing Log'!AC48</f>
        <v>0</v>
      </c>
      <c r="AD48" s="83">
        <f>'Rock Climbing Log'!AD48</f>
        <v>0</v>
      </c>
      <c r="AE48" s="81">
        <f>'Rock Climbing Log'!AE48</f>
        <v>0</v>
      </c>
      <c r="AF48" s="82">
        <f>'Rock Climbing Log'!AF48</f>
        <v>0</v>
      </c>
      <c r="AG48" s="83">
        <f>'Rock Climbing Log'!AG48</f>
        <v>0</v>
      </c>
      <c r="AH48" s="81">
        <f>'Rock Climbing Log'!AH48</f>
        <v>0</v>
      </c>
      <c r="AI48" s="82">
        <f>'Rock Climbing Log'!AI48</f>
        <v>0</v>
      </c>
      <c r="AJ48" s="83">
        <f>'Rock Climbing Log'!AJ48</f>
        <v>0</v>
      </c>
      <c r="AK48" s="81">
        <f>'Rock Climbing Log'!AK48</f>
        <v>0</v>
      </c>
      <c r="AL48" s="82">
        <f>'Rock Climbing Log'!AL48</f>
        <v>0</v>
      </c>
      <c r="AM48" s="83">
        <f>'Rock Climbing Log'!AM48</f>
        <v>0</v>
      </c>
      <c r="AN48" s="81">
        <f>'Rock Climbing Log'!AN48</f>
        <v>0</v>
      </c>
      <c r="AO48" s="82">
        <f>'Rock Climbing Log'!AO48</f>
        <v>0</v>
      </c>
      <c r="AP48" s="83">
        <f>'Rock Climbing Log'!AP48</f>
        <v>0</v>
      </c>
      <c r="AQ48" s="81">
        <f>'Rock Climbing Log'!AQ48</f>
        <v>0</v>
      </c>
      <c r="AR48" s="82">
        <f>'Rock Climbing Log'!AR48</f>
        <v>0</v>
      </c>
      <c r="AS48" s="83">
        <f>'Rock Climbing Log'!AS48</f>
        <v>0</v>
      </c>
      <c r="AT48" s="81">
        <f>'Rock Climbing Log'!AT48</f>
        <v>0</v>
      </c>
      <c r="AU48" s="82">
        <f>'Rock Climbing Log'!AU48</f>
        <v>0</v>
      </c>
      <c r="AV48" s="83">
        <f>'Rock Climbing Log'!AV48</f>
        <v>0</v>
      </c>
      <c r="AW48" s="66">
        <f ca="1">'RC Template'!AW48</f>
        <v>105.77023722720006</v>
      </c>
      <c r="AX48" s="66">
        <f ca="1">'RC Template'!BC48</f>
        <v>32.007374346131726</v>
      </c>
      <c r="AY48" s="75" t="str">
        <f>'Rock Climbing Log'!AY48</f>
        <v>175.4lbs - I can only do 5 9s :(</v>
      </c>
    </row>
    <row r="49" spans="1:51" x14ac:dyDescent="0.3">
      <c r="A49" s="28">
        <f t="shared" si="0"/>
        <v>42</v>
      </c>
      <c r="B49" s="19">
        <f>'Rock Climbing Log'!B49</f>
        <v>43146</v>
      </c>
      <c r="C49" s="24" t="str">
        <f>'Rock Climbing Log'!C49</f>
        <v>Jan</v>
      </c>
      <c r="D49" s="81">
        <f>'Rock Climbing Log'!D49</f>
        <v>0</v>
      </c>
      <c r="E49" s="82">
        <f>'Rock Climbing Log'!E49</f>
        <v>0</v>
      </c>
      <c r="F49" s="83">
        <f>'Rock Climbing Log'!F49</f>
        <v>0</v>
      </c>
      <c r="G49" s="81" t="str">
        <f>'Rock Climbing Log'!G49</f>
        <v>F</v>
      </c>
      <c r="H49" s="82">
        <f>'Rock Climbing Log'!H49</f>
        <v>0</v>
      </c>
      <c r="I49" s="83">
        <f>'Rock Climbing Log'!I49</f>
        <v>0</v>
      </c>
      <c r="J49" s="81">
        <f>'Rock Climbing Log'!J49</f>
        <v>0</v>
      </c>
      <c r="K49" s="82">
        <f>'Rock Climbing Log'!K49</f>
        <v>0</v>
      </c>
      <c r="L49" s="83">
        <f>'Rock Climbing Log'!L49</f>
        <v>0</v>
      </c>
      <c r="M49" s="81" t="str">
        <f>'Rock Climbing Log'!M49</f>
        <v>F</v>
      </c>
      <c r="N49" s="82">
        <f>'Rock Climbing Log'!N49</f>
        <v>0</v>
      </c>
      <c r="O49" s="83">
        <f>'Rock Climbing Log'!O49</f>
        <v>0</v>
      </c>
      <c r="P49" s="81">
        <f>'Rock Climbing Log'!P49</f>
        <v>0</v>
      </c>
      <c r="Q49" s="82">
        <f>'Rock Climbing Log'!Q49</f>
        <v>0</v>
      </c>
      <c r="R49" s="83">
        <f>'Rock Climbing Log'!R49</f>
        <v>0</v>
      </c>
      <c r="S49" s="81" t="str">
        <f>'Rock Climbing Log'!S49</f>
        <v>C2</v>
      </c>
      <c r="T49" s="82">
        <f>'Rock Climbing Log'!T49</f>
        <v>0</v>
      </c>
      <c r="U49" s="83">
        <f>'Rock Climbing Log'!U49</f>
        <v>0</v>
      </c>
      <c r="V49" s="81" t="str">
        <f>'Rock Climbing Log'!V49</f>
        <v>F</v>
      </c>
      <c r="W49" s="82" t="str">
        <f>'Rock Climbing Log'!W49</f>
        <v>F</v>
      </c>
      <c r="X49" s="83" t="str">
        <f>'Rock Climbing Log'!X49</f>
        <v>C4</v>
      </c>
      <c r="Y49" s="81">
        <f>'Rock Climbing Log'!Y49</f>
        <v>0</v>
      </c>
      <c r="Z49" s="82">
        <f>'Rock Climbing Log'!Z49</f>
        <v>0</v>
      </c>
      <c r="AA49" s="83">
        <f>'Rock Climbing Log'!AA49</f>
        <v>0</v>
      </c>
      <c r="AB49" s="81">
        <f>'Rock Climbing Log'!AB49</f>
        <v>0</v>
      </c>
      <c r="AC49" s="82">
        <f>'Rock Climbing Log'!AC49</f>
        <v>0</v>
      </c>
      <c r="AD49" s="83">
        <f>'Rock Climbing Log'!AD49</f>
        <v>0</v>
      </c>
      <c r="AE49" s="81">
        <f>'Rock Climbing Log'!AE49</f>
        <v>0</v>
      </c>
      <c r="AF49" s="82">
        <f>'Rock Climbing Log'!AF49</f>
        <v>0</v>
      </c>
      <c r="AG49" s="83">
        <f>'Rock Climbing Log'!AG49</f>
        <v>0</v>
      </c>
      <c r="AH49" s="81">
        <f>'Rock Climbing Log'!AH49</f>
        <v>0</v>
      </c>
      <c r="AI49" s="82">
        <f>'Rock Climbing Log'!AI49</f>
        <v>0</v>
      </c>
      <c r="AJ49" s="83">
        <f>'Rock Climbing Log'!AJ49</f>
        <v>0</v>
      </c>
      <c r="AK49" s="81">
        <f>'Rock Climbing Log'!AK49</f>
        <v>0</v>
      </c>
      <c r="AL49" s="82">
        <f>'Rock Climbing Log'!AL49</f>
        <v>0</v>
      </c>
      <c r="AM49" s="83">
        <f>'Rock Climbing Log'!AM49</f>
        <v>0</v>
      </c>
      <c r="AN49" s="81">
        <f>'Rock Climbing Log'!AN49</f>
        <v>0</v>
      </c>
      <c r="AO49" s="82">
        <f>'Rock Climbing Log'!AO49</f>
        <v>0</v>
      </c>
      <c r="AP49" s="83">
        <f>'Rock Climbing Log'!AP49</f>
        <v>0</v>
      </c>
      <c r="AQ49" s="81">
        <f>'Rock Climbing Log'!AQ49</f>
        <v>0</v>
      </c>
      <c r="AR49" s="82">
        <f>'Rock Climbing Log'!AR49</f>
        <v>0</v>
      </c>
      <c r="AS49" s="83">
        <f>'Rock Climbing Log'!AS49</f>
        <v>0</v>
      </c>
      <c r="AT49" s="81">
        <f>'Rock Climbing Log'!AT49</f>
        <v>0</v>
      </c>
      <c r="AU49" s="82">
        <f>'Rock Climbing Log'!AU49</f>
        <v>0</v>
      </c>
      <c r="AV49" s="83">
        <f>'Rock Climbing Log'!AV49</f>
        <v>0</v>
      </c>
      <c r="AW49" s="66">
        <f ca="1">'RC Template'!AW49</f>
        <v>93.921658740000055</v>
      </c>
      <c r="AX49" s="66">
        <f ca="1">'RC Template'!BC49</f>
        <v>72.076147895820014</v>
      </c>
      <c r="AY49" s="75">
        <f>'Rock Climbing Log'!AY49</f>
        <v>0</v>
      </c>
    </row>
    <row r="50" spans="1:51" x14ac:dyDescent="0.3">
      <c r="A50" s="28">
        <f t="shared" si="0"/>
        <v>43</v>
      </c>
      <c r="B50" s="19">
        <f>'Rock Climbing Log'!B50</f>
        <v>43149</v>
      </c>
      <c r="C50" s="24" t="str">
        <f>'Rock Climbing Log'!C50</f>
        <v>Jan</v>
      </c>
      <c r="D50" s="81">
        <f>'Rock Climbing Log'!D50</f>
        <v>0</v>
      </c>
      <c r="E50" s="82">
        <f>'Rock Climbing Log'!E50</f>
        <v>0</v>
      </c>
      <c r="F50" s="83">
        <f>'Rock Climbing Log'!F50</f>
        <v>0</v>
      </c>
      <c r="G50" s="81">
        <f>'Rock Climbing Log'!G50</f>
        <v>0</v>
      </c>
      <c r="H50" s="82">
        <f>'Rock Climbing Log'!H50</f>
        <v>0</v>
      </c>
      <c r="I50" s="83">
        <f>'Rock Climbing Log'!I50</f>
        <v>0</v>
      </c>
      <c r="J50" s="81" t="str">
        <f>'Rock Climbing Log'!J50</f>
        <v>F</v>
      </c>
      <c r="K50" s="82">
        <f>'Rock Climbing Log'!K50</f>
        <v>0</v>
      </c>
      <c r="L50" s="83">
        <f>'Rock Climbing Log'!L50</f>
        <v>0</v>
      </c>
      <c r="M50" s="81">
        <f>'Rock Climbing Log'!M50</f>
        <v>0</v>
      </c>
      <c r="N50" s="82">
        <f>'Rock Climbing Log'!N50</f>
        <v>0</v>
      </c>
      <c r="O50" s="83">
        <f>'Rock Climbing Log'!O50</f>
        <v>0</v>
      </c>
      <c r="P50" s="81">
        <f>'Rock Climbing Log'!P50</f>
        <v>0</v>
      </c>
      <c r="Q50" s="82">
        <f>'Rock Climbing Log'!Q50</f>
        <v>0</v>
      </c>
      <c r="R50" s="83">
        <f>'Rock Climbing Log'!R50</f>
        <v>0</v>
      </c>
      <c r="S50" s="81">
        <f>'Rock Climbing Log'!S50</f>
        <v>0</v>
      </c>
      <c r="T50" s="82">
        <f>'Rock Climbing Log'!T50</f>
        <v>0</v>
      </c>
      <c r="U50" s="83">
        <f>'Rock Climbing Log'!U50</f>
        <v>0</v>
      </c>
      <c r="V50" s="81" t="str">
        <f>'Rock Climbing Log'!V50</f>
        <v>F</v>
      </c>
      <c r="W50" s="82" t="str">
        <f>'Rock Climbing Log'!W50</f>
        <v>F</v>
      </c>
      <c r="X50" s="83">
        <f>'Rock Climbing Log'!X50</f>
        <v>0</v>
      </c>
      <c r="Y50" s="81">
        <f>'Rock Climbing Log'!Y50</f>
        <v>0</v>
      </c>
      <c r="Z50" s="82">
        <f>'Rock Climbing Log'!Z50</f>
        <v>0</v>
      </c>
      <c r="AA50" s="83">
        <f>'Rock Climbing Log'!AA50</f>
        <v>0</v>
      </c>
      <c r="AB50" s="81">
        <f>'Rock Climbing Log'!AB50</f>
        <v>0</v>
      </c>
      <c r="AC50" s="82">
        <f>'Rock Climbing Log'!AC50</f>
        <v>0</v>
      </c>
      <c r="AD50" s="83">
        <f>'Rock Climbing Log'!AD50</f>
        <v>0</v>
      </c>
      <c r="AE50" s="81">
        <f>'Rock Climbing Log'!AE50</f>
        <v>0</v>
      </c>
      <c r="AF50" s="82">
        <f>'Rock Climbing Log'!AF50</f>
        <v>0</v>
      </c>
      <c r="AG50" s="83">
        <f>'Rock Climbing Log'!AG50</f>
        <v>0</v>
      </c>
      <c r="AH50" s="81">
        <f>'Rock Climbing Log'!AH50</f>
        <v>0</v>
      </c>
      <c r="AI50" s="82">
        <f>'Rock Climbing Log'!AI50</f>
        <v>0</v>
      </c>
      <c r="AJ50" s="83">
        <f>'Rock Climbing Log'!AJ50</f>
        <v>0</v>
      </c>
      <c r="AK50" s="81">
        <f>'Rock Climbing Log'!AK50</f>
        <v>0</v>
      </c>
      <c r="AL50" s="82">
        <f>'Rock Climbing Log'!AL50</f>
        <v>0</v>
      </c>
      <c r="AM50" s="83">
        <f>'Rock Climbing Log'!AM50</f>
        <v>0</v>
      </c>
      <c r="AN50" s="81">
        <f>'Rock Climbing Log'!AN50</f>
        <v>0</v>
      </c>
      <c r="AO50" s="82">
        <f>'Rock Climbing Log'!AO50</f>
        <v>0</v>
      </c>
      <c r="AP50" s="83">
        <f>'Rock Climbing Log'!AP50</f>
        <v>0</v>
      </c>
      <c r="AQ50" s="81">
        <f>'Rock Climbing Log'!AQ50</f>
        <v>0</v>
      </c>
      <c r="AR50" s="82">
        <f>'Rock Climbing Log'!AR50</f>
        <v>0</v>
      </c>
      <c r="AS50" s="83">
        <f>'Rock Climbing Log'!AS50</f>
        <v>0</v>
      </c>
      <c r="AT50" s="81">
        <f>'Rock Climbing Log'!AT50</f>
        <v>0</v>
      </c>
      <c r="AU50" s="82">
        <f>'Rock Climbing Log'!AU50</f>
        <v>0</v>
      </c>
      <c r="AV50" s="83">
        <f>'Rock Climbing Log'!AV50</f>
        <v>0</v>
      </c>
      <c r="AW50" s="66">
        <f ca="1">'RC Template'!AW50</f>
        <v>86.263491484800042</v>
      </c>
      <c r="AX50" s="66">
        <f ca="1">'RC Template'!BC50</f>
        <v>66.199215960187104</v>
      </c>
      <c r="AY50" s="75">
        <f>'Rock Climbing Log'!AY50</f>
        <v>0</v>
      </c>
    </row>
    <row r="51" spans="1:51" x14ac:dyDescent="0.3">
      <c r="A51" s="28">
        <f t="shared" si="0"/>
        <v>44</v>
      </c>
      <c r="B51" s="19">
        <f>'Rock Climbing Log'!B51</f>
        <v>43149</v>
      </c>
      <c r="C51" s="24" t="str">
        <f>'Rock Climbing Log'!C51</f>
        <v>Lester</v>
      </c>
      <c r="D51" s="81">
        <f>'Rock Climbing Log'!D51</f>
        <v>0</v>
      </c>
      <c r="E51" s="82">
        <f>'Rock Climbing Log'!E51</f>
        <v>0</v>
      </c>
      <c r="F51" s="83">
        <f>'Rock Climbing Log'!F51</f>
        <v>0</v>
      </c>
      <c r="G51" s="81">
        <f>'Rock Climbing Log'!G51</f>
        <v>0</v>
      </c>
      <c r="H51" s="82">
        <f>'Rock Climbing Log'!H51</f>
        <v>0</v>
      </c>
      <c r="I51" s="83">
        <f>'Rock Climbing Log'!I51</f>
        <v>0</v>
      </c>
      <c r="J51" s="81">
        <f>'Rock Climbing Log'!J51</f>
        <v>0</v>
      </c>
      <c r="K51" s="82">
        <f>'Rock Climbing Log'!K51</f>
        <v>0</v>
      </c>
      <c r="L51" s="83">
        <f>'Rock Climbing Log'!L51</f>
        <v>0</v>
      </c>
      <c r="M51" s="81" t="str">
        <f>'Rock Climbing Log'!M51</f>
        <v>F</v>
      </c>
      <c r="N51" s="82">
        <f>'Rock Climbing Log'!N51</f>
        <v>0</v>
      </c>
      <c r="O51" s="83">
        <f>'Rock Climbing Log'!O51</f>
        <v>0</v>
      </c>
      <c r="P51" s="81">
        <f>'Rock Climbing Log'!P51</f>
        <v>0</v>
      </c>
      <c r="Q51" s="82">
        <f>'Rock Climbing Log'!Q51</f>
        <v>0</v>
      </c>
      <c r="R51" s="83">
        <f>'Rock Climbing Log'!R51</f>
        <v>0</v>
      </c>
      <c r="S51" s="81">
        <f>'Rock Climbing Log'!S51</f>
        <v>0</v>
      </c>
      <c r="T51" s="82">
        <f>'Rock Climbing Log'!T51</f>
        <v>0</v>
      </c>
      <c r="U51" s="83">
        <f>'Rock Climbing Log'!U51</f>
        <v>0</v>
      </c>
      <c r="V51" s="81">
        <f>'Rock Climbing Log'!V51</f>
        <v>0</v>
      </c>
      <c r="W51" s="82">
        <f>'Rock Climbing Log'!W51</f>
        <v>0</v>
      </c>
      <c r="X51" s="83">
        <f>'Rock Climbing Log'!X51</f>
        <v>0</v>
      </c>
      <c r="Y51" s="81">
        <f>'Rock Climbing Log'!Y51</f>
        <v>0</v>
      </c>
      <c r="Z51" s="82">
        <f>'Rock Climbing Log'!Z51</f>
        <v>0</v>
      </c>
      <c r="AA51" s="83">
        <f>'Rock Climbing Log'!AA51</f>
        <v>0</v>
      </c>
      <c r="AB51" s="81" t="str">
        <f>'Rock Climbing Log'!AB51</f>
        <v>F</v>
      </c>
      <c r="AC51" s="82">
        <f>'Rock Climbing Log'!AC51</f>
        <v>0</v>
      </c>
      <c r="AD51" s="83">
        <f>'Rock Climbing Log'!AD51</f>
        <v>0</v>
      </c>
      <c r="AE51" s="81" t="str">
        <f>'Rock Climbing Log'!AE51</f>
        <v>F</v>
      </c>
      <c r="AF51" s="82" t="str">
        <f>'Rock Climbing Log'!AF51</f>
        <v>F</v>
      </c>
      <c r="AG51" s="83">
        <f>'Rock Climbing Log'!AG51</f>
        <v>0</v>
      </c>
      <c r="AH51" s="81" t="str">
        <f>'Rock Climbing Log'!AH51</f>
        <v>F</v>
      </c>
      <c r="AI51" s="82">
        <f>'Rock Climbing Log'!AI51</f>
        <v>0</v>
      </c>
      <c r="AJ51" s="83">
        <f>'Rock Climbing Log'!AJ51</f>
        <v>0</v>
      </c>
      <c r="AK51" s="81">
        <f>'Rock Climbing Log'!AK51</f>
        <v>0</v>
      </c>
      <c r="AL51" s="82">
        <f>'Rock Climbing Log'!AL51</f>
        <v>0</v>
      </c>
      <c r="AM51" s="83">
        <f>'Rock Climbing Log'!AM51</f>
        <v>0</v>
      </c>
      <c r="AN51" s="81">
        <f>'Rock Climbing Log'!AN51</f>
        <v>0</v>
      </c>
      <c r="AO51" s="82">
        <f>'Rock Climbing Log'!AO51</f>
        <v>0</v>
      </c>
      <c r="AP51" s="83">
        <f>'Rock Climbing Log'!AP51</f>
        <v>0</v>
      </c>
      <c r="AQ51" s="81">
        <f>'Rock Climbing Log'!AQ51</f>
        <v>0</v>
      </c>
      <c r="AR51" s="82">
        <f>'Rock Climbing Log'!AR51</f>
        <v>0</v>
      </c>
      <c r="AS51" s="83">
        <f>'Rock Climbing Log'!AS51</f>
        <v>0</v>
      </c>
      <c r="AT51" s="81">
        <f>'Rock Climbing Log'!AT51</f>
        <v>0</v>
      </c>
      <c r="AU51" s="82">
        <f>'Rock Climbing Log'!AU51</f>
        <v>0</v>
      </c>
      <c r="AV51" s="83">
        <f>'Rock Climbing Log'!AV51</f>
        <v>0</v>
      </c>
      <c r="AW51" s="66">
        <f ca="1">'RC Template'!AW51</f>
        <v>221.7915515957767</v>
      </c>
      <c r="AX51" s="66">
        <f ca="1">'RC Template'!BC51</f>
        <v>67.116850683491066</v>
      </c>
      <c r="AY51" s="75">
        <f>'Rock Climbing Log'!AY51</f>
        <v>0</v>
      </c>
    </row>
    <row r="52" spans="1:51" x14ac:dyDescent="0.3">
      <c r="A52" s="28">
        <f t="shared" si="0"/>
        <v>45</v>
      </c>
      <c r="B52" s="19">
        <f>'Rock Climbing Log'!B52</f>
        <v>43149</v>
      </c>
      <c r="C52" s="24" t="str">
        <f>'Rock Climbing Log'!C52</f>
        <v>Edwin</v>
      </c>
      <c r="D52" s="81">
        <f>'Rock Climbing Log'!D52</f>
        <v>0</v>
      </c>
      <c r="E52" s="82">
        <f>'Rock Climbing Log'!E52</f>
        <v>0</v>
      </c>
      <c r="F52" s="83">
        <f>'Rock Climbing Log'!F52</f>
        <v>0</v>
      </c>
      <c r="G52" s="81">
        <f>'Rock Climbing Log'!G52</f>
        <v>0</v>
      </c>
      <c r="H52" s="82">
        <f>'Rock Climbing Log'!H52</f>
        <v>0</v>
      </c>
      <c r="I52" s="83">
        <f>'Rock Climbing Log'!I52</f>
        <v>0</v>
      </c>
      <c r="J52" s="81">
        <f>'Rock Climbing Log'!J52</f>
        <v>0</v>
      </c>
      <c r="K52" s="82">
        <f>'Rock Climbing Log'!K52</f>
        <v>0</v>
      </c>
      <c r="L52" s="83">
        <f>'Rock Climbing Log'!L52</f>
        <v>0</v>
      </c>
      <c r="M52" s="81" t="str">
        <f>'Rock Climbing Log'!M52</f>
        <v>F</v>
      </c>
      <c r="N52" s="82">
        <f>'Rock Climbing Log'!N52</f>
        <v>0</v>
      </c>
      <c r="O52" s="83">
        <f>'Rock Climbing Log'!O52</f>
        <v>0</v>
      </c>
      <c r="P52" s="81">
        <f>'Rock Climbing Log'!P52</f>
        <v>0</v>
      </c>
      <c r="Q52" s="82">
        <f>'Rock Climbing Log'!Q52</f>
        <v>0</v>
      </c>
      <c r="R52" s="83">
        <f>'Rock Climbing Log'!R52</f>
        <v>0</v>
      </c>
      <c r="S52" s="81">
        <f>'Rock Climbing Log'!S52</f>
        <v>0</v>
      </c>
      <c r="T52" s="82">
        <f>'Rock Climbing Log'!T52</f>
        <v>0</v>
      </c>
      <c r="U52" s="83">
        <f>'Rock Climbing Log'!U52</f>
        <v>0</v>
      </c>
      <c r="V52" s="81" t="str">
        <f>'Rock Climbing Log'!V52</f>
        <v>F</v>
      </c>
      <c r="W52" s="82" t="str">
        <f>'Rock Climbing Log'!W52</f>
        <v>F</v>
      </c>
      <c r="X52" s="83">
        <f>'Rock Climbing Log'!X52</f>
        <v>0</v>
      </c>
      <c r="Y52" s="81">
        <f>'Rock Climbing Log'!Y52</f>
        <v>0</v>
      </c>
      <c r="Z52" s="82">
        <f>'Rock Climbing Log'!Z52</f>
        <v>0</v>
      </c>
      <c r="AA52" s="83">
        <f>'Rock Climbing Log'!AA52</f>
        <v>0</v>
      </c>
      <c r="AB52" s="81">
        <f>'Rock Climbing Log'!AB52</f>
        <v>0</v>
      </c>
      <c r="AC52" s="82">
        <f>'Rock Climbing Log'!AC52</f>
        <v>0</v>
      </c>
      <c r="AD52" s="83">
        <f>'Rock Climbing Log'!AD52</f>
        <v>0</v>
      </c>
      <c r="AE52" s="81">
        <f>'Rock Climbing Log'!AE52</f>
        <v>0</v>
      </c>
      <c r="AF52" s="82">
        <f>'Rock Climbing Log'!AF52</f>
        <v>0</v>
      </c>
      <c r="AG52" s="83">
        <f>'Rock Climbing Log'!AG52</f>
        <v>0</v>
      </c>
      <c r="AH52" s="81">
        <f>'Rock Climbing Log'!AH52</f>
        <v>0</v>
      </c>
      <c r="AI52" s="82">
        <f>'Rock Climbing Log'!AI52</f>
        <v>0</v>
      </c>
      <c r="AJ52" s="83">
        <f>'Rock Climbing Log'!AJ52</f>
        <v>0</v>
      </c>
      <c r="AK52" s="81">
        <f>'Rock Climbing Log'!AK52</f>
        <v>0</v>
      </c>
      <c r="AL52" s="82">
        <f>'Rock Climbing Log'!AL52</f>
        <v>0</v>
      </c>
      <c r="AM52" s="83">
        <f>'Rock Climbing Log'!AM52</f>
        <v>0</v>
      </c>
      <c r="AN52" s="81">
        <f>'Rock Climbing Log'!AN52</f>
        <v>0</v>
      </c>
      <c r="AO52" s="82">
        <f>'Rock Climbing Log'!AO52</f>
        <v>0</v>
      </c>
      <c r="AP52" s="83">
        <f>'Rock Climbing Log'!AP52</f>
        <v>0</v>
      </c>
      <c r="AQ52" s="81">
        <f>'Rock Climbing Log'!AQ52</f>
        <v>0</v>
      </c>
      <c r="AR52" s="82">
        <f>'Rock Climbing Log'!AR52</f>
        <v>0</v>
      </c>
      <c r="AS52" s="83">
        <f>'Rock Climbing Log'!AS52</f>
        <v>0</v>
      </c>
      <c r="AT52" s="81">
        <f>'Rock Climbing Log'!AT52</f>
        <v>0</v>
      </c>
      <c r="AU52" s="82">
        <f>'Rock Climbing Log'!AU52</f>
        <v>0</v>
      </c>
      <c r="AV52" s="83">
        <f>'Rock Climbing Log'!AV52</f>
        <v>0</v>
      </c>
      <c r="AW52" s="66">
        <f ca="1">'RC Template'!AW52</f>
        <v>90.51599148480004</v>
      </c>
      <c r="AX52" s="66">
        <f ca="1">'RC Template'!BC52</f>
        <v>69.462614659048015</v>
      </c>
      <c r="AY52" s="75">
        <f>'Rock Climbing Log'!AY52</f>
        <v>0</v>
      </c>
    </row>
    <row r="53" spans="1:51" x14ac:dyDescent="0.3">
      <c r="A53" s="28">
        <f t="shared" si="0"/>
        <v>46</v>
      </c>
      <c r="B53" s="19">
        <f>'Rock Climbing Log'!B53</f>
        <v>43149</v>
      </c>
      <c r="C53" s="24" t="str">
        <f>'Rock Climbing Log'!C53</f>
        <v>Sameena</v>
      </c>
      <c r="D53" s="81">
        <f>'Rock Climbing Log'!D53</f>
        <v>0</v>
      </c>
      <c r="E53" s="82">
        <f>'Rock Climbing Log'!E53</f>
        <v>0</v>
      </c>
      <c r="F53" s="83">
        <f>'Rock Climbing Log'!F53</f>
        <v>0</v>
      </c>
      <c r="G53" s="81">
        <f>'Rock Climbing Log'!G53</f>
        <v>0</v>
      </c>
      <c r="H53" s="82">
        <f>'Rock Climbing Log'!H53</f>
        <v>0</v>
      </c>
      <c r="I53" s="83">
        <f>'Rock Climbing Log'!I53</f>
        <v>0</v>
      </c>
      <c r="J53" s="81">
        <f>'Rock Climbing Log'!J53</f>
        <v>0</v>
      </c>
      <c r="K53" s="82">
        <f>'Rock Climbing Log'!K53</f>
        <v>0</v>
      </c>
      <c r="L53" s="83">
        <f>'Rock Climbing Log'!L53</f>
        <v>0</v>
      </c>
      <c r="M53" s="81">
        <f>'Rock Climbing Log'!M53</f>
        <v>0</v>
      </c>
      <c r="N53" s="82">
        <f>'Rock Climbing Log'!N53</f>
        <v>0</v>
      </c>
      <c r="O53" s="83">
        <f>'Rock Climbing Log'!O53</f>
        <v>0</v>
      </c>
      <c r="P53" s="81">
        <f>'Rock Climbing Log'!P53</f>
        <v>0</v>
      </c>
      <c r="Q53" s="82">
        <f>'Rock Climbing Log'!Q53</f>
        <v>0</v>
      </c>
      <c r="R53" s="83">
        <f>'Rock Climbing Log'!R53</f>
        <v>0</v>
      </c>
      <c r="S53" s="81" t="str">
        <f>'Rock Climbing Log'!S53</f>
        <v>F</v>
      </c>
      <c r="T53" s="82">
        <f>'Rock Climbing Log'!T53</f>
        <v>0</v>
      </c>
      <c r="U53" s="83">
        <f>'Rock Climbing Log'!U53</f>
        <v>0</v>
      </c>
      <c r="V53" s="81" t="str">
        <f>'Rock Climbing Log'!V53</f>
        <v>F</v>
      </c>
      <c r="W53" s="82">
        <f>'Rock Climbing Log'!W53</f>
        <v>0</v>
      </c>
      <c r="X53" s="83">
        <f>'Rock Climbing Log'!X53</f>
        <v>0</v>
      </c>
      <c r="Y53" s="81">
        <f>'Rock Climbing Log'!Y53</f>
        <v>0</v>
      </c>
      <c r="Z53" s="82">
        <f>'Rock Climbing Log'!Z53</f>
        <v>0</v>
      </c>
      <c r="AA53" s="83">
        <f>'Rock Climbing Log'!AA53</f>
        <v>0</v>
      </c>
      <c r="AB53" s="81" t="str">
        <f>'Rock Climbing Log'!AB53</f>
        <v>F</v>
      </c>
      <c r="AC53" s="82">
        <f>'Rock Climbing Log'!AC53</f>
        <v>0</v>
      </c>
      <c r="AD53" s="83">
        <f>'Rock Climbing Log'!AD53</f>
        <v>0</v>
      </c>
      <c r="AE53" s="81">
        <f>'Rock Climbing Log'!AE53</f>
        <v>0</v>
      </c>
      <c r="AF53" s="82">
        <f>'Rock Climbing Log'!AF53</f>
        <v>0</v>
      </c>
      <c r="AG53" s="83">
        <f>'Rock Climbing Log'!AG53</f>
        <v>0</v>
      </c>
      <c r="AH53" s="81">
        <f>'Rock Climbing Log'!AH53</f>
        <v>0</v>
      </c>
      <c r="AI53" s="82">
        <f>'Rock Climbing Log'!AI53</f>
        <v>0</v>
      </c>
      <c r="AJ53" s="83">
        <f>'Rock Climbing Log'!AJ53</f>
        <v>0</v>
      </c>
      <c r="AK53" s="81">
        <f>'Rock Climbing Log'!AK53</f>
        <v>0</v>
      </c>
      <c r="AL53" s="82">
        <f>'Rock Climbing Log'!AL53</f>
        <v>0</v>
      </c>
      <c r="AM53" s="83">
        <f>'Rock Climbing Log'!AM53</f>
        <v>0</v>
      </c>
      <c r="AN53" s="81">
        <f>'Rock Climbing Log'!AN53</f>
        <v>0</v>
      </c>
      <c r="AO53" s="82">
        <f>'Rock Climbing Log'!AO53</f>
        <v>0</v>
      </c>
      <c r="AP53" s="83">
        <f>'Rock Climbing Log'!AP53</f>
        <v>0</v>
      </c>
      <c r="AQ53" s="81">
        <f>'Rock Climbing Log'!AQ53</f>
        <v>0</v>
      </c>
      <c r="AR53" s="82">
        <f>'Rock Climbing Log'!AR53</f>
        <v>0</v>
      </c>
      <c r="AS53" s="83">
        <f>'Rock Climbing Log'!AS53</f>
        <v>0</v>
      </c>
      <c r="AT53" s="81">
        <f>'Rock Climbing Log'!AT53</f>
        <v>0</v>
      </c>
      <c r="AU53" s="82">
        <f>'Rock Climbing Log'!AU53</f>
        <v>0</v>
      </c>
      <c r="AV53" s="83">
        <f>'Rock Climbing Log'!AV53</f>
        <v>0</v>
      </c>
      <c r="AW53" s="66">
        <f ca="1">'RC Template'!AW53</f>
        <v>118.19048824116825</v>
      </c>
      <c r="AX53" s="66">
        <f ca="1">'RC Template'!BC53</f>
        <v>58.049478259070689</v>
      </c>
      <c r="AY53" s="75">
        <f>'Rock Climbing Log'!AY53</f>
        <v>0</v>
      </c>
    </row>
    <row r="54" spans="1:51" x14ac:dyDescent="0.3">
      <c r="A54" s="28">
        <f t="shared" si="0"/>
        <v>47</v>
      </c>
      <c r="B54" s="19">
        <f>'Rock Climbing Log'!B54</f>
        <v>43149</v>
      </c>
      <c r="C54" s="24" t="str">
        <f>'Rock Climbing Log'!C54</f>
        <v>Michelle</v>
      </c>
      <c r="D54" s="81">
        <f>'Rock Climbing Log'!D54</f>
        <v>0</v>
      </c>
      <c r="E54" s="82">
        <f>'Rock Climbing Log'!E54</f>
        <v>0</v>
      </c>
      <c r="F54" s="83">
        <f>'Rock Climbing Log'!F54</f>
        <v>0</v>
      </c>
      <c r="G54" s="81">
        <f>'Rock Climbing Log'!G54</f>
        <v>0</v>
      </c>
      <c r="H54" s="82">
        <f>'Rock Climbing Log'!H54</f>
        <v>0</v>
      </c>
      <c r="I54" s="83">
        <f>'Rock Climbing Log'!I54</f>
        <v>0</v>
      </c>
      <c r="J54" s="81" t="str">
        <f>'Rock Climbing Log'!J54</f>
        <v>F</v>
      </c>
      <c r="K54" s="82" t="str">
        <f>'Rock Climbing Log'!K54</f>
        <v>F</v>
      </c>
      <c r="L54" s="83">
        <f>'Rock Climbing Log'!L54</f>
        <v>0</v>
      </c>
      <c r="M54" s="81" t="str">
        <f>'Rock Climbing Log'!M54</f>
        <v>F</v>
      </c>
      <c r="N54" s="82">
        <f>'Rock Climbing Log'!N54</f>
        <v>0</v>
      </c>
      <c r="O54" s="83">
        <f>'Rock Climbing Log'!O54</f>
        <v>0</v>
      </c>
      <c r="P54" s="81">
        <f>'Rock Climbing Log'!P54</f>
        <v>0</v>
      </c>
      <c r="Q54" s="82">
        <f>'Rock Climbing Log'!Q54</f>
        <v>0</v>
      </c>
      <c r="R54" s="83">
        <f>'Rock Climbing Log'!R54</f>
        <v>0</v>
      </c>
      <c r="S54" s="81">
        <f>'Rock Climbing Log'!S54</f>
        <v>0</v>
      </c>
      <c r="T54" s="82">
        <f>'Rock Climbing Log'!T54</f>
        <v>0</v>
      </c>
      <c r="U54" s="83">
        <f>'Rock Climbing Log'!U54</f>
        <v>0</v>
      </c>
      <c r="V54" s="81" t="str">
        <f>'Rock Climbing Log'!V54</f>
        <v>A</v>
      </c>
      <c r="W54" s="82">
        <f>'Rock Climbing Log'!W54</f>
        <v>0</v>
      </c>
      <c r="X54" s="83">
        <f>'Rock Climbing Log'!X54</f>
        <v>0</v>
      </c>
      <c r="Y54" s="81">
        <f>'Rock Climbing Log'!Y54</f>
        <v>0</v>
      </c>
      <c r="Z54" s="82">
        <f>'Rock Climbing Log'!Z54</f>
        <v>0</v>
      </c>
      <c r="AA54" s="83">
        <f>'Rock Climbing Log'!AA54</f>
        <v>0</v>
      </c>
      <c r="AB54" s="81">
        <f>'Rock Climbing Log'!AB54</f>
        <v>0</v>
      </c>
      <c r="AC54" s="82">
        <f>'Rock Climbing Log'!AC54</f>
        <v>0</v>
      </c>
      <c r="AD54" s="83">
        <f>'Rock Climbing Log'!AD54</f>
        <v>0</v>
      </c>
      <c r="AE54" s="81">
        <f>'Rock Climbing Log'!AE54</f>
        <v>0</v>
      </c>
      <c r="AF54" s="82">
        <f>'Rock Climbing Log'!AF54</f>
        <v>0</v>
      </c>
      <c r="AG54" s="83">
        <f>'Rock Climbing Log'!AG54</f>
        <v>0</v>
      </c>
      <c r="AH54" s="81">
        <f>'Rock Climbing Log'!AH54</f>
        <v>0</v>
      </c>
      <c r="AI54" s="82">
        <f>'Rock Climbing Log'!AI54</f>
        <v>0</v>
      </c>
      <c r="AJ54" s="83">
        <f>'Rock Climbing Log'!AJ54</f>
        <v>0</v>
      </c>
      <c r="AK54" s="81">
        <f>'Rock Climbing Log'!AK54</f>
        <v>0</v>
      </c>
      <c r="AL54" s="82">
        <f>'Rock Climbing Log'!AL54</f>
        <v>0</v>
      </c>
      <c r="AM54" s="83">
        <f>'Rock Climbing Log'!AM54</f>
        <v>0</v>
      </c>
      <c r="AN54" s="81">
        <f>'Rock Climbing Log'!AN54</f>
        <v>0</v>
      </c>
      <c r="AO54" s="82">
        <f>'Rock Climbing Log'!AO54</f>
        <v>0</v>
      </c>
      <c r="AP54" s="83">
        <f>'Rock Climbing Log'!AP54</f>
        <v>0</v>
      </c>
      <c r="AQ54" s="81">
        <f>'Rock Climbing Log'!AQ54</f>
        <v>0</v>
      </c>
      <c r="AR54" s="82">
        <f>'Rock Climbing Log'!AR54</f>
        <v>0</v>
      </c>
      <c r="AS54" s="83">
        <f>'Rock Climbing Log'!AS54</f>
        <v>0</v>
      </c>
      <c r="AT54" s="81">
        <f>'Rock Climbing Log'!AT54</f>
        <v>0</v>
      </c>
      <c r="AU54" s="82">
        <f>'Rock Climbing Log'!AU54</f>
        <v>0</v>
      </c>
      <c r="AV54" s="83">
        <f>'Rock Climbing Log'!AV54</f>
        <v>0</v>
      </c>
      <c r="AW54" s="66">
        <f ca="1">'RC Template'!AW54</f>
        <v>53.380872871200012</v>
      </c>
      <c r="AX54" s="66">
        <f ca="1">'RC Template'!BC54</f>
        <v>61.571824560601861</v>
      </c>
      <c r="AY54" s="75">
        <f>'Rock Climbing Log'!AY54</f>
        <v>0</v>
      </c>
    </row>
    <row r="55" spans="1:51" x14ac:dyDescent="0.3">
      <c r="A55" s="28">
        <f t="shared" si="0"/>
        <v>48</v>
      </c>
      <c r="B55" s="19">
        <f>'Rock Climbing Log'!B55</f>
        <v>43149</v>
      </c>
      <c r="C55" s="24" t="str">
        <f>'Rock Climbing Log'!C55</f>
        <v>Angel</v>
      </c>
      <c r="D55" s="81" t="str">
        <f>'Rock Climbing Log'!D55</f>
        <v>F</v>
      </c>
      <c r="E55" s="82">
        <f>'Rock Climbing Log'!E55</f>
        <v>0</v>
      </c>
      <c r="F55" s="83">
        <f>'Rock Climbing Log'!F55</f>
        <v>0</v>
      </c>
      <c r="G55" s="81" t="str">
        <f>'Rock Climbing Log'!G55</f>
        <v>F</v>
      </c>
      <c r="H55" s="82">
        <f>'Rock Climbing Log'!H55</f>
        <v>0</v>
      </c>
      <c r="I55" s="83">
        <f>'Rock Climbing Log'!I55</f>
        <v>0</v>
      </c>
      <c r="J55" s="81" t="str">
        <f>'Rock Climbing Log'!J55</f>
        <v>F</v>
      </c>
      <c r="K55" s="82">
        <f>'Rock Climbing Log'!K55</f>
        <v>0</v>
      </c>
      <c r="L55" s="83">
        <f>'Rock Climbing Log'!L55</f>
        <v>0</v>
      </c>
      <c r="M55" s="81">
        <f>'Rock Climbing Log'!M55</f>
        <v>0</v>
      </c>
      <c r="N55" s="82">
        <f>'Rock Climbing Log'!N55</f>
        <v>0</v>
      </c>
      <c r="O55" s="83">
        <f>'Rock Climbing Log'!O55</f>
        <v>0</v>
      </c>
      <c r="P55" s="81">
        <f>'Rock Climbing Log'!P55</f>
        <v>0</v>
      </c>
      <c r="Q55" s="82">
        <f>'Rock Climbing Log'!Q55</f>
        <v>0</v>
      </c>
      <c r="R55" s="83">
        <f>'Rock Climbing Log'!R55</f>
        <v>0</v>
      </c>
      <c r="S55" s="81">
        <f>'Rock Climbing Log'!S55</f>
        <v>0</v>
      </c>
      <c r="T55" s="82">
        <f>'Rock Climbing Log'!T55</f>
        <v>0</v>
      </c>
      <c r="U55" s="83">
        <f>'Rock Climbing Log'!U55</f>
        <v>0</v>
      </c>
      <c r="V55" s="81">
        <f>'Rock Climbing Log'!V55</f>
        <v>0</v>
      </c>
      <c r="W55" s="82">
        <f>'Rock Climbing Log'!W55</f>
        <v>0</v>
      </c>
      <c r="X55" s="83">
        <f>'Rock Climbing Log'!X55</f>
        <v>0</v>
      </c>
      <c r="Y55" s="81">
        <f>'Rock Climbing Log'!Y55</f>
        <v>0</v>
      </c>
      <c r="Z55" s="82">
        <f>'Rock Climbing Log'!Z55</f>
        <v>0</v>
      </c>
      <c r="AA55" s="83">
        <f>'Rock Climbing Log'!AA55</f>
        <v>0</v>
      </c>
      <c r="AB55" s="81">
        <f>'Rock Climbing Log'!AB55</f>
        <v>0</v>
      </c>
      <c r="AC55" s="82">
        <f>'Rock Climbing Log'!AC55</f>
        <v>0</v>
      </c>
      <c r="AD55" s="83">
        <f>'Rock Climbing Log'!AD55</f>
        <v>0</v>
      </c>
      <c r="AE55" s="81">
        <f>'Rock Climbing Log'!AE55</f>
        <v>0</v>
      </c>
      <c r="AF55" s="82">
        <f>'Rock Climbing Log'!AF55</f>
        <v>0</v>
      </c>
      <c r="AG55" s="83">
        <f>'Rock Climbing Log'!AG55</f>
        <v>0</v>
      </c>
      <c r="AH55" s="81">
        <f>'Rock Climbing Log'!AH55</f>
        <v>0</v>
      </c>
      <c r="AI55" s="82">
        <f>'Rock Climbing Log'!AI55</f>
        <v>0</v>
      </c>
      <c r="AJ55" s="83">
        <f>'Rock Climbing Log'!AJ55</f>
        <v>0</v>
      </c>
      <c r="AK55" s="81">
        <f>'Rock Climbing Log'!AK55</f>
        <v>0</v>
      </c>
      <c r="AL55" s="82">
        <f>'Rock Climbing Log'!AL55</f>
        <v>0</v>
      </c>
      <c r="AM55" s="83">
        <f>'Rock Climbing Log'!AM55</f>
        <v>0</v>
      </c>
      <c r="AN55" s="81">
        <f>'Rock Climbing Log'!AN55</f>
        <v>0</v>
      </c>
      <c r="AO55" s="82">
        <f>'Rock Climbing Log'!AO55</f>
        <v>0</v>
      </c>
      <c r="AP55" s="83">
        <f>'Rock Climbing Log'!AP55</f>
        <v>0</v>
      </c>
      <c r="AQ55" s="81">
        <f>'Rock Climbing Log'!AQ55</f>
        <v>0</v>
      </c>
      <c r="AR55" s="82">
        <f>'Rock Climbing Log'!AR55</f>
        <v>0</v>
      </c>
      <c r="AS55" s="83">
        <f>'Rock Climbing Log'!AS55</f>
        <v>0</v>
      </c>
      <c r="AT55" s="81">
        <f>'Rock Climbing Log'!AT55</f>
        <v>0</v>
      </c>
      <c r="AU55" s="82">
        <f>'Rock Climbing Log'!AU55</f>
        <v>0</v>
      </c>
      <c r="AV55" s="83">
        <f>'Rock Climbing Log'!AV55</f>
        <v>0</v>
      </c>
      <c r="AW55" s="66">
        <f ca="1">'RC Template'!AW55</f>
        <v>38.25</v>
      </c>
      <c r="AX55" s="66">
        <f ca="1">'RC Template'!BC55</f>
        <v>63.742032245969249</v>
      </c>
      <c r="AY55" s="75">
        <f>'Rock Climbing Log'!AY55</f>
        <v>0</v>
      </c>
    </row>
    <row r="56" spans="1:51" x14ac:dyDescent="0.3">
      <c r="A56" s="28">
        <f t="shared" si="0"/>
        <v>49</v>
      </c>
      <c r="B56" s="19">
        <f>'Rock Climbing Log'!B56</f>
        <v>43153</v>
      </c>
      <c r="C56" s="24" t="str">
        <f>'Rock Climbing Log'!C56</f>
        <v>Lester</v>
      </c>
      <c r="D56" s="81">
        <f>'Rock Climbing Log'!D56</f>
        <v>0</v>
      </c>
      <c r="E56" s="82">
        <f>'Rock Climbing Log'!E56</f>
        <v>0</v>
      </c>
      <c r="F56" s="83">
        <f>'Rock Climbing Log'!F56</f>
        <v>0</v>
      </c>
      <c r="G56" s="81">
        <f>'Rock Climbing Log'!G56</f>
        <v>0</v>
      </c>
      <c r="H56" s="82">
        <f>'Rock Climbing Log'!H56</f>
        <v>0</v>
      </c>
      <c r="I56" s="83">
        <f>'Rock Climbing Log'!I56</f>
        <v>0</v>
      </c>
      <c r="J56" s="81">
        <f>'Rock Climbing Log'!J56</f>
        <v>0</v>
      </c>
      <c r="K56" s="82">
        <f>'Rock Climbing Log'!K56</f>
        <v>0</v>
      </c>
      <c r="L56" s="83">
        <f>'Rock Climbing Log'!L56</f>
        <v>0</v>
      </c>
      <c r="M56" s="81" t="str">
        <f>'Rock Climbing Log'!M56</f>
        <v>F</v>
      </c>
      <c r="N56" s="82">
        <f>'Rock Climbing Log'!N56</f>
        <v>0</v>
      </c>
      <c r="O56" s="83">
        <f>'Rock Climbing Log'!O56</f>
        <v>0</v>
      </c>
      <c r="P56" s="81" t="str">
        <f>'Rock Climbing Log'!P56</f>
        <v>F</v>
      </c>
      <c r="Q56" s="82">
        <f>'Rock Climbing Log'!Q56</f>
        <v>0</v>
      </c>
      <c r="R56" s="83">
        <f>'Rock Climbing Log'!R56</f>
        <v>0</v>
      </c>
      <c r="S56" s="81">
        <f>'Rock Climbing Log'!S56</f>
        <v>0</v>
      </c>
      <c r="T56" s="82">
        <f>'Rock Climbing Log'!T56</f>
        <v>0</v>
      </c>
      <c r="U56" s="83">
        <f>'Rock Climbing Log'!U56</f>
        <v>0</v>
      </c>
      <c r="V56" s="81">
        <f>'Rock Climbing Log'!V56</f>
        <v>0</v>
      </c>
      <c r="W56" s="82">
        <f>'Rock Climbing Log'!W56</f>
        <v>0</v>
      </c>
      <c r="X56" s="83">
        <f>'Rock Climbing Log'!X56</f>
        <v>0</v>
      </c>
      <c r="Y56" s="81">
        <f>'Rock Climbing Log'!Y56</f>
        <v>0</v>
      </c>
      <c r="Z56" s="82">
        <f>'Rock Climbing Log'!Z56</f>
        <v>0</v>
      </c>
      <c r="AA56" s="83">
        <f>'Rock Climbing Log'!AA56</f>
        <v>0</v>
      </c>
      <c r="AB56" s="81">
        <f>'Rock Climbing Log'!AB56</f>
        <v>0</v>
      </c>
      <c r="AC56" s="82">
        <f>'Rock Climbing Log'!AC56</f>
        <v>0</v>
      </c>
      <c r="AD56" s="83">
        <f>'Rock Climbing Log'!AD56</f>
        <v>0</v>
      </c>
      <c r="AE56" s="81" t="str">
        <f>'Rock Climbing Log'!AE56</f>
        <v>F</v>
      </c>
      <c r="AF56" s="82" t="str">
        <f>'Rock Climbing Log'!AF56</f>
        <v>F</v>
      </c>
      <c r="AG56" s="83" t="str">
        <f>'Rock Climbing Log'!AG56</f>
        <v>F</v>
      </c>
      <c r="AH56" s="81">
        <f>'Rock Climbing Log'!AH56</f>
        <v>0</v>
      </c>
      <c r="AI56" s="82">
        <f>'Rock Climbing Log'!AI56</f>
        <v>0</v>
      </c>
      <c r="AJ56" s="83">
        <f>'Rock Climbing Log'!AJ56</f>
        <v>0</v>
      </c>
      <c r="AK56" s="81">
        <f>'Rock Climbing Log'!AK56</f>
        <v>0</v>
      </c>
      <c r="AL56" s="82">
        <f>'Rock Climbing Log'!AL56</f>
        <v>0</v>
      </c>
      <c r="AM56" s="83">
        <f>'Rock Climbing Log'!AM56</f>
        <v>0</v>
      </c>
      <c r="AN56" s="81">
        <f>'Rock Climbing Log'!AN56</f>
        <v>0</v>
      </c>
      <c r="AO56" s="82">
        <f>'Rock Climbing Log'!AO56</f>
        <v>0</v>
      </c>
      <c r="AP56" s="83">
        <f>'Rock Climbing Log'!AP56</f>
        <v>0</v>
      </c>
      <c r="AQ56" s="81">
        <f>'Rock Climbing Log'!AQ56</f>
        <v>0</v>
      </c>
      <c r="AR56" s="82">
        <f>'Rock Climbing Log'!AR56</f>
        <v>0</v>
      </c>
      <c r="AS56" s="83">
        <f>'Rock Climbing Log'!AS56</f>
        <v>0</v>
      </c>
      <c r="AT56" s="81">
        <f>'Rock Climbing Log'!AT56</f>
        <v>0</v>
      </c>
      <c r="AU56" s="82">
        <f>'Rock Climbing Log'!AU56</f>
        <v>0</v>
      </c>
      <c r="AV56" s="83">
        <f>'Rock Climbing Log'!AV56</f>
        <v>0</v>
      </c>
      <c r="AW56" s="66">
        <f ca="1">'RC Template'!AW56</f>
        <v>203.60301554079868</v>
      </c>
      <c r="AX56" s="66">
        <f ca="1">'RC Template'!BC56</f>
        <v>61.612776025236599</v>
      </c>
      <c r="AY56" s="75">
        <f>'Rock Climbing Log'!AY56</f>
        <v>0</v>
      </c>
    </row>
    <row r="57" spans="1:51" x14ac:dyDescent="0.3">
      <c r="A57" s="28">
        <f t="shared" si="0"/>
        <v>50</v>
      </c>
      <c r="B57" s="19">
        <f>'Rock Climbing Log'!B57</f>
        <v>43153</v>
      </c>
      <c r="C57" s="24" t="str">
        <f>'Rock Climbing Log'!C57</f>
        <v>Jan</v>
      </c>
      <c r="D57" s="81">
        <f>'Rock Climbing Log'!D57</f>
        <v>0</v>
      </c>
      <c r="E57" s="82">
        <f>'Rock Climbing Log'!E57</f>
        <v>0</v>
      </c>
      <c r="F57" s="83">
        <f>'Rock Climbing Log'!F57</f>
        <v>0</v>
      </c>
      <c r="G57" s="81">
        <f>'Rock Climbing Log'!G57</f>
        <v>0</v>
      </c>
      <c r="H57" s="82">
        <f>'Rock Climbing Log'!H57</f>
        <v>0</v>
      </c>
      <c r="I57" s="83">
        <f>'Rock Climbing Log'!I57</f>
        <v>0</v>
      </c>
      <c r="J57" s="81" t="str">
        <f>'Rock Climbing Log'!J57</f>
        <v>F</v>
      </c>
      <c r="K57" s="82">
        <f>'Rock Climbing Log'!K57</f>
        <v>0</v>
      </c>
      <c r="L57" s="83">
        <f>'Rock Climbing Log'!L57</f>
        <v>0</v>
      </c>
      <c r="M57" s="81" t="str">
        <f>'Rock Climbing Log'!M57</f>
        <v>F</v>
      </c>
      <c r="N57" s="82">
        <f>'Rock Climbing Log'!N57</f>
        <v>0</v>
      </c>
      <c r="O57" s="83">
        <f>'Rock Climbing Log'!O57</f>
        <v>0</v>
      </c>
      <c r="P57" s="81">
        <f>'Rock Climbing Log'!P57</f>
        <v>0</v>
      </c>
      <c r="Q57" s="82">
        <f>'Rock Climbing Log'!Q57</f>
        <v>0</v>
      </c>
      <c r="R57" s="83">
        <f>'Rock Climbing Log'!R57</f>
        <v>0</v>
      </c>
      <c r="S57" s="81">
        <f>'Rock Climbing Log'!S57</f>
        <v>0</v>
      </c>
      <c r="T57" s="82">
        <f>'Rock Climbing Log'!T57</f>
        <v>0</v>
      </c>
      <c r="U57" s="83">
        <f>'Rock Climbing Log'!U57</f>
        <v>0</v>
      </c>
      <c r="V57" s="81" t="str">
        <f>'Rock Climbing Log'!V57</f>
        <v>F</v>
      </c>
      <c r="W57" s="82" t="str">
        <f>'Rock Climbing Log'!W57</f>
        <v>F</v>
      </c>
      <c r="X57" s="83">
        <f>'Rock Climbing Log'!X57</f>
        <v>0</v>
      </c>
      <c r="Y57" s="81">
        <f>'Rock Climbing Log'!Y57</f>
        <v>0</v>
      </c>
      <c r="Z57" s="82">
        <f>'Rock Climbing Log'!Z57</f>
        <v>0</v>
      </c>
      <c r="AA57" s="83">
        <f>'Rock Climbing Log'!AA57</f>
        <v>0</v>
      </c>
      <c r="AB57" s="81">
        <f>'Rock Climbing Log'!AB57</f>
        <v>0</v>
      </c>
      <c r="AC57" s="82">
        <f>'Rock Climbing Log'!AC57</f>
        <v>0</v>
      </c>
      <c r="AD57" s="83">
        <f>'Rock Climbing Log'!AD57</f>
        <v>0</v>
      </c>
      <c r="AE57" s="81">
        <f>'Rock Climbing Log'!AE57</f>
        <v>0</v>
      </c>
      <c r="AF57" s="82">
        <f>'Rock Climbing Log'!AF57</f>
        <v>0</v>
      </c>
      <c r="AG57" s="83">
        <f>'Rock Climbing Log'!AG57</f>
        <v>0</v>
      </c>
      <c r="AH57" s="81">
        <f>'Rock Climbing Log'!AH57</f>
        <v>0</v>
      </c>
      <c r="AI57" s="82">
        <f>'Rock Climbing Log'!AI57</f>
        <v>0</v>
      </c>
      <c r="AJ57" s="83">
        <f>'Rock Climbing Log'!AJ57</f>
        <v>0</v>
      </c>
      <c r="AK57" s="81">
        <f>'Rock Climbing Log'!AK57</f>
        <v>0</v>
      </c>
      <c r="AL57" s="82">
        <f>'Rock Climbing Log'!AL57</f>
        <v>0</v>
      </c>
      <c r="AM57" s="83">
        <f>'Rock Climbing Log'!AM57</f>
        <v>0</v>
      </c>
      <c r="AN57" s="81">
        <f>'Rock Climbing Log'!AN57</f>
        <v>0</v>
      </c>
      <c r="AO57" s="82">
        <f>'Rock Climbing Log'!AO57</f>
        <v>0</v>
      </c>
      <c r="AP57" s="83">
        <f>'Rock Climbing Log'!AP57</f>
        <v>0</v>
      </c>
      <c r="AQ57" s="81">
        <f>'Rock Climbing Log'!AQ57</f>
        <v>0</v>
      </c>
      <c r="AR57" s="82">
        <f>'Rock Climbing Log'!AR57</f>
        <v>0</v>
      </c>
      <c r="AS57" s="83">
        <f>'Rock Climbing Log'!AS57</f>
        <v>0</v>
      </c>
      <c r="AT57" s="81">
        <f>'Rock Climbing Log'!AT57</f>
        <v>0</v>
      </c>
      <c r="AU57" s="82">
        <f>'Rock Climbing Log'!AU57</f>
        <v>0</v>
      </c>
      <c r="AV57" s="83">
        <f>'Rock Climbing Log'!AV57</f>
        <v>0</v>
      </c>
      <c r="AW57" s="66">
        <f ca="1">'RC Template'!AW57</f>
        <v>90.51599148480004</v>
      </c>
      <c r="AX57" s="66">
        <f ca="1">'RC Template'!BC57</f>
        <v>69.462614659048015</v>
      </c>
      <c r="AY57" s="75">
        <f>'Rock Climbing Log'!AY57</f>
        <v>0</v>
      </c>
    </row>
    <row r="58" spans="1:51" x14ac:dyDescent="0.3">
      <c r="A58" s="28">
        <f t="shared" si="0"/>
        <v>51</v>
      </c>
      <c r="B58" s="19">
        <f>'Rock Climbing Log'!B58</f>
        <v>43153</v>
      </c>
      <c r="C58" s="24" t="str">
        <f>'Rock Climbing Log'!C58</f>
        <v>Michelle</v>
      </c>
      <c r="D58" s="81">
        <f>'Rock Climbing Log'!D58</f>
        <v>0</v>
      </c>
      <c r="E58" s="82">
        <f>'Rock Climbing Log'!E58</f>
        <v>0</v>
      </c>
      <c r="F58" s="83">
        <f>'Rock Climbing Log'!F58</f>
        <v>0</v>
      </c>
      <c r="G58" s="81">
        <f>'Rock Climbing Log'!G58</f>
        <v>0</v>
      </c>
      <c r="H58" s="82">
        <f>'Rock Climbing Log'!H58</f>
        <v>0</v>
      </c>
      <c r="I58" s="83">
        <f>'Rock Climbing Log'!I58</f>
        <v>0</v>
      </c>
      <c r="J58" s="81" t="str">
        <f>'Rock Climbing Log'!J58</f>
        <v>F</v>
      </c>
      <c r="K58" s="82" t="str">
        <f>'Rock Climbing Log'!K58</f>
        <v>F</v>
      </c>
      <c r="L58" s="83">
        <f>'Rock Climbing Log'!L58</f>
        <v>0</v>
      </c>
      <c r="M58" s="81" t="str">
        <f>'Rock Climbing Log'!M58</f>
        <v>F</v>
      </c>
      <c r="N58" s="82" t="str">
        <f>'Rock Climbing Log'!N58</f>
        <v>F</v>
      </c>
      <c r="O58" s="83">
        <f>'Rock Climbing Log'!O58</f>
        <v>0</v>
      </c>
      <c r="P58" s="81">
        <f>'Rock Climbing Log'!P58</f>
        <v>0</v>
      </c>
      <c r="Q58" s="82">
        <f>'Rock Climbing Log'!Q58</f>
        <v>0</v>
      </c>
      <c r="R58" s="83">
        <f>'Rock Climbing Log'!R58</f>
        <v>0</v>
      </c>
      <c r="S58" s="81">
        <f>'Rock Climbing Log'!S58</f>
        <v>0</v>
      </c>
      <c r="T58" s="82">
        <f>'Rock Climbing Log'!T58</f>
        <v>0</v>
      </c>
      <c r="U58" s="83">
        <f>'Rock Climbing Log'!U58</f>
        <v>0</v>
      </c>
      <c r="V58" s="81" t="str">
        <f>'Rock Climbing Log'!V58</f>
        <v>F</v>
      </c>
      <c r="W58" s="82" t="str">
        <f>'Rock Climbing Log'!W58</f>
        <v>A</v>
      </c>
      <c r="X58" s="83">
        <f>'Rock Climbing Log'!X58</f>
        <v>0</v>
      </c>
      <c r="Y58" s="81">
        <f>'Rock Climbing Log'!Y58</f>
        <v>0</v>
      </c>
      <c r="Z58" s="82">
        <f>'Rock Climbing Log'!Z58</f>
        <v>0</v>
      </c>
      <c r="AA58" s="83">
        <f>'Rock Climbing Log'!AA58</f>
        <v>0</v>
      </c>
      <c r="AB58" s="81">
        <f>'Rock Climbing Log'!AB58</f>
        <v>0</v>
      </c>
      <c r="AC58" s="82">
        <f>'Rock Climbing Log'!AC58</f>
        <v>0</v>
      </c>
      <c r="AD58" s="83">
        <f>'Rock Climbing Log'!AD58</f>
        <v>0</v>
      </c>
      <c r="AE58" s="81">
        <f>'Rock Climbing Log'!AE58</f>
        <v>0</v>
      </c>
      <c r="AF58" s="82">
        <f>'Rock Climbing Log'!AF58</f>
        <v>0</v>
      </c>
      <c r="AG58" s="83">
        <f>'Rock Climbing Log'!AG58</f>
        <v>0</v>
      </c>
      <c r="AH58" s="81">
        <f>'Rock Climbing Log'!AH58</f>
        <v>0</v>
      </c>
      <c r="AI58" s="82">
        <f>'Rock Climbing Log'!AI58</f>
        <v>0</v>
      </c>
      <c r="AJ58" s="83">
        <f>'Rock Climbing Log'!AJ58</f>
        <v>0</v>
      </c>
      <c r="AK58" s="81">
        <f>'Rock Climbing Log'!AK58</f>
        <v>0</v>
      </c>
      <c r="AL58" s="82">
        <f>'Rock Climbing Log'!AL58</f>
        <v>0</v>
      </c>
      <c r="AM58" s="83">
        <f>'Rock Climbing Log'!AM58</f>
        <v>0</v>
      </c>
      <c r="AN58" s="81">
        <f>'Rock Climbing Log'!AN58</f>
        <v>0</v>
      </c>
      <c r="AO58" s="82">
        <f>'Rock Climbing Log'!AO58</f>
        <v>0</v>
      </c>
      <c r="AP58" s="83">
        <f>'Rock Climbing Log'!AP58</f>
        <v>0</v>
      </c>
      <c r="AQ58" s="81">
        <f>'Rock Climbing Log'!AQ58</f>
        <v>0</v>
      </c>
      <c r="AR58" s="82">
        <f>'Rock Climbing Log'!AR58</f>
        <v>0</v>
      </c>
      <c r="AS58" s="83">
        <f>'Rock Climbing Log'!AS58</f>
        <v>0</v>
      </c>
      <c r="AT58" s="81">
        <f>'Rock Climbing Log'!AT58</f>
        <v>0</v>
      </c>
      <c r="AU58" s="82">
        <f>'Rock Climbing Log'!AU58</f>
        <v>0</v>
      </c>
      <c r="AV58" s="83">
        <f>'Rock Climbing Log'!AV58</f>
        <v>0</v>
      </c>
      <c r="AW58" s="66">
        <f ca="1">'RC Template'!AW58</f>
        <v>75.261745742400024</v>
      </c>
      <c r="AX58" s="66">
        <f ca="1">'RC Template'!BC58</f>
        <v>86.810176674271105</v>
      </c>
      <c r="AY58" s="75">
        <f>'Rock Climbing Log'!AY58</f>
        <v>0</v>
      </c>
    </row>
    <row r="59" spans="1:51" x14ac:dyDescent="0.3">
      <c r="A59" s="28">
        <f t="shared" si="0"/>
        <v>52</v>
      </c>
      <c r="B59" s="19">
        <f>'Rock Climbing Log'!B59</f>
        <v>43156</v>
      </c>
      <c r="C59" s="24" t="str">
        <f>'Rock Climbing Log'!C59</f>
        <v>Oz</v>
      </c>
      <c r="D59" s="81">
        <f>'Rock Climbing Log'!D59</f>
        <v>0</v>
      </c>
      <c r="E59" s="82">
        <f>'Rock Climbing Log'!E59</f>
        <v>0</v>
      </c>
      <c r="F59" s="83">
        <f>'Rock Climbing Log'!F59</f>
        <v>0</v>
      </c>
      <c r="G59" s="81">
        <f>'Rock Climbing Log'!G59</f>
        <v>0</v>
      </c>
      <c r="H59" s="82">
        <f>'Rock Climbing Log'!H59</f>
        <v>0</v>
      </c>
      <c r="I59" s="83">
        <f>'Rock Climbing Log'!I59</f>
        <v>0</v>
      </c>
      <c r="J59" s="81" t="str">
        <f>'Rock Climbing Log'!J59</f>
        <v>F</v>
      </c>
      <c r="K59" s="82">
        <f>'Rock Climbing Log'!K59</f>
        <v>0</v>
      </c>
      <c r="L59" s="83">
        <f>'Rock Climbing Log'!L59</f>
        <v>0</v>
      </c>
      <c r="M59" s="81">
        <f>'Rock Climbing Log'!M59</f>
        <v>0</v>
      </c>
      <c r="N59" s="82">
        <f>'Rock Climbing Log'!N59</f>
        <v>0</v>
      </c>
      <c r="O59" s="83">
        <f>'Rock Climbing Log'!O59</f>
        <v>0</v>
      </c>
      <c r="P59" s="81">
        <f>'Rock Climbing Log'!P59</f>
        <v>0</v>
      </c>
      <c r="Q59" s="82">
        <f>'Rock Climbing Log'!Q59</f>
        <v>0</v>
      </c>
      <c r="R59" s="83">
        <f>'Rock Climbing Log'!R59</f>
        <v>0</v>
      </c>
      <c r="S59" s="81">
        <f>'Rock Climbing Log'!S59</f>
        <v>0</v>
      </c>
      <c r="T59" s="82">
        <f>'Rock Climbing Log'!T59</f>
        <v>0</v>
      </c>
      <c r="U59" s="83">
        <f>'Rock Climbing Log'!U59</f>
        <v>0</v>
      </c>
      <c r="V59" s="81" t="str">
        <f>'Rock Climbing Log'!V59</f>
        <v>F</v>
      </c>
      <c r="W59" s="82" t="str">
        <f>'Rock Climbing Log'!W59</f>
        <v>F</v>
      </c>
      <c r="X59" s="83">
        <f>'Rock Climbing Log'!X59</f>
        <v>0</v>
      </c>
      <c r="Y59" s="81">
        <f>'Rock Climbing Log'!Y59</f>
        <v>0</v>
      </c>
      <c r="Z59" s="82">
        <f>'Rock Climbing Log'!Z59</f>
        <v>0</v>
      </c>
      <c r="AA59" s="83">
        <f>'Rock Climbing Log'!AA59</f>
        <v>0</v>
      </c>
      <c r="AB59" s="81" t="str">
        <f>'Rock Climbing Log'!AB59</f>
        <v>F</v>
      </c>
      <c r="AC59" s="82" t="str">
        <f>'Rock Climbing Log'!AC59</f>
        <v>A</v>
      </c>
      <c r="AD59" s="83">
        <f>'Rock Climbing Log'!AD59</f>
        <v>0</v>
      </c>
      <c r="AE59" s="81">
        <f>'Rock Climbing Log'!AE59</f>
        <v>0</v>
      </c>
      <c r="AF59" s="82">
        <f>'Rock Climbing Log'!AF59</f>
        <v>0</v>
      </c>
      <c r="AG59" s="83">
        <f>'Rock Climbing Log'!AG59</f>
        <v>0</v>
      </c>
      <c r="AH59" s="81">
        <f>'Rock Climbing Log'!AH59</f>
        <v>0</v>
      </c>
      <c r="AI59" s="82">
        <f>'Rock Climbing Log'!AI59</f>
        <v>0</v>
      </c>
      <c r="AJ59" s="83">
        <f>'Rock Climbing Log'!AJ59</f>
        <v>0</v>
      </c>
      <c r="AK59" s="81">
        <f>'Rock Climbing Log'!AK59</f>
        <v>0</v>
      </c>
      <c r="AL59" s="82">
        <f>'Rock Climbing Log'!AL59</f>
        <v>0</v>
      </c>
      <c r="AM59" s="83">
        <f>'Rock Climbing Log'!AM59</f>
        <v>0</v>
      </c>
      <c r="AN59" s="81">
        <f>'Rock Climbing Log'!AN59</f>
        <v>0</v>
      </c>
      <c r="AO59" s="82">
        <f>'Rock Climbing Log'!AO59</f>
        <v>0</v>
      </c>
      <c r="AP59" s="83">
        <f>'Rock Climbing Log'!AP59</f>
        <v>0</v>
      </c>
      <c r="AQ59" s="81">
        <f>'Rock Climbing Log'!AQ59</f>
        <v>0</v>
      </c>
      <c r="AR59" s="82">
        <f>'Rock Climbing Log'!AR59</f>
        <v>0</v>
      </c>
      <c r="AS59" s="83">
        <f>'Rock Climbing Log'!AS59</f>
        <v>0</v>
      </c>
      <c r="AT59" s="81">
        <f>'Rock Climbing Log'!AT59</f>
        <v>0</v>
      </c>
      <c r="AU59" s="82">
        <f>'Rock Climbing Log'!AU59</f>
        <v>0</v>
      </c>
      <c r="AV59" s="83">
        <f>'Rock Climbing Log'!AV59</f>
        <v>0</v>
      </c>
      <c r="AW59" s="66">
        <f ca="1">'RC Template'!AW59</f>
        <v>124.54826206356827</v>
      </c>
      <c r="AX59" s="66">
        <f ca="1">'RC Template'!BC59</f>
        <v>61.17211070413191</v>
      </c>
      <c r="AY59" s="75">
        <f>'Rock Climbing Log'!AY59</f>
        <v>0</v>
      </c>
    </row>
    <row r="60" spans="1:51" x14ac:dyDescent="0.3">
      <c r="A60" s="28">
        <f t="shared" si="0"/>
        <v>53</v>
      </c>
      <c r="B60" s="19">
        <f>'Rock Climbing Log'!B60</f>
        <v>43156</v>
      </c>
      <c r="C60" s="24" t="str">
        <f>'Rock Climbing Log'!C60</f>
        <v>Michelle</v>
      </c>
      <c r="D60" s="81">
        <f>'Rock Climbing Log'!D60</f>
        <v>0</v>
      </c>
      <c r="E60" s="82">
        <f>'Rock Climbing Log'!E60</f>
        <v>0</v>
      </c>
      <c r="F60" s="83">
        <f>'Rock Climbing Log'!F60</f>
        <v>0</v>
      </c>
      <c r="G60" s="81">
        <f>'Rock Climbing Log'!G60</f>
        <v>0</v>
      </c>
      <c r="H60" s="82">
        <f>'Rock Climbing Log'!H60</f>
        <v>0</v>
      </c>
      <c r="I60" s="83">
        <f>'Rock Climbing Log'!I60</f>
        <v>0</v>
      </c>
      <c r="J60" s="81" t="str">
        <f>'Rock Climbing Log'!J60</f>
        <v>F</v>
      </c>
      <c r="K60" s="82">
        <f>'Rock Climbing Log'!K60</f>
        <v>0</v>
      </c>
      <c r="L60" s="83">
        <f>'Rock Climbing Log'!L60</f>
        <v>0</v>
      </c>
      <c r="M60" s="81" t="str">
        <f>'Rock Climbing Log'!M60</f>
        <v>F</v>
      </c>
      <c r="N60" s="82">
        <f>'Rock Climbing Log'!N60</f>
        <v>0</v>
      </c>
      <c r="O60" s="83">
        <f>'Rock Climbing Log'!O60</f>
        <v>0</v>
      </c>
      <c r="P60" s="81">
        <f>'Rock Climbing Log'!P60</f>
        <v>0</v>
      </c>
      <c r="Q60" s="82">
        <f>'Rock Climbing Log'!Q60</f>
        <v>0</v>
      </c>
      <c r="R60" s="83">
        <f>'Rock Climbing Log'!R60</f>
        <v>0</v>
      </c>
      <c r="S60" s="81">
        <f>'Rock Climbing Log'!S60</f>
        <v>0</v>
      </c>
      <c r="T60" s="82">
        <f>'Rock Climbing Log'!T60</f>
        <v>0</v>
      </c>
      <c r="U60" s="83">
        <f>'Rock Climbing Log'!U60</f>
        <v>0</v>
      </c>
      <c r="V60" s="81" t="str">
        <f>'Rock Climbing Log'!V60</f>
        <v>F</v>
      </c>
      <c r="W60" s="82">
        <f>'Rock Climbing Log'!W60</f>
        <v>0</v>
      </c>
      <c r="X60" s="83">
        <f>'Rock Climbing Log'!X60</f>
        <v>0</v>
      </c>
      <c r="Y60" s="81">
        <f>'Rock Climbing Log'!Y60</f>
        <v>0</v>
      </c>
      <c r="Z60" s="82">
        <f>'Rock Climbing Log'!Z60</f>
        <v>0</v>
      </c>
      <c r="AA60" s="83">
        <f>'Rock Climbing Log'!AA60</f>
        <v>0</v>
      </c>
      <c r="AB60" s="81">
        <f>'Rock Climbing Log'!AB60</f>
        <v>0</v>
      </c>
      <c r="AC60" s="82">
        <f>'Rock Climbing Log'!AC60</f>
        <v>0</v>
      </c>
      <c r="AD60" s="83">
        <f>'Rock Climbing Log'!AD60</f>
        <v>0</v>
      </c>
      <c r="AE60" s="81">
        <f>'Rock Climbing Log'!AE60</f>
        <v>0</v>
      </c>
      <c r="AF60" s="82">
        <f>'Rock Climbing Log'!AF60</f>
        <v>0</v>
      </c>
      <c r="AG60" s="83">
        <f>'Rock Climbing Log'!AG60</f>
        <v>0</v>
      </c>
      <c r="AH60" s="81">
        <f>'Rock Climbing Log'!AH60</f>
        <v>0</v>
      </c>
      <c r="AI60" s="82">
        <f>'Rock Climbing Log'!AI60</f>
        <v>0</v>
      </c>
      <c r="AJ60" s="83">
        <f>'Rock Climbing Log'!AJ60</f>
        <v>0</v>
      </c>
      <c r="AK60" s="81">
        <f>'Rock Climbing Log'!AK60</f>
        <v>0</v>
      </c>
      <c r="AL60" s="82">
        <f>'Rock Climbing Log'!AL60</f>
        <v>0</v>
      </c>
      <c r="AM60" s="83">
        <f>'Rock Climbing Log'!AM60</f>
        <v>0</v>
      </c>
      <c r="AN60" s="81">
        <f>'Rock Climbing Log'!AN60</f>
        <v>0</v>
      </c>
      <c r="AO60" s="82">
        <f>'Rock Climbing Log'!AO60</f>
        <v>0</v>
      </c>
      <c r="AP60" s="83">
        <f>'Rock Climbing Log'!AP60</f>
        <v>0</v>
      </c>
      <c r="AQ60" s="81">
        <f>'Rock Climbing Log'!AQ60</f>
        <v>0</v>
      </c>
      <c r="AR60" s="82">
        <f>'Rock Climbing Log'!AR60</f>
        <v>0</v>
      </c>
      <c r="AS60" s="83">
        <f>'Rock Climbing Log'!AS60</f>
        <v>0</v>
      </c>
      <c r="AT60" s="81">
        <f>'Rock Climbing Log'!AT60</f>
        <v>0</v>
      </c>
      <c r="AU60" s="82">
        <f>'Rock Climbing Log'!AU60</f>
        <v>0</v>
      </c>
      <c r="AV60" s="83">
        <f>'Rock Climbing Log'!AV60</f>
        <v>0</v>
      </c>
      <c r="AW60" s="66">
        <f ca="1">'RC Template'!AW60</f>
        <v>71.009245742400026</v>
      </c>
      <c r="AX60" s="66">
        <f ca="1">'RC Template'!BC60</f>
        <v>81.905157893935197</v>
      </c>
      <c r="AY60" s="75">
        <f>'Rock Climbing Log'!AY60</f>
        <v>0</v>
      </c>
    </row>
    <row r="61" spans="1:51" x14ac:dyDescent="0.3">
      <c r="A61" s="28">
        <f t="shared" si="0"/>
        <v>54</v>
      </c>
      <c r="B61" s="19">
        <f>'Rock Climbing Log'!B61</f>
        <v>43156</v>
      </c>
      <c r="C61" s="24" t="str">
        <f>'Rock Climbing Log'!C61</f>
        <v>Angel</v>
      </c>
      <c r="D61" s="81" t="str">
        <f>'Rock Climbing Log'!D61</f>
        <v>F</v>
      </c>
      <c r="E61" s="82">
        <f>'Rock Climbing Log'!E61</f>
        <v>0</v>
      </c>
      <c r="F61" s="83">
        <f>'Rock Climbing Log'!F61</f>
        <v>0</v>
      </c>
      <c r="G61" s="81" t="str">
        <f>'Rock Climbing Log'!G61</f>
        <v>F</v>
      </c>
      <c r="H61" s="82">
        <f>'Rock Climbing Log'!H61</f>
        <v>0</v>
      </c>
      <c r="I61" s="83">
        <f>'Rock Climbing Log'!I61</f>
        <v>0</v>
      </c>
      <c r="J61" s="81" t="str">
        <f>'Rock Climbing Log'!J61</f>
        <v>F</v>
      </c>
      <c r="K61" s="82">
        <f>'Rock Climbing Log'!K61</f>
        <v>0</v>
      </c>
      <c r="L61" s="83">
        <f>'Rock Climbing Log'!L61</f>
        <v>0</v>
      </c>
      <c r="M61" s="81">
        <f>'Rock Climbing Log'!M61</f>
        <v>0</v>
      </c>
      <c r="N61" s="82">
        <f>'Rock Climbing Log'!N61</f>
        <v>0</v>
      </c>
      <c r="O61" s="83">
        <f>'Rock Climbing Log'!O61</f>
        <v>0</v>
      </c>
      <c r="P61" s="81">
        <f>'Rock Climbing Log'!P61</f>
        <v>0</v>
      </c>
      <c r="Q61" s="82">
        <f>'Rock Climbing Log'!Q61</f>
        <v>0</v>
      </c>
      <c r="R61" s="83">
        <f>'Rock Climbing Log'!R61</f>
        <v>0</v>
      </c>
      <c r="S61" s="81">
        <f>'Rock Climbing Log'!S61</f>
        <v>0</v>
      </c>
      <c r="T61" s="82">
        <f>'Rock Climbing Log'!T61</f>
        <v>0</v>
      </c>
      <c r="U61" s="83">
        <f>'Rock Climbing Log'!U61</f>
        <v>0</v>
      </c>
      <c r="V61" s="81">
        <f>'Rock Climbing Log'!V61</f>
        <v>0</v>
      </c>
      <c r="W61" s="82">
        <f>'Rock Climbing Log'!W61</f>
        <v>0</v>
      </c>
      <c r="X61" s="83">
        <f>'Rock Climbing Log'!X61</f>
        <v>0</v>
      </c>
      <c r="Y61" s="81">
        <f>'Rock Climbing Log'!Y61</f>
        <v>0</v>
      </c>
      <c r="Z61" s="82">
        <f>'Rock Climbing Log'!Z61</f>
        <v>0</v>
      </c>
      <c r="AA61" s="83">
        <f>'Rock Climbing Log'!AA61</f>
        <v>0</v>
      </c>
      <c r="AB61" s="81">
        <f>'Rock Climbing Log'!AB61</f>
        <v>0</v>
      </c>
      <c r="AC61" s="82">
        <f>'Rock Climbing Log'!AC61</f>
        <v>0</v>
      </c>
      <c r="AD61" s="83">
        <f>'Rock Climbing Log'!AD61</f>
        <v>0</v>
      </c>
      <c r="AE61" s="81">
        <f>'Rock Climbing Log'!AE61</f>
        <v>0</v>
      </c>
      <c r="AF61" s="82">
        <f>'Rock Climbing Log'!AF61</f>
        <v>0</v>
      </c>
      <c r="AG61" s="83">
        <f>'Rock Climbing Log'!AG61</f>
        <v>0</v>
      </c>
      <c r="AH61" s="81">
        <f>'Rock Climbing Log'!AH61</f>
        <v>0</v>
      </c>
      <c r="AI61" s="82">
        <f>'Rock Climbing Log'!AI61</f>
        <v>0</v>
      </c>
      <c r="AJ61" s="83">
        <f>'Rock Climbing Log'!AJ61</f>
        <v>0</v>
      </c>
      <c r="AK61" s="81">
        <f>'Rock Climbing Log'!AK61</f>
        <v>0</v>
      </c>
      <c r="AL61" s="82">
        <f>'Rock Climbing Log'!AL61</f>
        <v>0</v>
      </c>
      <c r="AM61" s="83">
        <f>'Rock Climbing Log'!AM61</f>
        <v>0</v>
      </c>
      <c r="AN61" s="81">
        <f>'Rock Climbing Log'!AN61</f>
        <v>0</v>
      </c>
      <c r="AO61" s="82">
        <f>'Rock Climbing Log'!AO61</f>
        <v>0</v>
      </c>
      <c r="AP61" s="83">
        <f>'Rock Climbing Log'!AP61</f>
        <v>0</v>
      </c>
      <c r="AQ61" s="81">
        <f>'Rock Climbing Log'!AQ61</f>
        <v>0</v>
      </c>
      <c r="AR61" s="82">
        <f>'Rock Climbing Log'!AR61</f>
        <v>0</v>
      </c>
      <c r="AS61" s="83">
        <f>'Rock Climbing Log'!AS61</f>
        <v>0</v>
      </c>
      <c r="AT61" s="81">
        <f>'Rock Climbing Log'!AT61</f>
        <v>0</v>
      </c>
      <c r="AU61" s="82">
        <f>'Rock Climbing Log'!AU61</f>
        <v>0</v>
      </c>
      <c r="AV61" s="83">
        <f>'Rock Climbing Log'!AV61</f>
        <v>0</v>
      </c>
      <c r="AW61" s="66">
        <f ca="1">'RC Template'!AW61</f>
        <v>38.25</v>
      </c>
      <c r="AX61" s="66">
        <f ca="1">'RC Template'!BC61</f>
        <v>63.742032245969249</v>
      </c>
      <c r="AY61" s="75">
        <f>'Rock Climbing Log'!AY61</f>
        <v>0</v>
      </c>
    </row>
    <row r="62" spans="1:51" x14ac:dyDescent="0.3">
      <c r="A62" s="28">
        <f t="shared" si="0"/>
        <v>55</v>
      </c>
      <c r="B62" s="19">
        <f>'Rock Climbing Log'!B62</f>
        <v>43156</v>
      </c>
      <c r="C62" s="24" t="str">
        <f>'Rock Climbing Log'!C62</f>
        <v>Edwin</v>
      </c>
      <c r="D62" s="81">
        <f>'Rock Climbing Log'!D62</f>
        <v>0</v>
      </c>
      <c r="E62" s="82">
        <f>'Rock Climbing Log'!E62</f>
        <v>0</v>
      </c>
      <c r="F62" s="83">
        <f>'Rock Climbing Log'!F62</f>
        <v>0</v>
      </c>
      <c r="G62" s="81">
        <f>'Rock Climbing Log'!G62</f>
        <v>0</v>
      </c>
      <c r="H62" s="82">
        <f>'Rock Climbing Log'!H62</f>
        <v>0</v>
      </c>
      <c r="I62" s="83">
        <f>'Rock Climbing Log'!I62</f>
        <v>0</v>
      </c>
      <c r="J62" s="81">
        <f>'Rock Climbing Log'!J62</f>
        <v>0</v>
      </c>
      <c r="K62" s="82">
        <f>'Rock Climbing Log'!K62</f>
        <v>0</v>
      </c>
      <c r="L62" s="83">
        <f>'Rock Climbing Log'!L62</f>
        <v>0</v>
      </c>
      <c r="M62" s="81" t="str">
        <f>'Rock Climbing Log'!M62</f>
        <v>F</v>
      </c>
      <c r="N62" s="82">
        <f>'Rock Climbing Log'!N62</f>
        <v>0</v>
      </c>
      <c r="O62" s="83">
        <f>'Rock Climbing Log'!O62</f>
        <v>0</v>
      </c>
      <c r="P62" s="81">
        <f>'Rock Climbing Log'!P62</f>
        <v>0</v>
      </c>
      <c r="Q62" s="82">
        <f>'Rock Climbing Log'!Q62</f>
        <v>0</v>
      </c>
      <c r="R62" s="83">
        <f>'Rock Climbing Log'!R62</f>
        <v>0</v>
      </c>
      <c r="S62" s="81">
        <f>'Rock Climbing Log'!S62</f>
        <v>0</v>
      </c>
      <c r="T62" s="82">
        <f>'Rock Climbing Log'!T62</f>
        <v>0</v>
      </c>
      <c r="U62" s="83">
        <f>'Rock Climbing Log'!U62</f>
        <v>0</v>
      </c>
      <c r="V62" s="81" t="str">
        <f>'Rock Climbing Log'!V62</f>
        <v>F</v>
      </c>
      <c r="W62" s="82" t="str">
        <f>'Rock Climbing Log'!W62</f>
        <v>F</v>
      </c>
      <c r="X62" s="83">
        <f>'Rock Climbing Log'!X62</f>
        <v>0</v>
      </c>
      <c r="Y62" s="81">
        <f>'Rock Climbing Log'!Y62</f>
        <v>0</v>
      </c>
      <c r="Z62" s="82">
        <f>'Rock Climbing Log'!Z62</f>
        <v>0</v>
      </c>
      <c r="AA62" s="83">
        <f>'Rock Climbing Log'!AA62</f>
        <v>0</v>
      </c>
      <c r="AB62" s="81">
        <f>'Rock Climbing Log'!AB62</f>
        <v>0</v>
      </c>
      <c r="AC62" s="82">
        <f>'Rock Climbing Log'!AC62</f>
        <v>0</v>
      </c>
      <c r="AD62" s="83">
        <f>'Rock Climbing Log'!AD62</f>
        <v>0</v>
      </c>
      <c r="AE62" s="81" t="str">
        <f>'Rock Climbing Log'!AE62</f>
        <v>A</v>
      </c>
      <c r="AF62" s="82">
        <f>'Rock Climbing Log'!AF62</f>
        <v>0</v>
      </c>
      <c r="AG62" s="83">
        <f>'Rock Climbing Log'!AG62</f>
        <v>0</v>
      </c>
      <c r="AH62" s="81">
        <f>'Rock Climbing Log'!AH62</f>
        <v>0</v>
      </c>
      <c r="AI62" s="82">
        <f>'Rock Climbing Log'!AI62</f>
        <v>0</v>
      </c>
      <c r="AJ62" s="83">
        <f>'Rock Climbing Log'!AJ62</f>
        <v>0</v>
      </c>
      <c r="AK62" s="81">
        <f>'Rock Climbing Log'!AK62</f>
        <v>0</v>
      </c>
      <c r="AL62" s="82">
        <f>'Rock Climbing Log'!AL62</f>
        <v>0</v>
      </c>
      <c r="AM62" s="83">
        <f>'Rock Climbing Log'!AM62</f>
        <v>0</v>
      </c>
      <c r="AN62" s="81">
        <f>'Rock Climbing Log'!AN62</f>
        <v>0</v>
      </c>
      <c r="AO62" s="82">
        <f>'Rock Climbing Log'!AO62</f>
        <v>0</v>
      </c>
      <c r="AP62" s="83">
        <f>'Rock Climbing Log'!AP62</f>
        <v>0</v>
      </c>
      <c r="AQ62" s="81">
        <f>'Rock Climbing Log'!AQ62</f>
        <v>0</v>
      </c>
      <c r="AR62" s="82">
        <f>'Rock Climbing Log'!AR62</f>
        <v>0</v>
      </c>
      <c r="AS62" s="83">
        <f>'Rock Climbing Log'!AS62</f>
        <v>0</v>
      </c>
      <c r="AT62" s="81">
        <f>'Rock Climbing Log'!AT62</f>
        <v>0</v>
      </c>
      <c r="AU62" s="82">
        <f>'Rock Climbing Log'!AU62</f>
        <v>0</v>
      </c>
      <c r="AV62" s="83">
        <f>'Rock Climbing Log'!AV62</f>
        <v>0</v>
      </c>
      <c r="AW62" s="66">
        <f ca="1">'RC Template'!AW62</f>
        <v>104.44732740826649</v>
      </c>
      <c r="AX62" s="66">
        <f ca="1">'RC Template'!BC62</f>
        <v>80.153620779220773</v>
      </c>
      <c r="AY62" s="75">
        <f>'Rock Climbing Log'!AY62</f>
        <v>0</v>
      </c>
    </row>
    <row r="63" spans="1:51" x14ac:dyDescent="0.3">
      <c r="A63" s="28">
        <f t="shared" si="0"/>
        <v>56</v>
      </c>
      <c r="B63" s="19">
        <f>'Rock Climbing Log'!B63</f>
        <v>43156</v>
      </c>
      <c r="C63" s="24" t="str">
        <f>'Rock Climbing Log'!C63</f>
        <v>Lester</v>
      </c>
      <c r="D63" s="81">
        <f>'Rock Climbing Log'!D63</f>
        <v>0</v>
      </c>
      <c r="E63" s="82">
        <f>'Rock Climbing Log'!E63</f>
        <v>0</v>
      </c>
      <c r="F63" s="83">
        <f>'Rock Climbing Log'!F63</f>
        <v>0</v>
      </c>
      <c r="G63" s="81">
        <f>'Rock Climbing Log'!G63</f>
        <v>0</v>
      </c>
      <c r="H63" s="82">
        <f>'Rock Climbing Log'!H63</f>
        <v>0</v>
      </c>
      <c r="I63" s="83">
        <f>'Rock Climbing Log'!I63</f>
        <v>0</v>
      </c>
      <c r="J63" s="81">
        <f>'Rock Climbing Log'!J63</f>
        <v>0</v>
      </c>
      <c r="K63" s="82">
        <f>'Rock Climbing Log'!K63</f>
        <v>0</v>
      </c>
      <c r="L63" s="83">
        <f>'Rock Climbing Log'!L63</f>
        <v>0</v>
      </c>
      <c r="M63" s="81">
        <f>'Rock Climbing Log'!M63</f>
        <v>0</v>
      </c>
      <c r="N63" s="82">
        <f>'Rock Climbing Log'!N63</f>
        <v>0</v>
      </c>
      <c r="O63" s="83">
        <f>'Rock Climbing Log'!O63</f>
        <v>0</v>
      </c>
      <c r="P63" s="81">
        <f>'Rock Climbing Log'!P63</f>
        <v>0</v>
      </c>
      <c r="Q63" s="82">
        <f>'Rock Climbing Log'!Q63</f>
        <v>0</v>
      </c>
      <c r="R63" s="83">
        <f>'Rock Climbing Log'!R63</f>
        <v>0</v>
      </c>
      <c r="S63" s="81">
        <f>'Rock Climbing Log'!S63</f>
        <v>0</v>
      </c>
      <c r="T63" s="82">
        <f>'Rock Climbing Log'!T63</f>
        <v>0</v>
      </c>
      <c r="U63" s="83">
        <f>'Rock Climbing Log'!U63</f>
        <v>0</v>
      </c>
      <c r="V63" s="81" t="str">
        <f>'Rock Climbing Log'!V63</f>
        <v>F</v>
      </c>
      <c r="W63" s="82">
        <f>'Rock Climbing Log'!W63</f>
        <v>0</v>
      </c>
      <c r="X63" s="83">
        <f>'Rock Climbing Log'!X63</f>
        <v>0</v>
      </c>
      <c r="Y63" s="81">
        <f>'Rock Climbing Log'!Y63</f>
        <v>0</v>
      </c>
      <c r="Z63" s="82">
        <f>'Rock Climbing Log'!Z63</f>
        <v>0</v>
      </c>
      <c r="AA63" s="83">
        <f>'Rock Climbing Log'!AA63</f>
        <v>0</v>
      </c>
      <c r="AB63" s="81">
        <f>'Rock Climbing Log'!AB63</f>
        <v>0</v>
      </c>
      <c r="AC63" s="82">
        <f>'Rock Climbing Log'!AC63</f>
        <v>0</v>
      </c>
      <c r="AD63" s="83">
        <f>'Rock Climbing Log'!AD63</f>
        <v>0</v>
      </c>
      <c r="AE63" s="81" t="str">
        <f>'Rock Climbing Log'!AE63</f>
        <v>F</v>
      </c>
      <c r="AF63" s="82" t="str">
        <f>'Rock Climbing Log'!AF63</f>
        <v>F</v>
      </c>
      <c r="AG63" s="83">
        <f>'Rock Climbing Log'!AG63</f>
        <v>0</v>
      </c>
      <c r="AH63" s="81">
        <f>'Rock Climbing Log'!AH63</f>
        <v>0</v>
      </c>
      <c r="AI63" s="82">
        <f>'Rock Climbing Log'!AI63</f>
        <v>0</v>
      </c>
      <c r="AJ63" s="83">
        <f>'Rock Climbing Log'!AJ63</f>
        <v>0</v>
      </c>
      <c r="AK63" s="81">
        <f>'Rock Climbing Log'!AK63</f>
        <v>0</v>
      </c>
      <c r="AL63" s="82">
        <f>'Rock Climbing Log'!AL63</f>
        <v>0</v>
      </c>
      <c r="AM63" s="83">
        <f>'Rock Climbing Log'!AM63</f>
        <v>0</v>
      </c>
      <c r="AN63" s="81" t="str">
        <f>'Rock Climbing Log'!AN63</f>
        <v>C4</v>
      </c>
      <c r="AO63" s="82">
        <f>'Rock Climbing Log'!AO63</f>
        <v>0</v>
      </c>
      <c r="AP63" s="83">
        <f>'Rock Climbing Log'!AP63</f>
        <v>0</v>
      </c>
      <c r="AQ63" s="81">
        <f>'Rock Climbing Log'!AQ63</f>
        <v>0</v>
      </c>
      <c r="AR63" s="82">
        <f>'Rock Climbing Log'!AR63</f>
        <v>0</v>
      </c>
      <c r="AS63" s="83">
        <f>'Rock Climbing Log'!AS63</f>
        <v>0</v>
      </c>
      <c r="AT63" s="81">
        <f>'Rock Climbing Log'!AT63</f>
        <v>0</v>
      </c>
      <c r="AU63" s="82">
        <f>'Rock Climbing Log'!AU63</f>
        <v>0</v>
      </c>
      <c r="AV63" s="83">
        <f>'Rock Climbing Log'!AV63</f>
        <v>0</v>
      </c>
      <c r="AW63" s="66">
        <f ca="1">'RC Template'!AW63</f>
        <v>229.1090775584947</v>
      </c>
      <c r="AX63" s="66">
        <f ca="1">'RC Template'!BC63</f>
        <v>69.331224016824407</v>
      </c>
      <c r="AY63" s="75">
        <f>'Rock Climbing Log'!AY63</f>
        <v>0</v>
      </c>
    </row>
    <row r="64" spans="1:51" x14ac:dyDescent="0.3">
      <c r="A64" s="28">
        <f t="shared" si="0"/>
        <v>57</v>
      </c>
      <c r="B64" s="19">
        <f>'Rock Climbing Log'!B64</f>
        <v>43156</v>
      </c>
      <c r="C64" s="24" t="str">
        <f>'Rock Climbing Log'!C64</f>
        <v>Sameena</v>
      </c>
      <c r="D64" s="81">
        <f>'Rock Climbing Log'!D64</f>
        <v>0</v>
      </c>
      <c r="E64" s="82">
        <f>'Rock Climbing Log'!E64</f>
        <v>0</v>
      </c>
      <c r="F64" s="83">
        <f>'Rock Climbing Log'!F64</f>
        <v>0</v>
      </c>
      <c r="G64" s="81">
        <f>'Rock Climbing Log'!G64</f>
        <v>0</v>
      </c>
      <c r="H64" s="82">
        <f>'Rock Climbing Log'!H64</f>
        <v>0</v>
      </c>
      <c r="I64" s="83">
        <f>'Rock Climbing Log'!I64</f>
        <v>0</v>
      </c>
      <c r="J64" s="81">
        <f>'Rock Climbing Log'!J64</f>
        <v>0</v>
      </c>
      <c r="K64" s="82">
        <f>'Rock Climbing Log'!K64</f>
        <v>0</v>
      </c>
      <c r="L64" s="83">
        <f>'Rock Climbing Log'!L64</f>
        <v>0</v>
      </c>
      <c r="M64" s="81" t="str">
        <f>'Rock Climbing Log'!M64</f>
        <v>F</v>
      </c>
      <c r="N64" s="82">
        <f>'Rock Climbing Log'!N64</f>
        <v>0</v>
      </c>
      <c r="O64" s="83">
        <f>'Rock Climbing Log'!O64</f>
        <v>0</v>
      </c>
      <c r="P64" s="81">
        <f>'Rock Climbing Log'!P64</f>
        <v>0</v>
      </c>
      <c r="Q64" s="82">
        <f>'Rock Climbing Log'!Q64</f>
        <v>0</v>
      </c>
      <c r="R64" s="83">
        <f>'Rock Climbing Log'!R64</f>
        <v>0</v>
      </c>
      <c r="S64" s="81">
        <f>'Rock Climbing Log'!S64</f>
        <v>0</v>
      </c>
      <c r="T64" s="82">
        <f>'Rock Climbing Log'!T64</f>
        <v>0</v>
      </c>
      <c r="U64" s="83">
        <f>'Rock Climbing Log'!U64</f>
        <v>0</v>
      </c>
      <c r="V64" s="81" t="str">
        <f>'Rock Climbing Log'!V64</f>
        <v>A</v>
      </c>
      <c r="W64" s="82" t="str">
        <f>'Rock Climbing Log'!W64</f>
        <v>F</v>
      </c>
      <c r="X64" s="83" t="str">
        <f>'Rock Climbing Log'!X64</f>
        <v>F</v>
      </c>
      <c r="Y64" s="81">
        <f>'Rock Climbing Log'!Y64</f>
        <v>0</v>
      </c>
      <c r="Z64" s="82">
        <f>'Rock Climbing Log'!Z64</f>
        <v>0</v>
      </c>
      <c r="AA64" s="83">
        <f>'Rock Climbing Log'!AA64</f>
        <v>0</v>
      </c>
      <c r="AB64" s="81">
        <f>'Rock Climbing Log'!AB64</f>
        <v>0</v>
      </c>
      <c r="AC64" s="82">
        <f>'Rock Climbing Log'!AC64</f>
        <v>0</v>
      </c>
      <c r="AD64" s="83">
        <f>'Rock Climbing Log'!AD64</f>
        <v>0</v>
      </c>
      <c r="AE64" s="81" t="str">
        <f>'Rock Climbing Log'!AE64</f>
        <v>F</v>
      </c>
      <c r="AF64" s="82">
        <f>'Rock Climbing Log'!AF64</f>
        <v>0</v>
      </c>
      <c r="AG64" s="83">
        <f>'Rock Climbing Log'!AG64</f>
        <v>0</v>
      </c>
      <c r="AH64" s="81">
        <f>'Rock Climbing Log'!AH64</f>
        <v>0</v>
      </c>
      <c r="AI64" s="82">
        <f>'Rock Climbing Log'!AI64</f>
        <v>0</v>
      </c>
      <c r="AJ64" s="83">
        <f>'Rock Climbing Log'!AJ64</f>
        <v>0</v>
      </c>
      <c r="AK64" s="81">
        <f>'Rock Climbing Log'!AK64</f>
        <v>0</v>
      </c>
      <c r="AL64" s="82">
        <f>'Rock Climbing Log'!AL64</f>
        <v>0</v>
      </c>
      <c r="AM64" s="83">
        <f>'Rock Climbing Log'!AM64</f>
        <v>0</v>
      </c>
      <c r="AN64" s="81">
        <f>'Rock Climbing Log'!AN64</f>
        <v>0</v>
      </c>
      <c r="AO64" s="82">
        <f>'Rock Climbing Log'!AO64</f>
        <v>0</v>
      </c>
      <c r="AP64" s="83">
        <f>'Rock Climbing Log'!AP64</f>
        <v>0</v>
      </c>
      <c r="AQ64" s="81">
        <f>'Rock Climbing Log'!AQ64</f>
        <v>0</v>
      </c>
      <c r="AR64" s="82">
        <f>'Rock Climbing Log'!AR64</f>
        <v>0</v>
      </c>
      <c r="AS64" s="83">
        <f>'Rock Climbing Log'!AS64</f>
        <v>0</v>
      </c>
      <c r="AT64" s="81">
        <f>'Rock Climbing Log'!AT64</f>
        <v>0</v>
      </c>
      <c r="AU64" s="82">
        <f>'Rock Climbing Log'!AU64</f>
        <v>0</v>
      </c>
      <c r="AV64" s="83">
        <f>'Rock Climbing Log'!AV64</f>
        <v>0</v>
      </c>
      <c r="AW64" s="66">
        <f ca="1">'RC Template'!AW64</f>
        <v>138.38116333173295</v>
      </c>
      <c r="AX64" s="66">
        <f ca="1">'RC Template'!BC64</f>
        <v>67.966165905830437</v>
      </c>
      <c r="AY64" s="75">
        <f>'Rock Climbing Log'!AY64</f>
        <v>0</v>
      </c>
    </row>
    <row r="65" spans="1:51" x14ac:dyDescent="0.3">
      <c r="A65" s="28">
        <f t="shared" si="0"/>
        <v>58</v>
      </c>
      <c r="B65" s="19">
        <f>'Rock Climbing Log'!B65</f>
        <v>43158</v>
      </c>
      <c r="C65" s="24" t="str">
        <f>'Rock Climbing Log'!C65</f>
        <v>Michelle</v>
      </c>
      <c r="D65" s="81">
        <f>'Rock Climbing Log'!D65</f>
        <v>0</v>
      </c>
      <c r="E65" s="82">
        <f>'Rock Climbing Log'!E65</f>
        <v>0</v>
      </c>
      <c r="F65" s="83">
        <f>'Rock Climbing Log'!F65</f>
        <v>0</v>
      </c>
      <c r="G65" s="81">
        <f>'Rock Climbing Log'!G65</f>
        <v>0</v>
      </c>
      <c r="H65" s="82">
        <f>'Rock Climbing Log'!H65</f>
        <v>0</v>
      </c>
      <c r="I65" s="83">
        <f>'Rock Climbing Log'!I65</f>
        <v>0</v>
      </c>
      <c r="J65" s="81" t="str">
        <f>'Rock Climbing Log'!J65</f>
        <v>F</v>
      </c>
      <c r="K65" s="82" t="str">
        <f>'Rock Climbing Log'!K65</f>
        <v>F</v>
      </c>
      <c r="L65" s="83">
        <f>'Rock Climbing Log'!L65</f>
        <v>0</v>
      </c>
      <c r="M65" s="81" t="str">
        <f>'Rock Climbing Log'!M65</f>
        <v>F</v>
      </c>
      <c r="N65" s="82" t="str">
        <f>'Rock Climbing Log'!N65</f>
        <v>F</v>
      </c>
      <c r="O65" s="83">
        <f>'Rock Climbing Log'!O65</f>
        <v>0</v>
      </c>
      <c r="P65" s="81">
        <f>'Rock Climbing Log'!P65</f>
        <v>0</v>
      </c>
      <c r="Q65" s="82">
        <f>'Rock Climbing Log'!Q65</f>
        <v>0</v>
      </c>
      <c r="R65" s="83">
        <f>'Rock Climbing Log'!R65</f>
        <v>0</v>
      </c>
      <c r="S65" s="81">
        <f>'Rock Climbing Log'!S65</f>
        <v>0</v>
      </c>
      <c r="T65" s="82">
        <f>'Rock Climbing Log'!T65</f>
        <v>0</v>
      </c>
      <c r="U65" s="83">
        <f>'Rock Climbing Log'!U65</f>
        <v>0</v>
      </c>
      <c r="V65" s="81" t="str">
        <f>'Rock Climbing Log'!V65</f>
        <v>A</v>
      </c>
      <c r="W65" s="82" t="str">
        <f>'Rock Climbing Log'!W65</f>
        <v>F</v>
      </c>
      <c r="X65" s="83">
        <f>'Rock Climbing Log'!X65</f>
        <v>0</v>
      </c>
      <c r="Y65" s="81">
        <f>'Rock Climbing Log'!Y65</f>
        <v>0</v>
      </c>
      <c r="Z65" s="82">
        <f>'Rock Climbing Log'!Z65</f>
        <v>0</v>
      </c>
      <c r="AA65" s="83">
        <f>'Rock Climbing Log'!AA65</f>
        <v>0</v>
      </c>
      <c r="AB65" s="81">
        <f>'Rock Climbing Log'!AB65</f>
        <v>0</v>
      </c>
      <c r="AC65" s="82">
        <f>'Rock Climbing Log'!AC65</f>
        <v>0</v>
      </c>
      <c r="AD65" s="83">
        <f>'Rock Climbing Log'!AD65</f>
        <v>0</v>
      </c>
      <c r="AE65" s="81">
        <f>'Rock Climbing Log'!AE65</f>
        <v>0</v>
      </c>
      <c r="AF65" s="82">
        <f>'Rock Climbing Log'!AF65</f>
        <v>0</v>
      </c>
      <c r="AG65" s="83">
        <f>'Rock Climbing Log'!AG65</f>
        <v>0</v>
      </c>
      <c r="AH65" s="81">
        <f>'Rock Climbing Log'!AH65</f>
        <v>0</v>
      </c>
      <c r="AI65" s="82">
        <f>'Rock Climbing Log'!AI65</f>
        <v>0</v>
      </c>
      <c r="AJ65" s="83">
        <f>'Rock Climbing Log'!AJ65</f>
        <v>0</v>
      </c>
      <c r="AK65" s="81">
        <f>'Rock Climbing Log'!AK65</f>
        <v>0</v>
      </c>
      <c r="AL65" s="82">
        <f>'Rock Climbing Log'!AL65</f>
        <v>0</v>
      </c>
      <c r="AM65" s="83">
        <f>'Rock Climbing Log'!AM65</f>
        <v>0</v>
      </c>
      <c r="AN65" s="81">
        <f>'Rock Climbing Log'!AN65</f>
        <v>0</v>
      </c>
      <c r="AO65" s="82">
        <f>'Rock Climbing Log'!AO65</f>
        <v>0</v>
      </c>
      <c r="AP65" s="83">
        <f>'Rock Climbing Log'!AP65</f>
        <v>0</v>
      </c>
      <c r="AQ65" s="81">
        <f>'Rock Climbing Log'!AQ65</f>
        <v>0</v>
      </c>
      <c r="AR65" s="82">
        <f>'Rock Climbing Log'!AR65</f>
        <v>0</v>
      </c>
      <c r="AS65" s="83">
        <f>'Rock Climbing Log'!AS65</f>
        <v>0</v>
      </c>
      <c r="AT65" s="81">
        <f>'Rock Climbing Log'!AT65</f>
        <v>0</v>
      </c>
      <c r="AU65" s="82">
        <f>'Rock Climbing Log'!AU65</f>
        <v>0</v>
      </c>
      <c r="AV65" s="83">
        <f>'Rock Climbing Log'!AV65</f>
        <v>0</v>
      </c>
      <c r="AW65" s="66">
        <f ca="1">'RC Template'!AW65</f>
        <v>75.261745742400024</v>
      </c>
      <c r="AX65" s="66">
        <f ca="1">'RC Template'!BC65</f>
        <v>86.810176674271105</v>
      </c>
      <c r="AY65" s="75">
        <f>'Rock Climbing Log'!AY65</f>
        <v>0</v>
      </c>
    </row>
    <row r="66" spans="1:51" x14ac:dyDescent="0.3">
      <c r="A66" s="28">
        <f t="shared" si="0"/>
        <v>59</v>
      </c>
      <c r="B66" s="19">
        <f>'Rock Climbing Log'!B66</f>
        <v>43159</v>
      </c>
      <c r="C66" s="24" t="str">
        <f>'Rock Climbing Log'!C66</f>
        <v>Jan</v>
      </c>
      <c r="D66" s="81">
        <f>'Rock Climbing Log'!D66</f>
        <v>0</v>
      </c>
      <c r="E66" s="82">
        <f>'Rock Climbing Log'!E66</f>
        <v>0</v>
      </c>
      <c r="F66" s="83">
        <f>'Rock Climbing Log'!F66</f>
        <v>0</v>
      </c>
      <c r="G66" s="81" t="str">
        <f>'Rock Climbing Log'!G66</f>
        <v>F</v>
      </c>
      <c r="H66" s="82">
        <f>'Rock Climbing Log'!H66</f>
        <v>0</v>
      </c>
      <c r="I66" s="83">
        <f>'Rock Climbing Log'!I66</f>
        <v>0</v>
      </c>
      <c r="J66" s="81" t="str">
        <f>'Rock Climbing Log'!J66</f>
        <v>F</v>
      </c>
      <c r="K66" s="82">
        <f>'Rock Climbing Log'!K66</f>
        <v>0</v>
      </c>
      <c r="L66" s="83">
        <f>'Rock Climbing Log'!L66</f>
        <v>0</v>
      </c>
      <c r="M66" s="81" t="str">
        <f>'Rock Climbing Log'!M66</f>
        <v>F</v>
      </c>
      <c r="N66" s="82">
        <f>'Rock Climbing Log'!N66</f>
        <v>0</v>
      </c>
      <c r="O66" s="83">
        <f>'Rock Climbing Log'!O66</f>
        <v>0</v>
      </c>
      <c r="P66" s="81">
        <f>'Rock Climbing Log'!P66</f>
        <v>0</v>
      </c>
      <c r="Q66" s="82">
        <f>'Rock Climbing Log'!Q66</f>
        <v>0</v>
      </c>
      <c r="R66" s="83">
        <f>'Rock Climbing Log'!R66</f>
        <v>0</v>
      </c>
      <c r="S66" s="81">
        <f>'Rock Climbing Log'!S66</f>
        <v>0</v>
      </c>
      <c r="T66" s="82">
        <f>'Rock Climbing Log'!T66</f>
        <v>0</v>
      </c>
      <c r="U66" s="83">
        <f>'Rock Climbing Log'!U66</f>
        <v>0</v>
      </c>
      <c r="V66" s="81" t="str">
        <f>'Rock Climbing Log'!V66</f>
        <v>C1</v>
      </c>
      <c r="W66" s="82" t="str">
        <f>'Rock Climbing Log'!W66</f>
        <v>F</v>
      </c>
      <c r="X66" s="83">
        <f>'Rock Climbing Log'!X66</f>
        <v>0</v>
      </c>
      <c r="Y66" s="81">
        <f>'Rock Climbing Log'!Y66</f>
        <v>0</v>
      </c>
      <c r="Z66" s="82">
        <f>'Rock Climbing Log'!Z66</f>
        <v>0</v>
      </c>
      <c r="AA66" s="83">
        <f>'Rock Climbing Log'!AA66</f>
        <v>0</v>
      </c>
      <c r="AB66" s="81">
        <f>'Rock Climbing Log'!AB66</f>
        <v>0</v>
      </c>
      <c r="AC66" s="82">
        <f>'Rock Climbing Log'!AC66</f>
        <v>0</v>
      </c>
      <c r="AD66" s="83">
        <f>'Rock Climbing Log'!AD66</f>
        <v>0</v>
      </c>
      <c r="AE66" s="81" t="str">
        <f>'Rock Climbing Log'!AE66</f>
        <v>A</v>
      </c>
      <c r="AF66" s="82">
        <f>'Rock Climbing Log'!AF66</f>
        <v>0</v>
      </c>
      <c r="AG66" s="83">
        <f>'Rock Climbing Log'!AG66</f>
        <v>0</v>
      </c>
      <c r="AH66" s="81">
        <f>'Rock Climbing Log'!AH66</f>
        <v>0</v>
      </c>
      <c r="AI66" s="82">
        <f>'Rock Climbing Log'!AI66</f>
        <v>0</v>
      </c>
      <c r="AJ66" s="83">
        <f>'Rock Climbing Log'!AJ66</f>
        <v>0</v>
      </c>
      <c r="AK66" s="81">
        <f>'Rock Climbing Log'!AK66</f>
        <v>0</v>
      </c>
      <c r="AL66" s="82">
        <f>'Rock Climbing Log'!AL66</f>
        <v>0</v>
      </c>
      <c r="AM66" s="83">
        <f>'Rock Climbing Log'!AM66</f>
        <v>0</v>
      </c>
      <c r="AN66" s="81">
        <f>'Rock Climbing Log'!AN66</f>
        <v>0</v>
      </c>
      <c r="AO66" s="82">
        <f>'Rock Climbing Log'!AO66</f>
        <v>0</v>
      </c>
      <c r="AP66" s="83">
        <f>'Rock Climbing Log'!AP66</f>
        <v>0</v>
      </c>
      <c r="AQ66" s="81">
        <f>'Rock Climbing Log'!AQ66</f>
        <v>0</v>
      </c>
      <c r="AR66" s="82">
        <f>'Rock Climbing Log'!AR66</f>
        <v>0</v>
      </c>
      <c r="AS66" s="83">
        <f>'Rock Climbing Log'!AS66</f>
        <v>0</v>
      </c>
      <c r="AT66" s="81">
        <f>'Rock Climbing Log'!AT66</f>
        <v>0</v>
      </c>
      <c r="AU66" s="82">
        <f>'Rock Climbing Log'!AU66</f>
        <v>0</v>
      </c>
      <c r="AV66" s="83">
        <f>'Rock Climbing Log'!AV66</f>
        <v>0</v>
      </c>
      <c r="AW66" s="66">
        <f ca="1">'RC Template'!AW66</f>
        <v>100.92165283402647</v>
      </c>
      <c r="AX66" s="66">
        <f ca="1">'RC Template'!BC66</f>
        <v>77.447993073593068</v>
      </c>
      <c r="AY66" s="75">
        <f>'Rock Climbing Log'!AY66</f>
        <v>0</v>
      </c>
    </row>
    <row r="67" spans="1:51" x14ac:dyDescent="0.3">
      <c r="A67" s="28">
        <f t="shared" si="0"/>
        <v>60</v>
      </c>
      <c r="B67" s="19">
        <f>'Rock Climbing Log'!B67</f>
        <v>43159</v>
      </c>
      <c r="C67" s="24" t="str">
        <f>'Rock Climbing Log'!C67</f>
        <v>Lester</v>
      </c>
      <c r="D67" s="81">
        <f>'Rock Climbing Log'!D67</f>
        <v>0</v>
      </c>
      <c r="E67" s="82">
        <f>'Rock Climbing Log'!E67</f>
        <v>0</v>
      </c>
      <c r="F67" s="83">
        <f>'Rock Climbing Log'!F67</f>
        <v>0</v>
      </c>
      <c r="G67" s="81">
        <f>'Rock Climbing Log'!G67</f>
        <v>0</v>
      </c>
      <c r="H67" s="82">
        <f>'Rock Climbing Log'!H67</f>
        <v>0</v>
      </c>
      <c r="I67" s="83">
        <f>'Rock Climbing Log'!I67</f>
        <v>0</v>
      </c>
      <c r="J67" s="81">
        <f>'Rock Climbing Log'!J67</f>
        <v>0</v>
      </c>
      <c r="K67" s="82">
        <f>'Rock Climbing Log'!K67</f>
        <v>0</v>
      </c>
      <c r="L67" s="83">
        <f>'Rock Climbing Log'!L67</f>
        <v>0</v>
      </c>
      <c r="M67" s="81" t="str">
        <f>'Rock Climbing Log'!M67</f>
        <v>F</v>
      </c>
      <c r="N67" s="82">
        <f>'Rock Climbing Log'!N67</f>
        <v>0</v>
      </c>
      <c r="O67" s="83">
        <f>'Rock Climbing Log'!O67</f>
        <v>0</v>
      </c>
      <c r="P67" s="81">
        <f>'Rock Climbing Log'!P67</f>
        <v>0</v>
      </c>
      <c r="Q67" s="82">
        <f>'Rock Climbing Log'!Q67</f>
        <v>0</v>
      </c>
      <c r="R67" s="83">
        <f>'Rock Climbing Log'!R67</f>
        <v>0</v>
      </c>
      <c r="S67" s="81">
        <f>'Rock Climbing Log'!S67</f>
        <v>0</v>
      </c>
      <c r="T67" s="82">
        <f>'Rock Climbing Log'!T67</f>
        <v>0</v>
      </c>
      <c r="U67" s="83">
        <f>'Rock Climbing Log'!U67</f>
        <v>0</v>
      </c>
      <c r="V67" s="81">
        <f>'Rock Climbing Log'!V67</f>
        <v>0</v>
      </c>
      <c r="W67" s="82">
        <f>'Rock Climbing Log'!W67</f>
        <v>0</v>
      </c>
      <c r="X67" s="83">
        <f>'Rock Climbing Log'!X67</f>
        <v>0</v>
      </c>
      <c r="Y67" s="81">
        <f>'Rock Climbing Log'!Y67</f>
        <v>0</v>
      </c>
      <c r="Z67" s="82">
        <f>'Rock Climbing Log'!Z67</f>
        <v>0</v>
      </c>
      <c r="AA67" s="83">
        <f>'Rock Climbing Log'!AA67</f>
        <v>0</v>
      </c>
      <c r="AB67" s="81">
        <f>'Rock Climbing Log'!AB67</f>
        <v>0</v>
      </c>
      <c r="AC67" s="82">
        <f>'Rock Climbing Log'!AC67</f>
        <v>0</v>
      </c>
      <c r="AD67" s="83">
        <f>'Rock Climbing Log'!AD67</f>
        <v>0</v>
      </c>
      <c r="AE67" s="81" t="str">
        <f>'Rock Climbing Log'!AE67</f>
        <v>F</v>
      </c>
      <c r="AF67" s="82">
        <f>'Rock Climbing Log'!AF67</f>
        <v>0</v>
      </c>
      <c r="AG67" s="83">
        <f>'Rock Climbing Log'!AG67</f>
        <v>0</v>
      </c>
      <c r="AH67" s="81">
        <f>'Rock Climbing Log'!AH67</f>
        <v>0</v>
      </c>
      <c r="AI67" s="82">
        <f>'Rock Climbing Log'!AI67</f>
        <v>0</v>
      </c>
      <c r="AJ67" s="83">
        <f>'Rock Climbing Log'!AJ67</f>
        <v>0</v>
      </c>
      <c r="AK67" s="81" t="str">
        <f>'Rock Climbing Log'!AK67</f>
        <v>F</v>
      </c>
      <c r="AL67" s="82">
        <f>'Rock Climbing Log'!AL67</f>
        <v>0</v>
      </c>
      <c r="AM67" s="83">
        <f>'Rock Climbing Log'!AM67</f>
        <v>0</v>
      </c>
      <c r="AN67" s="81" t="str">
        <f>'Rock Climbing Log'!AN67</f>
        <v>C2</v>
      </c>
      <c r="AO67" s="82">
        <f>'Rock Climbing Log'!AO67</f>
        <v>0</v>
      </c>
      <c r="AP67" s="83">
        <f>'Rock Climbing Log'!AP67</f>
        <v>0</v>
      </c>
      <c r="AQ67" s="81">
        <f>'Rock Climbing Log'!AQ67</f>
        <v>0</v>
      </c>
      <c r="AR67" s="82">
        <f>'Rock Climbing Log'!AR67</f>
        <v>0</v>
      </c>
      <c r="AS67" s="83">
        <f>'Rock Climbing Log'!AS67</f>
        <v>0</v>
      </c>
      <c r="AT67" s="81">
        <f>'Rock Climbing Log'!AT67</f>
        <v>0</v>
      </c>
      <c r="AU67" s="82">
        <f>'Rock Climbing Log'!AU67</f>
        <v>0</v>
      </c>
      <c r="AV67" s="83">
        <f>'Rock Climbing Log'!AV67</f>
        <v>0</v>
      </c>
      <c r="AW67" s="66">
        <f ca="1">'RC Template'!AW67</f>
        <v>293.29583260906884</v>
      </c>
      <c r="AX67" s="66">
        <f ca="1">'RC Template'!BC67</f>
        <v>88.754925341745547</v>
      </c>
      <c r="AY67" s="75">
        <f>'Rock Climbing Log'!AY67</f>
        <v>0</v>
      </c>
    </row>
    <row r="68" spans="1:51" x14ac:dyDescent="0.3">
      <c r="A68" s="28">
        <f t="shared" si="0"/>
        <v>61</v>
      </c>
      <c r="B68" s="19">
        <f>'Rock Climbing Log'!B68</f>
        <v>43161</v>
      </c>
      <c r="C68" s="24" t="str">
        <f>'Rock Climbing Log'!C68</f>
        <v>Oz</v>
      </c>
      <c r="D68" s="81">
        <f>'Rock Climbing Log'!D68</f>
        <v>0</v>
      </c>
      <c r="E68" s="82">
        <f>'Rock Climbing Log'!E68</f>
        <v>0</v>
      </c>
      <c r="F68" s="83">
        <f>'Rock Climbing Log'!F68</f>
        <v>0</v>
      </c>
      <c r="G68" s="81">
        <f>'Rock Climbing Log'!G68</f>
        <v>0</v>
      </c>
      <c r="H68" s="82">
        <f>'Rock Climbing Log'!H68</f>
        <v>0</v>
      </c>
      <c r="I68" s="83">
        <f>'Rock Climbing Log'!I68</f>
        <v>0</v>
      </c>
      <c r="J68" s="81" t="str">
        <f>'Rock Climbing Log'!J68</f>
        <v>F</v>
      </c>
      <c r="K68" s="82">
        <f>'Rock Climbing Log'!K68</f>
        <v>0</v>
      </c>
      <c r="L68" s="83">
        <f>'Rock Climbing Log'!L68</f>
        <v>0</v>
      </c>
      <c r="M68" s="81" t="str">
        <f>'Rock Climbing Log'!M68</f>
        <v>A</v>
      </c>
      <c r="N68" s="82">
        <f>'Rock Climbing Log'!N68</f>
        <v>0</v>
      </c>
      <c r="O68" s="83">
        <f>'Rock Climbing Log'!O68</f>
        <v>0</v>
      </c>
      <c r="P68" s="81">
        <f>'Rock Climbing Log'!P68</f>
        <v>0</v>
      </c>
      <c r="Q68" s="82">
        <f>'Rock Climbing Log'!Q68</f>
        <v>0</v>
      </c>
      <c r="R68" s="83">
        <f>'Rock Climbing Log'!R68</f>
        <v>0</v>
      </c>
      <c r="S68" s="81" t="str">
        <f>'Rock Climbing Log'!S68</f>
        <v>A</v>
      </c>
      <c r="T68" s="82">
        <f>'Rock Climbing Log'!T68</f>
        <v>0</v>
      </c>
      <c r="U68" s="83">
        <f>'Rock Climbing Log'!U68</f>
        <v>0</v>
      </c>
      <c r="V68" s="81" t="str">
        <f>'Rock Climbing Log'!V68</f>
        <v>C1</v>
      </c>
      <c r="W68" s="82" t="str">
        <f>'Rock Climbing Log'!W68</f>
        <v>F</v>
      </c>
      <c r="X68" s="83" t="str">
        <f>'Rock Climbing Log'!X68</f>
        <v>A</v>
      </c>
      <c r="Y68" s="81">
        <f>'Rock Climbing Log'!Y68</f>
        <v>0</v>
      </c>
      <c r="Z68" s="82">
        <f>'Rock Climbing Log'!Z68</f>
        <v>0</v>
      </c>
      <c r="AA68" s="83">
        <f>'Rock Climbing Log'!AA68</f>
        <v>0</v>
      </c>
      <c r="AB68" s="81">
        <f>'Rock Climbing Log'!AB68</f>
        <v>0</v>
      </c>
      <c r="AC68" s="82">
        <f>'Rock Climbing Log'!AC68</f>
        <v>0</v>
      </c>
      <c r="AD68" s="83">
        <f>'Rock Climbing Log'!AD68</f>
        <v>0</v>
      </c>
      <c r="AE68" s="81" t="str">
        <f>'Rock Climbing Log'!AE68</f>
        <v>C2</v>
      </c>
      <c r="AF68" s="82" t="str">
        <f>'Rock Climbing Log'!AF68</f>
        <v>A</v>
      </c>
      <c r="AG68" s="83">
        <f>'Rock Climbing Log'!AG68</f>
        <v>0</v>
      </c>
      <c r="AH68" s="81">
        <f>'Rock Climbing Log'!AH68</f>
        <v>0</v>
      </c>
      <c r="AI68" s="82">
        <f>'Rock Climbing Log'!AI68</f>
        <v>0</v>
      </c>
      <c r="AJ68" s="83">
        <f>'Rock Climbing Log'!AJ68</f>
        <v>0</v>
      </c>
      <c r="AK68" s="81">
        <f>'Rock Climbing Log'!AK68</f>
        <v>0</v>
      </c>
      <c r="AL68" s="82">
        <f>'Rock Climbing Log'!AL68</f>
        <v>0</v>
      </c>
      <c r="AM68" s="83">
        <f>'Rock Climbing Log'!AM68</f>
        <v>0</v>
      </c>
      <c r="AN68" s="81">
        <f>'Rock Climbing Log'!AN68</f>
        <v>0</v>
      </c>
      <c r="AO68" s="82">
        <f>'Rock Climbing Log'!AO68</f>
        <v>0</v>
      </c>
      <c r="AP68" s="83">
        <f>'Rock Climbing Log'!AP68</f>
        <v>0</v>
      </c>
      <c r="AQ68" s="81">
        <f>'Rock Climbing Log'!AQ68</f>
        <v>0</v>
      </c>
      <c r="AR68" s="82">
        <f>'Rock Climbing Log'!AR68</f>
        <v>0</v>
      </c>
      <c r="AS68" s="83">
        <f>'Rock Climbing Log'!AS68</f>
        <v>0</v>
      </c>
      <c r="AT68" s="81">
        <f>'Rock Climbing Log'!AT68</f>
        <v>0</v>
      </c>
      <c r="AU68" s="82">
        <f>'Rock Climbing Log'!AU68</f>
        <v>0</v>
      </c>
      <c r="AV68" s="83">
        <f>'Rock Climbing Log'!AV68</f>
        <v>0</v>
      </c>
      <c r="AW68" s="66">
        <f ca="1">'RC Template'!AW68</f>
        <v>124.16339586188211</v>
      </c>
      <c r="AX68" s="66">
        <f ca="1">'RC Template'!BC68</f>
        <v>60.983082952915211</v>
      </c>
      <c r="AY68" s="75">
        <f>'Rock Climbing Log'!AY68</f>
        <v>0</v>
      </c>
    </row>
    <row r="69" spans="1:51" x14ac:dyDescent="0.3">
      <c r="A69" s="28">
        <f t="shared" si="0"/>
        <v>62</v>
      </c>
      <c r="B69" s="19">
        <f>'Rock Climbing Log'!B69</f>
        <v>43161</v>
      </c>
      <c r="C69" s="24" t="str">
        <f>'Rock Climbing Log'!C69</f>
        <v>Angel</v>
      </c>
      <c r="D69" s="81">
        <f>'Rock Climbing Log'!D69</f>
        <v>0</v>
      </c>
      <c r="E69" s="82">
        <f>'Rock Climbing Log'!E69</f>
        <v>0</v>
      </c>
      <c r="F69" s="83">
        <f>'Rock Climbing Log'!F69</f>
        <v>0</v>
      </c>
      <c r="G69" s="81">
        <f>'Rock Climbing Log'!G69</f>
        <v>0</v>
      </c>
      <c r="H69" s="82">
        <f>'Rock Climbing Log'!H69</f>
        <v>0</v>
      </c>
      <c r="I69" s="83">
        <f>'Rock Climbing Log'!I69</f>
        <v>0</v>
      </c>
      <c r="J69" s="81" t="str">
        <f>'Rock Climbing Log'!J69</f>
        <v>F</v>
      </c>
      <c r="K69" s="82" t="str">
        <f>'Rock Climbing Log'!K69</f>
        <v>F</v>
      </c>
      <c r="L69" s="83">
        <f>'Rock Climbing Log'!L69</f>
        <v>0</v>
      </c>
      <c r="M69" s="81" t="str">
        <f>'Rock Climbing Log'!M69</f>
        <v>F</v>
      </c>
      <c r="N69" s="82">
        <f>'Rock Climbing Log'!N69</f>
        <v>0</v>
      </c>
      <c r="O69" s="83">
        <f>'Rock Climbing Log'!O69</f>
        <v>0</v>
      </c>
      <c r="P69" s="81">
        <f>'Rock Climbing Log'!P69</f>
        <v>0</v>
      </c>
      <c r="Q69" s="82">
        <f>'Rock Climbing Log'!Q69</f>
        <v>0</v>
      </c>
      <c r="R69" s="83">
        <f>'Rock Climbing Log'!R69</f>
        <v>0</v>
      </c>
      <c r="S69" s="81">
        <f>'Rock Climbing Log'!S69</f>
        <v>0</v>
      </c>
      <c r="T69" s="82">
        <f>'Rock Climbing Log'!T69</f>
        <v>0</v>
      </c>
      <c r="U69" s="83">
        <f>'Rock Climbing Log'!U69</f>
        <v>0</v>
      </c>
      <c r="V69" s="81" t="str">
        <f>'Rock Climbing Log'!V69</f>
        <v>A</v>
      </c>
      <c r="W69" s="82" t="str">
        <f>'Rock Climbing Log'!W69</f>
        <v>A</v>
      </c>
      <c r="X69" s="83">
        <f>'Rock Climbing Log'!X69</f>
        <v>0</v>
      </c>
      <c r="Y69" s="81">
        <f>'Rock Climbing Log'!Y69</f>
        <v>0</v>
      </c>
      <c r="Z69" s="82">
        <f>'Rock Climbing Log'!Z69</f>
        <v>0</v>
      </c>
      <c r="AA69" s="83">
        <f>'Rock Climbing Log'!AA69</f>
        <v>0</v>
      </c>
      <c r="AB69" s="81">
        <f>'Rock Climbing Log'!AB69</f>
        <v>0</v>
      </c>
      <c r="AC69" s="82">
        <f>'Rock Climbing Log'!AC69</f>
        <v>0</v>
      </c>
      <c r="AD69" s="83">
        <f>'Rock Climbing Log'!AD69</f>
        <v>0</v>
      </c>
      <c r="AE69" s="81">
        <f>'Rock Climbing Log'!AE69</f>
        <v>0</v>
      </c>
      <c r="AF69" s="82">
        <f>'Rock Climbing Log'!AF69</f>
        <v>0</v>
      </c>
      <c r="AG69" s="83">
        <f>'Rock Climbing Log'!AG69</f>
        <v>0</v>
      </c>
      <c r="AH69" s="81">
        <f>'Rock Climbing Log'!AH69</f>
        <v>0</v>
      </c>
      <c r="AI69" s="82">
        <f>'Rock Climbing Log'!AI69</f>
        <v>0</v>
      </c>
      <c r="AJ69" s="83">
        <f>'Rock Climbing Log'!AJ69</f>
        <v>0</v>
      </c>
      <c r="AK69" s="81">
        <f>'Rock Climbing Log'!AK69</f>
        <v>0</v>
      </c>
      <c r="AL69" s="82">
        <f>'Rock Climbing Log'!AL69</f>
        <v>0</v>
      </c>
      <c r="AM69" s="83">
        <f>'Rock Climbing Log'!AM69</f>
        <v>0</v>
      </c>
      <c r="AN69" s="81">
        <f>'Rock Climbing Log'!AN69</f>
        <v>0</v>
      </c>
      <c r="AO69" s="82">
        <f>'Rock Climbing Log'!AO69</f>
        <v>0</v>
      </c>
      <c r="AP69" s="83">
        <f>'Rock Climbing Log'!AP69</f>
        <v>0</v>
      </c>
      <c r="AQ69" s="81">
        <f>'Rock Climbing Log'!AQ69</f>
        <v>0</v>
      </c>
      <c r="AR69" s="82">
        <f>'Rock Climbing Log'!AR69</f>
        <v>0</v>
      </c>
      <c r="AS69" s="83">
        <f>'Rock Climbing Log'!AS69</f>
        <v>0</v>
      </c>
      <c r="AT69" s="81">
        <f>'Rock Climbing Log'!AT69</f>
        <v>0</v>
      </c>
      <c r="AU69" s="82">
        <f>'Rock Climbing Log'!AU69</f>
        <v>0</v>
      </c>
      <c r="AV69" s="83">
        <f>'Rock Climbing Log'!AV69</f>
        <v>0</v>
      </c>
      <c r="AW69" s="66">
        <f ca="1">'RC Template'!AW69</f>
        <v>55.259245742400026</v>
      </c>
      <c r="AX69" s="66">
        <f ca="1">'RC Template'!BC69</f>
        <v>92.087232000000029</v>
      </c>
      <c r="AY69" s="75">
        <f>'Rock Climbing Log'!AY69</f>
        <v>0</v>
      </c>
    </row>
    <row r="70" spans="1:51" x14ac:dyDescent="0.3">
      <c r="A70" s="28">
        <f t="shared" si="0"/>
        <v>63</v>
      </c>
      <c r="B70" s="19">
        <f>'Rock Climbing Log'!B70</f>
        <v>43161</v>
      </c>
      <c r="C70" s="24" t="str">
        <f>'Rock Climbing Log'!C70</f>
        <v>Edwin</v>
      </c>
      <c r="D70" s="81">
        <f>'Rock Climbing Log'!D70</f>
        <v>0</v>
      </c>
      <c r="E70" s="82">
        <f>'Rock Climbing Log'!E70</f>
        <v>0</v>
      </c>
      <c r="F70" s="83">
        <f>'Rock Climbing Log'!F70</f>
        <v>0</v>
      </c>
      <c r="G70" s="81">
        <f>'Rock Climbing Log'!G70</f>
        <v>0</v>
      </c>
      <c r="H70" s="82">
        <f>'Rock Climbing Log'!H70</f>
        <v>0</v>
      </c>
      <c r="I70" s="83">
        <f>'Rock Climbing Log'!I70</f>
        <v>0</v>
      </c>
      <c r="J70" s="81">
        <f>'Rock Climbing Log'!J70</f>
        <v>0</v>
      </c>
      <c r="K70" s="82">
        <f>'Rock Climbing Log'!K70</f>
        <v>0</v>
      </c>
      <c r="L70" s="83">
        <f>'Rock Climbing Log'!L70</f>
        <v>0</v>
      </c>
      <c r="M70" s="81" t="str">
        <f>'Rock Climbing Log'!M70</f>
        <v>F</v>
      </c>
      <c r="N70" s="82">
        <f>'Rock Climbing Log'!N70</f>
        <v>0</v>
      </c>
      <c r="O70" s="83">
        <f>'Rock Climbing Log'!O70</f>
        <v>0</v>
      </c>
      <c r="P70" s="81" t="str">
        <f>'Rock Climbing Log'!P70</f>
        <v>F</v>
      </c>
      <c r="Q70" s="82">
        <f>'Rock Climbing Log'!Q70</f>
        <v>0</v>
      </c>
      <c r="R70" s="83">
        <f>'Rock Climbing Log'!R70</f>
        <v>0</v>
      </c>
      <c r="S70" s="81">
        <f>'Rock Climbing Log'!S70</f>
        <v>0</v>
      </c>
      <c r="T70" s="82">
        <f>'Rock Climbing Log'!T70</f>
        <v>0</v>
      </c>
      <c r="U70" s="83">
        <f>'Rock Climbing Log'!U70</f>
        <v>0</v>
      </c>
      <c r="V70" s="81" t="str">
        <f>'Rock Climbing Log'!V70</f>
        <v>F</v>
      </c>
      <c r="W70" s="82">
        <f>'Rock Climbing Log'!W70</f>
        <v>0</v>
      </c>
      <c r="X70" s="83">
        <f>'Rock Climbing Log'!X70</f>
        <v>0</v>
      </c>
      <c r="Y70" s="81">
        <f>'Rock Climbing Log'!Y70</f>
        <v>0</v>
      </c>
      <c r="Z70" s="82">
        <f>'Rock Climbing Log'!Z70</f>
        <v>0</v>
      </c>
      <c r="AA70" s="83">
        <f>'Rock Climbing Log'!AA70</f>
        <v>0</v>
      </c>
      <c r="AB70" s="81">
        <f>'Rock Climbing Log'!AB70</f>
        <v>0</v>
      </c>
      <c r="AC70" s="82">
        <f>'Rock Climbing Log'!AC70</f>
        <v>0</v>
      </c>
      <c r="AD70" s="83">
        <f>'Rock Climbing Log'!AD70</f>
        <v>0</v>
      </c>
      <c r="AE70" s="81" t="str">
        <f>'Rock Climbing Log'!AE70</f>
        <v>A</v>
      </c>
      <c r="AF70" s="82" t="str">
        <f>'Rock Climbing Log'!AF70</f>
        <v>A</v>
      </c>
      <c r="AG70" s="83">
        <f>'Rock Climbing Log'!AG70</f>
        <v>0</v>
      </c>
      <c r="AH70" s="81">
        <f>'Rock Climbing Log'!AH70</f>
        <v>0</v>
      </c>
      <c r="AI70" s="82">
        <f>'Rock Climbing Log'!AI70</f>
        <v>0</v>
      </c>
      <c r="AJ70" s="83">
        <f>'Rock Climbing Log'!AJ70</f>
        <v>0</v>
      </c>
      <c r="AK70" s="81">
        <f>'Rock Climbing Log'!AK70</f>
        <v>0</v>
      </c>
      <c r="AL70" s="82">
        <f>'Rock Climbing Log'!AL70</f>
        <v>0</v>
      </c>
      <c r="AM70" s="83">
        <f>'Rock Climbing Log'!AM70</f>
        <v>0</v>
      </c>
      <c r="AN70" s="81">
        <f>'Rock Climbing Log'!AN70</f>
        <v>0</v>
      </c>
      <c r="AO70" s="82">
        <f>'Rock Climbing Log'!AO70</f>
        <v>0</v>
      </c>
      <c r="AP70" s="83">
        <f>'Rock Climbing Log'!AP70</f>
        <v>0</v>
      </c>
      <c r="AQ70" s="81">
        <f>'Rock Climbing Log'!AQ70</f>
        <v>0</v>
      </c>
      <c r="AR70" s="82">
        <f>'Rock Climbing Log'!AR70</f>
        <v>0</v>
      </c>
      <c r="AS70" s="83">
        <f>'Rock Climbing Log'!AS70</f>
        <v>0</v>
      </c>
      <c r="AT70" s="81">
        <f>'Rock Climbing Log'!AT70</f>
        <v>0</v>
      </c>
      <c r="AU70" s="82">
        <f>'Rock Climbing Log'!AU70</f>
        <v>0</v>
      </c>
      <c r="AV70" s="83">
        <f>'Rock Climbing Log'!AV70</f>
        <v>0</v>
      </c>
      <c r="AW70" s="66">
        <f ca="1">'RC Template'!AW70</f>
        <v>103.12441758933291</v>
      </c>
      <c r="AX70" s="66">
        <f ca="1">'RC Template'!BC70</f>
        <v>79.138410389610385</v>
      </c>
      <c r="AY70" s="75">
        <f>'Rock Climbing Log'!AY70</f>
        <v>0</v>
      </c>
    </row>
    <row r="71" spans="1:51" x14ac:dyDescent="0.3">
      <c r="A71" s="28">
        <f t="shared" si="0"/>
        <v>64</v>
      </c>
      <c r="B71" s="19">
        <f>'Rock Climbing Log'!B71</f>
        <v>43161</v>
      </c>
      <c r="C71" s="24" t="str">
        <f>'Rock Climbing Log'!C71</f>
        <v>Michelle</v>
      </c>
      <c r="D71" s="81">
        <f>'Rock Climbing Log'!D71</f>
        <v>0</v>
      </c>
      <c r="E71" s="82">
        <f>'Rock Climbing Log'!E71</f>
        <v>0</v>
      </c>
      <c r="F71" s="83">
        <f>'Rock Climbing Log'!F71</f>
        <v>0</v>
      </c>
      <c r="G71" s="81">
        <f>'Rock Climbing Log'!G71</f>
        <v>0</v>
      </c>
      <c r="H71" s="82">
        <f>'Rock Climbing Log'!H71</f>
        <v>0</v>
      </c>
      <c r="I71" s="83">
        <f>'Rock Climbing Log'!I71</f>
        <v>0</v>
      </c>
      <c r="J71" s="81" t="str">
        <f>'Rock Climbing Log'!J71</f>
        <v>F</v>
      </c>
      <c r="K71" s="82" t="str">
        <f>'Rock Climbing Log'!K71</f>
        <v>F</v>
      </c>
      <c r="L71" s="83">
        <f>'Rock Climbing Log'!L71</f>
        <v>0</v>
      </c>
      <c r="M71" s="81" t="str">
        <f>'Rock Climbing Log'!M71</f>
        <v>F</v>
      </c>
      <c r="N71" s="82" t="str">
        <f>'Rock Climbing Log'!N71</f>
        <v>A</v>
      </c>
      <c r="O71" s="83">
        <f>'Rock Climbing Log'!O71</f>
        <v>0</v>
      </c>
      <c r="P71" s="81" t="str">
        <f>'Rock Climbing Log'!P71</f>
        <v>A</v>
      </c>
      <c r="Q71" s="82">
        <f>'Rock Climbing Log'!Q71</f>
        <v>0</v>
      </c>
      <c r="R71" s="83">
        <f>'Rock Climbing Log'!R71</f>
        <v>0</v>
      </c>
      <c r="S71" s="81">
        <f>'Rock Climbing Log'!S71</f>
        <v>0</v>
      </c>
      <c r="T71" s="82">
        <f>'Rock Climbing Log'!T71</f>
        <v>0</v>
      </c>
      <c r="U71" s="83">
        <f>'Rock Climbing Log'!U71</f>
        <v>0</v>
      </c>
      <c r="V71" s="81" t="str">
        <f>'Rock Climbing Log'!V71</f>
        <v>A</v>
      </c>
      <c r="W71" s="82" t="str">
        <f>'Rock Climbing Log'!W71</f>
        <v>A</v>
      </c>
      <c r="X71" s="83">
        <f>'Rock Climbing Log'!X71</f>
        <v>0</v>
      </c>
      <c r="Y71" s="81">
        <f>'Rock Climbing Log'!Y71</f>
        <v>0</v>
      </c>
      <c r="Z71" s="82">
        <f>'Rock Climbing Log'!Z71</f>
        <v>0</v>
      </c>
      <c r="AA71" s="83">
        <f>'Rock Climbing Log'!AA71</f>
        <v>0</v>
      </c>
      <c r="AB71" s="81">
        <f>'Rock Climbing Log'!AB71</f>
        <v>0</v>
      </c>
      <c r="AC71" s="82">
        <f>'Rock Climbing Log'!AC71</f>
        <v>0</v>
      </c>
      <c r="AD71" s="83">
        <f>'Rock Climbing Log'!AD71</f>
        <v>0</v>
      </c>
      <c r="AE71" s="81">
        <f>'Rock Climbing Log'!AE71</f>
        <v>0</v>
      </c>
      <c r="AF71" s="82">
        <f>'Rock Climbing Log'!AF71</f>
        <v>0</v>
      </c>
      <c r="AG71" s="83">
        <f>'Rock Climbing Log'!AG71</f>
        <v>0</v>
      </c>
      <c r="AH71" s="81">
        <f>'Rock Climbing Log'!AH71</f>
        <v>0</v>
      </c>
      <c r="AI71" s="82">
        <f>'Rock Climbing Log'!AI71</f>
        <v>0</v>
      </c>
      <c r="AJ71" s="83">
        <f>'Rock Climbing Log'!AJ71</f>
        <v>0</v>
      </c>
      <c r="AK71" s="81">
        <f>'Rock Climbing Log'!AK71</f>
        <v>0</v>
      </c>
      <c r="AL71" s="82">
        <f>'Rock Climbing Log'!AL71</f>
        <v>0</v>
      </c>
      <c r="AM71" s="83">
        <f>'Rock Climbing Log'!AM71</f>
        <v>0</v>
      </c>
      <c r="AN71" s="81">
        <f>'Rock Climbing Log'!AN71</f>
        <v>0</v>
      </c>
      <c r="AO71" s="82">
        <f>'Rock Climbing Log'!AO71</f>
        <v>0</v>
      </c>
      <c r="AP71" s="83">
        <f>'Rock Climbing Log'!AP71</f>
        <v>0</v>
      </c>
      <c r="AQ71" s="81">
        <f>'Rock Climbing Log'!AQ71</f>
        <v>0</v>
      </c>
      <c r="AR71" s="82">
        <f>'Rock Climbing Log'!AR71</f>
        <v>0</v>
      </c>
      <c r="AS71" s="83">
        <f>'Rock Climbing Log'!AS71</f>
        <v>0</v>
      </c>
      <c r="AT71" s="81">
        <f>'Rock Climbing Log'!AT71</f>
        <v>0</v>
      </c>
      <c r="AU71" s="82">
        <f>'Rock Climbing Log'!AU71</f>
        <v>0</v>
      </c>
      <c r="AV71" s="83">
        <f>'Rock Climbing Log'!AV71</f>
        <v>0</v>
      </c>
      <c r="AW71" s="66">
        <f ca="1">'RC Template'!AW71</f>
        <v>55.259245742400026</v>
      </c>
      <c r="AX71" s="66">
        <f ca="1">'RC Template'!BC71</f>
        <v>63.738421670468888</v>
      </c>
      <c r="AY71" s="75">
        <f>'Rock Climbing Log'!AY71</f>
        <v>0</v>
      </c>
    </row>
    <row r="72" spans="1:51" x14ac:dyDescent="0.3">
      <c r="A72" s="28">
        <f t="shared" si="0"/>
        <v>65</v>
      </c>
      <c r="B72" s="19">
        <f>'Rock Climbing Log'!B72</f>
        <v>43163</v>
      </c>
      <c r="C72" s="24" t="str">
        <f>'Rock Climbing Log'!C72</f>
        <v>Angel</v>
      </c>
      <c r="D72" s="81">
        <f>'Rock Climbing Log'!D72</f>
        <v>0</v>
      </c>
      <c r="E72" s="82">
        <f>'Rock Climbing Log'!E72</f>
        <v>0</v>
      </c>
      <c r="F72" s="83">
        <f>'Rock Climbing Log'!F72</f>
        <v>0</v>
      </c>
      <c r="G72" s="81">
        <f>'Rock Climbing Log'!G72</f>
        <v>0</v>
      </c>
      <c r="H72" s="82">
        <f>'Rock Climbing Log'!H72</f>
        <v>0</v>
      </c>
      <c r="I72" s="83">
        <f>'Rock Climbing Log'!I72</f>
        <v>0</v>
      </c>
      <c r="J72" s="81">
        <f>'Rock Climbing Log'!J72</f>
        <v>0</v>
      </c>
      <c r="K72" s="82">
        <f>'Rock Climbing Log'!K72</f>
        <v>0</v>
      </c>
      <c r="L72" s="83">
        <f>'Rock Climbing Log'!L72</f>
        <v>0</v>
      </c>
      <c r="M72" s="81" t="str">
        <f>'Rock Climbing Log'!M72</f>
        <v>F</v>
      </c>
      <c r="N72" s="82" t="str">
        <f>'Rock Climbing Log'!N72</f>
        <v>F</v>
      </c>
      <c r="O72" s="83">
        <f>'Rock Climbing Log'!O72</f>
        <v>0</v>
      </c>
      <c r="P72" s="81">
        <f>'Rock Climbing Log'!P72</f>
        <v>0</v>
      </c>
      <c r="Q72" s="82">
        <f>'Rock Climbing Log'!Q72</f>
        <v>0</v>
      </c>
      <c r="R72" s="83">
        <f>'Rock Climbing Log'!R72</f>
        <v>0</v>
      </c>
      <c r="S72" s="81">
        <f>'Rock Climbing Log'!S72</f>
        <v>0</v>
      </c>
      <c r="T72" s="82">
        <f>'Rock Climbing Log'!T72</f>
        <v>0</v>
      </c>
      <c r="U72" s="83">
        <f>'Rock Climbing Log'!U72</f>
        <v>0</v>
      </c>
      <c r="V72" s="81" t="str">
        <f>'Rock Climbing Log'!V72</f>
        <v>C3</v>
      </c>
      <c r="W72" s="82" t="str">
        <f>'Rock Climbing Log'!W72</f>
        <v>C3</v>
      </c>
      <c r="X72" s="83" t="str">
        <f>'Rock Climbing Log'!X72</f>
        <v>C3</v>
      </c>
      <c r="Y72" s="81">
        <f>'Rock Climbing Log'!Y72</f>
        <v>0</v>
      </c>
      <c r="Z72" s="82">
        <f>'Rock Climbing Log'!Z72</f>
        <v>0</v>
      </c>
      <c r="AA72" s="83">
        <f>'Rock Climbing Log'!AA72</f>
        <v>0</v>
      </c>
      <c r="AB72" s="81">
        <f>'Rock Climbing Log'!AB72</f>
        <v>0</v>
      </c>
      <c r="AC72" s="82">
        <f>'Rock Climbing Log'!AC72</f>
        <v>0</v>
      </c>
      <c r="AD72" s="83">
        <f>'Rock Climbing Log'!AD72</f>
        <v>0</v>
      </c>
      <c r="AE72" s="81">
        <f>'Rock Climbing Log'!AE72</f>
        <v>0</v>
      </c>
      <c r="AF72" s="82">
        <f>'Rock Climbing Log'!AF72</f>
        <v>0</v>
      </c>
      <c r="AG72" s="83">
        <f>'Rock Climbing Log'!AG72</f>
        <v>0</v>
      </c>
      <c r="AH72" s="81">
        <f>'Rock Climbing Log'!AH72</f>
        <v>0</v>
      </c>
      <c r="AI72" s="82">
        <f>'Rock Climbing Log'!AI72</f>
        <v>0</v>
      </c>
      <c r="AJ72" s="83">
        <f>'Rock Climbing Log'!AJ72</f>
        <v>0</v>
      </c>
      <c r="AK72" s="81">
        <f>'Rock Climbing Log'!AK72</f>
        <v>0</v>
      </c>
      <c r="AL72" s="82">
        <f>'Rock Climbing Log'!AL72</f>
        <v>0</v>
      </c>
      <c r="AM72" s="83">
        <f>'Rock Climbing Log'!AM72</f>
        <v>0</v>
      </c>
      <c r="AN72" s="81">
        <f>'Rock Climbing Log'!AN72</f>
        <v>0</v>
      </c>
      <c r="AO72" s="82">
        <f>'Rock Climbing Log'!AO72</f>
        <v>0</v>
      </c>
      <c r="AP72" s="83">
        <f>'Rock Climbing Log'!AP72</f>
        <v>0</v>
      </c>
      <c r="AQ72" s="81">
        <f>'Rock Climbing Log'!AQ72</f>
        <v>0</v>
      </c>
      <c r="AR72" s="82">
        <f>'Rock Climbing Log'!AR72</f>
        <v>0</v>
      </c>
      <c r="AS72" s="83">
        <f>'Rock Climbing Log'!AS72</f>
        <v>0</v>
      </c>
      <c r="AT72" s="81">
        <f>'Rock Climbing Log'!AT72</f>
        <v>0</v>
      </c>
      <c r="AU72" s="82">
        <f>'Rock Climbing Log'!AU72</f>
        <v>0</v>
      </c>
      <c r="AV72" s="83">
        <f>'Rock Climbing Log'!AV72</f>
        <v>0</v>
      </c>
      <c r="AW72" s="66">
        <f ca="1">'RC Template'!AW72</f>
        <v>77.106502938628864</v>
      </c>
      <c r="AX72" s="66">
        <f ca="1">'RC Template'!BC72</f>
        <v>128.49477638400009</v>
      </c>
      <c r="AY72" s="75">
        <f>'Rock Climbing Log'!AY72</f>
        <v>0</v>
      </c>
    </row>
    <row r="73" spans="1:51" x14ac:dyDescent="0.3">
      <c r="A73" s="28">
        <f t="shared" si="0"/>
        <v>66</v>
      </c>
      <c r="B73" s="19">
        <f>'Rock Climbing Log'!B73</f>
        <v>43163</v>
      </c>
      <c r="C73" s="24" t="str">
        <f>'Rock Climbing Log'!C73</f>
        <v>Michelle</v>
      </c>
      <c r="D73" s="81">
        <f>'Rock Climbing Log'!D73</f>
        <v>0</v>
      </c>
      <c r="E73" s="82">
        <f>'Rock Climbing Log'!E73</f>
        <v>0</v>
      </c>
      <c r="F73" s="83">
        <f>'Rock Climbing Log'!F73</f>
        <v>0</v>
      </c>
      <c r="G73" s="81">
        <f>'Rock Climbing Log'!G73</f>
        <v>0</v>
      </c>
      <c r="H73" s="82">
        <f>'Rock Climbing Log'!H73</f>
        <v>0</v>
      </c>
      <c r="I73" s="83">
        <f>'Rock Climbing Log'!I73</f>
        <v>0</v>
      </c>
      <c r="J73" s="81" t="str">
        <f>'Rock Climbing Log'!J73</f>
        <v>F</v>
      </c>
      <c r="K73" s="82">
        <f>'Rock Climbing Log'!K73</f>
        <v>0</v>
      </c>
      <c r="L73" s="83">
        <f>'Rock Climbing Log'!L73</f>
        <v>0</v>
      </c>
      <c r="M73" s="81" t="str">
        <f>'Rock Climbing Log'!M73</f>
        <v>A</v>
      </c>
      <c r="N73" s="82" t="str">
        <f>'Rock Climbing Log'!N73</f>
        <v>A</v>
      </c>
      <c r="O73" s="83">
        <f>'Rock Climbing Log'!O73</f>
        <v>0</v>
      </c>
      <c r="P73" s="81" t="str">
        <f>'Rock Climbing Log'!P73</f>
        <v>F</v>
      </c>
      <c r="Q73" s="82">
        <f>'Rock Climbing Log'!Q73</f>
        <v>0</v>
      </c>
      <c r="R73" s="83">
        <f>'Rock Climbing Log'!R73</f>
        <v>0</v>
      </c>
      <c r="S73" s="81">
        <f>'Rock Climbing Log'!S73</f>
        <v>0</v>
      </c>
      <c r="T73" s="82">
        <f>'Rock Climbing Log'!T73</f>
        <v>0</v>
      </c>
      <c r="U73" s="83">
        <f>'Rock Climbing Log'!U73</f>
        <v>0</v>
      </c>
      <c r="V73" s="81" t="str">
        <f>'Rock Climbing Log'!V73</f>
        <v>F</v>
      </c>
      <c r="W73" s="82">
        <f>'Rock Climbing Log'!W73</f>
        <v>0</v>
      </c>
      <c r="X73" s="83">
        <f>'Rock Climbing Log'!X73</f>
        <v>0</v>
      </c>
      <c r="Y73" s="81">
        <f>'Rock Climbing Log'!Y73</f>
        <v>0</v>
      </c>
      <c r="Z73" s="82">
        <f>'Rock Climbing Log'!Z73</f>
        <v>0</v>
      </c>
      <c r="AA73" s="83">
        <f>'Rock Climbing Log'!AA73</f>
        <v>0</v>
      </c>
      <c r="AB73" s="81" t="str">
        <f>'Rock Climbing Log'!AB73</f>
        <v>A</v>
      </c>
      <c r="AC73" s="82" t="str">
        <f>'Rock Climbing Log'!AC73</f>
        <v>A</v>
      </c>
      <c r="AD73" s="83">
        <f>'Rock Climbing Log'!AD73</f>
        <v>0</v>
      </c>
      <c r="AE73" s="81">
        <f>'Rock Climbing Log'!AE73</f>
        <v>0</v>
      </c>
      <c r="AF73" s="82">
        <f>'Rock Climbing Log'!AF73</f>
        <v>0</v>
      </c>
      <c r="AG73" s="83">
        <f>'Rock Climbing Log'!AG73</f>
        <v>0</v>
      </c>
      <c r="AH73" s="81">
        <f>'Rock Climbing Log'!AH73</f>
        <v>0</v>
      </c>
      <c r="AI73" s="82">
        <f>'Rock Climbing Log'!AI73</f>
        <v>0</v>
      </c>
      <c r="AJ73" s="83">
        <f>'Rock Climbing Log'!AJ73</f>
        <v>0</v>
      </c>
      <c r="AK73" s="81">
        <f>'Rock Climbing Log'!AK73</f>
        <v>0</v>
      </c>
      <c r="AL73" s="82">
        <f>'Rock Climbing Log'!AL73</f>
        <v>0</v>
      </c>
      <c r="AM73" s="83">
        <f>'Rock Climbing Log'!AM73</f>
        <v>0</v>
      </c>
      <c r="AN73" s="81">
        <f>'Rock Climbing Log'!AN73</f>
        <v>0</v>
      </c>
      <c r="AO73" s="82">
        <f>'Rock Climbing Log'!AO73</f>
        <v>0</v>
      </c>
      <c r="AP73" s="83">
        <f>'Rock Climbing Log'!AP73</f>
        <v>0</v>
      </c>
      <c r="AQ73" s="81">
        <f>'Rock Climbing Log'!AQ73</f>
        <v>0</v>
      </c>
      <c r="AR73" s="82">
        <f>'Rock Climbing Log'!AR73</f>
        <v>0</v>
      </c>
      <c r="AS73" s="83">
        <f>'Rock Climbing Log'!AS73</f>
        <v>0</v>
      </c>
      <c r="AT73" s="81">
        <f>'Rock Climbing Log'!AT73</f>
        <v>0</v>
      </c>
      <c r="AU73" s="82">
        <f>'Rock Climbing Log'!AU73</f>
        <v>0</v>
      </c>
      <c r="AV73" s="83">
        <f>'Rock Climbing Log'!AV73</f>
        <v>0</v>
      </c>
      <c r="AW73" s="66">
        <f ca="1">'RC Template'!AW73</f>
        <v>89.291516321168245</v>
      </c>
      <c r="AX73" s="66">
        <f ca="1">'RC Template'!BC73</f>
        <v>102.99272533333335</v>
      </c>
      <c r="AY73" s="75" t="str">
        <f>'Rock Climbing Log'!AY73</f>
        <v>DG V5 attempt. Too large from norm</v>
      </c>
    </row>
    <row r="74" spans="1:51" x14ac:dyDescent="0.3">
      <c r="A74" s="28">
        <f t="shared" si="0"/>
        <v>67</v>
      </c>
      <c r="B74" s="19">
        <f>'Rock Climbing Log'!B74</f>
        <v>43165</v>
      </c>
      <c r="C74" s="24" t="str">
        <f>'Rock Climbing Log'!C74</f>
        <v>Angel</v>
      </c>
      <c r="D74" s="81">
        <f>'Rock Climbing Log'!D74</f>
        <v>0</v>
      </c>
      <c r="E74" s="82">
        <f>'Rock Climbing Log'!E74</f>
        <v>0</v>
      </c>
      <c r="F74" s="83">
        <f>'Rock Climbing Log'!F74</f>
        <v>0</v>
      </c>
      <c r="G74" s="81">
        <f>'Rock Climbing Log'!G74</f>
        <v>0</v>
      </c>
      <c r="H74" s="82">
        <f>'Rock Climbing Log'!H74</f>
        <v>0</v>
      </c>
      <c r="I74" s="83">
        <f>'Rock Climbing Log'!I74</f>
        <v>0</v>
      </c>
      <c r="J74" s="81">
        <f>'Rock Climbing Log'!J74</f>
        <v>0</v>
      </c>
      <c r="K74" s="82">
        <f>'Rock Climbing Log'!K74</f>
        <v>0</v>
      </c>
      <c r="L74" s="83">
        <f>'Rock Climbing Log'!L74</f>
        <v>0</v>
      </c>
      <c r="M74" s="81" t="str">
        <f>'Rock Climbing Log'!M74</f>
        <v>F</v>
      </c>
      <c r="N74" s="82">
        <f>'Rock Climbing Log'!N74</f>
        <v>0</v>
      </c>
      <c r="O74" s="83">
        <f>'Rock Climbing Log'!O74</f>
        <v>0</v>
      </c>
      <c r="P74" s="81">
        <f>'Rock Climbing Log'!P74</f>
        <v>0</v>
      </c>
      <c r="Q74" s="82">
        <f>'Rock Climbing Log'!Q74</f>
        <v>0</v>
      </c>
      <c r="R74" s="83">
        <f>'Rock Climbing Log'!R74</f>
        <v>0</v>
      </c>
      <c r="S74" s="81">
        <f>'Rock Climbing Log'!S74</f>
        <v>0</v>
      </c>
      <c r="T74" s="82">
        <f>'Rock Climbing Log'!T74</f>
        <v>0</v>
      </c>
      <c r="U74" s="83">
        <f>'Rock Climbing Log'!U74</f>
        <v>0</v>
      </c>
      <c r="V74" s="81" t="str">
        <f>'Rock Climbing Log'!V74</f>
        <v>C4</v>
      </c>
      <c r="W74" s="82" t="str">
        <f>'Rock Climbing Log'!W74</f>
        <v>C1</v>
      </c>
      <c r="X74" s="83" t="str">
        <f>'Rock Climbing Log'!X74</f>
        <v>C3</v>
      </c>
      <c r="Y74" s="81">
        <f>'Rock Climbing Log'!Y74</f>
        <v>0</v>
      </c>
      <c r="Z74" s="82">
        <f>'Rock Climbing Log'!Z74</f>
        <v>0</v>
      </c>
      <c r="AA74" s="83">
        <f>'Rock Climbing Log'!AA74</f>
        <v>0</v>
      </c>
      <c r="AB74" s="81">
        <f>'Rock Climbing Log'!AB74</f>
        <v>0</v>
      </c>
      <c r="AC74" s="82">
        <f>'Rock Climbing Log'!AC74</f>
        <v>0</v>
      </c>
      <c r="AD74" s="83">
        <f>'Rock Climbing Log'!AD74</f>
        <v>0</v>
      </c>
      <c r="AE74" s="81">
        <f>'Rock Climbing Log'!AE74</f>
        <v>0</v>
      </c>
      <c r="AF74" s="82">
        <f>'Rock Climbing Log'!AF74</f>
        <v>0</v>
      </c>
      <c r="AG74" s="83">
        <f>'Rock Climbing Log'!AG74</f>
        <v>0</v>
      </c>
      <c r="AH74" s="81">
        <f>'Rock Climbing Log'!AH74</f>
        <v>0</v>
      </c>
      <c r="AI74" s="82">
        <f>'Rock Climbing Log'!AI74</f>
        <v>0</v>
      </c>
      <c r="AJ74" s="83">
        <f>'Rock Climbing Log'!AJ74</f>
        <v>0</v>
      </c>
      <c r="AK74" s="81">
        <f>'Rock Climbing Log'!AK74</f>
        <v>0</v>
      </c>
      <c r="AL74" s="82">
        <f>'Rock Climbing Log'!AL74</f>
        <v>0</v>
      </c>
      <c r="AM74" s="83">
        <f>'Rock Climbing Log'!AM74</f>
        <v>0</v>
      </c>
      <c r="AN74" s="81">
        <f>'Rock Climbing Log'!AN74</f>
        <v>0</v>
      </c>
      <c r="AO74" s="82">
        <f>'Rock Climbing Log'!AO74</f>
        <v>0</v>
      </c>
      <c r="AP74" s="83">
        <f>'Rock Climbing Log'!AP74</f>
        <v>0</v>
      </c>
      <c r="AQ74" s="81">
        <f>'Rock Climbing Log'!AQ74</f>
        <v>0</v>
      </c>
      <c r="AR74" s="82">
        <f>'Rock Climbing Log'!AR74</f>
        <v>0</v>
      </c>
      <c r="AS74" s="83">
        <f>'Rock Climbing Log'!AS74</f>
        <v>0</v>
      </c>
      <c r="AT74" s="81">
        <f>'Rock Climbing Log'!AT74</f>
        <v>0</v>
      </c>
      <c r="AU74" s="82">
        <f>'Rock Climbing Log'!AU74</f>
        <v>0</v>
      </c>
      <c r="AV74" s="83">
        <f>'Rock Climbing Log'!AV74</f>
        <v>0</v>
      </c>
      <c r="AW74" s="66">
        <f ca="1">'RC Template'!AW74</f>
        <v>80.56518969595831</v>
      </c>
      <c r="AX74" s="66">
        <f ca="1">'RC Template'!BC74</f>
        <v>134.2585338432001</v>
      </c>
      <c r="AY74" s="75">
        <f>'Rock Climbing Log'!AY74</f>
        <v>0</v>
      </c>
    </row>
    <row r="75" spans="1:51" x14ac:dyDescent="0.3">
      <c r="A75" s="28">
        <f t="shared" si="0"/>
        <v>68</v>
      </c>
      <c r="B75" s="19">
        <f>'Rock Climbing Log'!B75</f>
        <v>43165</v>
      </c>
      <c r="C75" s="24" t="str">
        <f>'Rock Climbing Log'!C75</f>
        <v>Oz</v>
      </c>
      <c r="D75" s="81">
        <f>'Rock Climbing Log'!D75</f>
        <v>0</v>
      </c>
      <c r="E75" s="82">
        <f>'Rock Climbing Log'!E75</f>
        <v>0</v>
      </c>
      <c r="F75" s="83">
        <f>'Rock Climbing Log'!F75</f>
        <v>0</v>
      </c>
      <c r="G75" s="81">
        <f>'Rock Climbing Log'!G75</f>
        <v>0</v>
      </c>
      <c r="H75" s="82">
        <f>'Rock Climbing Log'!H75</f>
        <v>0</v>
      </c>
      <c r="I75" s="83">
        <f>'Rock Climbing Log'!I75</f>
        <v>0</v>
      </c>
      <c r="J75" s="81">
        <f>'Rock Climbing Log'!J75</f>
        <v>0</v>
      </c>
      <c r="K75" s="82">
        <f>'Rock Climbing Log'!K75</f>
        <v>0</v>
      </c>
      <c r="L75" s="83">
        <f>'Rock Climbing Log'!L75</f>
        <v>0</v>
      </c>
      <c r="M75" s="81">
        <f>'Rock Climbing Log'!M75</f>
        <v>0</v>
      </c>
      <c r="N75" s="82">
        <f>'Rock Climbing Log'!N75</f>
        <v>0</v>
      </c>
      <c r="O75" s="83">
        <f>'Rock Climbing Log'!O75</f>
        <v>0</v>
      </c>
      <c r="P75" s="81">
        <f>'Rock Climbing Log'!P75</f>
        <v>0</v>
      </c>
      <c r="Q75" s="82">
        <f>'Rock Climbing Log'!Q75</f>
        <v>0</v>
      </c>
      <c r="R75" s="83">
        <f>'Rock Climbing Log'!R75</f>
        <v>0</v>
      </c>
      <c r="S75" s="81">
        <f>'Rock Climbing Log'!S75</f>
        <v>0</v>
      </c>
      <c r="T75" s="82">
        <f>'Rock Climbing Log'!T75</f>
        <v>0</v>
      </c>
      <c r="U75" s="83">
        <f>'Rock Climbing Log'!U75</f>
        <v>0</v>
      </c>
      <c r="V75" s="81" t="str">
        <f>'Rock Climbing Log'!V75</f>
        <v>A</v>
      </c>
      <c r="W75" s="82">
        <f>'Rock Climbing Log'!W75</f>
        <v>0</v>
      </c>
      <c r="X75" s="83">
        <f>'Rock Climbing Log'!X75</f>
        <v>0</v>
      </c>
      <c r="Y75" s="81">
        <f>'Rock Climbing Log'!Y75</f>
        <v>0</v>
      </c>
      <c r="Z75" s="82">
        <f>'Rock Climbing Log'!Z75</f>
        <v>0</v>
      </c>
      <c r="AA75" s="83">
        <f>'Rock Climbing Log'!AA75</f>
        <v>0</v>
      </c>
      <c r="AB75" s="81" t="str">
        <f>'Rock Climbing Log'!AB75</f>
        <v>C1</v>
      </c>
      <c r="AC75" s="82">
        <f>'Rock Climbing Log'!AC75</f>
        <v>0</v>
      </c>
      <c r="AD75" s="83">
        <f>'Rock Climbing Log'!AD75</f>
        <v>0</v>
      </c>
      <c r="AE75" s="81" t="str">
        <f>'Rock Climbing Log'!AE75</f>
        <v>A</v>
      </c>
      <c r="AF75" s="82" t="str">
        <f>'Rock Climbing Log'!AF75</f>
        <v>A</v>
      </c>
      <c r="AG75" s="83">
        <f>'Rock Climbing Log'!AG75</f>
        <v>0</v>
      </c>
      <c r="AH75" s="81">
        <f>'Rock Climbing Log'!AH75</f>
        <v>0</v>
      </c>
      <c r="AI75" s="82">
        <f>'Rock Climbing Log'!AI75</f>
        <v>0</v>
      </c>
      <c r="AJ75" s="83">
        <f>'Rock Climbing Log'!AJ75</f>
        <v>0</v>
      </c>
      <c r="AK75" s="81" t="str">
        <f>'Rock Climbing Log'!AK75</f>
        <v>A</v>
      </c>
      <c r="AL75" s="82">
        <f>'Rock Climbing Log'!AL75</f>
        <v>0</v>
      </c>
      <c r="AM75" s="83">
        <f>'Rock Climbing Log'!AM75</f>
        <v>0</v>
      </c>
      <c r="AN75" s="81">
        <f>'Rock Climbing Log'!AN75</f>
        <v>0</v>
      </c>
      <c r="AO75" s="82">
        <f>'Rock Climbing Log'!AO75</f>
        <v>0</v>
      </c>
      <c r="AP75" s="83">
        <f>'Rock Climbing Log'!AP75</f>
        <v>0</v>
      </c>
      <c r="AQ75" s="81">
        <f>'Rock Climbing Log'!AQ75</f>
        <v>0</v>
      </c>
      <c r="AR75" s="82">
        <f>'Rock Climbing Log'!AR75</f>
        <v>0</v>
      </c>
      <c r="AS75" s="83">
        <f>'Rock Climbing Log'!AS75</f>
        <v>0</v>
      </c>
      <c r="AT75" s="81">
        <f>'Rock Climbing Log'!AT75</f>
        <v>0</v>
      </c>
      <c r="AU75" s="82">
        <f>'Rock Climbing Log'!AU75</f>
        <v>0</v>
      </c>
      <c r="AV75" s="83">
        <f>'Rock Climbing Log'!AV75</f>
        <v>0</v>
      </c>
      <c r="AW75" s="66">
        <f ca="1">'RC Template'!AW75</f>
        <v>137.64110250158083</v>
      </c>
      <c r="AX75" s="66">
        <f ca="1">'RC Template'!BC75</f>
        <v>67.602683651804668</v>
      </c>
      <c r="AY75" s="75">
        <f>'Rock Climbing Log'!AY75</f>
        <v>0</v>
      </c>
    </row>
    <row r="76" spans="1:51" x14ac:dyDescent="0.3">
      <c r="A76" s="28">
        <f t="shared" ref="A76:A139" si="13">+A75+1</f>
        <v>69</v>
      </c>
      <c r="B76" s="19">
        <f>'Rock Climbing Log'!B76</f>
        <v>43165</v>
      </c>
      <c r="C76" s="24" t="str">
        <f>'Rock Climbing Log'!C76</f>
        <v>Edwin</v>
      </c>
      <c r="D76" s="81">
        <f>'Rock Climbing Log'!D76</f>
        <v>0</v>
      </c>
      <c r="E76" s="82">
        <f>'Rock Climbing Log'!E76</f>
        <v>0</v>
      </c>
      <c r="F76" s="83">
        <f>'Rock Climbing Log'!F76</f>
        <v>0</v>
      </c>
      <c r="G76" s="81">
        <f>'Rock Climbing Log'!G76</f>
        <v>0</v>
      </c>
      <c r="H76" s="82">
        <f>'Rock Climbing Log'!H76</f>
        <v>0</v>
      </c>
      <c r="I76" s="83">
        <f>'Rock Climbing Log'!I76</f>
        <v>0</v>
      </c>
      <c r="J76" s="81">
        <f>'Rock Climbing Log'!J76</f>
        <v>0</v>
      </c>
      <c r="K76" s="82">
        <f>'Rock Climbing Log'!K76</f>
        <v>0</v>
      </c>
      <c r="L76" s="83">
        <f>'Rock Climbing Log'!L76</f>
        <v>0</v>
      </c>
      <c r="M76" s="81">
        <f>'Rock Climbing Log'!M76</f>
        <v>0</v>
      </c>
      <c r="N76" s="82">
        <f>'Rock Climbing Log'!N76</f>
        <v>0</v>
      </c>
      <c r="O76" s="83">
        <f>'Rock Climbing Log'!O76</f>
        <v>0</v>
      </c>
      <c r="P76" s="81">
        <f>'Rock Climbing Log'!P76</f>
        <v>0</v>
      </c>
      <c r="Q76" s="82">
        <f>'Rock Climbing Log'!Q76</f>
        <v>0</v>
      </c>
      <c r="R76" s="83">
        <f>'Rock Climbing Log'!R76</f>
        <v>0</v>
      </c>
      <c r="S76" s="81">
        <f>'Rock Climbing Log'!S76</f>
        <v>0</v>
      </c>
      <c r="T76" s="82">
        <f>'Rock Climbing Log'!T76</f>
        <v>0</v>
      </c>
      <c r="U76" s="83">
        <f>'Rock Climbing Log'!U76</f>
        <v>0</v>
      </c>
      <c r="V76" s="81" t="str">
        <f>'Rock Climbing Log'!V76</f>
        <v>F</v>
      </c>
      <c r="W76" s="82">
        <f>'Rock Climbing Log'!W76</f>
        <v>0</v>
      </c>
      <c r="X76" s="83">
        <f>'Rock Climbing Log'!X76</f>
        <v>0</v>
      </c>
      <c r="Y76" s="81">
        <f>'Rock Climbing Log'!Y76</f>
        <v>0</v>
      </c>
      <c r="Z76" s="82">
        <f>'Rock Climbing Log'!Z76</f>
        <v>0</v>
      </c>
      <c r="AA76" s="83">
        <f>'Rock Climbing Log'!AA76</f>
        <v>0</v>
      </c>
      <c r="AB76" s="81">
        <f>'Rock Climbing Log'!AB76</f>
        <v>0</v>
      </c>
      <c r="AC76" s="82">
        <f>'Rock Climbing Log'!AC76</f>
        <v>0</v>
      </c>
      <c r="AD76" s="83">
        <f>'Rock Climbing Log'!AD76</f>
        <v>0</v>
      </c>
      <c r="AE76" s="81" t="str">
        <f>'Rock Climbing Log'!AE76</f>
        <v>A</v>
      </c>
      <c r="AF76" s="82" t="str">
        <f>'Rock Climbing Log'!AF76</f>
        <v>A</v>
      </c>
      <c r="AG76" s="83">
        <f>'Rock Climbing Log'!AG76</f>
        <v>0</v>
      </c>
      <c r="AH76" s="81">
        <f>'Rock Climbing Log'!AH76</f>
        <v>0</v>
      </c>
      <c r="AI76" s="82">
        <f>'Rock Climbing Log'!AI76</f>
        <v>0</v>
      </c>
      <c r="AJ76" s="83">
        <f>'Rock Climbing Log'!AJ76</f>
        <v>0</v>
      </c>
      <c r="AK76" s="81">
        <f>'Rock Climbing Log'!AK76</f>
        <v>0</v>
      </c>
      <c r="AL76" s="82">
        <f>'Rock Climbing Log'!AL76</f>
        <v>0</v>
      </c>
      <c r="AM76" s="83">
        <f>'Rock Climbing Log'!AM76</f>
        <v>0</v>
      </c>
      <c r="AN76" s="81">
        <f>'Rock Climbing Log'!AN76</f>
        <v>0</v>
      </c>
      <c r="AO76" s="82">
        <f>'Rock Climbing Log'!AO76</f>
        <v>0</v>
      </c>
      <c r="AP76" s="83">
        <f>'Rock Climbing Log'!AP76</f>
        <v>0</v>
      </c>
      <c r="AQ76" s="81">
        <f>'Rock Climbing Log'!AQ76</f>
        <v>0</v>
      </c>
      <c r="AR76" s="82">
        <f>'Rock Climbing Log'!AR76</f>
        <v>0</v>
      </c>
      <c r="AS76" s="83">
        <f>'Rock Climbing Log'!AS76</f>
        <v>0</v>
      </c>
      <c r="AT76" s="81">
        <f>'Rock Climbing Log'!AT76</f>
        <v>0</v>
      </c>
      <c r="AU76" s="82">
        <f>'Rock Climbing Log'!AU76</f>
        <v>0</v>
      </c>
      <c r="AV76" s="83">
        <f>'Rock Climbing Log'!AV76</f>
        <v>0</v>
      </c>
      <c r="AW76" s="66">
        <f ca="1">'RC Template'!AW76</f>
        <v>103.12441758933291</v>
      </c>
      <c r="AX76" s="66">
        <f ca="1">'RC Template'!BC76</f>
        <v>79.138410389610385</v>
      </c>
      <c r="AY76" s="75">
        <f>'Rock Climbing Log'!AY76</f>
        <v>0</v>
      </c>
    </row>
    <row r="77" spans="1:51" x14ac:dyDescent="0.3">
      <c r="A77" s="28">
        <f t="shared" si="13"/>
        <v>70</v>
      </c>
      <c r="B77" s="19">
        <f>'Rock Climbing Log'!B77</f>
        <v>43166</v>
      </c>
      <c r="C77" s="24" t="str">
        <f>'Rock Climbing Log'!C77</f>
        <v>Lester</v>
      </c>
      <c r="D77" s="81">
        <f>'Rock Climbing Log'!D77</f>
        <v>0</v>
      </c>
      <c r="E77" s="82">
        <f>'Rock Climbing Log'!E77</f>
        <v>0</v>
      </c>
      <c r="F77" s="83">
        <f>'Rock Climbing Log'!F77</f>
        <v>0</v>
      </c>
      <c r="G77" s="81">
        <f>'Rock Climbing Log'!G77</f>
        <v>0</v>
      </c>
      <c r="H77" s="82">
        <f>'Rock Climbing Log'!H77</f>
        <v>0</v>
      </c>
      <c r="I77" s="83">
        <f>'Rock Climbing Log'!I77</f>
        <v>0</v>
      </c>
      <c r="J77" s="81">
        <f>'Rock Climbing Log'!J77</f>
        <v>0</v>
      </c>
      <c r="K77" s="82">
        <f>'Rock Climbing Log'!K77</f>
        <v>0</v>
      </c>
      <c r="L77" s="83">
        <f>'Rock Climbing Log'!L77</f>
        <v>0</v>
      </c>
      <c r="M77" s="81">
        <f>'Rock Climbing Log'!M77</f>
        <v>0</v>
      </c>
      <c r="N77" s="82">
        <f>'Rock Climbing Log'!N77</f>
        <v>0</v>
      </c>
      <c r="O77" s="83">
        <f>'Rock Climbing Log'!O77</f>
        <v>0</v>
      </c>
      <c r="P77" s="81">
        <f>'Rock Climbing Log'!P77</f>
        <v>0</v>
      </c>
      <c r="Q77" s="82">
        <f>'Rock Climbing Log'!Q77</f>
        <v>0</v>
      </c>
      <c r="R77" s="83">
        <f>'Rock Climbing Log'!R77</f>
        <v>0</v>
      </c>
      <c r="S77" s="81">
        <f>'Rock Climbing Log'!S77</f>
        <v>0</v>
      </c>
      <c r="T77" s="82">
        <f>'Rock Climbing Log'!T77</f>
        <v>0</v>
      </c>
      <c r="U77" s="83">
        <f>'Rock Climbing Log'!U77</f>
        <v>0</v>
      </c>
      <c r="V77" s="81" t="str">
        <f>'Rock Climbing Log'!V77</f>
        <v>F</v>
      </c>
      <c r="W77" s="82">
        <f>'Rock Climbing Log'!W77</f>
        <v>0</v>
      </c>
      <c r="X77" s="83">
        <f>'Rock Climbing Log'!X77</f>
        <v>0</v>
      </c>
      <c r="Y77" s="81">
        <f>'Rock Climbing Log'!Y77</f>
        <v>0</v>
      </c>
      <c r="Z77" s="82">
        <f>'Rock Climbing Log'!Z77</f>
        <v>0</v>
      </c>
      <c r="AA77" s="83">
        <f>'Rock Climbing Log'!AA77</f>
        <v>0</v>
      </c>
      <c r="AB77" s="81" t="str">
        <f>'Rock Climbing Log'!AB77</f>
        <v>F</v>
      </c>
      <c r="AC77" s="82">
        <f>'Rock Climbing Log'!AC77</f>
        <v>0</v>
      </c>
      <c r="AD77" s="83">
        <f>'Rock Climbing Log'!AD77</f>
        <v>0</v>
      </c>
      <c r="AE77" s="81">
        <f>'Rock Climbing Log'!AE77</f>
        <v>0</v>
      </c>
      <c r="AF77" s="82">
        <f>'Rock Climbing Log'!AF77</f>
        <v>0</v>
      </c>
      <c r="AG77" s="83">
        <f>'Rock Climbing Log'!AG77</f>
        <v>0</v>
      </c>
      <c r="AH77" s="81" t="str">
        <f>'Rock Climbing Log'!AH77</f>
        <v>F</v>
      </c>
      <c r="AI77" s="82" t="str">
        <f>'Rock Climbing Log'!AI77</f>
        <v>F</v>
      </c>
      <c r="AJ77" s="83">
        <f>'Rock Climbing Log'!AJ77</f>
        <v>0</v>
      </c>
      <c r="AK77" s="81" t="str">
        <f>'Rock Climbing Log'!AK77</f>
        <v>A</v>
      </c>
      <c r="AL77" s="82">
        <f>'Rock Climbing Log'!AL77</f>
        <v>0</v>
      </c>
      <c r="AM77" s="83">
        <f>'Rock Climbing Log'!AM77</f>
        <v>0</v>
      </c>
      <c r="AN77" s="81" t="str">
        <f>'Rock Climbing Log'!AN77</f>
        <v>A</v>
      </c>
      <c r="AO77" s="82" t="str">
        <f>'Rock Climbing Log'!AO77</f>
        <v>A</v>
      </c>
      <c r="AP77" s="83">
        <f>'Rock Climbing Log'!AP77</f>
        <v>0</v>
      </c>
      <c r="AQ77" s="81">
        <f>'Rock Climbing Log'!AQ77</f>
        <v>0</v>
      </c>
      <c r="AR77" s="82">
        <f>'Rock Climbing Log'!AR77</f>
        <v>0</v>
      </c>
      <c r="AS77" s="83">
        <f>'Rock Climbing Log'!AS77</f>
        <v>0</v>
      </c>
      <c r="AT77" s="81">
        <f>'Rock Climbing Log'!AT77</f>
        <v>0</v>
      </c>
      <c r="AU77" s="82">
        <f>'Rock Climbing Log'!AU77</f>
        <v>0</v>
      </c>
      <c r="AV77" s="83">
        <f>'Rock Climbing Log'!AV77</f>
        <v>0</v>
      </c>
      <c r="AW77" s="66">
        <f ca="1">'RC Template'!AW77</f>
        <v>243.27057299375392</v>
      </c>
      <c r="AX77" s="66">
        <f ca="1">'RC Template'!BC77</f>
        <v>73.616666666666674</v>
      </c>
      <c r="AY77" s="75" t="str">
        <f>'Rock Climbing Log'!AY77</f>
        <v>SRB</v>
      </c>
    </row>
    <row r="78" spans="1:51" x14ac:dyDescent="0.3">
      <c r="A78" s="28">
        <f t="shared" si="13"/>
        <v>71</v>
      </c>
      <c r="B78" s="19">
        <f>'Rock Climbing Log'!B78</f>
        <v>43166</v>
      </c>
      <c r="C78" s="24" t="str">
        <f>'Rock Climbing Log'!C78</f>
        <v>Benjie</v>
      </c>
      <c r="D78" s="81">
        <f>'Rock Climbing Log'!D78</f>
        <v>0</v>
      </c>
      <c r="E78" s="82">
        <f>'Rock Climbing Log'!E78</f>
        <v>0</v>
      </c>
      <c r="F78" s="83">
        <f>'Rock Climbing Log'!F78</f>
        <v>0</v>
      </c>
      <c r="G78" s="81" t="str">
        <f>'Rock Climbing Log'!G78</f>
        <v>F</v>
      </c>
      <c r="H78" s="82">
        <f>'Rock Climbing Log'!H78</f>
        <v>0</v>
      </c>
      <c r="I78" s="83">
        <f>'Rock Climbing Log'!I78</f>
        <v>0</v>
      </c>
      <c r="J78" s="81">
        <f>'Rock Climbing Log'!J78</f>
        <v>0</v>
      </c>
      <c r="K78" s="82">
        <f>'Rock Climbing Log'!K78</f>
        <v>0</v>
      </c>
      <c r="L78" s="83">
        <f>'Rock Climbing Log'!L78</f>
        <v>0</v>
      </c>
      <c r="M78" s="81">
        <f>'Rock Climbing Log'!M78</f>
        <v>0</v>
      </c>
      <c r="N78" s="82">
        <f>'Rock Climbing Log'!N78</f>
        <v>0</v>
      </c>
      <c r="O78" s="83">
        <f>'Rock Climbing Log'!O78</f>
        <v>0</v>
      </c>
      <c r="P78" s="81" t="str">
        <f>'Rock Climbing Log'!P78</f>
        <v>A</v>
      </c>
      <c r="Q78" s="82" t="str">
        <f>'Rock Climbing Log'!Q78</f>
        <v>A</v>
      </c>
      <c r="R78" s="83" t="str">
        <f>'Rock Climbing Log'!R78</f>
        <v>A</v>
      </c>
      <c r="S78" s="81">
        <f>'Rock Climbing Log'!S78</f>
        <v>0</v>
      </c>
      <c r="T78" s="82">
        <f>'Rock Climbing Log'!T78</f>
        <v>0</v>
      </c>
      <c r="U78" s="83">
        <f>'Rock Climbing Log'!U78</f>
        <v>0</v>
      </c>
      <c r="V78" s="81">
        <f>'Rock Climbing Log'!V78</f>
        <v>0</v>
      </c>
      <c r="W78" s="82">
        <f>'Rock Climbing Log'!W78</f>
        <v>0</v>
      </c>
      <c r="X78" s="83">
        <f>'Rock Climbing Log'!X78</f>
        <v>0</v>
      </c>
      <c r="Y78" s="81">
        <f>'Rock Climbing Log'!Y78</f>
        <v>0</v>
      </c>
      <c r="Z78" s="82">
        <f>'Rock Climbing Log'!Z78</f>
        <v>0</v>
      </c>
      <c r="AA78" s="83">
        <f>'Rock Climbing Log'!AA78</f>
        <v>0</v>
      </c>
      <c r="AB78" s="81">
        <f>'Rock Climbing Log'!AB78</f>
        <v>0</v>
      </c>
      <c r="AC78" s="82">
        <f>'Rock Climbing Log'!AC78</f>
        <v>0</v>
      </c>
      <c r="AD78" s="83">
        <f>'Rock Climbing Log'!AD78</f>
        <v>0</v>
      </c>
      <c r="AE78" s="81">
        <f>'Rock Climbing Log'!AE78</f>
        <v>0</v>
      </c>
      <c r="AF78" s="82">
        <f>'Rock Climbing Log'!AF78</f>
        <v>0</v>
      </c>
      <c r="AG78" s="83">
        <f>'Rock Climbing Log'!AG78</f>
        <v>0</v>
      </c>
      <c r="AH78" s="81">
        <f>'Rock Climbing Log'!AH78</f>
        <v>0</v>
      </c>
      <c r="AI78" s="82">
        <f>'Rock Climbing Log'!AI78</f>
        <v>0</v>
      </c>
      <c r="AJ78" s="83">
        <f>'Rock Climbing Log'!AJ78</f>
        <v>0</v>
      </c>
      <c r="AK78" s="81">
        <f>'Rock Climbing Log'!AK78</f>
        <v>0</v>
      </c>
      <c r="AL78" s="82">
        <f>'Rock Climbing Log'!AL78</f>
        <v>0</v>
      </c>
      <c r="AM78" s="83">
        <f>'Rock Climbing Log'!AM78</f>
        <v>0</v>
      </c>
      <c r="AN78" s="81">
        <f>'Rock Climbing Log'!AN78</f>
        <v>0</v>
      </c>
      <c r="AO78" s="82">
        <f>'Rock Climbing Log'!AO78</f>
        <v>0</v>
      </c>
      <c r="AP78" s="83">
        <f>'Rock Climbing Log'!AP78</f>
        <v>0</v>
      </c>
      <c r="AQ78" s="81">
        <f>'Rock Climbing Log'!AQ78</f>
        <v>0</v>
      </c>
      <c r="AR78" s="82">
        <f>'Rock Climbing Log'!AR78</f>
        <v>0</v>
      </c>
      <c r="AS78" s="83">
        <f>'Rock Climbing Log'!AS78</f>
        <v>0</v>
      </c>
      <c r="AT78" s="81">
        <f>'Rock Climbing Log'!AT78</f>
        <v>0</v>
      </c>
      <c r="AU78" s="82">
        <f>'Rock Climbing Log'!AU78</f>
        <v>0</v>
      </c>
      <c r="AV78" s="83">
        <f>'Rock Climbing Log'!AV78</f>
        <v>0</v>
      </c>
      <c r="AW78" s="66">
        <f ca="1">'RC Template'!AW78</f>
        <v>36.422990000000006</v>
      </c>
      <c r="AX78" s="66">
        <f ca="1">'RC Template'!BC78</f>
        <v>42.011863606346111</v>
      </c>
      <c r="AY78" s="75">
        <f>'Rock Climbing Log'!AY78</f>
        <v>0</v>
      </c>
    </row>
    <row r="79" spans="1:51" x14ac:dyDescent="0.3">
      <c r="A79" s="28">
        <f t="shared" si="13"/>
        <v>72</v>
      </c>
      <c r="B79" s="19">
        <f>'Rock Climbing Log'!B79</f>
        <v>43168</v>
      </c>
      <c r="C79" s="24" t="str">
        <f>'Rock Climbing Log'!C79</f>
        <v>Edwin</v>
      </c>
      <c r="D79" s="81">
        <f>'Rock Climbing Log'!D79</f>
        <v>0</v>
      </c>
      <c r="E79" s="82">
        <f>'Rock Climbing Log'!E79</f>
        <v>0</v>
      </c>
      <c r="F79" s="83">
        <f>'Rock Climbing Log'!F79</f>
        <v>0</v>
      </c>
      <c r="G79" s="81">
        <f>'Rock Climbing Log'!G79</f>
        <v>0</v>
      </c>
      <c r="H79" s="82">
        <f>'Rock Climbing Log'!H79</f>
        <v>0</v>
      </c>
      <c r="I79" s="83">
        <f>'Rock Climbing Log'!I79</f>
        <v>0</v>
      </c>
      <c r="J79" s="81">
        <f>'Rock Climbing Log'!J79</f>
        <v>0</v>
      </c>
      <c r="K79" s="82">
        <f>'Rock Climbing Log'!K79</f>
        <v>0</v>
      </c>
      <c r="L79" s="83">
        <f>'Rock Climbing Log'!L79</f>
        <v>0</v>
      </c>
      <c r="M79" s="81" t="str">
        <f>'Rock Climbing Log'!M79</f>
        <v>F</v>
      </c>
      <c r="N79" s="82">
        <f>'Rock Climbing Log'!N79</f>
        <v>0</v>
      </c>
      <c r="O79" s="83">
        <f>'Rock Climbing Log'!O79</f>
        <v>0</v>
      </c>
      <c r="P79" s="81">
        <f>'Rock Climbing Log'!P79</f>
        <v>0</v>
      </c>
      <c r="Q79" s="82">
        <f>'Rock Climbing Log'!Q79</f>
        <v>0</v>
      </c>
      <c r="R79" s="83">
        <f>'Rock Climbing Log'!R79</f>
        <v>0</v>
      </c>
      <c r="S79" s="81">
        <f>'Rock Climbing Log'!S79</f>
        <v>0</v>
      </c>
      <c r="T79" s="82">
        <f>'Rock Climbing Log'!T79</f>
        <v>0</v>
      </c>
      <c r="U79" s="83">
        <f>'Rock Climbing Log'!U79</f>
        <v>0</v>
      </c>
      <c r="V79" s="81" t="str">
        <f>'Rock Climbing Log'!V79</f>
        <v>F</v>
      </c>
      <c r="W79" s="82" t="str">
        <f>'Rock Climbing Log'!W79</f>
        <v>F</v>
      </c>
      <c r="X79" s="83">
        <f>'Rock Climbing Log'!X79</f>
        <v>0</v>
      </c>
      <c r="Y79" s="81">
        <f>'Rock Climbing Log'!Y79</f>
        <v>0</v>
      </c>
      <c r="Z79" s="82">
        <f>'Rock Climbing Log'!Z79</f>
        <v>0</v>
      </c>
      <c r="AA79" s="83">
        <f>'Rock Climbing Log'!AA79</f>
        <v>0</v>
      </c>
      <c r="AB79" s="81">
        <f>'Rock Climbing Log'!AB79</f>
        <v>0</v>
      </c>
      <c r="AC79" s="82">
        <f>'Rock Climbing Log'!AC79</f>
        <v>0</v>
      </c>
      <c r="AD79" s="83">
        <f>'Rock Climbing Log'!AD79</f>
        <v>0</v>
      </c>
      <c r="AE79" s="81">
        <f>'Rock Climbing Log'!AE79</f>
        <v>0</v>
      </c>
      <c r="AF79" s="82">
        <f>'Rock Climbing Log'!AF79</f>
        <v>0</v>
      </c>
      <c r="AG79" s="83">
        <f>'Rock Climbing Log'!AG79</f>
        <v>0</v>
      </c>
      <c r="AH79" s="81">
        <f>'Rock Climbing Log'!AH79</f>
        <v>0</v>
      </c>
      <c r="AI79" s="82">
        <f>'Rock Climbing Log'!AI79</f>
        <v>0</v>
      </c>
      <c r="AJ79" s="83">
        <f>'Rock Climbing Log'!AJ79</f>
        <v>0</v>
      </c>
      <c r="AK79" s="81">
        <f>'Rock Climbing Log'!AK79</f>
        <v>0</v>
      </c>
      <c r="AL79" s="82">
        <f>'Rock Climbing Log'!AL79</f>
        <v>0</v>
      </c>
      <c r="AM79" s="83">
        <f>'Rock Climbing Log'!AM79</f>
        <v>0</v>
      </c>
      <c r="AN79" s="81">
        <f>'Rock Climbing Log'!AN79</f>
        <v>0</v>
      </c>
      <c r="AO79" s="82">
        <f>'Rock Climbing Log'!AO79</f>
        <v>0</v>
      </c>
      <c r="AP79" s="83">
        <f>'Rock Climbing Log'!AP79</f>
        <v>0</v>
      </c>
      <c r="AQ79" s="81">
        <f>'Rock Climbing Log'!AQ79</f>
        <v>0</v>
      </c>
      <c r="AR79" s="82">
        <f>'Rock Climbing Log'!AR79</f>
        <v>0</v>
      </c>
      <c r="AS79" s="83">
        <f>'Rock Climbing Log'!AS79</f>
        <v>0</v>
      </c>
      <c r="AT79" s="81">
        <f>'Rock Climbing Log'!AT79</f>
        <v>0</v>
      </c>
      <c r="AU79" s="82">
        <f>'Rock Climbing Log'!AU79</f>
        <v>0</v>
      </c>
      <c r="AV79" s="83">
        <f>'Rock Climbing Log'!AV79</f>
        <v>0</v>
      </c>
      <c r="AW79" s="66">
        <f ca="1">'RC Template'!AW79</f>
        <v>90.51599148480004</v>
      </c>
      <c r="AX79" s="66">
        <f ca="1">'RC Template'!BC79</f>
        <v>69.462614659048015</v>
      </c>
      <c r="AY79" s="75">
        <f>'Rock Climbing Log'!AY79</f>
        <v>0</v>
      </c>
    </row>
    <row r="80" spans="1:51" x14ac:dyDescent="0.3">
      <c r="A80" s="28">
        <f t="shared" si="13"/>
        <v>73</v>
      </c>
      <c r="B80" s="19">
        <f>'Rock Climbing Log'!B80</f>
        <v>43168</v>
      </c>
      <c r="C80" s="24" t="str">
        <f>'Rock Climbing Log'!C80</f>
        <v>Oz</v>
      </c>
      <c r="D80" s="81">
        <f>'Rock Climbing Log'!D80</f>
        <v>0</v>
      </c>
      <c r="E80" s="82">
        <f>'Rock Climbing Log'!E80</f>
        <v>0</v>
      </c>
      <c r="F80" s="83">
        <f>'Rock Climbing Log'!F80</f>
        <v>0</v>
      </c>
      <c r="G80" s="81">
        <f>'Rock Climbing Log'!G80</f>
        <v>0</v>
      </c>
      <c r="H80" s="82">
        <f>'Rock Climbing Log'!H80</f>
        <v>0</v>
      </c>
      <c r="I80" s="83">
        <f>'Rock Climbing Log'!I80</f>
        <v>0</v>
      </c>
      <c r="J80" s="81">
        <f>'Rock Climbing Log'!J80</f>
        <v>0</v>
      </c>
      <c r="K80" s="82">
        <f>'Rock Climbing Log'!K80</f>
        <v>0</v>
      </c>
      <c r="L80" s="83">
        <f>'Rock Climbing Log'!L80</f>
        <v>0</v>
      </c>
      <c r="M80" s="81">
        <f>'Rock Climbing Log'!M80</f>
        <v>0</v>
      </c>
      <c r="N80" s="82">
        <f>'Rock Climbing Log'!N80</f>
        <v>0</v>
      </c>
      <c r="O80" s="83">
        <f>'Rock Climbing Log'!O80</f>
        <v>0</v>
      </c>
      <c r="P80" s="81">
        <f>'Rock Climbing Log'!P80</f>
        <v>0</v>
      </c>
      <c r="Q80" s="82">
        <f>'Rock Climbing Log'!Q80</f>
        <v>0</v>
      </c>
      <c r="R80" s="83">
        <f>'Rock Climbing Log'!R80</f>
        <v>0</v>
      </c>
      <c r="S80" s="81">
        <f>'Rock Climbing Log'!S80</f>
        <v>0</v>
      </c>
      <c r="T80" s="82">
        <f>'Rock Climbing Log'!T80</f>
        <v>0</v>
      </c>
      <c r="U80" s="83">
        <f>'Rock Climbing Log'!U80</f>
        <v>0</v>
      </c>
      <c r="V80" s="81" t="str">
        <f>'Rock Climbing Log'!V80</f>
        <v>F</v>
      </c>
      <c r="W80" s="82" t="str">
        <f>'Rock Climbing Log'!W80</f>
        <v>F</v>
      </c>
      <c r="X80" s="83">
        <f>'Rock Climbing Log'!X80</f>
        <v>0</v>
      </c>
      <c r="Y80" s="81">
        <f>'Rock Climbing Log'!Y80</f>
        <v>0</v>
      </c>
      <c r="Z80" s="82">
        <f>'Rock Climbing Log'!Z80</f>
        <v>0</v>
      </c>
      <c r="AA80" s="83">
        <f>'Rock Climbing Log'!AA80</f>
        <v>0</v>
      </c>
      <c r="AB80" s="81">
        <f>'Rock Climbing Log'!AB80</f>
        <v>0</v>
      </c>
      <c r="AC80" s="82">
        <f>'Rock Climbing Log'!AC80</f>
        <v>0</v>
      </c>
      <c r="AD80" s="83">
        <f>'Rock Climbing Log'!AD80</f>
        <v>0</v>
      </c>
      <c r="AE80" s="81" t="str">
        <f>'Rock Climbing Log'!AE80</f>
        <v>F</v>
      </c>
      <c r="AF80" s="82">
        <f>'Rock Climbing Log'!AF80</f>
        <v>0</v>
      </c>
      <c r="AG80" s="83">
        <f>'Rock Climbing Log'!AG80</f>
        <v>0</v>
      </c>
      <c r="AH80" s="81">
        <f>'Rock Climbing Log'!AH80</f>
        <v>0</v>
      </c>
      <c r="AI80" s="82">
        <f>'Rock Climbing Log'!AI80</f>
        <v>0</v>
      </c>
      <c r="AJ80" s="83">
        <f>'Rock Climbing Log'!AJ80</f>
        <v>0</v>
      </c>
      <c r="AK80" s="81">
        <f>'Rock Climbing Log'!AK80</f>
        <v>0</v>
      </c>
      <c r="AL80" s="82">
        <f>'Rock Climbing Log'!AL80</f>
        <v>0</v>
      </c>
      <c r="AM80" s="83">
        <f>'Rock Climbing Log'!AM80</f>
        <v>0</v>
      </c>
      <c r="AN80" s="81">
        <f>'Rock Climbing Log'!AN80</f>
        <v>0</v>
      </c>
      <c r="AO80" s="82">
        <f>'Rock Climbing Log'!AO80</f>
        <v>0</v>
      </c>
      <c r="AP80" s="83">
        <f>'Rock Climbing Log'!AP80</f>
        <v>0</v>
      </c>
      <c r="AQ80" s="81">
        <f>'Rock Climbing Log'!AQ80</f>
        <v>0</v>
      </c>
      <c r="AR80" s="82">
        <f>'Rock Climbing Log'!AR80</f>
        <v>0</v>
      </c>
      <c r="AS80" s="83">
        <f>'Rock Climbing Log'!AS80</f>
        <v>0</v>
      </c>
      <c r="AT80" s="81">
        <f>'Rock Climbing Log'!AT80</f>
        <v>0</v>
      </c>
      <c r="AU80" s="82">
        <f>'Rock Climbing Log'!AU80</f>
        <v>0</v>
      </c>
      <c r="AV80" s="83">
        <f>'Rock Climbing Log'!AV80</f>
        <v>0</v>
      </c>
      <c r="AW80" s="66">
        <f ca="1">'RC Template'!AW80</f>
        <v>138.38116333173295</v>
      </c>
      <c r="AX80" s="66">
        <f ca="1">'RC Template'!BC80</f>
        <v>67.966165905830437</v>
      </c>
      <c r="AY80" s="75">
        <f>'Rock Climbing Log'!AY80</f>
        <v>0</v>
      </c>
    </row>
    <row r="81" spans="1:51" x14ac:dyDescent="0.3">
      <c r="A81" s="28">
        <f t="shared" si="13"/>
        <v>74</v>
      </c>
      <c r="B81" s="19">
        <f>'Rock Climbing Log'!B81</f>
        <v>43168</v>
      </c>
      <c r="C81" s="24">
        <f>'Rock Climbing Log'!C81</f>
        <v>0</v>
      </c>
      <c r="D81" s="81">
        <f>'Rock Climbing Log'!D81</f>
        <v>0</v>
      </c>
      <c r="E81" s="82">
        <f>'Rock Climbing Log'!E81</f>
        <v>0</v>
      </c>
      <c r="F81" s="83">
        <f>'Rock Climbing Log'!F81</f>
        <v>0</v>
      </c>
      <c r="G81" s="81">
        <f>'Rock Climbing Log'!G81</f>
        <v>0</v>
      </c>
      <c r="H81" s="82">
        <f>'Rock Climbing Log'!H81</f>
        <v>0</v>
      </c>
      <c r="I81" s="83">
        <f>'Rock Climbing Log'!I81</f>
        <v>0</v>
      </c>
      <c r="J81" s="81">
        <f>'Rock Climbing Log'!J81</f>
        <v>0</v>
      </c>
      <c r="K81" s="82">
        <f>'Rock Climbing Log'!K81</f>
        <v>0</v>
      </c>
      <c r="L81" s="83">
        <f>'Rock Climbing Log'!L81</f>
        <v>0</v>
      </c>
      <c r="M81" s="81">
        <f>'Rock Climbing Log'!M81</f>
        <v>0</v>
      </c>
      <c r="N81" s="82">
        <f>'Rock Climbing Log'!N81</f>
        <v>0</v>
      </c>
      <c r="O81" s="83">
        <f>'Rock Climbing Log'!O81</f>
        <v>0</v>
      </c>
      <c r="P81" s="81">
        <f>'Rock Climbing Log'!P81</f>
        <v>0</v>
      </c>
      <c r="Q81" s="82">
        <f>'Rock Climbing Log'!Q81</f>
        <v>0</v>
      </c>
      <c r="R81" s="83">
        <f>'Rock Climbing Log'!R81</f>
        <v>0</v>
      </c>
      <c r="S81" s="81">
        <f>'Rock Climbing Log'!S81</f>
        <v>0</v>
      </c>
      <c r="T81" s="82">
        <f>'Rock Climbing Log'!T81</f>
        <v>0</v>
      </c>
      <c r="U81" s="83">
        <f>'Rock Climbing Log'!U81</f>
        <v>0</v>
      </c>
      <c r="V81" s="81">
        <f>'Rock Climbing Log'!V81</f>
        <v>0</v>
      </c>
      <c r="W81" s="82">
        <f>'Rock Climbing Log'!W81</f>
        <v>0</v>
      </c>
      <c r="X81" s="83">
        <f>'Rock Climbing Log'!X81</f>
        <v>0</v>
      </c>
      <c r="Y81" s="81">
        <f>'Rock Climbing Log'!Y81</f>
        <v>0</v>
      </c>
      <c r="Z81" s="82">
        <f>'Rock Climbing Log'!Z81</f>
        <v>0</v>
      </c>
      <c r="AA81" s="83">
        <f>'Rock Climbing Log'!AA81</f>
        <v>0</v>
      </c>
      <c r="AB81" s="81">
        <f>'Rock Climbing Log'!AB81</f>
        <v>0</v>
      </c>
      <c r="AC81" s="82">
        <f>'Rock Climbing Log'!AC81</f>
        <v>0</v>
      </c>
      <c r="AD81" s="83">
        <f>'Rock Climbing Log'!AD81</f>
        <v>0</v>
      </c>
      <c r="AE81" s="81">
        <f>'Rock Climbing Log'!AE81</f>
        <v>0</v>
      </c>
      <c r="AF81" s="82">
        <f>'Rock Climbing Log'!AF81</f>
        <v>0</v>
      </c>
      <c r="AG81" s="83">
        <f>'Rock Climbing Log'!AG81</f>
        <v>0</v>
      </c>
      <c r="AH81" s="81">
        <f>'Rock Climbing Log'!AH81</f>
        <v>0</v>
      </c>
      <c r="AI81" s="82">
        <f>'Rock Climbing Log'!AI81</f>
        <v>0</v>
      </c>
      <c r="AJ81" s="83">
        <f>'Rock Climbing Log'!AJ81</f>
        <v>0</v>
      </c>
      <c r="AK81" s="81">
        <f>'Rock Climbing Log'!AK81</f>
        <v>0</v>
      </c>
      <c r="AL81" s="82">
        <f>'Rock Climbing Log'!AL81</f>
        <v>0</v>
      </c>
      <c r="AM81" s="83">
        <f>'Rock Climbing Log'!AM81</f>
        <v>0</v>
      </c>
      <c r="AN81" s="81">
        <f>'Rock Climbing Log'!AN81</f>
        <v>0</v>
      </c>
      <c r="AO81" s="82">
        <f>'Rock Climbing Log'!AO81</f>
        <v>0</v>
      </c>
      <c r="AP81" s="83">
        <f>'Rock Climbing Log'!AP81</f>
        <v>0</v>
      </c>
      <c r="AQ81" s="81">
        <f>'Rock Climbing Log'!AQ81</f>
        <v>0</v>
      </c>
      <c r="AR81" s="82">
        <f>'Rock Climbing Log'!AR81</f>
        <v>0</v>
      </c>
      <c r="AS81" s="83">
        <f>'Rock Climbing Log'!AS81</f>
        <v>0</v>
      </c>
      <c r="AT81" s="81">
        <f>'Rock Climbing Log'!AT81</f>
        <v>0</v>
      </c>
      <c r="AU81" s="82">
        <f>'Rock Climbing Log'!AU81</f>
        <v>0</v>
      </c>
      <c r="AV81" s="83">
        <f>'Rock Climbing Log'!AV81</f>
        <v>0</v>
      </c>
      <c r="AW81" s="66">
        <f ca="1">'RC Template'!AW81</f>
        <v>0</v>
      </c>
      <c r="AX81" s="66">
        <f ca="1">'RC Template'!BC81</f>
        <v>0</v>
      </c>
      <c r="AY81" s="75">
        <f>'Rock Climbing Log'!AY81</f>
        <v>0</v>
      </c>
    </row>
    <row r="82" spans="1:51" x14ac:dyDescent="0.3">
      <c r="A82" s="28">
        <f t="shared" si="13"/>
        <v>75</v>
      </c>
      <c r="B82" s="19">
        <f>'Rock Climbing Log'!B82</f>
        <v>43170</v>
      </c>
      <c r="C82" s="24" t="str">
        <f>'Rock Climbing Log'!C82</f>
        <v>Lester</v>
      </c>
      <c r="D82" s="81">
        <f>'Rock Climbing Log'!D82</f>
        <v>0</v>
      </c>
      <c r="E82" s="82">
        <f>'Rock Climbing Log'!E82</f>
        <v>0</v>
      </c>
      <c r="F82" s="83">
        <f>'Rock Climbing Log'!F82</f>
        <v>0</v>
      </c>
      <c r="G82" s="81">
        <f>'Rock Climbing Log'!G82</f>
        <v>0</v>
      </c>
      <c r="H82" s="82">
        <f>'Rock Climbing Log'!H82</f>
        <v>0</v>
      </c>
      <c r="I82" s="83">
        <f>'Rock Climbing Log'!I82</f>
        <v>0</v>
      </c>
      <c r="J82" s="81">
        <f>'Rock Climbing Log'!J82</f>
        <v>0</v>
      </c>
      <c r="K82" s="82">
        <f>'Rock Climbing Log'!K82</f>
        <v>0</v>
      </c>
      <c r="L82" s="83">
        <f>'Rock Climbing Log'!L82</f>
        <v>0</v>
      </c>
      <c r="M82" s="81" t="str">
        <f>'Rock Climbing Log'!M82</f>
        <v>F</v>
      </c>
      <c r="N82" s="82">
        <f>'Rock Climbing Log'!N82</f>
        <v>0</v>
      </c>
      <c r="O82" s="83">
        <f>'Rock Climbing Log'!O82</f>
        <v>0</v>
      </c>
      <c r="P82" s="81">
        <f>'Rock Climbing Log'!P82</f>
        <v>0</v>
      </c>
      <c r="Q82" s="82">
        <f>'Rock Climbing Log'!Q82</f>
        <v>0</v>
      </c>
      <c r="R82" s="83">
        <f>'Rock Climbing Log'!R82</f>
        <v>0</v>
      </c>
      <c r="S82" s="81">
        <f>'Rock Climbing Log'!S82</f>
        <v>0</v>
      </c>
      <c r="T82" s="82">
        <f>'Rock Climbing Log'!T82</f>
        <v>0</v>
      </c>
      <c r="U82" s="83">
        <f>'Rock Climbing Log'!U82</f>
        <v>0</v>
      </c>
      <c r="V82" s="81">
        <f>'Rock Climbing Log'!V82</f>
        <v>0</v>
      </c>
      <c r="W82" s="82">
        <f>'Rock Climbing Log'!W82</f>
        <v>0</v>
      </c>
      <c r="X82" s="83">
        <f>'Rock Climbing Log'!X82</f>
        <v>0</v>
      </c>
      <c r="Y82" s="81">
        <f>'Rock Climbing Log'!Y82</f>
        <v>0</v>
      </c>
      <c r="Z82" s="82">
        <f>'Rock Climbing Log'!Z82</f>
        <v>0</v>
      </c>
      <c r="AA82" s="83">
        <f>'Rock Climbing Log'!AA82</f>
        <v>0</v>
      </c>
      <c r="AB82" s="81">
        <f>'Rock Climbing Log'!AB82</f>
        <v>0</v>
      </c>
      <c r="AC82" s="82">
        <f>'Rock Climbing Log'!AC82</f>
        <v>0</v>
      </c>
      <c r="AD82" s="83">
        <f>'Rock Climbing Log'!AD82</f>
        <v>0</v>
      </c>
      <c r="AE82" s="81">
        <f>'Rock Climbing Log'!AE82</f>
        <v>0</v>
      </c>
      <c r="AF82" s="82">
        <f>'Rock Climbing Log'!AF82</f>
        <v>0</v>
      </c>
      <c r="AG82" s="83">
        <f>'Rock Climbing Log'!AG82</f>
        <v>0</v>
      </c>
      <c r="AH82" s="81">
        <f>'Rock Climbing Log'!AH82</f>
        <v>0</v>
      </c>
      <c r="AI82" s="82">
        <f>'Rock Climbing Log'!AI82</f>
        <v>0</v>
      </c>
      <c r="AJ82" s="83">
        <f>'Rock Climbing Log'!AJ82</f>
        <v>0</v>
      </c>
      <c r="AK82" s="81" t="str">
        <f>'Rock Climbing Log'!AK82</f>
        <v>F</v>
      </c>
      <c r="AL82" s="82">
        <f>'Rock Climbing Log'!AL82</f>
        <v>0</v>
      </c>
      <c r="AM82" s="83">
        <f>'Rock Climbing Log'!AM82</f>
        <v>0</v>
      </c>
      <c r="AN82" s="81" t="str">
        <f>'Rock Climbing Log'!AN82</f>
        <v>C4</v>
      </c>
      <c r="AO82" s="82">
        <f>'Rock Climbing Log'!AO82</f>
        <v>0</v>
      </c>
      <c r="AP82" s="83">
        <f>'Rock Climbing Log'!AP82</f>
        <v>0</v>
      </c>
      <c r="AQ82" s="81">
        <f>'Rock Climbing Log'!AQ82</f>
        <v>0</v>
      </c>
      <c r="AR82" s="82">
        <f>'Rock Climbing Log'!AR82</f>
        <v>0</v>
      </c>
      <c r="AS82" s="83">
        <f>'Rock Climbing Log'!AS82</f>
        <v>0</v>
      </c>
      <c r="AT82" s="81">
        <f>'Rock Climbing Log'!AT82</f>
        <v>0</v>
      </c>
      <c r="AU82" s="82">
        <f>'Rock Climbing Log'!AU82</f>
        <v>0</v>
      </c>
      <c r="AV82" s="83">
        <f>'Rock Climbing Log'!AV82</f>
        <v>0</v>
      </c>
      <c r="AW82" s="66">
        <f ca="1">'RC Template'!AW82</f>
        <v>223.52817997907488</v>
      </c>
      <c r="AX82" s="66">
        <f ca="1">'RC Template'!BC82</f>
        <v>67.642375786029532</v>
      </c>
      <c r="AY82" s="75">
        <f>'Rock Climbing Log'!AY82</f>
        <v>0</v>
      </c>
    </row>
    <row r="83" spans="1:51" x14ac:dyDescent="0.3">
      <c r="A83" s="28">
        <f t="shared" si="13"/>
        <v>76</v>
      </c>
      <c r="B83" s="19">
        <f>'Rock Climbing Log'!B83</f>
        <v>43170</v>
      </c>
      <c r="C83" s="24" t="str">
        <f>'Rock Climbing Log'!C83</f>
        <v>Edwin</v>
      </c>
      <c r="D83" s="81">
        <f>'Rock Climbing Log'!D83</f>
        <v>0</v>
      </c>
      <c r="E83" s="82">
        <f>'Rock Climbing Log'!E83</f>
        <v>0</v>
      </c>
      <c r="F83" s="83">
        <f>'Rock Climbing Log'!F83</f>
        <v>0</v>
      </c>
      <c r="G83" s="81">
        <f>'Rock Climbing Log'!G83</f>
        <v>0</v>
      </c>
      <c r="H83" s="82">
        <f>'Rock Climbing Log'!H83</f>
        <v>0</v>
      </c>
      <c r="I83" s="83">
        <f>'Rock Climbing Log'!I83</f>
        <v>0</v>
      </c>
      <c r="J83" s="81">
        <f>'Rock Climbing Log'!J83</f>
        <v>0</v>
      </c>
      <c r="K83" s="82">
        <f>'Rock Climbing Log'!K83</f>
        <v>0</v>
      </c>
      <c r="L83" s="83">
        <f>'Rock Climbing Log'!L83</f>
        <v>0</v>
      </c>
      <c r="M83" s="81" t="str">
        <f>'Rock Climbing Log'!M83</f>
        <v>F</v>
      </c>
      <c r="N83" s="82">
        <f>'Rock Climbing Log'!N83</f>
        <v>0</v>
      </c>
      <c r="O83" s="83">
        <f>'Rock Climbing Log'!O83</f>
        <v>0</v>
      </c>
      <c r="P83" s="81">
        <f>'Rock Climbing Log'!P83</f>
        <v>0</v>
      </c>
      <c r="Q83" s="82">
        <f>'Rock Climbing Log'!Q83</f>
        <v>0</v>
      </c>
      <c r="R83" s="83">
        <f>'Rock Climbing Log'!R83</f>
        <v>0</v>
      </c>
      <c r="S83" s="81">
        <f>'Rock Climbing Log'!S83</f>
        <v>0</v>
      </c>
      <c r="T83" s="82">
        <f>'Rock Climbing Log'!T83</f>
        <v>0</v>
      </c>
      <c r="U83" s="83">
        <f>'Rock Climbing Log'!U83</f>
        <v>0</v>
      </c>
      <c r="V83" s="81" t="str">
        <f>'Rock Climbing Log'!V83</f>
        <v>C1</v>
      </c>
      <c r="W83" s="82" t="str">
        <f>'Rock Climbing Log'!W83</f>
        <v>A</v>
      </c>
      <c r="X83" s="83">
        <f>'Rock Climbing Log'!X83</f>
        <v>0</v>
      </c>
      <c r="Y83" s="81">
        <f>'Rock Climbing Log'!Y83</f>
        <v>0</v>
      </c>
      <c r="Z83" s="82">
        <f>'Rock Climbing Log'!Z83</f>
        <v>0</v>
      </c>
      <c r="AA83" s="83">
        <f>'Rock Climbing Log'!AA83</f>
        <v>0</v>
      </c>
      <c r="AB83" s="81">
        <f>'Rock Climbing Log'!AB83</f>
        <v>0</v>
      </c>
      <c r="AC83" s="82">
        <f>'Rock Climbing Log'!AC83</f>
        <v>0</v>
      </c>
      <c r="AD83" s="83">
        <f>'Rock Climbing Log'!AD83</f>
        <v>0</v>
      </c>
      <c r="AE83" s="81">
        <f>'Rock Climbing Log'!AE83</f>
        <v>0</v>
      </c>
      <c r="AF83" s="82">
        <f>'Rock Climbing Log'!AF83</f>
        <v>0</v>
      </c>
      <c r="AG83" s="83">
        <f>'Rock Climbing Log'!AG83</f>
        <v>0</v>
      </c>
      <c r="AH83" s="81" t="str">
        <f>'Rock Climbing Log'!AH83</f>
        <v>A</v>
      </c>
      <c r="AI83" s="82">
        <f>'Rock Climbing Log'!AI83</f>
        <v>0</v>
      </c>
      <c r="AJ83" s="83">
        <f>'Rock Climbing Log'!AJ83</f>
        <v>0</v>
      </c>
      <c r="AK83" s="81">
        <f>'Rock Climbing Log'!AK83</f>
        <v>0</v>
      </c>
      <c r="AL83" s="82">
        <f>'Rock Climbing Log'!AL83</f>
        <v>0</v>
      </c>
      <c r="AM83" s="83">
        <f>'Rock Climbing Log'!AM83</f>
        <v>0</v>
      </c>
      <c r="AN83" s="81">
        <f>'Rock Climbing Log'!AN83</f>
        <v>0</v>
      </c>
      <c r="AO83" s="82">
        <f>'Rock Climbing Log'!AO83</f>
        <v>0</v>
      </c>
      <c r="AP83" s="83">
        <f>'Rock Climbing Log'!AP83</f>
        <v>0</v>
      </c>
      <c r="AQ83" s="81">
        <f>'Rock Climbing Log'!AQ83</f>
        <v>0</v>
      </c>
      <c r="AR83" s="82">
        <f>'Rock Climbing Log'!AR83</f>
        <v>0</v>
      </c>
      <c r="AS83" s="83">
        <f>'Rock Climbing Log'!AS83</f>
        <v>0</v>
      </c>
      <c r="AT83" s="81">
        <f>'Rock Climbing Log'!AT83</f>
        <v>0</v>
      </c>
      <c r="AU83" s="82">
        <f>'Rock Climbing Log'!AU83</f>
        <v>0</v>
      </c>
      <c r="AV83" s="83">
        <f>'Rock Climbing Log'!AV83</f>
        <v>0</v>
      </c>
      <c r="AW83" s="66">
        <f ca="1">'RC Template'!AW83</f>
        <v>94.761675119115466</v>
      </c>
      <c r="AX83" s="66">
        <f ca="1">'RC Template'!BC83</f>
        <v>72.720782430476589</v>
      </c>
      <c r="AY83" s="75">
        <f>'Rock Climbing Log'!AY83</f>
        <v>0</v>
      </c>
    </row>
    <row r="84" spans="1:51" x14ac:dyDescent="0.3">
      <c r="A84" s="28">
        <f t="shared" si="13"/>
        <v>77</v>
      </c>
      <c r="B84" s="19">
        <f>'Rock Climbing Log'!B84</f>
        <v>43173</v>
      </c>
      <c r="C84" s="24" t="str">
        <f>'Rock Climbing Log'!C84</f>
        <v>Lester</v>
      </c>
      <c r="D84" s="81">
        <f>'Rock Climbing Log'!D84</f>
        <v>0</v>
      </c>
      <c r="E84" s="82">
        <f>'Rock Climbing Log'!E84</f>
        <v>0</v>
      </c>
      <c r="F84" s="83">
        <f>'Rock Climbing Log'!F84</f>
        <v>0</v>
      </c>
      <c r="G84" s="81">
        <f>'Rock Climbing Log'!G84</f>
        <v>0</v>
      </c>
      <c r="H84" s="82">
        <f>'Rock Climbing Log'!H84</f>
        <v>0</v>
      </c>
      <c r="I84" s="83">
        <f>'Rock Climbing Log'!I84</f>
        <v>0</v>
      </c>
      <c r="J84" s="81">
        <f>'Rock Climbing Log'!J84</f>
        <v>0</v>
      </c>
      <c r="K84" s="82">
        <f>'Rock Climbing Log'!K84</f>
        <v>0</v>
      </c>
      <c r="L84" s="83">
        <f>'Rock Climbing Log'!L84</f>
        <v>0</v>
      </c>
      <c r="M84" s="81">
        <f>'Rock Climbing Log'!M84</f>
        <v>0</v>
      </c>
      <c r="N84" s="82">
        <f>'Rock Climbing Log'!N84</f>
        <v>0</v>
      </c>
      <c r="O84" s="83">
        <f>'Rock Climbing Log'!O84</f>
        <v>0</v>
      </c>
      <c r="P84" s="81">
        <f>'Rock Climbing Log'!P84</f>
        <v>0</v>
      </c>
      <c r="Q84" s="82">
        <f>'Rock Climbing Log'!Q84</f>
        <v>0</v>
      </c>
      <c r="R84" s="83">
        <f>'Rock Climbing Log'!R84</f>
        <v>0</v>
      </c>
      <c r="S84" s="81">
        <f>'Rock Climbing Log'!S84</f>
        <v>0</v>
      </c>
      <c r="T84" s="82">
        <f>'Rock Climbing Log'!T84</f>
        <v>0</v>
      </c>
      <c r="U84" s="83">
        <f>'Rock Climbing Log'!U84</f>
        <v>0</v>
      </c>
      <c r="V84" s="81">
        <f>'Rock Climbing Log'!V84</f>
        <v>0</v>
      </c>
      <c r="W84" s="82">
        <f>'Rock Climbing Log'!W84</f>
        <v>0</v>
      </c>
      <c r="X84" s="83">
        <f>'Rock Climbing Log'!X84</f>
        <v>0</v>
      </c>
      <c r="Y84" s="81">
        <f>'Rock Climbing Log'!Y84</f>
        <v>0</v>
      </c>
      <c r="Z84" s="82">
        <f>'Rock Climbing Log'!Z84</f>
        <v>0</v>
      </c>
      <c r="AA84" s="83">
        <f>'Rock Climbing Log'!AA84</f>
        <v>0</v>
      </c>
      <c r="AB84" s="81">
        <f>'Rock Climbing Log'!AB84</f>
        <v>0</v>
      </c>
      <c r="AC84" s="82">
        <f>'Rock Climbing Log'!AC84</f>
        <v>0</v>
      </c>
      <c r="AD84" s="83">
        <f>'Rock Climbing Log'!AD84</f>
        <v>0</v>
      </c>
      <c r="AE84" s="81" t="str">
        <f>'Rock Climbing Log'!AE84</f>
        <v>F</v>
      </c>
      <c r="AF84" s="82" t="str">
        <f>'Rock Climbing Log'!AF84</f>
        <v>F</v>
      </c>
      <c r="AG84" s="83">
        <f>'Rock Climbing Log'!AG84</f>
        <v>0</v>
      </c>
      <c r="AH84" s="81" t="str">
        <f>'Rock Climbing Log'!AH84</f>
        <v>F</v>
      </c>
      <c r="AI84" s="82">
        <f>'Rock Climbing Log'!AI84</f>
        <v>0</v>
      </c>
      <c r="AJ84" s="83">
        <f>'Rock Climbing Log'!AJ84</f>
        <v>0</v>
      </c>
      <c r="AK84" s="81">
        <f>'Rock Climbing Log'!AK84</f>
        <v>0</v>
      </c>
      <c r="AL84" s="82">
        <f>'Rock Climbing Log'!AL84</f>
        <v>0</v>
      </c>
      <c r="AM84" s="83">
        <f>'Rock Climbing Log'!AM84</f>
        <v>0</v>
      </c>
      <c r="AN84" s="81" t="str">
        <f>'Rock Climbing Log'!AN84</f>
        <v>A</v>
      </c>
      <c r="AO84" s="82">
        <f>'Rock Climbing Log'!AO84</f>
        <v>0</v>
      </c>
      <c r="AP84" s="83">
        <f>'Rock Climbing Log'!AP84</f>
        <v>0</v>
      </c>
      <c r="AQ84" s="81">
        <f>'Rock Climbing Log'!AQ84</f>
        <v>0</v>
      </c>
      <c r="AR84" s="82">
        <f>'Rock Climbing Log'!AR84</f>
        <v>0</v>
      </c>
      <c r="AS84" s="83">
        <f>'Rock Climbing Log'!AS84</f>
        <v>0</v>
      </c>
      <c r="AT84" s="81">
        <f>'Rock Climbing Log'!AT84</f>
        <v>0</v>
      </c>
      <c r="AU84" s="82">
        <f>'Rock Climbing Log'!AU84</f>
        <v>0</v>
      </c>
      <c r="AV84" s="83">
        <f>'Rock Climbing Log'!AV84</f>
        <v>0</v>
      </c>
      <c r="AW84" s="66">
        <f ca="1">'RC Template'!AW84</f>
        <v>225.0820369387759</v>
      </c>
      <c r="AX84" s="66">
        <f ca="1">'RC Template'!BC84</f>
        <v>68.112592008412207</v>
      </c>
      <c r="AY84" s="75">
        <f>'Rock Climbing Log'!AY84</f>
        <v>0</v>
      </c>
    </row>
    <row r="85" spans="1:51" x14ac:dyDescent="0.3">
      <c r="A85" s="28">
        <f t="shared" si="13"/>
        <v>78</v>
      </c>
      <c r="B85" s="19">
        <f>'Rock Climbing Log'!B85</f>
        <v>43173</v>
      </c>
      <c r="C85" s="24" t="str">
        <f>'Rock Climbing Log'!C85</f>
        <v>Angel</v>
      </c>
      <c r="D85" s="81">
        <f>'Rock Climbing Log'!D85</f>
        <v>0</v>
      </c>
      <c r="E85" s="82">
        <f>'Rock Climbing Log'!E85</f>
        <v>0</v>
      </c>
      <c r="F85" s="83">
        <f>'Rock Climbing Log'!F85</f>
        <v>0</v>
      </c>
      <c r="G85" s="81">
        <f>'Rock Climbing Log'!G85</f>
        <v>0</v>
      </c>
      <c r="H85" s="82">
        <f>'Rock Climbing Log'!H85</f>
        <v>0</v>
      </c>
      <c r="I85" s="83">
        <f>'Rock Climbing Log'!I85</f>
        <v>0</v>
      </c>
      <c r="J85" s="81">
        <f>'Rock Climbing Log'!J85</f>
        <v>0</v>
      </c>
      <c r="K85" s="82">
        <f>'Rock Climbing Log'!K85</f>
        <v>0</v>
      </c>
      <c r="L85" s="83">
        <f>'Rock Climbing Log'!L85</f>
        <v>0</v>
      </c>
      <c r="M85" s="81" t="str">
        <f>'Rock Climbing Log'!M85</f>
        <v>F</v>
      </c>
      <c r="N85" s="82" t="str">
        <f>'Rock Climbing Log'!N85</f>
        <v>F</v>
      </c>
      <c r="O85" s="83">
        <f>'Rock Climbing Log'!O85</f>
        <v>0</v>
      </c>
      <c r="P85" s="81">
        <f>'Rock Climbing Log'!P85</f>
        <v>0</v>
      </c>
      <c r="Q85" s="82">
        <f>'Rock Climbing Log'!Q85</f>
        <v>0</v>
      </c>
      <c r="R85" s="83">
        <f>'Rock Climbing Log'!R85</f>
        <v>0</v>
      </c>
      <c r="S85" s="81">
        <f>'Rock Climbing Log'!S85</f>
        <v>0</v>
      </c>
      <c r="T85" s="82">
        <f>'Rock Climbing Log'!T85</f>
        <v>0</v>
      </c>
      <c r="U85" s="83">
        <f>'Rock Climbing Log'!U85</f>
        <v>0</v>
      </c>
      <c r="V85" s="81" t="str">
        <f>'Rock Climbing Log'!V85</f>
        <v>F</v>
      </c>
      <c r="W85" s="82" t="str">
        <f>'Rock Climbing Log'!W85</f>
        <v>F</v>
      </c>
      <c r="X85" s="83" t="str">
        <f>'Rock Climbing Log'!X85</f>
        <v>A</v>
      </c>
      <c r="Y85" s="81">
        <f>'Rock Climbing Log'!Y85</f>
        <v>0</v>
      </c>
      <c r="Z85" s="82">
        <f>'Rock Climbing Log'!Z85</f>
        <v>0</v>
      </c>
      <c r="AA85" s="83">
        <f>'Rock Climbing Log'!AA85</f>
        <v>0</v>
      </c>
      <c r="AB85" s="81">
        <f>'Rock Climbing Log'!AB85</f>
        <v>0</v>
      </c>
      <c r="AC85" s="82">
        <f>'Rock Climbing Log'!AC85</f>
        <v>0</v>
      </c>
      <c r="AD85" s="83">
        <f>'Rock Climbing Log'!AD85</f>
        <v>0</v>
      </c>
      <c r="AE85" s="81">
        <f>'Rock Climbing Log'!AE85</f>
        <v>0</v>
      </c>
      <c r="AF85" s="82">
        <f>'Rock Climbing Log'!AF85</f>
        <v>0</v>
      </c>
      <c r="AG85" s="83">
        <f>'Rock Climbing Log'!AG85</f>
        <v>0</v>
      </c>
      <c r="AH85" s="81">
        <f>'Rock Climbing Log'!AH85</f>
        <v>0</v>
      </c>
      <c r="AI85" s="82">
        <f>'Rock Climbing Log'!AI85</f>
        <v>0</v>
      </c>
      <c r="AJ85" s="83">
        <f>'Rock Climbing Log'!AJ85</f>
        <v>0</v>
      </c>
      <c r="AK85" s="81">
        <f>'Rock Climbing Log'!AK85</f>
        <v>0</v>
      </c>
      <c r="AL85" s="82">
        <f>'Rock Climbing Log'!AL85</f>
        <v>0</v>
      </c>
      <c r="AM85" s="83">
        <f>'Rock Climbing Log'!AM85</f>
        <v>0</v>
      </c>
      <c r="AN85" s="81">
        <f>'Rock Climbing Log'!AN85</f>
        <v>0</v>
      </c>
      <c r="AO85" s="82">
        <f>'Rock Climbing Log'!AO85</f>
        <v>0</v>
      </c>
      <c r="AP85" s="83">
        <f>'Rock Climbing Log'!AP85</f>
        <v>0</v>
      </c>
      <c r="AQ85" s="81">
        <f>'Rock Climbing Log'!AQ85</f>
        <v>0</v>
      </c>
      <c r="AR85" s="82">
        <f>'Rock Climbing Log'!AR85</f>
        <v>0</v>
      </c>
      <c r="AS85" s="83">
        <f>'Rock Climbing Log'!AS85</f>
        <v>0</v>
      </c>
      <c r="AT85" s="81">
        <f>'Rock Climbing Log'!AT85</f>
        <v>0</v>
      </c>
      <c r="AU85" s="82">
        <f>'Rock Climbing Log'!AU85</f>
        <v>0</v>
      </c>
      <c r="AV85" s="83">
        <f>'Rock Climbing Log'!AV85</f>
        <v>0</v>
      </c>
      <c r="AW85" s="66">
        <f ca="1">'RC Template'!AW85</f>
        <v>90.51599148480004</v>
      </c>
      <c r="AX85" s="66">
        <f ca="1">'RC Template'!BC85</f>
        <v>150.84113066666671</v>
      </c>
      <c r="AY85" s="75">
        <f>'Rock Climbing Log'!AY85</f>
        <v>0</v>
      </c>
    </row>
    <row r="86" spans="1:51" x14ac:dyDescent="0.3">
      <c r="A86" s="28">
        <f t="shared" si="13"/>
        <v>79</v>
      </c>
      <c r="B86" s="19">
        <f>'Rock Climbing Log'!B86</f>
        <v>43173</v>
      </c>
      <c r="C86" s="24" t="str">
        <f>'Rock Climbing Log'!C86</f>
        <v>Edwin</v>
      </c>
      <c r="D86" s="81">
        <f>'Rock Climbing Log'!D86</f>
        <v>0</v>
      </c>
      <c r="E86" s="82">
        <f>'Rock Climbing Log'!E86</f>
        <v>0</v>
      </c>
      <c r="F86" s="83">
        <f>'Rock Climbing Log'!F86</f>
        <v>0</v>
      </c>
      <c r="G86" s="81">
        <f>'Rock Climbing Log'!G86</f>
        <v>0</v>
      </c>
      <c r="H86" s="82">
        <f>'Rock Climbing Log'!H86</f>
        <v>0</v>
      </c>
      <c r="I86" s="83">
        <f>'Rock Climbing Log'!I86</f>
        <v>0</v>
      </c>
      <c r="J86" s="81">
        <f>'Rock Climbing Log'!J86</f>
        <v>0</v>
      </c>
      <c r="K86" s="82">
        <f>'Rock Climbing Log'!K86</f>
        <v>0</v>
      </c>
      <c r="L86" s="83">
        <f>'Rock Climbing Log'!L86</f>
        <v>0</v>
      </c>
      <c r="M86" s="81">
        <f>'Rock Climbing Log'!M86</f>
        <v>0</v>
      </c>
      <c r="N86" s="82">
        <f>'Rock Climbing Log'!N86</f>
        <v>0</v>
      </c>
      <c r="O86" s="83">
        <f>'Rock Climbing Log'!O86</f>
        <v>0</v>
      </c>
      <c r="P86" s="81">
        <f>'Rock Climbing Log'!P86</f>
        <v>0</v>
      </c>
      <c r="Q86" s="82">
        <f>'Rock Climbing Log'!Q86</f>
        <v>0</v>
      </c>
      <c r="R86" s="83">
        <f>'Rock Climbing Log'!R86</f>
        <v>0</v>
      </c>
      <c r="S86" s="81">
        <f>'Rock Climbing Log'!S86</f>
        <v>0</v>
      </c>
      <c r="T86" s="82">
        <f>'Rock Climbing Log'!T86</f>
        <v>0</v>
      </c>
      <c r="U86" s="83">
        <f>'Rock Climbing Log'!U86</f>
        <v>0</v>
      </c>
      <c r="V86" s="81" t="str">
        <f>'Rock Climbing Log'!V86</f>
        <v>F</v>
      </c>
      <c r="W86" s="82" t="str">
        <f>'Rock Climbing Log'!W86</f>
        <v>F</v>
      </c>
      <c r="X86" s="83" t="str">
        <f>'Rock Climbing Log'!X86</f>
        <v>A</v>
      </c>
      <c r="Y86" s="81">
        <f>'Rock Climbing Log'!Y86</f>
        <v>0</v>
      </c>
      <c r="Z86" s="82">
        <f>'Rock Climbing Log'!Z86</f>
        <v>0</v>
      </c>
      <c r="AA86" s="83">
        <f>'Rock Climbing Log'!AA86</f>
        <v>0</v>
      </c>
      <c r="AB86" s="81" t="str">
        <f>'Rock Climbing Log'!AB86</f>
        <v>A</v>
      </c>
      <c r="AC86" s="82">
        <f>'Rock Climbing Log'!AC86</f>
        <v>0</v>
      </c>
      <c r="AD86" s="83">
        <f>'Rock Climbing Log'!AD86</f>
        <v>0</v>
      </c>
      <c r="AE86" s="81">
        <f>'Rock Climbing Log'!AE86</f>
        <v>0</v>
      </c>
      <c r="AF86" s="82">
        <f>'Rock Climbing Log'!AF86</f>
        <v>0</v>
      </c>
      <c r="AG86" s="83">
        <f>'Rock Climbing Log'!AG86</f>
        <v>0</v>
      </c>
      <c r="AH86" s="81">
        <f>'Rock Climbing Log'!AH86</f>
        <v>0</v>
      </c>
      <c r="AI86" s="82">
        <f>'Rock Climbing Log'!AI86</f>
        <v>0</v>
      </c>
      <c r="AJ86" s="83">
        <f>'Rock Climbing Log'!AJ86</f>
        <v>0</v>
      </c>
      <c r="AK86" s="81">
        <f>'Rock Climbing Log'!AK86</f>
        <v>0</v>
      </c>
      <c r="AL86" s="82">
        <f>'Rock Climbing Log'!AL86</f>
        <v>0</v>
      </c>
      <c r="AM86" s="83">
        <f>'Rock Climbing Log'!AM86</f>
        <v>0</v>
      </c>
      <c r="AN86" s="81">
        <f>'Rock Climbing Log'!AN86</f>
        <v>0</v>
      </c>
      <c r="AO86" s="82">
        <f>'Rock Climbing Log'!AO86</f>
        <v>0</v>
      </c>
      <c r="AP86" s="83">
        <f>'Rock Climbing Log'!AP86</f>
        <v>0</v>
      </c>
      <c r="AQ86" s="81">
        <f>'Rock Climbing Log'!AQ86</f>
        <v>0</v>
      </c>
      <c r="AR86" s="82">
        <f>'Rock Climbing Log'!AR86</f>
        <v>0</v>
      </c>
      <c r="AS86" s="83">
        <f>'Rock Climbing Log'!AS86</f>
        <v>0</v>
      </c>
      <c r="AT86" s="81">
        <f>'Rock Climbing Log'!AT86</f>
        <v>0</v>
      </c>
      <c r="AU86" s="82">
        <f>'Rock Climbing Log'!AU86</f>
        <v>0</v>
      </c>
      <c r="AV86" s="83">
        <f>'Rock Climbing Log'!AV86</f>
        <v>0</v>
      </c>
      <c r="AW86" s="66">
        <f ca="1">'RC Template'!AW86</f>
        <v>97.530876774184151</v>
      </c>
      <c r="AX86" s="66">
        <f ca="1">'RC Template'!BC86</f>
        <v>74.845887445887442</v>
      </c>
      <c r="AY86" s="75">
        <f>'Rock Climbing Log'!AY86</f>
        <v>0</v>
      </c>
    </row>
    <row r="87" spans="1:51" x14ac:dyDescent="0.3">
      <c r="A87" s="28">
        <f t="shared" si="13"/>
        <v>80</v>
      </c>
      <c r="B87" s="19">
        <f>'Rock Climbing Log'!B87</f>
        <v>43173</v>
      </c>
      <c r="C87" s="24" t="str">
        <f>'Rock Climbing Log'!C87</f>
        <v>Michelle</v>
      </c>
      <c r="D87" s="81">
        <f>'Rock Climbing Log'!D87</f>
        <v>0</v>
      </c>
      <c r="E87" s="82">
        <f>'Rock Climbing Log'!E87</f>
        <v>0</v>
      </c>
      <c r="F87" s="83">
        <f>'Rock Climbing Log'!F87</f>
        <v>0</v>
      </c>
      <c r="G87" s="81">
        <f>'Rock Climbing Log'!G87</f>
        <v>0</v>
      </c>
      <c r="H87" s="82">
        <f>'Rock Climbing Log'!H87</f>
        <v>0</v>
      </c>
      <c r="I87" s="83">
        <f>'Rock Climbing Log'!I87</f>
        <v>0</v>
      </c>
      <c r="J87" s="81" t="str">
        <f>'Rock Climbing Log'!J87</f>
        <v>F</v>
      </c>
      <c r="K87" s="82">
        <f>'Rock Climbing Log'!K87</f>
        <v>0</v>
      </c>
      <c r="L87" s="83">
        <f>'Rock Climbing Log'!L87</f>
        <v>0</v>
      </c>
      <c r="M87" s="81" t="str">
        <f>'Rock Climbing Log'!M87</f>
        <v>F</v>
      </c>
      <c r="N87" s="82" t="str">
        <f>'Rock Climbing Log'!N87</f>
        <v>F</v>
      </c>
      <c r="O87" s="83" t="str">
        <f>'Rock Climbing Log'!O87</f>
        <v>F</v>
      </c>
      <c r="P87" s="81">
        <f>'Rock Climbing Log'!P87</f>
        <v>0</v>
      </c>
      <c r="Q87" s="82">
        <f>'Rock Climbing Log'!Q87</f>
        <v>0</v>
      </c>
      <c r="R87" s="83">
        <f>'Rock Climbing Log'!R87</f>
        <v>0</v>
      </c>
      <c r="S87" s="81">
        <f>'Rock Climbing Log'!S87</f>
        <v>0</v>
      </c>
      <c r="T87" s="82">
        <f>'Rock Climbing Log'!T87</f>
        <v>0</v>
      </c>
      <c r="U87" s="83">
        <f>'Rock Climbing Log'!U87</f>
        <v>0</v>
      </c>
      <c r="V87" s="81" t="str">
        <f>'Rock Climbing Log'!V87</f>
        <v>A</v>
      </c>
      <c r="W87" s="82">
        <f>'Rock Climbing Log'!W87</f>
        <v>0</v>
      </c>
      <c r="X87" s="83">
        <f>'Rock Climbing Log'!X87</f>
        <v>0</v>
      </c>
      <c r="Y87" s="81">
        <f>'Rock Climbing Log'!Y87</f>
        <v>0</v>
      </c>
      <c r="Z87" s="82">
        <f>'Rock Climbing Log'!Z87</f>
        <v>0</v>
      </c>
      <c r="AA87" s="83">
        <f>'Rock Climbing Log'!AA87</f>
        <v>0</v>
      </c>
      <c r="AB87" s="81">
        <f>'Rock Climbing Log'!AB87</f>
        <v>0</v>
      </c>
      <c r="AC87" s="82">
        <f>'Rock Climbing Log'!AC87</f>
        <v>0</v>
      </c>
      <c r="AD87" s="83">
        <f>'Rock Climbing Log'!AD87</f>
        <v>0</v>
      </c>
      <c r="AE87" s="81">
        <f>'Rock Climbing Log'!AE87</f>
        <v>0</v>
      </c>
      <c r="AF87" s="82">
        <f>'Rock Climbing Log'!AF87</f>
        <v>0</v>
      </c>
      <c r="AG87" s="83">
        <f>'Rock Climbing Log'!AG87</f>
        <v>0</v>
      </c>
      <c r="AH87" s="81">
        <f>'Rock Climbing Log'!AH87</f>
        <v>0</v>
      </c>
      <c r="AI87" s="82">
        <f>'Rock Climbing Log'!AI87</f>
        <v>0</v>
      </c>
      <c r="AJ87" s="83">
        <f>'Rock Climbing Log'!AJ87</f>
        <v>0</v>
      </c>
      <c r="AK87" s="81">
        <f>'Rock Climbing Log'!AK87</f>
        <v>0</v>
      </c>
      <c r="AL87" s="82">
        <f>'Rock Climbing Log'!AL87</f>
        <v>0</v>
      </c>
      <c r="AM87" s="83">
        <f>'Rock Climbing Log'!AM87</f>
        <v>0</v>
      </c>
      <c r="AN87" s="81">
        <f>'Rock Climbing Log'!AN87</f>
        <v>0</v>
      </c>
      <c r="AO87" s="82">
        <f>'Rock Climbing Log'!AO87</f>
        <v>0</v>
      </c>
      <c r="AP87" s="83">
        <f>'Rock Climbing Log'!AP87</f>
        <v>0</v>
      </c>
      <c r="AQ87" s="81">
        <f>'Rock Climbing Log'!AQ87</f>
        <v>0</v>
      </c>
      <c r="AR87" s="82">
        <f>'Rock Climbing Log'!AR87</f>
        <v>0</v>
      </c>
      <c r="AS87" s="83">
        <f>'Rock Climbing Log'!AS87</f>
        <v>0</v>
      </c>
      <c r="AT87" s="81">
        <f>'Rock Climbing Log'!AT87</f>
        <v>0</v>
      </c>
      <c r="AU87" s="82">
        <f>'Rock Climbing Log'!AU87</f>
        <v>0</v>
      </c>
      <c r="AV87" s="83">
        <f>'Rock Climbing Log'!AV87</f>
        <v>0</v>
      </c>
      <c r="AW87" s="66">
        <f ca="1">'RC Template'!AW87</f>
        <v>60.007500000000007</v>
      </c>
      <c r="AX87" s="66">
        <f ca="1">'RC Template'!BC87</f>
        <v>69.215265011406657</v>
      </c>
      <c r="AY87" s="75">
        <f>'Rock Climbing Log'!AY87</f>
        <v>0</v>
      </c>
    </row>
    <row r="88" spans="1:51" x14ac:dyDescent="0.3">
      <c r="A88" s="28">
        <f t="shared" si="13"/>
        <v>81</v>
      </c>
      <c r="B88" s="19">
        <f>'Rock Climbing Log'!B88</f>
        <v>43176</v>
      </c>
      <c r="C88" s="24" t="str">
        <f>'Rock Climbing Log'!C88</f>
        <v>Angel</v>
      </c>
      <c r="D88" s="81">
        <f>'Rock Climbing Log'!D88</f>
        <v>0</v>
      </c>
      <c r="E88" s="82">
        <f>'Rock Climbing Log'!E88</f>
        <v>0</v>
      </c>
      <c r="F88" s="83">
        <f>'Rock Climbing Log'!F88</f>
        <v>0</v>
      </c>
      <c r="G88" s="81">
        <f>'Rock Climbing Log'!G88</f>
        <v>0</v>
      </c>
      <c r="H88" s="82">
        <f>'Rock Climbing Log'!H88</f>
        <v>0</v>
      </c>
      <c r="I88" s="83">
        <f>'Rock Climbing Log'!I88</f>
        <v>0</v>
      </c>
      <c r="J88" s="81" t="str">
        <f>'Rock Climbing Log'!J88</f>
        <v>F</v>
      </c>
      <c r="K88" s="82">
        <f>'Rock Climbing Log'!K88</f>
        <v>0</v>
      </c>
      <c r="L88" s="83">
        <f>'Rock Climbing Log'!L88</f>
        <v>0</v>
      </c>
      <c r="M88" s="81" t="str">
        <f>'Rock Climbing Log'!M88</f>
        <v>F</v>
      </c>
      <c r="N88" s="82">
        <f>'Rock Climbing Log'!N88</f>
        <v>0</v>
      </c>
      <c r="O88" s="83">
        <f>'Rock Climbing Log'!O88</f>
        <v>0</v>
      </c>
      <c r="P88" s="81">
        <f>'Rock Climbing Log'!P88</f>
        <v>0</v>
      </c>
      <c r="Q88" s="82">
        <f>'Rock Climbing Log'!Q88</f>
        <v>0</v>
      </c>
      <c r="R88" s="83">
        <f>'Rock Climbing Log'!R88</f>
        <v>0</v>
      </c>
      <c r="S88" s="81">
        <f>'Rock Climbing Log'!S88</f>
        <v>0</v>
      </c>
      <c r="T88" s="82">
        <f>'Rock Climbing Log'!T88</f>
        <v>0</v>
      </c>
      <c r="U88" s="83">
        <f>'Rock Climbing Log'!U88</f>
        <v>0</v>
      </c>
      <c r="V88" s="81" t="str">
        <f>'Rock Climbing Log'!V88</f>
        <v>F</v>
      </c>
      <c r="W88" s="82" t="str">
        <f>'Rock Climbing Log'!W88</f>
        <v>F</v>
      </c>
      <c r="X88" s="83">
        <f>'Rock Climbing Log'!X88</f>
        <v>0</v>
      </c>
      <c r="Y88" s="81">
        <f>'Rock Climbing Log'!Y88</f>
        <v>0</v>
      </c>
      <c r="Z88" s="82">
        <f>'Rock Climbing Log'!Z88</f>
        <v>0</v>
      </c>
      <c r="AA88" s="83">
        <f>'Rock Climbing Log'!AA88</f>
        <v>0</v>
      </c>
      <c r="AB88" s="81" t="str">
        <f>'Rock Climbing Log'!AB88</f>
        <v>F</v>
      </c>
      <c r="AC88" s="82">
        <f>'Rock Climbing Log'!AC88</f>
        <v>0</v>
      </c>
      <c r="AD88" s="83">
        <f>'Rock Climbing Log'!AD88</f>
        <v>0</v>
      </c>
      <c r="AE88" s="81" t="str">
        <f>'Rock Climbing Log'!AE88</f>
        <v>A</v>
      </c>
      <c r="AF88" s="82">
        <f>'Rock Climbing Log'!AF88</f>
        <v>0</v>
      </c>
      <c r="AG88" s="83">
        <f>'Rock Climbing Log'!AG88</f>
        <v>0</v>
      </c>
      <c r="AH88" s="81">
        <f>'Rock Climbing Log'!AH88</f>
        <v>0</v>
      </c>
      <c r="AI88" s="82">
        <f>'Rock Climbing Log'!AI88</f>
        <v>0</v>
      </c>
      <c r="AJ88" s="83">
        <f>'Rock Climbing Log'!AJ88</f>
        <v>0</v>
      </c>
      <c r="AK88" s="81">
        <f>'Rock Climbing Log'!AK88</f>
        <v>0</v>
      </c>
      <c r="AL88" s="82">
        <f>'Rock Climbing Log'!AL88</f>
        <v>0</v>
      </c>
      <c r="AM88" s="83">
        <f>'Rock Climbing Log'!AM88</f>
        <v>0</v>
      </c>
      <c r="AN88" s="81">
        <f>'Rock Climbing Log'!AN88</f>
        <v>0</v>
      </c>
      <c r="AO88" s="82">
        <f>'Rock Climbing Log'!AO88</f>
        <v>0</v>
      </c>
      <c r="AP88" s="83">
        <f>'Rock Climbing Log'!AP88</f>
        <v>0</v>
      </c>
      <c r="AQ88" s="81">
        <f>'Rock Climbing Log'!AQ88</f>
        <v>0</v>
      </c>
      <c r="AR88" s="82">
        <f>'Rock Climbing Log'!AR88</f>
        <v>0</v>
      </c>
      <c r="AS88" s="83">
        <f>'Rock Climbing Log'!AS88</f>
        <v>0</v>
      </c>
      <c r="AT88" s="81">
        <f>'Rock Climbing Log'!AT88</f>
        <v>0</v>
      </c>
      <c r="AU88" s="82">
        <f>'Rock Climbing Log'!AU88</f>
        <v>0</v>
      </c>
      <c r="AV88" s="83">
        <f>'Rock Climbing Log'!AV88</f>
        <v>0</v>
      </c>
      <c r="AW88" s="66">
        <f ca="1">'RC Template'!AW88</f>
        <v>124.54826206356827</v>
      </c>
      <c r="AX88" s="66">
        <f ca="1">'RC Template'!BC88</f>
        <v>207.55449246105613</v>
      </c>
      <c r="AY88" s="75">
        <f>'Rock Climbing Log'!AY88</f>
        <v>0</v>
      </c>
    </row>
    <row r="89" spans="1:51" x14ac:dyDescent="0.3">
      <c r="A89" s="28">
        <f t="shared" si="13"/>
        <v>82</v>
      </c>
      <c r="B89" s="19">
        <f>'Rock Climbing Log'!B89</f>
        <v>43176</v>
      </c>
      <c r="C89" s="24" t="str">
        <f>'Rock Climbing Log'!C89</f>
        <v>Michelle</v>
      </c>
      <c r="D89" s="81">
        <f>'Rock Climbing Log'!D89</f>
        <v>0</v>
      </c>
      <c r="E89" s="82">
        <f>'Rock Climbing Log'!E89</f>
        <v>0</v>
      </c>
      <c r="F89" s="83">
        <f>'Rock Climbing Log'!F89</f>
        <v>0</v>
      </c>
      <c r="G89" s="81">
        <f>'Rock Climbing Log'!G89</f>
        <v>0</v>
      </c>
      <c r="H89" s="82">
        <f>'Rock Climbing Log'!H89</f>
        <v>0</v>
      </c>
      <c r="I89" s="83">
        <f>'Rock Climbing Log'!I89</f>
        <v>0</v>
      </c>
      <c r="J89" s="81" t="str">
        <f>'Rock Climbing Log'!J89</f>
        <v>F</v>
      </c>
      <c r="K89" s="82" t="str">
        <f>'Rock Climbing Log'!K89</f>
        <v>F</v>
      </c>
      <c r="L89" s="83" t="str">
        <f>'Rock Climbing Log'!L89</f>
        <v>F</v>
      </c>
      <c r="M89" s="81" t="str">
        <f>'Rock Climbing Log'!M89</f>
        <v>F</v>
      </c>
      <c r="N89" s="82" t="str">
        <f>'Rock Climbing Log'!N89</f>
        <v>F</v>
      </c>
      <c r="O89" s="83">
        <f>'Rock Climbing Log'!O89</f>
        <v>0</v>
      </c>
      <c r="P89" s="81">
        <f>'Rock Climbing Log'!P89</f>
        <v>0</v>
      </c>
      <c r="Q89" s="82">
        <f>'Rock Climbing Log'!Q89</f>
        <v>0</v>
      </c>
      <c r="R89" s="83">
        <f>'Rock Climbing Log'!R89</f>
        <v>0</v>
      </c>
      <c r="S89" s="81">
        <f>'Rock Climbing Log'!S89</f>
        <v>0</v>
      </c>
      <c r="T89" s="82">
        <f>'Rock Climbing Log'!T89</f>
        <v>0</v>
      </c>
      <c r="U89" s="83">
        <f>'Rock Climbing Log'!U89</f>
        <v>0</v>
      </c>
      <c r="V89" s="81" t="str">
        <f>'Rock Climbing Log'!V89</f>
        <v>F</v>
      </c>
      <c r="W89" s="82">
        <f>'Rock Climbing Log'!W89</f>
        <v>0</v>
      </c>
      <c r="X89" s="83">
        <f>'Rock Climbing Log'!X89</f>
        <v>0</v>
      </c>
      <c r="Y89" s="81">
        <f>'Rock Climbing Log'!Y89</f>
        <v>0</v>
      </c>
      <c r="Z89" s="82">
        <f>'Rock Climbing Log'!Z89</f>
        <v>0</v>
      </c>
      <c r="AA89" s="83">
        <f>'Rock Climbing Log'!AA89</f>
        <v>0</v>
      </c>
      <c r="AB89" s="81">
        <f>'Rock Climbing Log'!AB89</f>
        <v>0</v>
      </c>
      <c r="AC89" s="82">
        <f>'Rock Climbing Log'!AC89</f>
        <v>0</v>
      </c>
      <c r="AD89" s="83">
        <f>'Rock Climbing Log'!AD89</f>
        <v>0</v>
      </c>
      <c r="AE89" s="81" t="str">
        <f>'Rock Climbing Log'!AE89</f>
        <v>A</v>
      </c>
      <c r="AF89" s="82">
        <f>'Rock Climbing Log'!AF89</f>
        <v>0</v>
      </c>
      <c r="AG89" s="83">
        <f>'Rock Climbing Log'!AG89</f>
        <v>0</v>
      </c>
      <c r="AH89" s="81">
        <f>'Rock Climbing Log'!AH89</f>
        <v>0</v>
      </c>
      <c r="AI89" s="82">
        <f>'Rock Climbing Log'!AI89</f>
        <v>0</v>
      </c>
      <c r="AJ89" s="83">
        <f>'Rock Climbing Log'!AJ89</f>
        <v>0</v>
      </c>
      <c r="AK89" s="81">
        <f>'Rock Climbing Log'!AK89</f>
        <v>0</v>
      </c>
      <c r="AL89" s="82">
        <f>'Rock Climbing Log'!AL89</f>
        <v>0</v>
      </c>
      <c r="AM89" s="83">
        <f>'Rock Climbing Log'!AM89</f>
        <v>0</v>
      </c>
      <c r="AN89" s="81">
        <f>'Rock Climbing Log'!AN89</f>
        <v>0</v>
      </c>
      <c r="AO89" s="82">
        <f>'Rock Climbing Log'!AO89</f>
        <v>0</v>
      </c>
      <c r="AP89" s="83">
        <f>'Rock Climbing Log'!AP89</f>
        <v>0</v>
      </c>
      <c r="AQ89" s="81">
        <f>'Rock Climbing Log'!AQ89</f>
        <v>0</v>
      </c>
      <c r="AR89" s="82">
        <f>'Rock Climbing Log'!AR89</f>
        <v>0</v>
      </c>
      <c r="AS89" s="83">
        <f>'Rock Climbing Log'!AS89</f>
        <v>0</v>
      </c>
      <c r="AT89" s="81">
        <f>'Rock Climbing Log'!AT89</f>
        <v>0</v>
      </c>
      <c r="AU89" s="82">
        <f>'Rock Climbing Log'!AU89</f>
        <v>0</v>
      </c>
      <c r="AV89" s="83">
        <f>'Rock Climbing Log'!AV89</f>
        <v>0</v>
      </c>
      <c r="AW89" s="66">
        <f ca="1">'RC Template'!AW89</f>
        <v>89.193081665866458</v>
      </c>
      <c r="AX89" s="66">
        <f ca="1">'RC Template'!BC89</f>
        <v>102.87918651313555</v>
      </c>
      <c r="AY89" s="75">
        <f>'Rock Climbing Log'!AY89</f>
        <v>0</v>
      </c>
    </row>
    <row r="90" spans="1:51" x14ac:dyDescent="0.3">
      <c r="A90" s="28">
        <f t="shared" si="13"/>
        <v>83</v>
      </c>
      <c r="B90" s="19">
        <f>'Rock Climbing Log'!B90</f>
        <v>43176</v>
      </c>
      <c r="C90" s="24" t="str">
        <f>'Rock Climbing Log'!C90</f>
        <v>Edwin</v>
      </c>
      <c r="D90" s="81">
        <f>'Rock Climbing Log'!D90</f>
        <v>0</v>
      </c>
      <c r="E90" s="82">
        <f>'Rock Climbing Log'!E90</f>
        <v>0</v>
      </c>
      <c r="F90" s="83">
        <f>'Rock Climbing Log'!F90</f>
        <v>0</v>
      </c>
      <c r="G90" s="81">
        <f>'Rock Climbing Log'!G90</f>
        <v>0</v>
      </c>
      <c r="H90" s="82">
        <f>'Rock Climbing Log'!H90</f>
        <v>0</v>
      </c>
      <c r="I90" s="83">
        <f>'Rock Climbing Log'!I90</f>
        <v>0</v>
      </c>
      <c r="J90" s="81">
        <f>'Rock Climbing Log'!J90</f>
        <v>0</v>
      </c>
      <c r="K90" s="82">
        <f>'Rock Climbing Log'!K90</f>
        <v>0</v>
      </c>
      <c r="L90" s="83">
        <f>'Rock Climbing Log'!L90</f>
        <v>0</v>
      </c>
      <c r="M90" s="81">
        <f>'Rock Climbing Log'!M90</f>
        <v>0</v>
      </c>
      <c r="N90" s="82">
        <f>'Rock Climbing Log'!N90</f>
        <v>0</v>
      </c>
      <c r="O90" s="83">
        <f>'Rock Climbing Log'!O90</f>
        <v>0</v>
      </c>
      <c r="P90" s="81">
        <f>'Rock Climbing Log'!P90</f>
        <v>0</v>
      </c>
      <c r="Q90" s="82">
        <f>'Rock Climbing Log'!Q90</f>
        <v>0</v>
      </c>
      <c r="R90" s="83">
        <f>'Rock Climbing Log'!R90</f>
        <v>0</v>
      </c>
      <c r="S90" s="81">
        <f>'Rock Climbing Log'!S90</f>
        <v>0</v>
      </c>
      <c r="T90" s="82">
        <f>'Rock Climbing Log'!T90</f>
        <v>0</v>
      </c>
      <c r="U90" s="83">
        <f>'Rock Climbing Log'!U90</f>
        <v>0</v>
      </c>
      <c r="V90" s="81">
        <f>'Rock Climbing Log'!V90</f>
        <v>0</v>
      </c>
      <c r="W90" s="82">
        <f>'Rock Climbing Log'!W90</f>
        <v>0</v>
      </c>
      <c r="X90" s="83">
        <f>'Rock Climbing Log'!X90</f>
        <v>0</v>
      </c>
      <c r="Y90" s="81">
        <f>'Rock Climbing Log'!Y90</f>
        <v>0</v>
      </c>
      <c r="Z90" s="82">
        <f>'Rock Climbing Log'!Z90</f>
        <v>0</v>
      </c>
      <c r="AA90" s="83">
        <f>'Rock Climbing Log'!AA90</f>
        <v>0</v>
      </c>
      <c r="AB90" s="81">
        <f>'Rock Climbing Log'!AB90</f>
        <v>0</v>
      </c>
      <c r="AC90" s="82">
        <f>'Rock Climbing Log'!AC90</f>
        <v>0</v>
      </c>
      <c r="AD90" s="83">
        <f>'Rock Climbing Log'!AD90</f>
        <v>0</v>
      </c>
      <c r="AE90" s="81">
        <f>'Rock Climbing Log'!AE90</f>
        <v>0</v>
      </c>
      <c r="AF90" s="82">
        <f>'Rock Climbing Log'!AF90</f>
        <v>0</v>
      </c>
      <c r="AG90" s="83">
        <f>'Rock Climbing Log'!AG90</f>
        <v>0</v>
      </c>
      <c r="AH90" s="81">
        <f>'Rock Climbing Log'!AH90</f>
        <v>0</v>
      </c>
      <c r="AI90" s="82">
        <f>'Rock Climbing Log'!AI90</f>
        <v>0</v>
      </c>
      <c r="AJ90" s="83">
        <f>'Rock Climbing Log'!AJ90</f>
        <v>0</v>
      </c>
      <c r="AK90" s="81">
        <f>'Rock Climbing Log'!AK90</f>
        <v>0</v>
      </c>
      <c r="AL90" s="82">
        <f>'Rock Climbing Log'!AL90</f>
        <v>0</v>
      </c>
      <c r="AM90" s="83">
        <f>'Rock Climbing Log'!AM90</f>
        <v>0</v>
      </c>
      <c r="AN90" s="81" t="str">
        <f>'Rock Climbing Log'!AN90</f>
        <v>C1</v>
      </c>
      <c r="AO90" s="82">
        <f>'Rock Climbing Log'!AO90</f>
        <v>0</v>
      </c>
      <c r="AP90" s="83">
        <f>'Rock Climbing Log'!AP90</f>
        <v>0</v>
      </c>
      <c r="AQ90" s="81">
        <f>'Rock Climbing Log'!AQ90</f>
        <v>0</v>
      </c>
      <c r="AR90" s="82">
        <f>'Rock Climbing Log'!AR90</f>
        <v>0</v>
      </c>
      <c r="AS90" s="83">
        <f>'Rock Climbing Log'!AS90</f>
        <v>0</v>
      </c>
      <c r="AT90" s="81">
        <f>'Rock Climbing Log'!AT90</f>
        <v>0</v>
      </c>
      <c r="AU90" s="82">
        <f>'Rock Climbing Log'!AU90</f>
        <v>0</v>
      </c>
      <c r="AV90" s="83">
        <f>'Rock Climbing Log'!AV90</f>
        <v>0</v>
      </c>
      <c r="AW90" s="66">
        <f ca="1">'RC Template'!AW90</f>
        <v>128.08468294187779</v>
      </c>
      <c r="AX90" s="66">
        <f ca="1">'RC Template'!BC90</f>
        <v>98.293095274905639</v>
      </c>
      <c r="AY90" s="75">
        <f>'Rock Climbing Log'!AY90</f>
        <v>0</v>
      </c>
    </row>
    <row r="91" spans="1:51" x14ac:dyDescent="0.3">
      <c r="A91" s="28">
        <f t="shared" si="13"/>
        <v>84</v>
      </c>
      <c r="B91" s="19">
        <f>'Rock Climbing Log'!B91</f>
        <v>43178</v>
      </c>
      <c r="C91" s="24" t="str">
        <f>'Rock Climbing Log'!C91</f>
        <v>Lester</v>
      </c>
      <c r="D91" s="81">
        <f>'Rock Climbing Log'!D91</f>
        <v>0</v>
      </c>
      <c r="E91" s="82">
        <f>'Rock Climbing Log'!E91</f>
        <v>0</v>
      </c>
      <c r="F91" s="83">
        <f>'Rock Climbing Log'!F91</f>
        <v>0</v>
      </c>
      <c r="G91" s="81">
        <f>'Rock Climbing Log'!G91</f>
        <v>0</v>
      </c>
      <c r="H91" s="82">
        <f>'Rock Climbing Log'!H91</f>
        <v>0</v>
      </c>
      <c r="I91" s="83">
        <f>'Rock Climbing Log'!I91</f>
        <v>0</v>
      </c>
      <c r="J91" s="81">
        <f>'Rock Climbing Log'!J91</f>
        <v>0</v>
      </c>
      <c r="K91" s="82">
        <f>'Rock Climbing Log'!K91</f>
        <v>0</v>
      </c>
      <c r="L91" s="83">
        <f>'Rock Climbing Log'!L91</f>
        <v>0</v>
      </c>
      <c r="M91" s="81" t="str">
        <f>'Rock Climbing Log'!M91</f>
        <v>F</v>
      </c>
      <c r="N91" s="82">
        <f>'Rock Climbing Log'!N91</f>
        <v>0</v>
      </c>
      <c r="O91" s="83">
        <f>'Rock Climbing Log'!O91</f>
        <v>0</v>
      </c>
      <c r="P91" s="81">
        <f>'Rock Climbing Log'!P91</f>
        <v>0</v>
      </c>
      <c r="Q91" s="82">
        <f>'Rock Climbing Log'!Q91</f>
        <v>0</v>
      </c>
      <c r="R91" s="83">
        <f>'Rock Climbing Log'!R91</f>
        <v>0</v>
      </c>
      <c r="S91" s="81">
        <f>'Rock Climbing Log'!S91</f>
        <v>0</v>
      </c>
      <c r="T91" s="82">
        <f>'Rock Climbing Log'!T91</f>
        <v>0</v>
      </c>
      <c r="U91" s="83">
        <f>'Rock Climbing Log'!U91</f>
        <v>0</v>
      </c>
      <c r="V91" s="81">
        <f>'Rock Climbing Log'!V91</f>
        <v>0</v>
      </c>
      <c r="W91" s="82">
        <f>'Rock Climbing Log'!W91</f>
        <v>0</v>
      </c>
      <c r="X91" s="83">
        <f>'Rock Climbing Log'!X91</f>
        <v>0</v>
      </c>
      <c r="Y91" s="81">
        <f>'Rock Climbing Log'!Y91</f>
        <v>0</v>
      </c>
      <c r="Z91" s="82">
        <f>'Rock Climbing Log'!Z91</f>
        <v>0</v>
      </c>
      <c r="AA91" s="83">
        <f>'Rock Climbing Log'!AA91</f>
        <v>0</v>
      </c>
      <c r="AB91" s="81">
        <f>'Rock Climbing Log'!AB91</f>
        <v>0</v>
      </c>
      <c r="AC91" s="82">
        <f>'Rock Climbing Log'!AC91</f>
        <v>0</v>
      </c>
      <c r="AD91" s="83">
        <f>'Rock Climbing Log'!AD91</f>
        <v>0</v>
      </c>
      <c r="AE91" s="81" t="str">
        <f>'Rock Climbing Log'!AE91</f>
        <v>F</v>
      </c>
      <c r="AF91" s="82">
        <f>'Rock Climbing Log'!AF91</f>
        <v>0</v>
      </c>
      <c r="AG91" s="83">
        <f>'Rock Climbing Log'!AG91</f>
        <v>0</v>
      </c>
      <c r="AH91" s="81" t="str">
        <f>'Rock Climbing Log'!AH91</f>
        <v>F</v>
      </c>
      <c r="AI91" s="82">
        <f>'Rock Climbing Log'!AI91</f>
        <v>0</v>
      </c>
      <c r="AJ91" s="83">
        <f>'Rock Climbing Log'!AJ91</f>
        <v>0</v>
      </c>
      <c r="AK91" s="81">
        <f>'Rock Climbing Log'!AK91</f>
        <v>0</v>
      </c>
      <c r="AL91" s="82">
        <f>'Rock Climbing Log'!AL91</f>
        <v>0</v>
      </c>
      <c r="AM91" s="83">
        <f>'Rock Climbing Log'!AM91</f>
        <v>0</v>
      </c>
      <c r="AN91" s="81" t="str">
        <f>'Rock Climbing Log'!AN91</f>
        <v>A</v>
      </c>
      <c r="AO91" s="82">
        <f>'Rock Climbing Log'!AO91</f>
        <v>0</v>
      </c>
      <c r="AP91" s="83">
        <f>'Rock Climbing Log'!AP91</f>
        <v>0</v>
      </c>
      <c r="AQ91" s="81" t="str">
        <f>'Rock Climbing Log'!AQ91</f>
        <v>A</v>
      </c>
      <c r="AR91" s="82">
        <f>'Rock Climbing Log'!AR91</f>
        <v>0</v>
      </c>
      <c r="AS91" s="83">
        <f>'Rock Climbing Log'!AS91</f>
        <v>0</v>
      </c>
      <c r="AT91" s="81">
        <f>'Rock Climbing Log'!AT91</f>
        <v>0</v>
      </c>
      <c r="AU91" s="82">
        <f>'Rock Climbing Log'!AU91</f>
        <v>0</v>
      </c>
      <c r="AV91" s="83">
        <f>'Rock Climbing Log'!AV91</f>
        <v>0</v>
      </c>
      <c r="AW91" s="66">
        <f ca="1">'RC Template'!AW91</f>
        <v>250.00460206751447</v>
      </c>
      <c r="AX91" s="66">
        <f ca="1">'RC Template'!BC91</f>
        <v>75.654466666666679</v>
      </c>
      <c r="AY91" s="75">
        <f>'Rock Climbing Log'!AY91</f>
        <v>0</v>
      </c>
    </row>
    <row r="92" spans="1:51" x14ac:dyDescent="0.3">
      <c r="A92" s="28">
        <f t="shared" si="13"/>
        <v>85</v>
      </c>
      <c r="B92" s="19">
        <f>'Rock Climbing Log'!B92</f>
        <v>43178</v>
      </c>
      <c r="C92" s="24" t="str">
        <f>'Rock Climbing Log'!C92</f>
        <v>Edwin</v>
      </c>
      <c r="D92" s="81">
        <f>'Rock Climbing Log'!D92</f>
        <v>0</v>
      </c>
      <c r="E92" s="82">
        <f>'Rock Climbing Log'!E92</f>
        <v>0</v>
      </c>
      <c r="F92" s="83">
        <f>'Rock Climbing Log'!F92</f>
        <v>0</v>
      </c>
      <c r="G92" s="81">
        <f>'Rock Climbing Log'!G92</f>
        <v>0</v>
      </c>
      <c r="H92" s="82">
        <f>'Rock Climbing Log'!H92</f>
        <v>0</v>
      </c>
      <c r="I92" s="83">
        <f>'Rock Climbing Log'!I92</f>
        <v>0</v>
      </c>
      <c r="J92" s="81">
        <f>'Rock Climbing Log'!J92</f>
        <v>0</v>
      </c>
      <c r="K92" s="82">
        <f>'Rock Climbing Log'!K92</f>
        <v>0</v>
      </c>
      <c r="L92" s="83">
        <f>'Rock Climbing Log'!L92</f>
        <v>0</v>
      </c>
      <c r="M92" s="81">
        <f>'Rock Climbing Log'!M92</f>
        <v>0</v>
      </c>
      <c r="N92" s="82">
        <f>'Rock Climbing Log'!N92</f>
        <v>0</v>
      </c>
      <c r="O92" s="83">
        <f>'Rock Climbing Log'!O92</f>
        <v>0</v>
      </c>
      <c r="P92" s="81">
        <f>'Rock Climbing Log'!P92</f>
        <v>0</v>
      </c>
      <c r="Q92" s="82">
        <f>'Rock Climbing Log'!Q92</f>
        <v>0</v>
      </c>
      <c r="R92" s="83">
        <f>'Rock Climbing Log'!R92</f>
        <v>0</v>
      </c>
      <c r="S92" s="81">
        <f>'Rock Climbing Log'!S92</f>
        <v>0</v>
      </c>
      <c r="T92" s="82">
        <f>'Rock Climbing Log'!T92</f>
        <v>0</v>
      </c>
      <c r="U92" s="83">
        <f>'Rock Climbing Log'!U92</f>
        <v>0</v>
      </c>
      <c r="V92" s="81" t="str">
        <f>'Rock Climbing Log'!V92</f>
        <v>F</v>
      </c>
      <c r="W92" s="82" t="str">
        <f>'Rock Climbing Log'!W92</f>
        <v>F</v>
      </c>
      <c r="X92" s="83" t="str">
        <f>'Rock Climbing Log'!X92</f>
        <v>F</v>
      </c>
      <c r="Y92" s="81">
        <f>'Rock Climbing Log'!Y92</f>
        <v>0</v>
      </c>
      <c r="Z92" s="82">
        <f>'Rock Climbing Log'!Z92</f>
        <v>0</v>
      </c>
      <c r="AA92" s="83">
        <f>'Rock Climbing Log'!AA92</f>
        <v>0</v>
      </c>
      <c r="AB92" s="81">
        <f>'Rock Climbing Log'!AB92</f>
        <v>0</v>
      </c>
      <c r="AC92" s="82">
        <f>'Rock Climbing Log'!AC92</f>
        <v>0</v>
      </c>
      <c r="AD92" s="83">
        <f>'Rock Climbing Log'!AD92</f>
        <v>0</v>
      </c>
      <c r="AE92" s="81" t="str">
        <f>'Rock Climbing Log'!AE92</f>
        <v>A</v>
      </c>
      <c r="AF92" s="82">
        <f>'Rock Climbing Log'!AF92</f>
        <v>0</v>
      </c>
      <c r="AG92" s="83">
        <f>'Rock Climbing Log'!AG92</f>
        <v>0</v>
      </c>
      <c r="AH92" s="81" t="str">
        <f>'Rock Climbing Log'!AH92</f>
        <v>A</v>
      </c>
      <c r="AI92" s="82">
        <f>'Rock Climbing Log'!AI92</f>
        <v>0</v>
      </c>
      <c r="AJ92" s="83">
        <f>'Rock Climbing Log'!AJ92</f>
        <v>0</v>
      </c>
      <c r="AK92" s="81">
        <f>'Rock Climbing Log'!AK92</f>
        <v>0</v>
      </c>
      <c r="AL92" s="82">
        <f>'Rock Climbing Log'!AL92</f>
        <v>0</v>
      </c>
      <c r="AM92" s="83">
        <f>'Rock Climbing Log'!AM92</f>
        <v>0</v>
      </c>
      <c r="AN92" s="81">
        <f>'Rock Climbing Log'!AN92</f>
        <v>0</v>
      </c>
      <c r="AO92" s="82">
        <f>'Rock Climbing Log'!AO92</f>
        <v>0</v>
      </c>
      <c r="AP92" s="83">
        <f>'Rock Climbing Log'!AP92</f>
        <v>0</v>
      </c>
      <c r="AQ92" s="81">
        <f>'Rock Climbing Log'!AQ92</f>
        <v>0</v>
      </c>
      <c r="AR92" s="82">
        <f>'Rock Climbing Log'!AR92</f>
        <v>0</v>
      </c>
      <c r="AS92" s="83">
        <f>'Rock Climbing Log'!AS92</f>
        <v>0</v>
      </c>
      <c r="AT92" s="81">
        <f>'Rock Climbing Log'!AT92</f>
        <v>0</v>
      </c>
      <c r="AU92" s="82">
        <f>'Rock Climbing Log'!AU92</f>
        <v>0</v>
      </c>
      <c r="AV92" s="83">
        <f>'Rock Climbing Log'!AV92</f>
        <v>0</v>
      </c>
      <c r="AW92" s="66">
        <f ca="1">'RC Template'!AW92</f>
        <v>113.54159543575551</v>
      </c>
      <c r="AX92" s="66">
        <f ca="1">'RC Template'!BC92</f>
        <v>87.132626645887456</v>
      </c>
      <c r="AY92" s="75">
        <f>'Rock Climbing Log'!AY92</f>
        <v>0</v>
      </c>
    </row>
    <row r="93" spans="1:51" x14ac:dyDescent="0.3">
      <c r="A93" s="28">
        <f t="shared" si="13"/>
        <v>86</v>
      </c>
      <c r="B93" s="19">
        <f>'Rock Climbing Log'!B93</f>
        <v>43178</v>
      </c>
      <c r="C93" s="24" t="str">
        <f>'Rock Climbing Log'!C93</f>
        <v>Angel</v>
      </c>
      <c r="D93" s="81">
        <f>'Rock Climbing Log'!D93</f>
        <v>0</v>
      </c>
      <c r="E93" s="82">
        <f>'Rock Climbing Log'!E93</f>
        <v>0</v>
      </c>
      <c r="F93" s="83">
        <f>'Rock Climbing Log'!F93</f>
        <v>0</v>
      </c>
      <c r="G93" s="81">
        <f>'Rock Climbing Log'!G93</f>
        <v>0</v>
      </c>
      <c r="H93" s="82">
        <f>'Rock Climbing Log'!H93</f>
        <v>0</v>
      </c>
      <c r="I93" s="83">
        <f>'Rock Climbing Log'!I93</f>
        <v>0</v>
      </c>
      <c r="J93" s="81">
        <f>'Rock Climbing Log'!J93</f>
        <v>0</v>
      </c>
      <c r="K93" s="82">
        <f>'Rock Climbing Log'!K93</f>
        <v>0</v>
      </c>
      <c r="L93" s="83">
        <f>'Rock Climbing Log'!L93</f>
        <v>0</v>
      </c>
      <c r="M93" s="81">
        <f>'Rock Climbing Log'!M93</f>
        <v>0</v>
      </c>
      <c r="N93" s="82">
        <f>'Rock Climbing Log'!N93</f>
        <v>0</v>
      </c>
      <c r="O93" s="83">
        <f>'Rock Climbing Log'!O93</f>
        <v>0</v>
      </c>
      <c r="P93" s="81">
        <f>'Rock Climbing Log'!P93</f>
        <v>0</v>
      </c>
      <c r="Q93" s="82">
        <f>'Rock Climbing Log'!Q93</f>
        <v>0</v>
      </c>
      <c r="R93" s="83">
        <f>'Rock Climbing Log'!R93</f>
        <v>0</v>
      </c>
      <c r="S93" s="81">
        <f>'Rock Climbing Log'!S93</f>
        <v>0</v>
      </c>
      <c r="T93" s="82">
        <f>'Rock Climbing Log'!T93</f>
        <v>0</v>
      </c>
      <c r="U93" s="83">
        <f>'Rock Climbing Log'!U93</f>
        <v>0</v>
      </c>
      <c r="V93" s="81" t="str">
        <f>'Rock Climbing Log'!V93</f>
        <v>F</v>
      </c>
      <c r="W93" s="82" t="str">
        <f>'Rock Climbing Log'!W93</f>
        <v>F</v>
      </c>
      <c r="X93" s="83">
        <f>'Rock Climbing Log'!X93</f>
        <v>0</v>
      </c>
      <c r="Y93" s="81">
        <f>'Rock Climbing Log'!Y93</f>
        <v>0</v>
      </c>
      <c r="Z93" s="82">
        <f>'Rock Climbing Log'!Z93</f>
        <v>0</v>
      </c>
      <c r="AA93" s="83">
        <f>'Rock Climbing Log'!AA93</f>
        <v>0</v>
      </c>
      <c r="AB93" s="81" t="str">
        <f>'Rock Climbing Log'!AB93</f>
        <v>A</v>
      </c>
      <c r="AC93" s="82">
        <f>'Rock Climbing Log'!AC93</f>
        <v>0</v>
      </c>
      <c r="AD93" s="83">
        <f>'Rock Climbing Log'!AD93</f>
        <v>0</v>
      </c>
      <c r="AE93" s="81" t="str">
        <f>'Rock Climbing Log'!AE93</f>
        <v>C4</v>
      </c>
      <c r="AF93" s="82">
        <f>'Rock Climbing Log'!AF93</f>
        <v>0</v>
      </c>
      <c r="AG93" s="83">
        <f>'Rock Climbing Log'!AG93</f>
        <v>0</v>
      </c>
      <c r="AH93" s="81">
        <f>'Rock Climbing Log'!AH93</f>
        <v>0</v>
      </c>
      <c r="AI93" s="82">
        <f>'Rock Climbing Log'!AI93</f>
        <v>0</v>
      </c>
      <c r="AJ93" s="83">
        <f>'Rock Climbing Log'!AJ93</f>
        <v>0</v>
      </c>
      <c r="AK93" s="81">
        <f>'Rock Climbing Log'!AK93</f>
        <v>0</v>
      </c>
      <c r="AL93" s="82">
        <f>'Rock Climbing Log'!AL93</f>
        <v>0</v>
      </c>
      <c r="AM93" s="83">
        <f>'Rock Climbing Log'!AM93</f>
        <v>0</v>
      </c>
      <c r="AN93" s="81">
        <f>'Rock Climbing Log'!AN93</f>
        <v>0</v>
      </c>
      <c r="AO93" s="82">
        <f>'Rock Climbing Log'!AO93</f>
        <v>0</v>
      </c>
      <c r="AP93" s="83">
        <f>'Rock Climbing Log'!AP93</f>
        <v>0</v>
      </c>
      <c r="AQ93" s="81">
        <f>'Rock Climbing Log'!AQ93</f>
        <v>0</v>
      </c>
      <c r="AR93" s="82">
        <f>'Rock Climbing Log'!AR93</f>
        <v>0</v>
      </c>
      <c r="AS93" s="83">
        <f>'Rock Climbing Log'!AS93</f>
        <v>0</v>
      </c>
      <c r="AT93" s="81">
        <f>'Rock Climbing Log'!AT93</f>
        <v>0</v>
      </c>
      <c r="AU93" s="82">
        <f>'Rock Climbing Log'!AU93</f>
        <v>0</v>
      </c>
      <c r="AV93" s="83">
        <f>'Rock Climbing Log'!AV93</f>
        <v>0</v>
      </c>
      <c r="AW93" s="66">
        <f ca="1">'RC Template'!AW93</f>
        <v>115.04147098357274</v>
      </c>
      <c r="AX93" s="66">
        <f ca="1">'RC Template'!BC93</f>
        <v>191.71182099499683</v>
      </c>
      <c r="AY93" s="75">
        <f>'Rock Climbing Log'!AY93</f>
        <v>0</v>
      </c>
    </row>
    <row r="94" spans="1:51" x14ac:dyDescent="0.3">
      <c r="A94" s="28">
        <f t="shared" si="13"/>
        <v>87</v>
      </c>
      <c r="B94" s="19">
        <f>'Rock Climbing Log'!B94</f>
        <v>43178</v>
      </c>
      <c r="C94" s="24" t="str">
        <f>'Rock Climbing Log'!C94</f>
        <v>Michelle</v>
      </c>
      <c r="D94" s="81">
        <f>'Rock Climbing Log'!D94</f>
        <v>0</v>
      </c>
      <c r="E94" s="82">
        <f>'Rock Climbing Log'!E94</f>
        <v>0</v>
      </c>
      <c r="F94" s="83">
        <f>'Rock Climbing Log'!F94</f>
        <v>0</v>
      </c>
      <c r="G94" s="81">
        <f>'Rock Climbing Log'!G94</f>
        <v>0</v>
      </c>
      <c r="H94" s="82">
        <f>'Rock Climbing Log'!H94</f>
        <v>0</v>
      </c>
      <c r="I94" s="83">
        <f>'Rock Climbing Log'!I94</f>
        <v>0</v>
      </c>
      <c r="J94" s="81">
        <f>'Rock Climbing Log'!J94</f>
        <v>0</v>
      </c>
      <c r="K94" s="82">
        <f>'Rock Climbing Log'!K94</f>
        <v>0</v>
      </c>
      <c r="L94" s="83">
        <f>'Rock Climbing Log'!L94</f>
        <v>0</v>
      </c>
      <c r="M94" s="81" t="str">
        <f>'Rock Climbing Log'!M94</f>
        <v>F</v>
      </c>
      <c r="N94" s="82" t="str">
        <f>'Rock Climbing Log'!N94</f>
        <v>F</v>
      </c>
      <c r="O94" s="83">
        <f>'Rock Climbing Log'!O94</f>
        <v>0</v>
      </c>
      <c r="P94" s="81">
        <f>'Rock Climbing Log'!P94</f>
        <v>0</v>
      </c>
      <c r="Q94" s="82">
        <f>'Rock Climbing Log'!Q94</f>
        <v>0</v>
      </c>
      <c r="R94" s="83">
        <f>'Rock Climbing Log'!R94</f>
        <v>0</v>
      </c>
      <c r="S94" s="81">
        <f>'Rock Climbing Log'!S94</f>
        <v>0</v>
      </c>
      <c r="T94" s="82">
        <f>'Rock Climbing Log'!T94</f>
        <v>0</v>
      </c>
      <c r="U94" s="83">
        <f>'Rock Climbing Log'!U94</f>
        <v>0</v>
      </c>
      <c r="V94" s="81" t="str">
        <f>'Rock Climbing Log'!V94</f>
        <v>F</v>
      </c>
      <c r="W94" s="82" t="str">
        <f>'Rock Climbing Log'!W94</f>
        <v>F</v>
      </c>
      <c r="X94" s="83">
        <f>'Rock Climbing Log'!X94</f>
        <v>0</v>
      </c>
      <c r="Y94" s="81">
        <f>'Rock Climbing Log'!Y94</f>
        <v>0</v>
      </c>
      <c r="Z94" s="82">
        <f>'Rock Climbing Log'!Z94</f>
        <v>0</v>
      </c>
      <c r="AA94" s="83">
        <f>'Rock Climbing Log'!AA94</f>
        <v>0</v>
      </c>
      <c r="AB94" s="81" t="str">
        <f>'Rock Climbing Log'!AB94</f>
        <v>A</v>
      </c>
      <c r="AC94" s="82">
        <f>'Rock Climbing Log'!AC94</f>
        <v>0</v>
      </c>
      <c r="AD94" s="83">
        <f>'Rock Climbing Log'!AD94</f>
        <v>0</v>
      </c>
      <c r="AE94" s="81">
        <f>'Rock Climbing Log'!AE94</f>
        <v>0</v>
      </c>
      <c r="AF94" s="82">
        <f>'Rock Climbing Log'!AF94</f>
        <v>0</v>
      </c>
      <c r="AG94" s="83">
        <f>'Rock Climbing Log'!AG94</f>
        <v>0</v>
      </c>
      <c r="AH94" s="81">
        <f>'Rock Climbing Log'!AH94</f>
        <v>0</v>
      </c>
      <c r="AI94" s="82">
        <f>'Rock Climbing Log'!AI94</f>
        <v>0</v>
      </c>
      <c r="AJ94" s="83">
        <f>'Rock Climbing Log'!AJ94</f>
        <v>0</v>
      </c>
      <c r="AK94" s="81">
        <f>'Rock Climbing Log'!AK94</f>
        <v>0</v>
      </c>
      <c r="AL94" s="82">
        <f>'Rock Climbing Log'!AL94</f>
        <v>0</v>
      </c>
      <c r="AM94" s="83">
        <f>'Rock Climbing Log'!AM94</f>
        <v>0</v>
      </c>
      <c r="AN94" s="81">
        <f>'Rock Climbing Log'!AN94</f>
        <v>0</v>
      </c>
      <c r="AO94" s="82">
        <f>'Rock Climbing Log'!AO94</f>
        <v>0</v>
      </c>
      <c r="AP94" s="83">
        <f>'Rock Climbing Log'!AP94</f>
        <v>0</v>
      </c>
      <c r="AQ94" s="81">
        <f>'Rock Climbing Log'!AQ94</f>
        <v>0</v>
      </c>
      <c r="AR94" s="82">
        <f>'Rock Climbing Log'!AR94</f>
        <v>0</v>
      </c>
      <c r="AS94" s="83">
        <f>'Rock Climbing Log'!AS94</f>
        <v>0</v>
      </c>
      <c r="AT94" s="81">
        <f>'Rock Climbing Log'!AT94</f>
        <v>0</v>
      </c>
      <c r="AU94" s="82">
        <f>'Rock Climbing Log'!AU94</f>
        <v>0</v>
      </c>
      <c r="AV94" s="83">
        <f>'Rock Climbing Log'!AV94</f>
        <v>0</v>
      </c>
      <c r="AW94" s="66">
        <f ca="1">'RC Template'!AW94</f>
        <v>97.530876774184151</v>
      </c>
      <c r="AX94" s="66">
        <f ca="1">'RC Template'!BC94</f>
        <v>112.49636266666668</v>
      </c>
      <c r="AY94" s="75">
        <f>'Rock Climbing Log'!AY94</f>
        <v>0</v>
      </c>
    </row>
    <row r="95" spans="1:51" x14ac:dyDescent="0.3">
      <c r="A95" s="28">
        <f t="shared" si="13"/>
        <v>88</v>
      </c>
      <c r="B95" s="19">
        <f>'Rock Climbing Log'!B95</f>
        <v>43182</v>
      </c>
      <c r="C95" s="24" t="str">
        <f>'Rock Climbing Log'!C95</f>
        <v>Angel</v>
      </c>
      <c r="D95" s="81">
        <f>'Rock Climbing Log'!D95</f>
        <v>0</v>
      </c>
      <c r="E95" s="82">
        <f>'Rock Climbing Log'!E95</f>
        <v>0</v>
      </c>
      <c r="F95" s="83">
        <f>'Rock Climbing Log'!F95</f>
        <v>0</v>
      </c>
      <c r="G95" s="81">
        <f>'Rock Climbing Log'!G95</f>
        <v>0</v>
      </c>
      <c r="H95" s="82">
        <f>'Rock Climbing Log'!H95</f>
        <v>0</v>
      </c>
      <c r="I95" s="83">
        <f>'Rock Climbing Log'!I95</f>
        <v>0</v>
      </c>
      <c r="J95" s="81">
        <f>'Rock Climbing Log'!J95</f>
        <v>0</v>
      </c>
      <c r="K95" s="82">
        <f>'Rock Climbing Log'!K95</f>
        <v>0</v>
      </c>
      <c r="L95" s="83">
        <f>'Rock Climbing Log'!L95</f>
        <v>0</v>
      </c>
      <c r="M95" s="81">
        <f>'Rock Climbing Log'!M95</f>
        <v>0</v>
      </c>
      <c r="N95" s="82">
        <f>'Rock Climbing Log'!N95</f>
        <v>0</v>
      </c>
      <c r="O95" s="83">
        <f>'Rock Climbing Log'!O95</f>
        <v>0</v>
      </c>
      <c r="P95" s="81">
        <f>'Rock Climbing Log'!P95</f>
        <v>0</v>
      </c>
      <c r="Q95" s="82">
        <f>'Rock Climbing Log'!Q95</f>
        <v>0</v>
      </c>
      <c r="R95" s="83">
        <f>'Rock Climbing Log'!R95</f>
        <v>0</v>
      </c>
      <c r="S95" s="81">
        <f>'Rock Climbing Log'!S95</f>
        <v>0</v>
      </c>
      <c r="T95" s="82">
        <f>'Rock Climbing Log'!T95</f>
        <v>0</v>
      </c>
      <c r="U95" s="83">
        <f>'Rock Climbing Log'!U95</f>
        <v>0</v>
      </c>
      <c r="V95" s="81" t="str">
        <f>'Rock Climbing Log'!V95</f>
        <v>F</v>
      </c>
      <c r="W95" s="82" t="str">
        <f>'Rock Climbing Log'!W95</f>
        <v>F</v>
      </c>
      <c r="X95" s="83" t="str">
        <f>'Rock Climbing Log'!X95</f>
        <v>F</v>
      </c>
      <c r="Y95" s="81">
        <f>'Rock Climbing Log'!Y95</f>
        <v>0</v>
      </c>
      <c r="Z95" s="82">
        <f>'Rock Climbing Log'!Z95</f>
        <v>0</v>
      </c>
      <c r="AA95" s="83">
        <f>'Rock Climbing Log'!AA95</f>
        <v>0</v>
      </c>
      <c r="AB95" s="81">
        <f>'Rock Climbing Log'!AB95</f>
        <v>0</v>
      </c>
      <c r="AC95" s="82">
        <f>'Rock Climbing Log'!AC95</f>
        <v>0</v>
      </c>
      <c r="AD95" s="83">
        <f>'Rock Climbing Log'!AD95</f>
        <v>0</v>
      </c>
      <c r="AE95" s="81">
        <f>'Rock Climbing Log'!AE95</f>
        <v>0</v>
      </c>
      <c r="AF95" s="82">
        <f>'Rock Climbing Log'!AF95</f>
        <v>0</v>
      </c>
      <c r="AG95" s="83">
        <f>'Rock Climbing Log'!AG95</f>
        <v>0</v>
      </c>
      <c r="AH95" s="81">
        <f>'Rock Climbing Log'!AH95</f>
        <v>0</v>
      </c>
      <c r="AI95" s="82">
        <f>'Rock Climbing Log'!AI95</f>
        <v>0</v>
      </c>
      <c r="AJ95" s="83">
        <f>'Rock Climbing Log'!AJ95</f>
        <v>0</v>
      </c>
      <c r="AK95" s="81">
        <f>'Rock Climbing Log'!AK95</f>
        <v>0</v>
      </c>
      <c r="AL95" s="82">
        <f>'Rock Climbing Log'!AL95</f>
        <v>0</v>
      </c>
      <c r="AM95" s="83">
        <f>'Rock Climbing Log'!AM95</f>
        <v>0</v>
      </c>
      <c r="AN95" s="81">
        <f>'Rock Climbing Log'!AN95</f>
        <v>0</v>
      </c>
      <c r="AO95" s="82">
        <f>'Rock Climbing Log'!AO95</f>
        <v>0</v>
      </c>
      <c r="AP95" s="83">
        <f>'Rock Climbing Log'!AP95</f>
        <v>0</v>
      </c>
      <c r="AQ95" s="81">
        <f>'Rock Climbing Log'!AQ95</f>
        <v>0</v>
      </c>
      <c r="AR95" s="82">
        <f>'Rock Climbing Log'!AR95</f>
        <v>0</v>
      </c>
      <c r="AS95" s="83">
        <f>'Rock Climbing Log'!AS95</f>
        <v>0</v>
      </c>
      <c r="AT95" s="81">
        <f>'Rock Climbing Log'!AT95</f>
        <v>0</v>
      </c>
      <c r="AU95" s="82">
        <f>'Rock Climbing Log'!AU95</f>
        <v>0</v>
      </c>
      <c r="AV95" s="83">
        <f>'Rock Climbing Log'!AV95</f>
        <v>0</v>
      </c>
      <c r="AW95" s="66">
        <f ca="1">'RC Template'!AW95</f>
        <v>105.77023722720006</v>
      </c>
      <c r="AX95" s="66">
        <f ca="1">'RC Template'!BC95</f>
        <v>176.26169600000009</v>
      </c>
      <c r="AY95" s="75">
        <f>'Rock Climbing Log'!AY95</f>
        <v>0</v>
      </c>
    </row>
    <row r="96" spans="1:51" x14ac:dyDescent="0.3">
      <c r="A96" s="28">
        <f t="shared" si="13"/>
        <v>89</v>
      </c>
      <c r="B96" s="19">
        <f>'Rock Climbing Log'!B96</f>
        <v>43182</v>
      </c>
      <c r="C96" s="24" t="str">
        <f>'Rock Climbing Log'!C96</f>
        <v>Edwin</v>
      </c>
      <c r="D96" s="81">
        <f>'Rock Climbing Log'!D96</f>
        <v>0</v>
      </c>
      <c r="E96" s="82">
        <f>'Rock Climbing Log'!E96</f>
        <v>0</v>
      </c>
      <c r="F96" s="83">
        <f>'Rock Climbing Log'!F96</f>
        <v>0</v>
      </c>
      <c r="G96" s="81">
        <f>'Rock Climbing Log'!G96</f>
        <v>0</v>
      </c>
      <c r="H96" s="82">
        <f>'Rock Climbing Log'!H96</f>
        <v>0</v>
      </c>
      <c r="I96" s="83">
        <f>'Rock Climbing Log'!I96</f>
        <v>0</v>
      </c>
      <c r="J96" s="81">
        <f>'Rock Climbing Log'!J96</f>
        <v>0</v>
      </c>
      <c r="K96" s="82">
        <f>'Rock Climbing Log'!K96</f>
        <v>0</v>
      </c>
      <c r="L96" s="83">
        <f>'Rock Climbing Log'!L96</f>
        <v>0</v>
      </c>
      <c r="M96" s="81">
        <f>'Rock Climbing Log'!M96</f>
        <v>0</v>
      </c>
      <c r="N96" s="82">
        <f>'Rock Climbing Log'!N96</f>
        <v>0</v>
      </c>
      <c r="O96" s="83">
        <f>'Rock Climbing Log'!O96</f>
        <v>0</v>
      </c>
      <c r="P96" s="81">
        <f>'Rock Climbing Log'!P96</f>
        <v>0</v>
      </c>
      <c r="Q96" s="82">
        <f>'Rock Climbing Log'!Q96</f>
        <v>0</v>
      </c>
      <c r="R96" s="83">
        <f>'Rock Climbing Log'!R96</f>
        <v>0</v>
      </c>
      <c r="S96" s="81">
        <f>'Rock Climbing Log'!S96</f>
        <v>0</v>
      </c>
      <c r="T96" s="82">
        <f>'Rock Climbing Log'!T96</f>
        <v>0</v>
      </c>
      <c r="U96" s="83">
        <f>'Rock Climbing Log'!U96</f>
        <v>0</v>
      </c>
      <c r="V96" s="81" t="str">
        <f>'Rock Climbing Log'!V96</f>
        <v>F</v>
      </c>
      <c r="W96" s="82" t="str">
        <f>'Rock Climbing Log'!W96</f>
        <v>F</v>
      </c>
      <c r="X96" s="83" t="str">
        <f>'Rock Climbing Log'!X96</f>
        <v>F</v>
      </c>
      <c r="Y96" s="81">
        <f>'Rock Climbing Log'!Y96</f>
        <v>0</v>
      </c>
      <c r="Z96" s="82">
        <f>'Rock Climbing Log'!Z96</f>
        <v>0</v>
      </c>
      <c r="AA96" s="83">
        <f>'Rock Climbing Log'!AA96</f>
        <v>0</v>
      </c>
      <c r="AB96" s="81">
        <f>'Rock Climbing Log'!AB96</f>
        <v>0</v>
      </c>
      <c r="AC96" s="82">
        <f>'Rock Climbing Log'!AC96</f>
        <v>0</v>
      </c>
      <c r="AD96" s="83">
        <f>'Rock Climbing Log'!AD96</f>
        <v>0</v>
      </c>
      <c r="AE96" s="81">
        <f>'Rock Climbing Log'!AE96</f>
        <v>0</v>
      </c>
      <c r="AF96" s="82">
        <f>'Rock Climbing Log'!AF96</f>
        <v>0</v>
      </c>
      <c r="AG96" s="83">
        <f>'Rock Climbing Log'!AG96</f>
        <v>0</v>
      </c>
      <c r="AH96" s="81">
        <f>'Rock Climbing Log'!AH96</f>
        <v>0</v>
      </c>
      <c r="AI96" s="82">
        <f>'Rock Climbing Log'!AI96</f>
        <v>0</v>
      </c>
      <c r="AJ96" s="83">
        <f>'Rock Climbing Log'!AJ96</f>
        <v>0</v>
      </c>
      <c r="AK96" s="81">
        <f>'Rock Climbing Log'!AK96</f>
        <v>0</v>
      </c>
      <c r="AL96" s="82">
        <f>'Rock Climbing Log'!AL96</f>
        <v>0</v>
      </c>
      <c r="AM96" s="83">
        <f>'Rock Climbing Log'!AM96</f>
        <v>0</v>
      </c>
      <c r="AN96" s="81">
        <f>'Rock Climbing Log'!AN96</f>
        <v>0</v>
      </c>
      <c r="AO96" s="82">
        <f>'Rock Climbing Log'!AO96</f>
        <v>0</v>
      </c>
      <c r="AP96" s="83">
        <f>'Rock Climbing Log'!AP96</f>
        <v>0</v>
      </c>
      <c r="AQ96" s="81">
        <f>'Rock Climbing Log'!AQ96</f>
        <v>0</v>
      </c>
      <c r="AR96" s="82">
        <f>'Rock Climbing Log'!AR96</f>
        <v>0</v>
      </c>
      <c r="AS96" s="83">
        <f>'Rock Climbing Log'!AS96</f>
        <v>0</v>
      </c>
      <c r="AT96" s="81">
        <f>'Rock Climbing Log'!AT96</f>
        <v>0</v>
      </c>
      <c r="AU96" s="82">
        <f>'Rock Climbing Log'!AU96</f>
        <v>0</v>
      </c>
      <c r="AV96" s="83">
        <f>'Rock Climbing Log'!AV96</f>
        <v>0</v>
      </c>
      <c r="AW96" s="66">
        <f ca="1">'RC Template'!AW96</f>
        <v>105.77023722720006</v>
      </c>
      <c r="AX96" s="66">
        <f ca="1">'RC Template'!BC96</f>
        <v>81.168831168831161</v>
      </c>
      <c r="AY96" s="75">
        <f>'Rock Climbing Log'!AY96</f>
        <v>0</v>
      </c>
    </row>
    <row r="97" spans="1:51" x14ac:dyDescent="0.3">
      <c r="A97" s="28">
        <f t="shared" si="13"/>
        <v>90</v>
      </c>
      <c r="B97" s="19">
        <f>'Rock Climbing Log'!B97</f>
        <v>43185</v>
      </c>
      <c r="C97" s="24" t="str">
        <f>'Rock Climbing Log'!C97</f>
        <v>Michelle</v>
      </c>
      <c r="D97" s="81">
        <f>'Rock Climbing Log'!D97</f>
        <v>0</v>
      </c>
      <c r="E97" s="82">
        <f>'Rock Climbing Log'!E97</f>
        <v>0</v>
      </c>
      <c r="F97" s="83">
        <f>'Rock Climbing Log'!F97</f>
        <v>0</v>
      </c>
      <c r="G97" s="81">
        <f>'Rock Climbing Log'!G97</f>
        <v>0</v>
      </c>
      <c r="H97" s="82">
        <f>'Rock Climbing Log'!H97</f>
        <v>0</v>
      </c>
      <c r="I97" s="83">
        <f>'Rock Climbing Log'!I97</f>
        <v>0</v>
      </c>
      <c r="J97" s="81" t="str">
        <f>'Rock Climbing Log'!J97</f>
        <v>F</v>
      </c>
      <c r="K97" s="82" t="str">
        <f>'Rock Climbing Log'!K97</f>
        <v>F</v>
      </c>
      <c r="L97" s="83">
        <f>'Rock Climbing Log'!L97</f>
        <v>0</v>
      </c>
      <c r="M97" s="81" t="str">
        <f>'Rock Climbing Log'!M97</f>
        <v>F</v>
      </c>
      <c r="N97" s="82" t="str">
        <f>'Rock Climbing Log'!N97</f>
        <v>A</v>
      </c>
      <c r="O97" s="83">
        <f>'Rock Climbing Log'!O97</f>
        <v>0</v>
      </c>
      <c r="P97" s="81">
        <f>'Rock Climbing Log'!P97</f>
        <v>0</v>
      </c>
      <c r="Q97" s="82">
        <f>'Rock Climbing Log'!Q97</f>
        <v>0</v>
      </c>
      <c r="R97" s="83">
        <f>'Rock Climbing Log'!R97</f>
        <v>0</v>
      </c>
      <c r="S97" s="81">
        <f>'Rock Climbing Log'!S97</f>
        <v>0</v>
      </c>
      <c r="T97" s="82">
        <f>'Rock Climbing Log'!T97</f>
        <v>0</v>
      </c>
      <c r="U97" s="83">
        <f>'Rock Climbing Log'!U97</f>
        <v>0</v>
      </c>
      <c r="V97" s="81">
        <f>'Rock Climbing Log'!V97</f>
        <v>0</v>
      </c>
      <c r="W97" s="82">
        <f>'Rock Climbing Log'!W97</f>
        <v>0</v>
      </c>
      <c r="X97" s="83">
        <f>'Rock Climbing Log'!X97</f>
        <v>0</v>
      </c>
      <c r="Y97" s="81">
        <f>'Rock Climbing Log'!Y97</f>
        <v>0</v>
      </c>
      <c r="Z97" s="82">
        <f>'Rock Climbing Log'!Z97</f>
        <v>0</v>
      </c>
      <c r="AA97" s="83">
        <f>'Rock Climbing Log'!AA97</f>
        <v>0</v>
      </c>
      <c r="AB97" s="81">
        <f>'Rock Climbing Log'!AB97</f>
        <v>0</v>
      </c>
      <c r="AC97" s="82">
        <f>'Rock Climbing Log'!AC97</f>
        <v>0</v>
      </c>
      <c r="AD97" s="83">
        <f>'Rock Climbing Log'!AD97</f>
        <v>0</v>
      </c>
      <c r="AE97" s="81">
        <f>'Rock Climbing Log'!AE97</f>
        <v>0</v>
      </c>
      <c r="AF97" s="82">
        <f>'Rock Climbing Log'!AF97</f>
        <v>0</v>
      </c>
      <c r="AG97" s="83">
        <f>'Rock Climbing Log'!AG97</f>
        <v>0</v>
      </c>
      <c r="AH97" s="81">
        <f>'Rock Climbing Log'!AH97</f>
        <v>0</v>
      </c>
      <c r="AI97" s="82">
        <f>'Rock Climbing Log'!AI97</f>
        <v>0</v>
      </c>
      <c r="AJ97" s="83">
        <f>'Rock Climbing Log'!AJ97</f>
        <v>0</v>
      </c>
      <c r="AK97" s="81">
        <f>'Rock Climbing Log'!AK97</f>
        <v>0</v>
      </c>
      <c r="AL97" s="82">
        <f>'Rock Climbing Log'!AL97</f>
        <v>0</v>
      </c>
      <c r="AM97" s="83">
        <f>'Rock Climbing Log'!AM97</f>
        <v>0</v>
      </c>
      <c r="AN97" s="81">
        <f>'Rock Climbing Log'!AN97</f>
        <v>0</v>
      </c>
      <c r="AO97" s="82">
        <f>'Rock Climbing Log'!AO97</f>
        <v>0</v>
      </c>
      <c r="AP97" s="83">
        <f>'Rock Climbing Log'!AP97</f>
        <v>0</v>
      </c>
      <c r="AQ97" s="81">
        <f>'Rock Climbing Log'!AQ97</f>
        <v>0</v>
      </c>
      <c r="AR97" s="82">
        <f>'Rock Climbing Log'!AR97</f>
        <v>0</v>
      </c>
      <c r="AS97" s="83">
        <f>'Rock Climbing Log'!AS97</f>
        <v>0</v>
      </c>
      <c r="AT97" s="81">
        <f>'Rock Climbing Log'!AT97</f>
        <v>0</v>
      </c>
      <c r="AU97" s="82">
        <f>'Rock Climbing Log'!AU97</f>
        <v>0</v>
      </c>
      <c r="AV97" s="83">
        <f>'Rock Climbing Log'!AV97</f>
        <v>0</v>
      </c>
      <c r="AW97" s="66">
        <f ca="1">'RC Template'!AW97</f>
        <v>51.502499999999998</v>
      </c>
      <c r="AX97" s="66">
        <f ca="1">'RC Template'!BC97</f>
        <v>59.405227450734834</v>
      </c>
      <c r="AY97" s="75">
        <f>'Rock Climbing Log'!AY97</f>
        <v>0</v>
      </c>
    </row>
    <row r="98" spans="1:51" x14ac:dyDescent="0.3">
      <c r="A98" s="28">
        <f t="shared" si="13"/>
        <v>91</v>
      </c>
      <c r="B98" s="19">
        <f>'Rock Climbing Log'!B98</f>
        <v>43187</v>
      </c>
      <c r="C98" s="24" t="str">
        <f>'Rock Climbing Log'!C98</f>
        <v>Angel</v>
      </c>
      <c r="D98" s="81">
        <f>'Rock Climbing Log'!D98</f>
        <v>0</v>
      </c>
      <c r="E98" s="82">
        <f>'Rock Climbing Log'!E98</f>
        <v>0</v>
      </c>
      <c r="F98" s="83">
        <f>'Rock Climbing Log'!F98</f>
        <v>0</v>
      </c>
      <c r="G98" s="81">
        <f>'Rock Climbing Log'!G98</f>
        <v>0</v>
      </c>
      <c r="H98" s="82">
        <f>'Rock Climbing Log'!H98</f>
        <v>0</v>
      </c>
      <c r="I98" s="83">
        <f>'Rock Climbing Log'!I98</f>
        <v>0</v>
      </c>
      <c r="J98" s="81">
        <f>'Rock Climbing Log'!J98</f>
        <v>0</v>
      </c>
      <c r="K98" s="82">
        <f>'Rock Climbing Log'!K98</f>
        <v>0</v>
      </c>
      <c r="L98" s="83">
        <f>'Rock Climbing Log'!L98</f>
        <v>0</v>
      </c>
      <c r="M98" s="81" t="str">
        <f>'Rock Climbing Log'!M98</f>
        <v>F</v>
      </c>
      <c r="N98" s="82">
        <f>'Rock Climbing Log'!N98</f>
        <v>0</v>
      </c>
      <c r="O98" s="83">
        <f>'Rock Climbing Log'!O98</f>
        <v>0</v>
      </c>
      <c r="P98" s="81">
        <f>'Rock Climbing Log'!P98</f>
        <v>0</v>
      </c>
      <c r="Q98" s="82">
        <f>'Rock Climbing Log'!Q98</f>
        <v>0</v>
      </c>
      <c r="R98" s="83">
        <f>'Rock Climbing Log'!R98</f>
        <v>0</v>
      </c>
      <c r="S98" s="81">
        <f>'Rock Climbing Log'!S98</f>
        <v>0</v>
      </c>
      <c r="T98" s="82">
        <f>'Rock Climbing Log'!T98</f>
        <v>0</v>
      </c>
      <c r="U98" s="83">
        <f>'Rock Climbing Log'!U98</f>
        <v>0</v>
      </c>
      <c r="V98" s="81" t="str">
        <f>'Rock Climbing Log'!V98</f>
        <v>F</v>
      </c>
      <c r="W98" s="82">
        <f>'Rock Climbing Log'!W98</f>
        <v>0</v>
      </c>
      <c r="X98" s="83">
        <f>'Rock Climbing Log'!X98</f>
        <v>0</v>
      </c>
      <c r="Y98" s="81">
        <f>'Rock Climbing Log'!Y98</f>
        <v>0</v>
      </c>
      <c r="Z98" s="82">
        <f>'Rock Climbing Log'!Z98</f>
        <v>0</v>
      </c>
      <c r="AA98" s="83">
        <f>'Rock Climbing Log'!AA98</f>
        <v>0</v>
      </c>
      <c r="AB98" s="81">
        <f>'Rock Climbing Log'!AB98</f>
        <v>0</v>
      </c>
      <c r="AC98" s="82">
        <f>'Rock Climbing Log'!AC98</f>
        <v>0</v>
      </c>
      <c r="AD98" s="83">
        <f>'Rock Climbing Log'!AD98</f>
        <v>0</v>
      </c>
      <c r="AE98" s="81" t="str">
        <f>'Rock Climbing Log'!AE98</f>
        <v>A</v>
      </c>
      <c r="AF98" s="82">
        <f>'Rock Climbing Log'!AF98</f>
        <v>0</v>
      </c>
      <c r="AG98" s="83">
        <f>'Rock Climbing Log'!AG98</f>
        <v>0</v>
      </c>
      <c r="AH98" s="81" t="str">
        <f>'Rock Climbing Log'!AH98</f>
        <v>C3</v>
      </c>
      <c r="AI98" s="82">
        <f>'Rock Climbing Log'!AI98</f>
        <v>0</v>
      </c>
      <c r="AJ98" s="83">
        <f>'Rock Climbing Log'!AJ98</f>
        <v>0</v>
      </c>
      <c r="AK98" s="81">
        <f>'Rock Climbing Log'!AK98</f>
        <v>0</v>
      </c>
      <c r="AL98" s="82">
        <f>'Rock Climbing Log'!AL98</f>
        <v>0</v>
      </c>
      <c r="AM98" s="83">
        <f>'Rock Climbing Log'!AM98</f>
        <v>0</v>
      </c>
      <c r="AN98" s="81">
        <f>'Rock Climbing Log'!AN98</f>
        <v>0</v>
      </c>
      <c r="AO98" s="82">
        <f>'Rock Climbing Log'!AO98</f>
        <v>0</v>
      </c>
      <c r="AP98" s="83">
        <f>'Rock Climbing Log'!AP98</f>
        <v>0</v>
      </c>
      <c r="AQ98" s="81">
        <f>'Rock Climbing Log'!AQ98</f>
        <v>0</v>
      </c>
      <c r="AR98" s="82">
        <f>'Rock Climbing Log'!AR98</f>
        <v>0</v>
      </c>
      <c r="AS98" s="83">
        <f>'Rock Climbing Log'!AS98</f>
        <v>0</v>
      </c>
      <c r="AT98" s="81">
        <f>'Rock Climbing Log'!AT98</f>
        <v>0</v>
      </c>
      <c r="AU98" s="82">
        <f>'Rock Climbing Log'!AU98</f>
        <v>0</v>
      </c>
      <c r="AV98" s="83">
        <f>'Rock Climbing Log'!AV98</f>
        <v>0</v>
      </c>
      <c r="AW98" s="66">
        <f ca="1">'RC Template'!AW98</f>
        <v>131.92555722635953</v>
      </c>
      <c r="AX98" s="66">
        <f ca="1">'RC Template'!BC98</f>
        <v>219.84844765464237</v>
      </c>
      <c r="AY98" s="75">
        <f>'Rock Climbing Log'!AY98</f>
        <v>0</v>
      </c>
    </row>
    <row r="99" spans="1:51" x14ac:dyDescent="0.3">
      <c r="A99" s="28">
        <f t="shared" si="13"/>
        <v>92</v>
      </c>
      <c r="B99" s="19">
        <f>'Rock Climbing Log'!B99</f>
        <v>43187</v>
      </c>
      <c r="C99" s="24" t="str">
        <f>'Rock Climbing Log'!C99</f>
        <v>Lester</v>
      </c>
      <c r="D99" s="81">
        <f>'Rock Climbing Log'!D99</f>
        <v>0</v>
      </c>
      <c r="E99" s="82">
        <f>'Rock Climbing Log'!E99</f>
        <v>0</v>
      </c>
      <c r="F99" s="83">
        <f>'Rock Climbing Log'!F99</f>
        <v>0</v>
      </c>
      <c r="G99" s="81">
        <f>'Rock Climbing Log'!G99</f>
        <v>0</v>
      </c>
      <c r="H99" s="82">
        <f>'Rock Climbing Log'!H99</f>
        <v>0</v>
      </c>
      <c r="I99" s="83">
        <f>'Rock Climbing Log'!I99</f>
        <v>0</v>
      </c>
      <c r="J99" s="81">
        <f>'Rock Climbing Log'!J99</f>
        <v>0</v>
      </c>
      <c r="K99" s="82">
        <f>'Rock Climbing Log'!K99</f>
        <v>0</v>
      </c>
      <c r="L99" s="83">
        <f>'Rock Climbing Log'!L99</f>
        <v>0</v>
      </c>
      <c r="M99" s="81">
        <f>'Rock Climbing Log'!M99</f>
        <v>0</v>
      </c>
      <c r="N99" s="82">
        <f>'Rock Climbing Log'!N99</f>
        <v>0</v>
      </c>
      <c r="O99" s="83">
        <f>'Rock Climbing Log'!O99</f>
        <v>0</v>
      </c>
      <c r="P99" s="81">
        <f>'Rock Climbing Log'!P99</f>
        <v>0</v>
      </c>
      <c r="Q99" s="82">
        <f>'Rock Climbing Log'!Q99</f>
        <v>0</v>
      </c>
      <c r="R99" s="83">
        <f>'Rock Climbing Log'!R99</f>
        <v>0</v>
      </c>
      <c r="S99" s="81">
        <f>'Rock Climbing Log'!S99</f>
        <v>0</v>
      </c>
      <c r="T99" s="82">
        <f>'Rock Climbing Log'!T99</f>
        <v>0</v>
      </c>
      <c r="U99" s="83">
        <f>'Rock Climbing Log'!U99</f>
        <v>0</v>
      </c>
      <c r="V99" s="81" t="str">
        <f>'Rock Climbing Log'!V99</f>
        <v>F</v>
      </c>
      <c r="W99" s="82">
        <f>'Rock Climbing Log'!W99</f>
        <v>0</v>
      </c>
      <c r="X99" s="83">
        <f>'Rock Climbing Log'!X99</f>
        <v>0</v>
      </c>
      <c r="Y99" s="81">
        <f>'Rock Climbing Log'!Y99</f>
        <v>0</v>
      </c>
      <c r="Z99" s="82">
        <f>'Rock Climbing Log'!Z99</f>
        <v>0</v>
      </c>
      <c r="AA99" s="83">
        <f>'Rock Climbing Log'!AA99</f>
        <v>0</v>
      </c>
      <c r="AB99" s="81">
        <f>'Rock Climbing Log'!AB99</f>
        <v>0</v>
      </c>
      <c r="AC99" s="82">
        <f>'Rock Climbing Log'!AC99</f>
        <v>0</v>
      </c>
      <c r="AD99" s="83">
        <f>'Rock Climbing Log'!AD99</f>
        <v>0</v>
      </c>
      <c r="AE99" s="81" t="str">
        <f>'Rock Climbing Log'!AE99</f>
        <v>F</v>
      </c>
      <c r="AF99" s="82">
        <f>'Rock Climbing Log'!AF99</f>
        <v>0</v>
      </c>
      <c r="AG99" s="83">
        <f>'Rock Climbing Log'!AG99</f>
        <v>0</v>
      </c>
      <c r="AH99" s="81">
        <f>'Rock Climbing Log'!AH99</f>
        <v>0</v>
      </c>
      <c r="AI99" s="82">
        <f>'Rock Climbing Log'!AI99</f>
        <v>0</v>
      </c>
      <c r="AJ99" s="83">
        <f>'Rock Climbing Log'!AJ99</f>
        <v>0</v>
      </c>
      <c r="AK99" s="81" t="str">
        <f>'Rock Climbing Log'!AK99</f>
        <v>F</v>
      </c>
      <c r="AL99" s="82">
        <f>'Rock Climbing Log'!AL99</f>
        <v>0</v>
      </c>
      <c r="AM99" s="83">
        <f>'Rock Climbing Log'!AM99</f>
        <v>0</v>
      </c>
      <c r="AN99" s="81" t="str">
        <f>'Rock Climbing Log'!AN99</f>
        <v>C2</v>
      </c>
      <c r="AO99" s="82" t="str">
        <f>'Rock Climbing Log'!AO99</f>
        <v>C4</v>
      </c>
      <c r="AP99" s="83">
        <f>'Rock Climbing Log'!AP99</f>
        <v>0</v>
      </c>
      <c r="AQ99" s="81">
        <f>'Rock Climbing Log'!AQ99</f>
        <v>0</v>
      </c>
      <c r="AR99" s="82">
        <f>'Rock Climbing Log'!AR99</f>
        <v>0</v>
      </c>
      <c r="AS99" s="83">
        <f>'Rock Climbing Log'!AS99</f>
        <v>0</v>
      </c>
      <c r="AT99" s="81">
        <f>'Rock Climbing Log'!AT99</f>
        <v>0</v>
      </c>
      <c r="AU99" s="82">
        <f>'Rock Climbing Log'!AU99</f>
        <v>0</v>
      </c>
      <c r="AV99" s="83">
        <f>'Rock Climbing Log'!AV99</f>
        <v>0</v>
      </c>
      <c r="AW99" s="66">
        <f ca="1">'RC Template'!AW99</f>
        <v>318.80189462676492</v>
      </c>
      <c r="AX99" s="66">
        <f ca="1">'RC Template'!BC99</f>
        <v>96.47337333333337</v>
      </c>
      <c r="AY99" s="75">
        <f>'Rock Climbing Log'!AY99</f>
        <v>0</v>
      </c>
    </row>
    <row r="100" spans="1:51" x14ac:dyDescent="0.3">
      <c r="A100" s="28">
        <f t="shared" si="13"/>
        <v>93</v>
      </c>
      <c r="B100" s="19">
        <f>'Rock Climbing Log'!B100</f>
        <v>43187</v>
      </c>
      <c r="C100" s="24" t="str">
        <f>'Rock Climbing Log'!C100</f>
        <v>Edwin</v>
      </c>
      <c r="D100" s="81">
        <f>'Rock Climbing Log'!D100</f>
        <v>0</v>
      </c>
      <c r="E100" s="82">
        <f>'Rock Climbing Log'!E100</f>
        <v>0</v>
      </c>
      <c r="F100" s="83">
        <f>'Rock Climbing Log'!F100</f>
        <v>0</v>
      </c>
      <c r="G100" s="81">
        <f>'Rock Climbing Log'!G100</f>
        <v>0</v>
      </c>
      <c r="H100" s="82">
        <f>'Rock Climbing Log'!H100</f>
        <v>0</v>
      </c>
      <c r="I100" s="83">
        <f>'Rock Climbing Log'!I100</f>
        <v>0</v>
      </c>
      <c r="J100" s="81">
        <f>'Rock Climbing Log'!J100</f>
        <v>0</v>
      </c>
      <c r="K100" s="82">
        <f>'Rock Climbing Log'!K100</f>
        <v>0</v>
      </c>
      <c r="L100" s="83">
        <f>'Rock Climbing Log'!L100</f>
        <v>0</v>
      </c>
      <c r="M100" s="81">
        <f>'Rock Climbing Log'!M100</f>
        <v>0</v>
      </c>
      <c r="N100" s="82">
        <f>'Rock Climbing Log'!N100</f>
        <v>0</v>
      </c>
      <c r="O100" s="83">
        <f>'Rock Climbing Log'!O100</f>
        <v>0</v>
      </c>
      <c r="P100" s="81">
        <f>'Rock Climbing Log'!P100</f>
        <v>0</v>
      </c>
      <c r="Q100" s="82">
        <f>'Rock Climbing Log'!Q100</f>
        <v>0</v>
      </c>
      <c r="R100" s="83">
        <f>'Rock Climbing Log'!R100</f>
        <v>0</v>
      </c>
      <c r="S100" s="81">
        <f>'Rock Climbing Log'!S100</f>
        <v>0</v>
      </c>
      <c r="T100" s="82">
        <f>'Rock Climbing Log'!T100</f>
        <v>0</v>
      </c>
      <c r="U100" s="83">
        <f>'Rock Climbing Log'!U100</f>
        <v>0</v>
      </c>
      <c r="V100" s="81" t="str">
        <f>'Rock Climbing Log'!V100</f>
        <v>F</v>
      </c>
      <c r="W100" s="82">
        <f>'Rock Climbing Log'!W100</f>
        <v>0</v>
      </c>
      <c r="X100" s="83">
        <f>'Rock Climbing Log'!X100</f>
        <v>0</v>
      </c>
      <c r="Y100" s="81">
        <f>'Rock Climbing Log'!Y100</f>
        <v>0</v>
      </c>
      <c r="Z100" s="82">
        <f>'Rock Climbing Log'!Z100</f>
        <v>0</v>
      </c>
      <c r="AA100" s="83">
        <f>'Rock Climbing Log'!AA100</f>
        <v>0</v>
      </c>
      <c r="AB100" s="81">
        <f>'Rock Climbing Log'!AB100</f>
        <v>0</v>
      </c>
      <c r="AC100" s="82">
        <f>'Rock Climbing Log'!AC100</f>
        <v>0</v>
      </c>
      <c r="AD100" s="83">
        <f>'Rock Climbing Log'!AD100</f>
        <v>0</v>
      </c>
      <c r="AE100" s="81" t="str">
        <f>'Rock Climbing Log'!AE100</f>
        <v>C2</v>
      </c>
      <c r="AF100" s="82">
        <f>'Rock Climbing Log'!AF100</f>
        <v>0</v>
      </c>
      <c r="AG100" s="83">
        <f>'Rock Climbing Log'!AG100</f>
        <v>0</v>
      </c>
      <c r="AH100" s="81" t="str">
        <f>'Rock Climbing Log'!AH100</f>
        <v>A</v>
      </c>
      <c r="AI100" s="82">
        <f>'Rock Climbing Log'!AI100</f>
        <v>0</v>
      </c>
      <c r="AJ100" s="83">
        <f>'Rock Climbing Log'!AJ100</f>
        <v>0</v>
      </c>
      <c r="AK100" s="81">
        <f>'Rock Climbing Log'!AK100</f>
        <v>0</v>
      </c>
      <c r="AL100" s="82">
        <f>'Rock Climbing Log'!AL100</f>
        <v>0</v>
      </c>
      <c r="AM100" s="83">
        <f>'Rock Climbing Log'!AM100</f>
        <v>0</v>
      </c>
      <c r="AN100" s="81">
        <f>'Rock Climbing Log'!AN100</f>
        <v>0</v>
      </c>
      <c r="AO100" s="82">
        <f>'Rock Climbing Log'!AO100</f>
        <v>0</v>
      </c>
      <c r="AP100" s="83">
        <f>'Rock Climbing Log'!AP100</f>
        <v>0</v>
      </c>
      <c r="AQ100" s="81">
        <f>'Rock Climbing Log'!AQ100</f>
        <v>0</v>
      </c>
      <c r="AR100" s="82">
        <f>'Rock Climbing Log'!AR100</f>
        <v>0</v>
      </c>
      <c r="AS100" s="83">
        <f>'Rock Climbing Log'!AS100</f>
        <v>0</v>
      </c>
      <c r="AT100" s="81">
        <f>'Rock Climbing Log'!AT100</f>
        <v>0</v>
      </c>
      <c r="AU100" s="82">
        <f>'Rock Climbing Log'!AU100</f>
        <v>0</v>
      </c>
      <c r="AV100" s="83">
        <f>'Rock Climbing Log'!AV100</f>
        <v>0</v>
      </c>
      <c r="AW100" s="66">
        <f ca="1">'RC Template'!AW100</f>
        <v>133.25766388937112</v>
      </c>
      <c r="AX100" s="66">
        <f ca="1">'RC Template'!BC100</f>
        <v>102.2628775896104</v>
      </c>
      <c r="AY100" s="75">
        <f>'Rock Climbing Log'!AY100</f>
        <v>0</v>
      </c>
    </row>
    <row r="101" spans="1:51" x14ac:dyDescent="0.3">
      <c r="A101" s="28">
        <f t="shared" si="13"/>
        <v>94</v>
      </c>
      <c r="B101" s="19">
        <f>'Rock Climbing Log'!B101</f>
        <v>43189</v>
      </c>
      <c r="C101" s="24" t="str">
        <f>'Rock Climbing Log'!C101</f>
        <v>Lester</v>
      </c>
      <c r="D101" s="81">
        <f>'Rock Climbing Log'!D101</f>
        <v>0</v>
      </c>
      <c r="E101" s="82">
        <f>'Rock Climbing Log'!E101</f>
        <v>0</v>
      </c>
      <c r="F101" s="83">
        <f>'Rock Climbing Log'!F101</f>
        <v>0</v>
      </c>
      <c r="G101" s="81">
        <f>'Rock Climbing Log'!G101</f>
        <v>0</v>
      </c>
      <c r="H101" s="82">
        <f>'Rock Climbing Log'!H101</f>
        <v>0</v>
      </c>
      <c r="I101" s="83">
        <f>'Rock Climbing Log'!I101</f>
        <v>0</v>
      </c>
      <c r="J101" s="81">
        <f>'Rock Climbing Log'!J101</f>
        <v>0</v>
      </c>
      <c r="K101" s="82">
        <f>'Rock Climbing Log'!K101</f>
        <v>0</v>
      </c>
      <c r="L101" s="83">
        <f>'Rock Climbing Log'!L101</f>
        <v>0</v>
      </c>
      <c r="M101" s="81">
        <f>'Rock Climbing Log'!M101</f>
        <v>0</v>
      </c>
      <c r="N101" s="82">
        <f>'Rock Climbing Log'!N101</f>
        <v>0</v>
      </c>
      <c r="O101" s="83">
        <f>'Rock Climbing Log'!O101</f>
        <v>0</v>
      </c>
      <c r="P101" s="81">
        <f>'Rock Climbing Log'!P101</f>
        <v>0</v>
      </c>
      <c r="Q101" s="82">
        <f>'Rock Climbing Log'!Q101</f>
        <v>0</v>
      </c>
      <c r="R101" s="83">
        <f>'Rock Climbing Log'!R101</f>
        <v>0</v>
      </c>
      <c r="S101" s="81">
        <f>'Rock Climbing Log'!S101</f>
        <v>0</v>
      </c>
      <c r="T101" s="82">
        <f>'Rock Climbing Log'!T101</f>
        <v>0</v>
      </c>
      <c r="U101" s="83">
        <f>'Rock Climbing Log'!U101</f>
        <v>0</v>
      </c>
      <c r="V101" s="81" t="str">
        <f>'Rock Climbing Log'!V101</f>
        <v>F</v>
      </c>
      <c r="W101" s="82">
        <f>'Rock Climbing Log'!W101</f>
        <v>0</v>
      </c>
      <c r="X101" s="83">
        <f>'Rock Climbing Log'!X101</f>
        <v>0</v>
      </c>
      <c r="Y101" s="81">
        <f>'Rock Climbing Log'!Y101</f>
        <v>0</v>
      </c>
      <c r="Z101" s="82">
        <f>'Rock Climbing Log'!Z101</f>
        <v>0</v>
      </c>
      <c r="AA101" s="83">
        <f>'Rock Climbing Log'!AA101</f>
        <v>0</v>
      </c>
      <c r="AB101" s="81">
        <f>'Rock Climbing Log'!AB101</f>
        <v>0</v>
      </c>
      <c r="AC101" s="82">
        <f>'Rock Climbing Log'!AC101</f>
        <v>0</v>
      </c>
      <c r="AD101" s="83">
        <f>'Rock Climbing Log'!AD101</f>
        <v>0</v>
      </c>
      <c r="AE101" s="81" t="str">
        <f>'Rock Climbing Log'!AE101</f>
        <v>F</v>
      </c>
      <c r="AF101" s="82">
        <f>'Rock Climbing Log'!AF101</f>
        <v>0</v>
      </c>
      <c r="AG101" s="83">
        <f>'Rock Climbing Log'!AG101</f>
        <v>0</v>
      </c>
      <c r="AH101" s="81">
        <f>'Rock Climbing Log'!AH101</f>
        <v>0</v>
      </c>
      <c r="AI101" s="82">
        <f>'Rock Climbing Log'!AI101</f>
        <v>0</v>
      </c>
      <c r="AJ101" s="83">
        <f>'Rock Climbing Log'!AJ101</f>
        <v>0</v>
      </c>
      <c r="AK101" s="81">
        <f>'Rock Climbing Log'!AK101</f>
        <v>0</v>
      </c>
      <c r="AL101" s="82">
        <f>'Rock Climbing Log'!AL101</f>
        <v>0</v>
      </c>
      <c r="AM101" s="83">
        <f>'Rock Climbing Log'!AM101</f>
        <v>0</v>
      </c>
      <c r="AN101" s="81">
        <f>'Rock Climbing Log'!AN101</f>
        <v>0</v>
      </c>
      <c r="AO101" s="82">
        <f>'Rock Climbing Log'!AO101</f>
        <v>0</v>
      </c>
      <c r="AP101" s="83">
        <f>'Rock Climbing Log'!AP101</f>
        <v>0</v>
      </c>
      <c r="AQ101" s="81">
        <f>'Rock Climbing Log'!AQ101</f>
        <v>0</v>
      </c>
      <c r="AR101" s="82">
        <f>'Rock Climbing Log'!AR101</f>
        <v>0</v>
      </c>
      <c r="AS101" s="83">
        <f>'Rock Climbing Log'!AS101</f>
        <v>0</v>
      </c>
      <c r="AT101" s="81" t="str">
        <f>'Rock Climbing Log'!AT101</f>
        <v>F</v>
      </c>
      <c r="AU101" s="82">
        <f>'Rock Climbing Log'!AU101</f>
        <v>0</v>
      </c>
      <c r="AV101" s="83">
        <f>'Rock Climbing Log'!AV101</f>
        <v>0</v>
      </c>
      <c r="AW101" s="66">
        <f ca="1">'RC Template'!AW101</f>
        <v>347.34832130930022</v>
      </c>
      <c r="AX101" s="66">
        <f ca="1">'RC Template'!BC101</f>
        <v>105.11187305712281</v>
      </c>
      <c r="AY101" s="75">
        <f>'Rock Climbing Log'!AY101</f>
        <v>0</v>
      </c>
    </row>
    <row r="102" spans="1:51" x14ac:dyDescent="0.3">
      <c r="A102" s="28">
        <f t="shared" si="13"/>
        <v>95</v>
      </c>
      <c r="B102" s="19">
        <f>'Rock Climbing Log'!B102</f>
        <v>43189</v>
      </c>
      <c r="C102" s="24" t="str">
        <f>'Rock Climbing Log'!C102</f>
        <v>Angel</v>
      </c>
      <c r="D102" s="81">
        <f>'Rock Climbing Log'!D102</f>
        <v>0</v>
      </c>
      <c r="E102" s="82">
        <f>'Rock Climbing Log'!E102</f>
        <v>0</v>
      </c>
      <c r="F102" s="83">
        <f>'Rock Climbing Log'!F102</f>
        <v>0</v>
      </c>
      <c r="G102" s="81">
        <f>'Rock Climbing Log'!G102</f>
        <v>0</v>
      </c>
      <c r="H102" s="82">
        <f>'Rock Climbing Log'!H102</f>
        <v>0</v>
      </c>
      <c r="I102" s="83">
        <f>'Rock Climbing Log'!I102</f>
        <v>0</v>
      </c>
      <c r="J102" s="81">
        <f>'Rock Climbing Log'!J102</f>
        <v>0</v>
      </c>
      <c r="K102" s="82">
        <f>'Rock Climbing Log'!K102</f>
        <v>0</v>
      </c>
      <c r="L102" s="83">
        <f>'Rock Climbing Log'!L102</f>
        <v>0</v>
      </c>
      <c r="M102" s="81">
        <f>'Rock Climbing Log'!M102</f>
        <v>0</v>
      </c>
      <c r="N102" s="82">
        <f>'Rock Climbing Log'!N102</f>
        <v>0</v>
      </c>
      <c r="O102" s="83">
        <f>'Rock Climbing Log'!O102</f>
        <v>0</v>
      </c>
      <c r="P102" s="81">
        <f>'Rock Climbing Log'!P102</f>
        <v>0</v>
      </c>
      <c r="Q102" s="82">
        <f>'Rock Climbing Log'!Q102</f>
        <v>0</v>
      </c>
      <c r="R102" s="83">
        <f>'Rock Climbing Log'!R102</f>
        <v>0</v>
      </c>
      <c r="S102" s="81">
        <f>'Rock Climbing Log'!S102</f>
        <v>0</v>
      </c>
      <c r="T102" s="82">
        <f>'Rock Climbing Log'!T102</f>
        <v>0</v>
      </c>
      <c r="U102" s="83">
        <f>'Rock Climbing Log'!U102</f>
        <v>0</v>
      </c>
      <c r="V102" s="81" t="str">
        <f>'Rock Climbing Log'!V102</f>
        <v>F</v>
      </c>
      <c r="W102" s="82">
        <f>'Rock Climbing Log'!W102</f>
        <v>0</v>
      </c>
      <c r="X102" s="83">
        <f>'Rock Climbing Log'!X102</f>
        <v>0</v>
      </c>
      <c r="Y102" s="81">
        <f>'Rock Climbing Log'!Y102</f>
        <v>0</v>
      </c>
      <c r="Z102" s="82">
        <f>'Rock Climbing Log'!Z102</f>
        <v>0</v>
      </c>
      <c r="AA102" s="83">
        <f>'Rock Climbing Log'!AA102</f>
        <v>0</v>
      </c>
      <c r="AB102" s="81" t="str">
        <f>'Rock Climbing Log'!AB102</f>
        <v>C2</v>
      </c>
      <c r="AC102" s="82" t="str">
        <f>'Rock Climbing Log'!AC102</f>
        <v>F</v>
      </c>
      <c r="AD102" s="83">
        <f>'Rock Climbing Log'!AD102</f>
        <v>0</v>
      </c>
      <c r="AE102" s="81" t="str">
        <f>'Rock Climbing Log'!AE102</f>
        <v>C5</v>
      </c>
      <c r="AF102" s="82">
        <f>'Rock Climbing Log'!AF102</f>
        <v>0</v>
      </c>
      <c r="AG102" s="83">
        <f>'Rock Climbing Log'!AG102</f>
        <v>0</v>
      </c>
      <c r="AH102" s="81">
        <f>'Rock Climbing Log'!AH102</f>
        <v>0</v>
      </c>
      <c r="AI102" s="82">
        <f>'Rock Climbing Log'!AI102</f>
        <v>0</v>
      </c>
      <c r="AJ102" s="83">
        <f>'Rock Climbing Log'!AJ102</f>
        <v>0</v>
      </c>
      <c r="AK102" s="81">
        <f>'Rock Climbing Log'!AK102</f>
        <v>0</v>
      </c>
      <c r="AL102" s="82">
        <f>'Rock Climbing Log'!AL102</f>
        <v>0</v>
      </c>
      <c r="AM102" s="83">
        <f>'Rock Climbing Log'!AM102</f>
        <v>0</v>
      </c>
      <c r="AN102" s="81">
        <f>'Rock Climbing Log'!AN102</f>
        <v>0</v>
      </c>
      <c r="AO102" s="82">
        <f>'Rock Climbing Log'!AO102</f>
        <v>0</v>
      </c>
      <c r="AP102" s="83">
        <f>'Rock Climbing Log'!AP102</f>
        <v>0</v>
      </c>
      <c r="AQ102" s="81">
        <f>'Rock Climbing Log'!AQ102</f>
        <v>0</v>
      </c>
      <c r="AR102" s="82">
        <f>'Rock Climbing Log'!AR102</f>
        <v>0</v>
      </c>
      <c r="AS102" s="83">
        <f>'Rock Climbing Log'!AS102</f>
        <v>0</v>
      </c>
      <c r="AT102" s="81">
        <f>'Rock Climbing Log'!AT102</f>
        <v>0</v>
      </c>
      <c r="AU102" s="82">
        <f>'Rock Climbing Log'!AU102</f>
        <v>0</v>
      </c>
      <c r="AV102" s="83">
        <f>'Rock Climbing Log'!AV102</f>
        <v>0</v>
      </c>
      <c r="AW102" s="66">
        <f ca="1">'RC Template'!AW102</f>
        <v>137.87811629646592</v>
      </c>
      <c r="AX102" s="66">
        <f ca="1">'RC Template'!BC102</f>
        <v>229.76813947667526</v>
      </c>
      <c r="AY102" s="75">
        <f>'Rock Climbing Log'!AY102</f>
        <v>0</v>
      </c>
    </row>
    <row r="103" spans="1:51" x14ac:dyDescent="0.3">
      <c r="A103" s="28">
        <f t="shared" si="13"/>
        <v>96</v>
      </c>
      <c r="B103" s="19">
        <f>'Rock Climbing Log'!B103</f>
        <v>43189</v>
      </c>
      <c r="C103" s="24" t="str">
        <f>'Rock Climbing Log'!C103</f>
        <v>Edwin</v>
      </c>
      <c r="D103" s="81">
        <f>'Rock Climbing Log'!D103</f>
        <v>0</v>
      </c>
      <c r="E103" s="82">
        <f>'Rock Climbing Log'!E103</f>
        <v>0</v>
      </c>
      <c r="F103" s="83">
        <f>'Rock Climbing Log'!F103</f>
        <v>0</v>
      </c>
      <c r="G103" s="81">
        <f>'Rock Climbing Log'!G103</f>
        <v>0</v>
      </c>
      <c r="H103" s="82">
        <f>'Rock Climbing Log'!H103</f>
        <v>0</v>
      </c>
      <c r="I103" s="83">
        <f>'Rock Climbing Log'!I103</f>
        <v>0</v>
      </c>
      <c r="J103" s="81">
        <f>'Rock Climbing Log'!J103</f>
        <v>0</v>
      </c>
      <c r="K103" s="82">
        <f>'Rock Climbing Log'!K103</f>
        <v>0</v>
      </c>
      <c r="L103" s="83">
        <f>'Rock Climbing Log'!L103</f>
        <v>0</v>
      </c>
      <c r="M103" s="81">
        <f>'Rock Climbing Log'!M103</f>
        <v>0</v>
      </c>
      <c r="N103" s="82">
        <f>'Rock Climbing Log'!N103</f>
        <v>0</v>
      </c>
      <c r="O103" s="83">
        <f>'Rock Climbing Log'!O103</f>
        <v>0</v>
      </c>
      <c r="P103" s="81">
        <f>'Rock Climbing Log'!P103</f>
        <v>0</v>
      </c>
      <c r="Q103" s="82">
        <f>'Rock Climbing Log'!Q103</f>
        <v>0</v>
      </c>
      <c r="R103" s="83">
        <f>'Rock Climbing Log'!R103</f>
        <v>0</v>
      </c>
      <c r="S103" s="81">
        <f>'Rock Climbing Log'!S103</f>
        <v>0</v>
      </c>
      <c r="T103" s="82">
        <f>'Rock Climbing Log'!T103</f>
        <v>0</v>
      </c>
      <c r="U103" s="83">
        <f>'Rock Climbing Log'!U103</f>
        <v>0</v>
      </c>
      <c r="V103" s="81" t="str">
        <f>'Rock Climbing Log'!V103</f>
        <v>F</v>
      </c>
      <c r="W103" s="82">
        <f>'Rock Climbing Log'!W103</f>
        <v>0</v>
      </c>
      <c r="X103" s="83">
        <f>'Rock Climbing Log'!X103</f>
        <v>0</v>
      </c>
      <c r="Y103" s="81">
        <f>'Rock Climbing Log'!Y103</f>
        <v>0</v>
      </c>
      <c r="Z103" s="82">
        <f>'Rock Climbing Log'!Z103</f>
        <v>0</v>
      </c>
      <c r="AA103" s="83">
        <f>'Rock Climbing Log'!AA103</f>
        <v>0</v>
      </c>
      <c r="AB103" s="81" t="str">
        <f>'Rock Climbing Log'!AB103</f>
        <v>F</v>
      </c>
      <c r="AC103" s="82">
        <f>'Rock Climbing Log'!AC103</f>
        <v>0</v>
      </c>
      <c r="AD103" s="83">
        <f>'Rock Climbing Log'!AD103</f>
        <v>0</v>
      </c>
      <c r="AE103" s="81" t="str">
        <f>'Rock Climbing Log'!AE103</f>
        <v>C4</v>
      </c>
      <c r="AF103" s="82">
        <f>'Rock Climbing Log'!AF103</f>
        <v>0</v>
      </c>
      <c r="AG103" s="83">
        <f>'Rock Climbing Log'!AG103</f>
        <v>0</v>
      </c>
      <c r="AH103" s="81">
        <f>'Rock Climbing Log'!AH103</f>
        <v>0</v>
      </c>
      <c r="AI103" s="82">
        <f>'Rock Climbing Log'!AI103</f>
        <v>0</v>
      </c>
      <c r="AJ103" s="83">
        <f>'Rock Climbing Log'!AJ103</f>
        <v>0</v>
      </c>
      <c r="AK103" s="81">
        <f>'Rock Climbing Log'!AK103</f>
        <v>0</v>
      </c>
      <c r="AL103" s="82">
        <f>'Rock Climbing Log'!AL103</f>
        <v>0</v>
      </c>
      <c r="AM103" s="83">
        <f>'Rock Climbing Log'!AM103</f>
        <v>0</v>
      </c>
      <c r="AN103" s="81">
        <f>'Rock Climbing Log'!AN103</f>
        <v>0</v>
      </c>
      <c r="AO103" s="82">
        <f>'Rock Climbing Log'!AO103</f>
        <v>0</v>
      </c>
      <c r="AP103" s="83">
        <f>'Rock Climbing Log'!AP103</f>
        <v>0</v>
      </c>
      <c r="AQ103" s="81">
        <f>'Rock Climbing Log'!AQ103</f>
        <v>0</v>
      </c>
      <c r="AR103" s="82">
        <f>'Rock Climbing Log'!AR103</f>
        <v>0</v>
      </c>
      <c r="AS103" s="83">
        <f>'Rock Climbing Log'!AS103</f>
        <v>0</v>
      </c>
      <c r="AT103" s="81">
        <f>'Rock Climbing Log'!AT103</f>
        <v>0</v>
      </c>
      <c r="AU103" s="82">
        <f>'Rock Climbing Log'!AU103</f>
        <v>0</v>
      </c>
      <c r="AV103" s="83">
        <f>'Rock Climbing Log'!AV103</f>
        <v>0</v>
      </c>
      <c r="AW103" s="66">
        <f ca="1">'RC Template'!AW103</f>
        <v>133.81949581994093</v>
      </c>
      <c r="AX103" s="66">
        <f ca="1">'RC Template'!BC103</f>
        <v>102.69403140294374</v>
      </c>
      <c r="AY103" s="75">
        <f>'Rock Climbing Log'!AY103</f>
        <v>0</v>
      </c>
    </row>
    <row r="104" spans="1:51" x14ac:dyDescent="0.3">
      <c r="A104" s="28">
        <f t="shared" si="13"/>
        <v>97</v>
      </c>
      <c r="B104" s="19">
        <f>'Rock Climbing Log'!B104</f>
        <v>43189</v>
      </c>
      <c r="C104" s="24" t="str">
        <f>'Rock Climbing Log'!C104</f>
        <v>Benjie</v>
      </c>
      <c r="D104" s="81">
        <f>'Rock Climbing Log'!D104</f>
        <v>0</v>
      </c>
      <c r="E104" s="82">
        <f>'Rock Climbing Log'!E104</f>
        <v>0</v>
      </c>
      <c r="F104" s="83">
        <f>'Rock Climbing Log'!F104</f>
        <v>0</v>
      </c>
      <c r="G104" s="81">
        <f>'Rock Climbing Log'!G104</f>
        <v>0</v>
      </c>
      <c r="H104" s="82">
        <f>'Rock Climbing Log'!H104</f>
        <v>0</v>
      </c>
      <c r="I104" s="83">
        <f>'Rock Climbing Log'!I104</f>
        <v>0</v>
      </c>
      <c r="J104" s="81">
        <f>'Rock Climbing Log'!J104</f>
        <v>0</v>
      </c>
      <c r="K104" s="82">
        <f>'Rock Climbing Log'!K104</f>
        <v>0</v>
      </c>
      <c r="L104" s="83">
        <f>'Rock Climbing Log'!L104</f>
        <v>0</v>
      </c>
      <c r="M104" s="81">
        <f>'Rock Climbing Log'!M104</f>
        <v>0</v>
      </c>
      <c r="N104" s="82">
        <f>'Rock Climbing Log'!N104</f>
        <v>0</v>
      </c>
      <c r="O104" s="83">
        <f>'Rock Climbing Log'!O104</f>
        <v>0</v>
      </c>
      <c r="P104" s="81" t="str">
        <f>'Rock Climbing Log'!P104</f>
        <v>F</v>
      </c>
      <c r="Q104" s="82">
        <f>'Rock Climbing Log'!Q104</f>
        <v>0</v>
      </c>
      <c r="R104" s="83">
        <f>'Rock Climbing Log'!R104</f>
        <v>0</v>
      </c>
      <c r="S104" s="81">
        <f>'Rock Climbing Log'!S104</f>
        <v>0</v>
      </c>
      <c r="T104" s="82">
        <f>'Rock Climbing Log'!T104</f>
        <v>0</v>
      </c>
      <c r="U104" s="83">
        <f>'Rock Climbing Log'!U104</f>
        <v>0</v>
      </c>
      <c r="V104" s="81">
        <f>'Rock Climbing Log'!V104</f>
        <v>0</v>
      </c>
      <c r="W104" s="82">
        <f>'Rock Climbing Log'!W104</f>
        <v>0</v>
      </c>
      <c r="X104" s="83">
        <f>'Rock Climbing Log'!X104</f>
        <v>0</v>
      </c>
      <c r="Y104" s="81">
        <f>'Rock Climbing Log'!Y104</f>
        <v>0</v>
      </c>
      <c r="Z104" s="82">
        <f>'Rock Climbing Log'!Z104</f>
        <v>0</v>
      </c>
      <c r="AA104" s="83">
        <f>'Rock Climbing Log'!AA104</f>
        <v>0</v>
      </c>
      <c r="AB104" s="81">
        <f>'Rock Climbing Log'!AB104</f>
        <v>0</v>
      </c>
      <c r="AC104" s="82">
        <f>'Rock Climbing Log'!AC104</f>
        <v>0</v>
      </c>
      <c r="AD104" s="83">
        <f>'Rock Climbing Log'!AD104</f>
        <v>0</v>
      </c>
      <c r="AE104" s="81" t="str">
        <f>'Rock Climbing Log'!AE104</f>
        <v>A</v>
      </c>
      <c r="AF104" s="82" t="str">
        <f>'Rock Climbing Log'!AF104</f>
        <v>A</v>
      </c>
      <c r="AG104" s="83">
        <f>'Rock Climbing Log'!AG104</f>
        <v>0</v>
      </c>
      <c r="AH104" s="81">
        <f>'Rock Climbing Log'!AH104</f>
        <v>0</v>
      </c>
      <c r="AI104" s="82">
        <f>'Rock Climbing Log'!AI104</f>
        <v>0</v>
      </c>
      <c r="AJ104" s="83">
        <f>'Rock Climbing Log'!AJ104</f>
        <v>0</v>
      </c>
      <c r="AK104" s="81">
        <f>'Rock Climbing Log'!AK104</f>
        <v>0</v>
      </c>
      <c r="AL104" s="82">
        <f>'Rock Climbing Log'!AL104</f>
        <v>0</v>
      </c>
      <c r="AM104" s="83">
        <f>'Rock Climbing Log'!AM104</f>
        <v>0</v>
      </c>
      <c r="AN104" s="81">
        <f>'Rock Climbing Log'!AN104</f>
        <v>0</v>
      </c>
      <c r="AO104" s="82">
        <f>'Rock Climbing Log'!AO104</f>
        <v>0</v>
      </c>
      <c r="AP104" s="83">
        <f>'Rock Climbing Log'!AP104</f>
        <v>0</v>
      </c>
      <c r="AQ104" s="81">
        <f>'Rock Climbing Log'!AQ104</f>
        <v>0</v>
      </c>
      <c r="AR104" s="82">
        <f>'Rock Climbing Log'!AR104</f>
        <v>0</v>
      </c>
      <c r="AS104" s="83">
        <f>'Rock Climbing Log'!AS104</f>
        <v>0</v>
      </c>
      <c r="AT104" s="81">
        <f>'Rock Climbing Log'!AT104</f>
        <v>0</v>
      </c>
      <c r="AU104" s="82">
        <f>'Rock Climbing Log'!AU104</f>
        <v>0</v>
      </c>
      <c r="AV104" s="83">
        <f>'Rock Climbing Log'!AV104</f>
        <v>0</v>
      </c>
      <c r="AW104" s="66">
        <f ca="1">'RC Template'!AW104</f>
        <v>91.790661846932892</v>
      </c>
      <c r="AX104" s="66">
        <f ca="1">'RC Template'!BC104</f>
        <v>105.87534866988081</v>
      </c>
      <c r="AY104" s="75">
        <f>'Rock Climbing Log'!AY104</f>
        <v>0</v>
      </c>
    </row>
    <row r="105" spans="1:51" x14ac:dyDescent="0.3">
      <c r="A105" s="28">
        <f t="shared" si="13"/>
        <v>98</v>
      </c>
      <c r="B105" s="19">
        <f>'Rock Climbing Log'!B105</f>
        <v>43212</v>
      </c>
      <c r="C105" s="24" t="str">
        <f>'Rock Climbing Log'!C105</f>
        <v>Lester</v>
      </c>
      <c r="D105" s="81">
        <f>'Rock Climbing Log'!D105</f>
        <v>0</v>
      </c>
      <c r="E105" s="82">
        <f>'Rock Climbing Log'!E105</f>
        <v>0</v>
      </c>
      <c r="F105" s="83">
        <f>'Rock Climbing Log'!F105</f>
        <v>0</v>
      </c>
      <c r="G105" s="81">
        <f>'Rock Climbing Log'!G105</f>
        <v>0</v>
      </c>
      <c r="H105" s="82">
        <f>'Rock Climbing Log'!H105</f>
        <v>0</v>
      </c>
      <c r="I105" s="83">
        <f>'Rock Climbing Log'!I105</f>
        <v>0</v>
      </c>
      <c r="J105" s="81">
        <f>'Rock Climbing Log'!J105</f>
        <v>0</v>
      </c>
      <c r="K105" s="82">
        <f>'Rock Climbing Log'!K105</f>
        <v>0</v>
      </c>
      <c r="L105" s="83">
        <f>'Rock Climbing Log'!L105</f>
        <v>0</v>
      </c>
      <c r="M105" s="81" t="str">
        <f>'Rock Climbing Log'!M105</f>
        <v>F</v>
      </c>
      <c r="N105" s="82">
        <f>'Rock Climbing Log'!N105</f>
        <v>0</v>
      </c>
      <c r="O105" s="83">
        <f>'Rock Climbing Log'!O105</f>
        <v>0</v>
      </c>
      <c r="P105" s="81">
        <f>'Rock Climbing Log'!P105</f>
        <v>0</v>
      </c>
      <c r="Q105" s="82">
        <f>'Rock Climbing Log'!Q105</f>
        <v>0</v>
      </c>
      <c r="R105" s="83">
        <f>'Rock Climbing Log'!R105</f>
        <v>0</v>
      </c>
      <c r="S105" s="81">
        <f>'Rock Climbing Log'!S105</f>
        <v>0</v>
      </c>
      <c r="T105" s="82">
        <f>'Rock Climbing Log'!T105</f>
        <v>0</v>
      </c>
      <c r="U105" s="83">
        <f>'Rock Climbing Log'!U105</f>
        <v>0</v>
      </c>
      <c r="V105" s="81">
        <f>'Rock Climbing Log'!V105</f>
        <v>0</v>
      </c>
      <c r="W105" s="82">
        <f>'Rock Climbing Log'!W105</f>
        <v>0</v>
      </c>
      <c r="X105" s="83">
        <f>'Rock Climbing Log'!X105</f>
        <v>0</v>
      </c>
      <c r="Y105" s="81">
        <f>'Rock Climbing Log'!Y105</f>
        <v>0</v>
      </c>
      <c r="Z105" s="82">
        <f>'Rock Climbing Log'!Z105</f>
        <v>0</v>
      </c>
      <c r="AA105" s="83">
        <f>'Rock Climbing Log'!AA105</f>
        <v>0</v>
      </c>
      <c r="AB105" s="81">
        <f>'Rock Climbing Log'!AB105</f>
        <v>0</v>
      </c>
      <c r="AC105" s="82">
        <f>'Rock Climbing Log'!AC105</f>
        <v>0</v>
      </c>
      <c r="AD105" s="83">
        <f>'Rock Climbing Log'!AD105</f>
        <v>0</v>
      </c>
      <c r="AE105" s="81" t="str">
        <f>'Rock Climbing Log'!AE105</f>
        <v>F</v>
      </c>
      <c r="AF105" s="82">
        <f>'Rock Climbing Log'!AF105</f>
        <v>0</v>
      </c>
      <c r="AG105" s="83">
        <f>'Rock Climbing Log'!AG105</f>
        <v>0</v>
      </c>
      <c r="AH105" s="81">
        <f>'Rock Climbing Log'!AH105</f>
        <v>0</v>
      </c>
      <c r="AI105" s="82">
        <f>'Rock Climbing Log'!AI105</f>
        <v>0</v>
      </c>
      <c r="AJ105" s="83">
        <f>'Rock Climbing Log'!AJ105</f>
        <v>0</v>
      </c>
      <c r="AK105" s="81">
        <f>'Rock Climbing Log'!AK105</f>
        <v>0</v>
      </c>
      <c r="AL105" s="82">
        <f>'Rock Climbing Log'!AL105</f>
        <v>0</v>
      </c>
      <c r="AM105" s="83">
        <f>'Rock Climbing Log'!AM105</f>
        <v>0</v>
      </c>
      <c r="AN105" s="81" t="str">
        <f>'Rock Climbing Log'!AN105</f>
        <v>F</v>
      </c>
      <c r="AO105" s="82" t="str">
        <f>'Rock Climbing Log'!AO105</f>
        <v>C3</v>
      </c>
      <c r="AP105" s="83" t="str">
        <f>'Rock Climbing Log'!AP105</f>
        <v>A</v>
      </c>
      <c r="AQ105" s="81">
        <f>'Rock Climbing Log'!AQ105</f>
        <v>0</v>
      </c>
      <c r="AR105" s="82">
        <f>'Rock Climbing Log'!AR105</f>
        <v>0</v>
      </c>
      <c r="AS105" s="83">
        <f>'Rock Climbing Log'!AS105</f>
        <v>0</v>
      </c>
      <c r="AT105" s="81">
        <f>'Rock Climbing Log'!AT105</f>
        <v>0</v>
      </c>
      <c r="AU105" s="82">
        <f>'Rock Climbing Log'!AU105</f>
        <v>0</v>
      </c>
      <c r="AV105" s="83">
        <f>'Rock Climbing Log'!AV105</f>
        <v>0</v>
      </c>
      <c r="AW105" s="66">
        <f ca="1">'RC Template'!AW105</f>
        <v>317.22306475271728</v>
      </c>
      <c r="AX105" s="66">
        <f ca="1">'RC Template'!BC105</f>
        <v>95.99560000000001</v>
      </c>
      <c r="AY105" s="75">
        <f>'Rock Climbing Log'!AY105</f>
        <v>0</v>
      </c>
    </row>
    <row r="106" spans="1:51" x14ac:dyDescent="0.3">
      <c r="A106" s="28">
        <f t="shared" si="13"/>
        <v>99</v>
      </c>
      <c r="B106" s="19">
        <f>'Rock Climbing Log'!B106</f>
        <v>43212</v>
      </c>
      <c r="C106" s="24" t="str">
        <f>'Rock Climbing Log'!C106</f>
        <v>Edwin</v>
      </c>
      <c r="D106" s="81">
        <f>'Rock Climbing Log'!D106</f>
        <v>0</v>
      </c>
      <c r="E106" s="82">
        <f>'Rock Climbing Log'!E106</f>
        <v>0</v>
      </c>
      <c r="F106" s="83">
        <f>'Rock Climbing Log'!F106</f>
        <v>0</v>
      </c>
      <c r="G106" s="81">
        <f>'Rock Climbing Log'!G106</f>
        <v>0</v>
      </c>
      <c r="H106" s="82">
        <f>'Rock Climbing Log'!H106</f>
        <v>0</v>
      </c>
      <c r="I106" s="83">
        <f>'Rock Climbing Log'!I106</f>
        <v>0</v>
      </c>
      <c r="J106" s="81">
        <f>'Rock Climbing Log'!J106</f>
        <v>0</v>
      </c>
      <c r="K106" s="82">
        <f>'Rock Climbing Log'!K106</f>
        <v>0</v>
      </c>
      <c r="L106" s="83">
        <f>'Rock Climbing Log'!L106</f>
        <v>0</v>
      </c>
      <c r="M106" s="81" t="str">
        <f>'Rock Climbing Log'!M106</f>
        <v>F</v>
      </c>
      <c r="N106" s="82">
        <f>'Rock Climbing Log'!N106</f>
        <v>0</v>
      </c>
      <c r="O106" s="83">
        <f>'Rock Climbing Log'!O106</f>
        <v>0</v>
      </c>
      <c r="P106" s="81">
        <f>'Rock Climbing Log'!P106</f>
        <v>0</v>
      </c>
      <c r="Q106" s="82">
        <f>'Rock Climbing Log'!Q106</f>
        <v>0</v>
      </c>
      <c r="R106" s="83">
        <f>'Rock Climbing Log'!R106</f>
        <v>0</v>
      </c>
      <c r="S106" s="81">
        <f>'Rock Climbing Log'!S106</f>
        <v>0</v>
      </c>
      <c r="T106" s="82">
        <f>'Rock Climbing Log'!T106</f>
        <v>0</v>
      </c>
      <c r="U106" s="83">
        <f>'Rock Climbing Log'!U106</f>
        <v>0</v>
      </c>
      <c r="V106" s="81" t="str">
        <f>'Rock Climbing Log'!V106</f>
        <v>F</v>
      </c>
      <c r="W106" s="82">
        <f>'Rock Climbing Log'!W106</f>
        <v>0</v>
      </c>
      <c r="X106" s="83">
        <f>'Rock Climbing Log'!X106</f>
        <v>0</v>
      </c>
      <c r="Y106" s="81">
        <f>'Rock Climbing Log'!Y106</f>
        <v>0</v>
      </c>
      <c r="Z106" s="82">
        <f>'Rock Climbing Log'!Z106</f>
        <v>0</v>
      </c>
      <c r="AA106" s="83">
        <f>'Rock Climbing Log'!AA106</f>
        <v>0</v>
      </c>
      <c r="AB106" s="81">
        <f>'Rock Climbing Log'!AB106</f>
        <v>0</v>
      </c>
      <c r="AC106" s="82">
        <f>'Rock Climbing Log'!AC106</f>
        <v>0</v>
      </c>
      <c r="AD106" s="83">
        <f>'Rock Climbing Log'!AD106</f>
        <v>0</v>
      </c>
      <c r="AE106" s="81" t="str">
        <f>'Rock Climbing Log'!AE106</f>
        <v>C4</v>
      </c>
      <c r="AF106" s="82" t="str">
        <f>'Rock Climbing Log'!AF106</f>
        <v>C4</v>
      </c>
      <c r="AG106" s="83" t="str">
        <f>'Rock Climbing Log'!AG106</f>
        <v>A</v>
      </c>
      <c r="AH106" s="81">
        <f>'Rock Climbing Log'!AH106</f>
        <v>0</v>
      </c>
      <c r="AI106" s="82">
        <f>'Rock Climbing Log'!AI106</f>
        <v>0</v>
      </c>
      <c r="AJ106" s="83">
        <f>'Rock Climbing Log'!AJ106</f>
        <v>0</v>
      </c>
      <c r="AK106" s="81">
        <f>'Rock Climbing Log'!AK106</f>
        <v>0</v>
      </c>
      <c r="AL106" s="82">
        <f>'Rock Climbing Log'!AL106</f>
        <v>0</v>
      </c>
      <c r="AM106" s="83">
        <f>'Rock Climbing Log'!AM106</f>
        <v>0</v>
      </c>
      <c r="AN106" s="81">
        <f>'Rock Climbing Log'!AN106</f>
        <v>0</v>
      </c>
      <c r="AO106" s="82">
        <f>'Rock Climbing Log'!AO106</f>
        <v>0</v>
      </c>
      <c r="AP106" s="83">
        <f>'Rock Climbing Log'!AP106</f>
        <v>0</v>
      </c>
      <c r="AQ106" s="81">
        <f>'Rock Climbing Log'!AQ106</f>
        <v>0</v>
      </c>
      <c r="AR106" s="82">
        <f>'Rock Climbing Log'!AR106</f>
        <v>0</v>
      </c>
      <c r="AS106" s="83">
        <f>'Rock Climbing Log'!AS106</f>
        <v>0</v>
      </c>
      <c r="AT106" s="81">
        <f>'Rock Climbing Log'!AT106</f>
        <v>0</v>
      </c>
      <c r="AU106" s="82">
        <f>'Rock Climbing Log'!AU106</f>
        <v>0</v>
      </c>
      <c r="AV106" s="83">
        <f>'Rock Climbing Log'!AV106</f>
        <v>0</v>
      </c>
      <c r="AW106" s="66">
        <f ca="1">'RC Template'!AW106</f>
        <v>124.31270473994539</v>
      </c>
      <c r="AX106" s="66">
        <f ca="1">'RC Template'!BC106</f>
        <v>95.398452416277081</v>
      </c>
      <c r="AY106" s="75">
        <f>'Rock Climbing Log'!AY106</f>
        <v>0</v>
      </c>
    </row>
    <row r="107" spans="1:51" x14ac:dyDescent="0.3">
      <c r="A107" s="28">
        <f t="shared" si="13"/>
        <v>100</v>
      </c>
      <c r="B107" s="19">
        <f>'Rock Climbing Log'!B107</f>
        <v>43212</v>
      </c>
      <c r="C107" s="24" t="str">
        <f>'Rock Climbing Log'!C107</f>
        <v>Angel</v>
      </c>
      <c r="D107" s="81">
        <f>'Rock Climbing Log'!D107</f>
        <v>0</v>
      </c>
      <c r="E107" s="82">
        <f>'Rock Climbing Log'!E107</f>
        <v>0</v>
      </c>
      <c r="F107" s="83">
        <f>'Rock Climbing Log'!F107</f>
        <v>0</v>
      </c>
      <c r="G107" s="81">
        <f>'Rock Climbing Log'!G107</f>
        <v>0</v>
      </c>
      <c r="H107" s="82">
        <f>'Rock Climbing Log'!H107</f>
        <v>0</v>
      </c>
      <c r="I107" s="83">
        <f>'Rock Climbing Log'!I107</f>
        <v>0</v>
      </c>
      <c r="J107" s="81">
        <f>'Rock Climbing Log'!J107</f>
        <v>0</v>
      </c>
      <c r="K107" s="82">
        <f>'Rock Climbing Log'!K107</f>
        <v>0</v>
      </c>
      <c r="L107" s="83">
        <f>'Rock Climbing Log'!L107</f>
        <v>0</v>
      </c>
      <c r="M107" s="81" t="str">
        <f>'Rock Climbing Log'!M107</f>
        <v>F</v>
      </c>
      <c r="N107" s="82">
        <f>'Rock Climbing Log'!N107</f>
        <v>0</v>
      </c>
      <c r="O107" s="83">
        <f>'Rock Climbing Log'!O107</f>
        <v>0</v>
      </c>
      <c r="P107" s="81">
        <f>'Rock Climbing Log'!P107</f>
        <v>0</v>
      </c>
      <c r="Q107" s="82">
        <f>'Rock Climbing Log'!Q107</f>
        <v>0</v>
      </c>
      <c r="R107" s="83">
        <f>'Rock Climbing Log'!R107</f>
        <v>0</v>
      </c>
      <c r="S107" s="81">
        <f>'Rock Climbing Log'!S107</f>
        <v>0</v>
      </c>
      <c r="T107" s="82">
        <f>'Rock Climbing Log'!T107</f>
        <v>0</v>
      </c>
      <c r="U107" s="83">
        <f>'Rock Climbing Log'!U107</f>
        <v>0</v>
      </c>
      <c r="V107" s="81" t="str">
        <f>'Rock Climbing Log'!V107</f>
        <v>F</v>
      </c>
      <c r="W107" s="82">
        <f>'Rock Climbing Log'!W107</f>
        <v>0</v>
      </c>
      <c r="X107" s="83">
        <f>'Rock Climbing Log'!X107</f>
        <v>0</v>
      </c>
      <c r="Y107" s="81">
        <f>'Rock Climbing Log'!Y107</f>
        <v>0</v>
      </c>
      <c r="Z107" s="82">
        <f>'Rock Climbing Log'!Z107</f>
        <v>0</v>
      </c>
      <c r="AA107" s="83">
        <f>'Rock Climbing Log'!AA107</f>
        <v>0</v>
      </c>
      <c r="AB107" s="81">
        <f>'Rock Climbing Log'!AB107</f>
        <v>0</v>
      </c>
      <c r="AC107" s="82">
        <f>'Rock Climbing Log'!AC107</f>
        <v>0</v>
      </c>
      <c r="AD107" s="83">
        <f>'Rock Climbing Log'!AD107</f>
        <v>0</v>
      </c>
      <c r="AE107" s="81" t="str">
        <f>'Rock Climbing Log'!AE107</f>
        <v>C3</v>
      </c>
      <c r="AF107" s="82" t="str">
        <f>'Rock Climbing Log'!AF107</f>
        <v>C3</v>
      </c>
      <c r="AG107" s="83" t="str">
        <f>'Rock Climbing Log'!AG107</f>
        <v>A</v>
      </c>
      <c r="AH107" s="81">
        <f>'Rock Climbing Log'!AH107</f>
        <v>0</v>
      </c>
      <c r="AI107" s="82">
        <f>'Rock Climbing Log'!AI107</f>
        <v>0</v>
      </c>
      <c r="AJ107" s="83">
        <f>'Rock Climbing Log'!AJ107</f>
        <v>0</v>
      </c>
      <c r="AK107" s="81">
        <f>'Rock Climbing Log'!AK107</f>
        <v>0</v>
      </c>
      <c r="AL107" s="82">
        <f>'Rock Climbing Log'!AL107</f>
        <v>0</v>
      </c>
      <c r="AM107" s="83">
        <f>'Rock Climbing Log'!AM107</f>
        <v>0</v>
      </c>
      <c r="AN107" s="81">
        <f>'Rock Climbing Log'!AN107</f>
        <v>0</v>
      </c>
      <c r="AO107" s="82">
        <f>'Rock Climbing Log'!AO107</f>
        <v>0</v>
      </c>
      <c r="AP107" s="83">
        <f>'Rock Climbing Log'!AP107</f>
        <v>0</v>
      </c>
      <c r="AQ107" s="81">
        <f>'Rock Climbing Log'!AQ107</f>
        <v>0</v>
      </c>
      <c r="AR107" s="82">
        <f>'Rock Climbing Log'!AR107</f>
        <v>0</v>
      </c>
      <c r="AS107" s="83">
        <f>'Rock Climbing Log'!AS107</f>
        <v>0</v>
      </c>
      <c r="AT107" s="81">
        <f>'Rock Climbing Log'!AT107</f>
        <v>0</v>
      </c>
      <c r="AU107" s="82">
        <f>'Rock Climbing Log'!AU107</f>
        <v>0</v>
      </c>
      <c r="AV107" s="83">
        <f>'Rock Climbing Log'!AV107</f>
        <v>0</v>
      </c>
      <c r="AW107" s="66">
        <f ca="1">'RC Template'!AW107</f>
        <v>134.2078112952282</v>
      </c>
      <c r="AX107" s="66">
        <f ca="1">'RC Template'!BC107</f>
        <v>223.65172902591874</v>
      </c>
      <c r="AY107" s="75">
        <f>'Rock Climbing Log'!AY107</f>
        <v>0</v>
      </c>
    </row>
    <row r="108" spans="1:51" x14ac:dyDescent="0.3">
      <c r="A108" s="28">
        <f t="shared" si="13"/>
        <v>101</v>
      </c>
      <c r="B108" s="19">
        <f>'Rock Climbing Log'!B108</f>
        <v>43219</v>
      </c>
      <c r="C108" s="24" t="str">
        <f>'Rock Climbing Log'!C108</f>
        <v>Lester</v>
      </c>
      <c r="D108" s="81">
        <f>'Rock Climbing Log'!D108</f>
        <v>0</v>
      </c>
      <c r="E108" s="82">
        <f>'Rock Climbing Log'!E108</f>
        <v>0</v>
      </c>
      <c r="F108" s="83">
        <f>'Rock Climbing Log'!F108</f>
        <v>0</v>
      </c>
      <c r="G108" s="81">
        <f>'Rock Climbing Log'!G108</f>
        <v>0</v>
      </c>
      <c r="H108" s="82">
        <f>'Rock Climbing Log'!H108</f>
        <v>0</v>
      </c>
      <c r="I108" s="83">
        <f>'Rock Climbing Log'!I108</f>
        <v>0</v>
      </c>
      <c r="J108" s="81">
        <f>'Rock Climbing Log'!J108</f>
        <v>0</v>
      </c>
      <c r="K108" s="82">
        <f>'Rock Climbing Log'!K108</f>
        <v>0</v>
      </c>
      <c r="L108" s="83">
        <f>'Rock Climbing Log'!L108</f>
        <v>0</v>
      </c>
      <c r="M108" s="81">
        <f>'Rock Climbing Log'!M108</f>
        <v>0</v>
      </c>
      <c r="N108" s="82">
        <f>'Rock Climbing Log'!N108</f>
        <v>0</v>
      </c>
      <c r="O108" s="83">
        <f>'Rock Climbing Log'!O108</f>
        <v>0</v>
      </c>
      <c r="P108" s="81">
        <f>'Rock Climbing Log'!P108</f>
        <v>0</v>
      </c>
      <c r="Q108" s="82">
        <f>'Rock Climbing Log'!Q108</f>
        <v>0</v>
      </c>
      <c r="R108" s="83">
        <f>'Rock Climbing Log'!R108</f>
        <v>0</v>
      </c>
      <c r="S108" s="81">
        <f>'Rock Climbing Log'!S108</f>
        <v>0</v>
      </c>
      <c r="T108" s="82">
        <f>'Rock Climbing Log'!T108</f>
        <v>0</v>
      </c>
      <c r="U108" s="83">
        <f>'Rock Climbing Log'!U108</f>
        <v>0</v>
      </c>
      <c r="V108" s="81">
        <f>'Rock Climbing Log'!V108</f>
        <v>0</v>
      </c>
      <c r="W108" s="82">
        <f>'Rock Climbing Log'!W108</f>
        <v>0</v>
      </c>
      <c r="X108" s="83">
        <f>'Rock Climbing Log'!X108</f>
        <v>0</v>
      </c>
      <c r="Y108" s="81">
        <f>'Rock Climbing Log'!Y108</f>
        <v>0</v>
      </c>
      <c r="Z108" s="82">
        <f>'Rock Climbing Log'!Z108</f>
        <v>0</v>
      </c>
      <c r="AA108" s="83">
        <f>'Rock Climbing Log'!AA108</f>
        <v>0</v>
      </c>
      <c r="AB108" s="81">
        <f>'Rock Climbing Log'!AB108</f>
        <v>0</v>
      </c>
      <c r="AC108" s="82">
        <f>'Rock Climbing Log'!AC108</f>
        <v>0</v>
      </c>
      <c r="AD108" s="83">
        <f>'Rock Climbing Log'!AD108</f>
        <v>0</v>
      </c>
      <c r="AE108" s="81" t="str">
        <f>'Rock Climbing Log'!AE108</f>
        <v>F</v>
      </c>
      <c r="AF108" s="82">
        <f>'Rock Climbing Log'!AF108</f>
        <v>0</v>
      </c>
      <c r="AG108" s="83">
        <f>'Rock Climbing Log'!AG108</f>
        <v>0</v>
      </c>
      <c r="AH108" s="81">
        <f>'Rock Climbing Log'!AH108</f>
        <v>0</v>
      </c>
      <c r="AI108" s="82">
        <f>'Rock Climbing Log'!AI108</f>
        <v>0</v>
      </c>
      <c r="AJ108" s="83">
        <f>'Rock Climbing Log'!AJ108</f>
        <v>0</v>
      </c>
      <c r="AK108" s="81" t="str">
        <f>'Rock Climbing Log'!AK108</f>
        <v>C1</v>
      </c>
      <c r="AL108" s="82">
        <f>'Rock Climbing Log'!AL108</f>
        <v>0</v>
      </c>
      <c r="AM108" s="83">
        <f>'Rock Climbing Log'!AM108</f>
        <v>0</v>
      </c>
      <c r="AN108" s="81" t="str">
        <f>'Rock Climbing Log'!AN108</f>
        <v>C3</v>
      </c>
      <c r="AO108" s="82">
        <f>'Rock Climbing Log'!AO108</f>
        <v>0</v>
      </c>
      <c r="AP108" s="83">
        <f>'Rock Climbing Log'!AP108</f>
        <v>0</v>
      </c>
      <c r="AQ108" s="81">
        <f>'Rock Climbing Log'!AQ108</f>
        <v>0</v>
      </c>
      <c r="AR108" s="82">
        <f>'Rock Climbing Log'!AR108</f>
        <v>0</v>
      </c>
      <c r="AS108" s="83">
        <f>'Rock Climbing Log'!AS108</f>
        <v>0</v>
      </c>
      <c r="AT108" s="81">
        <f>'Rock Climbing Log'!AT108</f>
        <v>0</v>
      </c>
      <c r="AU108" s="82">
        <f>'Rock Climbing Log'!AU108</f>
        <v>0</v>
      </c>
      <c r="AV108" s="83">
        <f>'Rock Climbing Log'!AV108</f>
        <v>0</v>
      </c>
      <c r="AW108" s="66">
        <f ca="1">'RC Template'!AW108</f>
        <v>270.75301653285527</v>
      </c>
      <c r="AX108" s="66">
        <f ca="1">'RC Template'!BC108</f>
        <v>81.93319200841222</v>
      </c>
      <c r="AY108" s="75">
        <f>'Rock Climbing Log'!AY108</f>
        <v>0</v>
      </c>
    </row>
    <row r="109" spans="1:51" x14ac:dyDescent="0.3">
      <c r="A109" s="28">
        <f t="shared" si="13"/>
        <v>102</v>
      </c>
      <c r="B109" s="19">
        <f>'Rock Climbing Log'!B109</f>
        <v>43219</v>
      </c>
      <c r="C109" s="24" t="str">
        <f>'Rock Climbing Log'!C109</f>
        <v>Edwin</v>
      </c>
      <c r="D109" s="81">
        <f>'Rock Climbing Log'!D109</f>
        <v>0</v>
      </c>
      <c r="E109" s="82">
        <f>'Rock Climbing Log'!E109</f>
        <v>0</v>
      </c>
      <c r="F109" s="83">
        <f>'Rock Climbing Log'!F109</f>
        <v>0</v>
      </c>
      <c r="G109" s="81">
        <f>'Rock Climbing Log'!G109</f>
        <v>0</v>
      </c>
      <c r="H109" s="82">
        <f>'Rock Climbing Log'!H109</f>
        <v>0</v>
      </c>
      <c r="I109" s="83">
        <f>'Rock Climbing Log'!I109</f>
        <v>0</v>
      </c>
      <c r="J109" s="81">
        <f>'Rock Climbing Log'!J109</f>
        <v>0</v>
      </c>
      <c r="K109" s="82">
        <f>'Rock Climbing Log'!K109</f>
        <v>0</v>
      </c>
      <c r="L109" s="83">
        <f>'Rock Climbing Log'!L109</f>
        <v>0</v>
      </c>
      <c r="M109" s="81">
        <f>'Rock Climbing Log'!M109</f>
        <v>0</v>
      </c>
      <c r="N109" s="82">
        <f>'Rock Climbing Log'!N109</f>
        <v>0</v>
      </c>
      <c r="O109" s="83">
        <f>'Rock Climbing Log'!O109</f>
        <v>0</v>
      </c>
      <c r="P109" s="81">
        <f>'Rock Climbing Log'!P109</f>
        <v>0</v>
      </c>
      <c r="Q109" s="82">
        <f>'Rock Climbing Log'!Q109</f>
        <v>0</v>
      </c>
      <c r="R109" s="83">
        <f>'Rock Climbing Log'!R109</f>
        <v>0</v>
      </c>
      <c r="S109" s="81">
        <f>'Rock Climbing Log'!S109</f>
        <v>0</v>
      </c>
      <c r="T109" s="82">
        <f>'Rock Climbing Log'!T109</f>
        <v>0</v>
      </c>
      <c r="U109" s="83">
        <f>'Rock Climbing Log'!U109</f>
        <v>0</v>
      </c>
      <c r="V109" s="81" t="str">
        <f>'Rock Climbing Log'!V109</f>
        <v>F</v>
      </c>
      <c r="W109" s="82">
        <f>'Rock Climbing Log'!W109</f>
        <v>0</v>
      </c>
      <c r="X109" s="83">
        <f>'Rock Climbing Log'!X109</f>
        <v>0</v>
      </c>
      <c r="Y109" s="81">
        <f>'Rock Climbing Log'!Y109</f>
        <v>0</v>
      </c>
      <c r="Z109" s="82">
        <f>'Rock Climbing Log'!Z109</f>
        <v>0</v>
      </c>
      <c r="AA109" s="83">
        <f>'Rock Climbing Log'!AA109</f>
        <v>0</v>
      </c>
      <c r="AB109" s="81">
        <f>'Rock Climbing Log'!AB109</f>
        <v>0</v>
      </c>
      <c r="AC109" s="82">
        <f>'Rock Climbing Log'!AC109</f>
        <v>0</v>
      </c>
      <c r="AD109" s="83">
        <f>'Rock Climbing Log'!AD109</f>
        <v>0</v>
      </c>
      <c r="AE109" s="81" t="str">
        <f>'Rock Climbing Log'!AE109</f>
        <v>C5</v>
      </c>
      <c r="AF109" s="82" t="str">
        <f>'Rock Climbing Log'!AF109</f>
        <v>A</v>
      </c>
      <c r="AG109" s="83" t="str">
        <f>'Rock Climbing Log'!AG109</f>
        <v>A</v>
      </c>
      <c r="AH109" s="81">
        <f>'Rock Climbing Log'!AH109</f>
        <v>0</v>
      </c>
      <c r="AI109" s="82">
        <f>'Rock Climbing Log'!AI109</f>
        <v>0</v>
      </c>
      <c r="AJ109" s="83">
        <f>'Rock Climbing Log'!AJ109</f>
        <v>0</v>
      </c>
      <c r="AK109" s="81">
        <f>'Rock Climbing Log'!AK109</f>
        <v>0</v>
      </c>
      <c r="AL109" s="82">
        <f>'Rock Climbing Log'!AL109</f>
        <v>0</v>
      </c>
      <c r="AM109" s="83">
        <f>'Rock Climbing Log'!AM109</f>
        <v>0</v>
      </c>
      <c r="AN109" s="81">
        <f>'Rock Climbing Log'!AN109</f>
        <v>0</v>
      </c>
      <c r="AO109" s="82">
        <f>'Rock Climbing Log'!AO109</f>
        <v>0</v>
      </c>
      <c r="AP109" s="83">
        <f>'Rock Climbing Log'!AP109</f>
        <v>0</v>
      </c>
      <c r="AQ109" s="81">
        <f>'Rock Climbing Log'!AQ109</f>
        <v>0</v>
      </c>
      <c r="AR109" s="82">
        <f>'Rock Climbing Log'!AR109</f>
        <v>0</v>
      </c>
      <c r="AS109" s="83">
        <f>'Rock Climbing Log'!AS109</f>
        <v>0</v>
      </c>
      <c r="AT109" s="81">
        <f>'Rock Climbing Log'!AT109</f>
        <v>0</v>
      </c>
      <c r="AU109" s="82">
        <f>'Rock Climbing Log'!AU109</f>
        <v>0</v>
      </c>
      <c r="AV109" s="83">
        <f>'Rock Climbing Log'!AV109</f>
        <v>0</v>
      </c>
      <c r="AW109" s="66">
        <f ca="1">'RC Template'!AW109</f>
        <v>109.26576321476189</v>
      </c>
      <c r="AX109" s="66">
        <f ca="1">'RC Template'!BC109</f>
        <v>83.851322634943742</v>
      </c>
      <c r="AY109" s="75">
        <f>'Rock Climbing Log'!AY109</f>
        <v>0</v>
      </c>
    </row>
    <row r="110" spans="1:51" x14ac:dyDescent="0.3">
      <c r="A110" s="28">
        <f t="shared" si="13"/>
        <v>103</v>
      </c>
      <c r="B110" s="19">
        <f>'Rock Climbing Log'!B110</f>
        <v>43219</v>
      </c>
      <c r="C110" s="24" t="str">
        <f>'Rock Climbing Log'!C110</f>
        <v>Angel</v>
      </c>
      <c r="D110" s="81">
        <f>'Rock Climbing Log'!D110</f>
        <v>0</v>
      </c>
      <c r="E110" s="82">
        <f>'Rock Climbing Log'!E110</f>
        <v>0</v>
      </c>
      <c r="F110" s="83">
        <f>'Rock Climbing Log'!F110</f>
        <v>0</v>
      </c>
      <c r="G110" s="81">
        <f>'Rock Climbing Log'!G110</f>
        <v>0</v>
      </c>
      <c r="H110" s="82">
        <f>'Rock Climbing Log'!H110</f>
        <v>0</v>
      </c>
      <c r="I110" s="83">
        <f>'Rock Climbing Log'!I110</f>
        <v>0</v>
      </c>
      <c r="J110" s="81">
        <f>'Rock Climbing Log'!J110</f>
        <v>0</v>
      </c>
      <c r="K110" s="82">
        <f>'Rock Climbing Log'!K110</f>
        <v>0</v>
      </c>
      <c r="L110" s="83">
        <f>'Rock Climbing Log'!L110</f>
        <v>0</v>
      </c>
      <c r="M110" s="81">
        <f>'Rock Climbing Log'!M110</f>
        <v>0</v>
      </c>
      <c r="N110" s="82">
        <f>'Rock Climbing Log'!N110</f>
        <v>0</v>
      </c>
      <c r="O110" s="83">
        <f>'Rock Climbing Log'!O110</f>
        <v>0</v>
      </c>
      <c r="P110" s="81">
        <f>'Rock Climbing Log'!P110</f>
        <v>0</v>
      </c>
      <c r="Q110" s="82">
        <f>'Rock Climbing Log'!Q110</f>
        <v>0</v>
      </c>
      <c r="R110" s="83">
        <f>'Rock Climbing Log'!R110</f>
        <v>0</v>
      </c>
      <c r="S110" s="81">
        <f>'Rock Climbing Log'!S110</f>
        <v>0</v>
      </c>
      <c r="T110" s="82">
        <f>'Rock Climbing Log'!T110</f>
        <v>0</v>
      </c>
      <c r="U110" s="83">
        <f>'Rock Climbing Log'!U110</f>
        <v>0</v>
      </c>
      <c r="V110" s="81" t="str">
        <f>'Rock Climbing Log'!V110</f>
        <v>F</v>
      </c>
      <c r="W110" s="82">
        <f>'Rock Climbing Log'!W110</f>
        <v>0</v>
      </c>
      <c r="X110" s="83">
        <f>'Rock Climbing Log'!X110</f>
        <v>0</v>
      </c>
      <c r="Y110" s="81">
        <f>'Rock Climbing Log'!Y110</f>
        <v>0</v>
      </c>
      <c r="Z110" s="82">
        <f>'Rock Climbing Log'!Z110</f>
        <v>0</v>
      </c>
      <c r="AA110" s="83">
        <f>'Rock Climbing Log'!AA110</f>
        <v>0</v>
      </c>
      <c r="AB110" s="81">
        <f>'Rock Climbing Log'!AB110</f>
        <v>0</v>
      </c>
      <c r="AC110" s="82">
        <f>'Rock Climbing Log'!AC110</f>
        <v>0</v>
      </c>
      <c r="AD110" s="83">
        <f>'Rock Climbing Log'!AD110</f>
        <v>0</v>
      </c>
      <c r="AE110" s="81" t="str">
        <f>'Rock Climbing Log'!AE110</f>
        <v>C2</v>
      </c>
      <c r="AF110" s="82" t="str">
        <f>'Rock Climbing Log'!AF110</f>
        <v>C5</v>
      </c>
      <c r="AG110" s="83" t="str">
        <f>'Rock Climbing Log'!AG110</f>
        <v>A</v>
      </c>
      <c r="AH110" s="81">
        <f>'Rock Climbing Log'!AH110</f>
        <v>0</v>
      </c>
      <c r="AI110" s="82">
        <f>'Rock Climbing Log'!AI110</f>
        <v>0</v>
      </c>
      <c r="AJ110" s="83">
        <f>'Rock Climbing Log'!AJ110</f>
        <v>0</v>
      </c>
      <c r="AK110" s="81">
        <f>'Rock Climbing Log'!AK110</f>
        <v>0</v>
      </c>
      <c r="AL110" s="82">
        <f>'Rock Climbing Log'!AL110</f>
        <v>0</v>
      </c>
      <c r="AM110" s="83">
        <f>'Rock Climbing Log'!AM110</f>
        <v>0</v>
      </c>
      <c r="AN110" s="81">
        <f>'Rock Climbing Log'!AN110</f>
        <v>0</v>
      </c>
      <c r="AO110" s="82">
        <f>'Rock Climbing Log'!AO110</f>
        <v>0</v>
      </c>
      <c r="AP110" s="83">
        <f>'Rock Climbing Log'!AP110</f>
        <v>0</v>
      </c>
      <c r="AQ110" s="81">
        <f>'Rock Climbing Log'!AQ110</f>
        <v>0</v>
      </c>
      <c r="AR110" s="82">
        <f>'Rock Climbing Log'!AR110</f>
        <v>0</v>
      </c>
      <c r="AS110" s="83">
        <f>'Rock Climbing Log'!AS110</f>
        <v>0</v>
      </c>
      <c r="AT110" s="81">
        <f>'Rock Climbing Log'!AT110</f>
        <v>0</v>
      </c>
      <c r="AU110" s="82">
        <f>'Rock Climbing Log'!AU110</f>
        <v>0</v>
      </c>
      <c r="AV110" s="83">
        <f>'Rock Climbing Log'!AV110</f>
        <v>0</v>
      </c>
      <c r="AW110" s="66">
        <f ca="1">'RC Template'!AW110</f>
        <v>130.30474148731108</v>
      </c>
      <c r="AX110" s="66">
        <f ca="1">'RC Template'!BC110</f>
        <v>217.14742571730378</v>
      </c>
      <c r="AY110" s="75">
        <f>'Rock Climbing Log'!AY110</f>
        <v>0</v>
      </c>
    </row>
    <row r="111" spans="1:51" x14ac:dyDescent="0.3">
      <c r="A111" s="28">
        <f t="shared" si="13"/>
        <v>104</v>
      </c>
      <c r="B111" s="19">
        <f>'Rock Climbing Log'!B111</f>
        <v>0</v>
      </c>
      <c r="C111" s="24">
        <f>'Rock Climbing Log'!C111</f>
        <v>0</v>
      </c>
      <c r="D111" s="81">
        <f>'Rock Climbing Log'!D111</f>
        <v>0</v>
      </c>
      <c r="E111" s="82">
        <f>'Rock Climbing Log'!E111</f>
        <v>0</v>
      </c>
      <c r="F111" s="83">
        <f>'Rock Climbing Log'!F111</f>
        <v>0</v>
      </c>
      <c r="G111" s="81">
        <f>'Rock Climbing Log'!G111</f>
        <v>0</v>
      </c>
      <c r="H111" s="82">
        <f>'Rock Climbing Log'!H111</f>
        <v>0</v>
      </c>
      <c r="I111" s="83">
        <f>'Rock Climbing Log'!I111</f>
        <v>0</v>
      </c>
      <c r="J111" s="81">
        <f>'Rock Climbing Log'!J111</f>
        <v>0</v>
      </c>
      <c r="K111" s="82">
        <f>'Rock Climbing Log'!K111</f>
        <v>0</v>
      </c>
      <c r="L111" s="83">
        <f>'Rock Climbing Log'!L111</f>
        <v>0</v>
      </c>
      <c r="M111" s="81">
        <f>'Rock Climbing Log'!M111</f>
        <v>0</v>
      </c>
      <c r="N111" s="82">
        <f>'Rock Climbing Log'!N111</f>
        <v>0</v>
      </c>
      <c r="O111" s="83">
        <f>'Rock Climbing Log'!O111</f>
        <v>0</v>
      </c>
      <c r="P111" s="81">
        <f>'Rock Climbing Log'!P111</f>
        <v>0</v>
      </c>
      <c r="Q111" s="82">
        <f>'Rock Climbing Log'!Q111</f>
        <v>0</v>
      </c>
      <c r="R111" s="83">
        <f>'Rock Climbing Log'!R111</f>
        <v>0</v>
      </c>
      <c r="S111" s="81">
        <f>'Rock Climbing Log'!S111</f>
        <v>0</v>
      </c>
      <c r="T111" s="82">
        <f>'Rock Climbing Log'!T111</f>
        <v>0</v>
      </c>
      <c r="U111" s="83">
        <f>'Rock Climbing Log'!U111</f>
        <v>0</v>
      </c>
      <c r="V111" s="81">
        <f>'Rock Climbing Log'!V111</f>
        <v>0</v>
      </c>
      <c r="W111" s="82">
        <f>'Rock Climbing Log'!W111</f>
        <v>0</v>
      </c>
      <c r="X111" s="83">
        <f>'Rock Climbing Log'!X111</f>
        <v>0</v>
      </c>
      <c r="Y111" s="81">
        <f>'Rock Climbing Log'!Y111</f>
        <v>0</v>
      </c>
      <c r="Z111" s="82">
        <f>'Rock Climbing Log'!Z111</f>
        <v>0</v>
      </c>
      <c r="AA111" s="83">
        <f>'Rock Climbing Log'!AA111</f>
        <v>0</v>
      </c>
      <c r="AB111" s="81">
        <f>'Rock Climbing Log'!AB111</f>
        <v>0</v>
      </c>
      <c r="AC111" s="82">
        <f>'Rock Climbing Log'!AC111</f>
        <v>0</v>
      </c>
      <c r="AD111" s="83">
        <f>'Rock Climbing Log'!AD111</f>
        <v>0</v>
      </c>
      <c r="AE111" s="81">
        <f>'Rock Climbing Log'!AE111</f>
        <v>0</v>
      </c>
      <c r="AF111" s="82">
        <f>'Rock Climbing Log'!AF111</f>
        <v>0</v>
      </c>
      <c r="AG111" s="83">
        <f>'Rock Climbing Log'!AG111</f>
        <v>0</v>
      </c>
      <c r="AH111" s="81">
        <f>'Rock Climbing Log'!AH111</f>
        <v>0</v>
      </c>
      <c r="AI111" s="82">
        <f>'Rock Climbing Log'!AI111</f>
        <v>0</v>
      </c>
      <c r="AJ111" s="83">
        <f>'Rock Climbing Log'!AJ111</f>
        <v>0</v>
      </c>
      <c r="AK111" s="81">
        <f>'Rock Climbing Log'!AK111</f>
        <v>0</v>
      </c>
      <c r="AL111" s="82">
        <f>'Rock Climbing Log'!AL111</f>
        <v>0</v>
      </c>
      <c r="AM111" s="83">
        <f>'Rock Climbing Log'!AM111</f>
        <v>0</v>
      </c>
      <c r="AN111" s="81">
        <f>'Rock Climbing Log'!AN111</f>
        <v>0</v>
      </c>
      <c r="AO111" s="82">
        <f>'Rock Climbing Log'!AO111</f>
        <v>0</v>
      </c>
      <c r="AP111" s="83">
        <f>'Rock Climbing Log'!AP111</f>
        <v>0</v>
      </c>
      <c r="AQ111" s="81">
        <f>'Rock Climbing Log'!AQ111</f>
        <v>0</v>
      </c>
      <c r="AR111" s="82">
        <f>'Rock Climbing Log'!AR111</f>
        <v>0</v>
      </c>
      <c r="AS111" s="83">
        <f>'Rock Climbing Log'!AS111</f>
        <v>0</v>
      </c>
      <c r="AT111" s="81">
        <f>'Rock Climbing Log'!AT111</f>
        <v>0</v>
      </c>
      <c r="AU111" s="82">
        <f>'Rock Climbing Log'!AU111</f>
        <v>0</v>
      </c>
      <c r="AV111" s="83">
        <f>'Rock Climbing Log'!AV111</f>
        <v>0</v>
      </c>
      <c r="AW111" s="66">
        <f ca="1">'RC Template'!AW111</f>
        <v>0</v>
      </c>
      <c r="AX111" s="66">
        <f ca="1">'RC Template'!BC111</f>
        <v>0</v>
      </c>
      <c r="AY111" s="75">
        <f>'Rock Climbing Log'!AY111</f>
        <v>0</v>
      </c>
    </row>
    <row r="112" spans="1:51" x14ac:dyDescent="0.3">
      <c r="A112" s="28">
        <f t="shared" si="13"/>
        <v>105</v>
      </c>
      <c r="B112" s="19">
        <f>'Rock Climbing Log'!B112</f>
        <v>0</v>
      </c>
      <c r="C112" s="24">
        <f>'Rock Climbing Log'!C112</f>
        <v>0</v>
      </c>
      <c r="D112" s="81">
        <f>'Rock Climbing Log'!D112</f>
        <v>0</v>
      </c>
      <c r="E112" s="82">
        <f>'Rock Climbing Log'!E112</f>
        <v>0</v>
      </c>
      <c r="F112" s="83">
        <f>'Rock Climbing Log'!F112</f>
        <v>0</v>
      </c>
      <c r="G112" s="81">
        <f>'Rock Climbing Log'!G112</f>
        <v>0</v>
      </c>
      <c r="H112" s="82">
        <f>'Rock Climbing Log'!H112</f>
        <v>0</v>
      </c>
      <c r="I112" s="83">
        <f>'Rock Climbing Log'!I112</f>
        <v>0</v>
      </c>
      <c r="J112" s="81">
        <f>'Rock Climbing Log'!J112</f>
        <v>0</v>
      </c>
      <c r="K112" s="82">
        <f>'Rock Climbing Log'!K112</f>
        <v>0</v>
      </c>
      <c r="L112" s="83">
        <f>'Rock Climbing Log'!L112</f>
        <v>0</v>
      </c>
      <c r="M112" s="81">
        <f>'Rock Climbing Log'!M112</f>
        <v>0</v>
      </c>
      <c r="N112" s="82">
        <f>'Rock Climbing Log'!N112</f>
        <v>0</v>
      </c>
      <c r="O112" s="83">
        <f>'Rock Climbing Log'!O112</f>
        <v>0</v>
      </c>
      <c r="P112" s="81">
        <f>'Rock Climbing Log'!P112</f>
        <v>0</v>
      </c>
      <c r="Q112" s="82">
        <f>'Rock Climbing Log'!Q112</f>
        <v>0</v>
      </c>
      <c r="R112" s="83">
        <f>'Rock Climbing Log'!R112</f>
        <v>0</v>
      </c>
      <c r="S112" s="81">
        <f>'Rock Climbing Log'!S112</f>
        <v>0</v>
      </c>
      <c r="T112" s="82">
        <f>'Rock Climbing Log'!T112</f>
        <v>0</v>
      </c>
      <c r="U112" s="83">
        <f>'Rock Climbing Log'!U112</f>
        <v>0</v>
      </c>
      <c r="V112" s="81">
        <f>'Rock Climbing Log'!V112</f>
        <v>0</v>
      </c>
      <c r="W112" s="82">
        <f>'Rock Climbing Log'!W112</f>
        <v>0</v>
      </c>
      <c r="X112" s="83">
        <f>'Rock Climbing Log'!X112</f>
        <v>0</v>
      </c>
      <c r="Y112" s="81">
        <f>'Rock Climbing Log'!Y112</f>
        <v>0</v>
      </c>
      <c r="Z112" s="82">
        <f>'Rock Climbing Log'!Z112</f>
        <v>0</v>
      </c>
      <c r="AA112" s="83">
        <f>'Rock Climbing Log'!AA112</f>
        <v>0</v>
      </c>
      <c r="AB112" s="81">
        <f>'Rock Climbing Log'!AB112</f>
        <v>0</v>
      </c>
      <c r="AC112" s="82">
        <f>'Rock Climbing Log'!AC112</f>
        <v>0</v>
      </c>
      <c r="AD112" s="83">
        <f>'Rock Climbing Log'!AD112</f>
        <v>0</v>
      </c>
      <c r="AE112" s="81">
        <f>'Rock Climbing Log'!AE112</f>
        <v>0</v>
      </c>
      <c r="AF112" s="82">
        <f>'Rock Climbing Log'!AF112</f>
        <v>0</v>
      </c>
      <c r="AG112" s="83">
        <f>'Rock Climbing Log'!AG112</f>
        <v>0</v>
      </c>
      <c r="AH112" s="81">
        <f>'Rock Climbing Log'!AH112</f>
        <v>0</v>
      </c>
      <c r="AI112" s="82">
        <f>'Rock Climbing Log'!AI112</f>
        <v>0</v>
      </c>
      <c r="AJ112" s="83">
        <f>'Rock Climbing Log'!AJ112</f>
        <v>0</v>
      </c>
      <c r="AK112" s="81">
        <f>'Rock Climbing Log'!AK112</f>
        <v>0</v>
      </c>
      <c r="AL112" s="82">
        <f>'Rock Climbing Log'!AL112</f>
        <v>0</v>
      </c>
      <c r="AM112" s="83">
        <f>'Rock Climbing Log'!AM112</f>
        <v>0</v>
      </c>
      <c r="AN112" s="81">
        <f>'Rock Climbing Log'!AN112</f>
        <v>0</v>
      </c>
      <c r="AO112" s="82">
        <f>'Rock Climbing Log'!AO112</f>
        <v>0</v>
      </c>
      <c r="AP112" s="83">
        <f>'Rock Climbing Log'!AP112</f>
        <v>0</v>
      </c>
      <c r="AQ112" s="81">
        <f>'Rock Climbing Log'!AQ112</f>
        <v>0</v>
      </c>
      <c r="AR112" s="82">
        <f>'Rock Climbing Log'!AR112</f>
        <v>0</v>
      </c>
      <c r="AS112" s="83">
        <f>'Rock Climbing Log'!AS112</f>
        <v>0</v>
      </c>
      <c r="AT112" s="81">
        <f>'Rock Climbing Log'!AT112</f>
        <v>0</v>
      </c>
      <c r="AU112" s="82">
        <f>'Rock Climbing Log'!AU112</f>
        <v>0</v>
      </c>
      <c r="AV112" s="83">
        <f>'Rock Climbing Log'!AV112</f>
        <v>0</v>
      </c>
      <c r="AW112" s="66">
        <f ca="1">'RC Template'!AW112</f>
        <v>0</v>
      </c>
      <c r="AX112" s="66">
        <f ca="1">'RC Template'!BC112</f>
        <v>0</v>
      </c>
      <c r="AY112" s="75">
        <f>'Rock Climbing Log'!AY112</f>
        <v>0</v>
      </c>
    </row>
    <row r="113" spans="1:51" x14ac:dyDescent="0.3">
      <c r="A113" s="28">
        <f t="shared" si="13"/>
        <v>106</v>
      </c>
      <c r="B113" s="19">
        <f>'Rock Climbing Log'!B113</f>
        <v>0</v>
      </c>
      <c r="C113" s="24">
        <f>'Rock Climbing Log'!C113</f>
        <v>0</v>
      </c>
      <c r="D113" s="81">
        <f>'Rock Climbing Log'!D113</f>
        <v>0</v>
      </c>
      <c r="E113" s="82">
        <f>'Rock Climbing Log'!E113</f>
        <v>0</v>
      </c>
      <c r="F113" s="83">
        <f>'Rock Climbing Log'!F113</f>
        <v>0</v>
      </c>
      <c r="G113" s="81">
        <f>'Rock Climbing Log'!G113</f>
        <v>0</v>
      </c>
      <c r="H113" s="82">
        <f>'Rock Climbing Log'!H113</f>
        <v>0</v>
      </c>
      <c r="I113" s="83">
        <f>'Rock Climbing Log'!I113</f>
        <v>0</v>
      </c>
      <c r="J113" s="81">
        <f>'Rock Climbing Log'!J113</f>
        <v>0</v>
      </c>
      <c r="K113" s="82">
        <f>'Rock Climbing Log'!K113</f>
        <v>0</v>
      </c>
      <c r="L113" s="83">
        <f>'Rock Climbing Log'!L113</f>
        <v>0</v>
      </c>
      <c r="M113" s="81">
        <f>'Rock Climbing Log'!M113</f>
        <v>0</v>
      </c>
      <c r="N113" s="82">
        <f>'Rock Climbing Log'!N113</f>
        <v>0</v>
      </c>
      <c r="O113" s="83">
        <f>'Rock Climbing Log'!O113</f>
        <v>0</v>
      </c>
      <c r="P113" s="81">
        <f>'Rock Climbing Log'!P113</f>
        <v>0</v>
      </c>
      <c r="Q113" s="82">
        <f>'Rock Climbing Log'!Q113</f>
        <v>0</v>
      </c>
      <c r="R113" s="83">
        <f>'Rock Climbing Log'!R113</f>
        <v>0</v>
      </c>
      <c r="S113" s="81">
        <f>'Rock Climbing Log'!S113</f>
        <v>0</v>
      </c>
      <c r="T113" s="82">
        <f>'Rock Climbing Log'!T113</f>
        <v>0</v>
      </c>
      <c r="U113" s="83">
        <f>'Rock Climbing Log'!U113</f>
        <v>0</v>
      </c>
      <c r="V113" s="81">
        <f>'Rock Climbing Log'!V113</f>
        <v>0</v>
      </c>
      <c r="W113" s="82">
        <f>'Rock Climbing Log'!W113</f>
        <v>0</v>
      </c>
      <c r="X113" s="83">
        <f>'Rock Climbing Log'!X113</f>
        <v>0</v>
      </c>
      <c r="Y113" s="81">
        <f>'Rock Climbing Log'!Y113</f>
        <v>0</v>
      </c>
      <c r="Z113" s="82">
        <f>'Rock Climbing Log'!Z113</f>
        <v>0</v>
      </c>
      <c r="AA113" s="83">
        <f>'Rock Climbing Log'!AA113</f>
        <v>0</v>
      </c>
      <c r="AB113" s="81">
        <f>'Rock Climbing Log'!AB113</f>
        <v>0</v>
      </c>
      <c r="AC113" s="82">
        <f>'Rock Climbing Log'!AC113</f>
        <v>0</v>
      </c>
      <c r="AD113" s="83">
        <f>'Rock Climbing Log'!AD113</f>
        <v>0</v>
      </c>
      <c r="AE113" s="81">
        <f>'Rock Climbing Log'!AE113</f>
        <v>0</v>
      </c>
      <c r="AF113" s="82">
        <f>'Rock Climbing Log'!AF113</f>
        <v>0</v>
      </c>
      <c r="AG113" s="83">
        <f>'Rock Climbing Log'!AG113</f>
        <v>0</v>
      </c>
      <c r="AH113" s="81">
        <f>'Rock Climbing Log'!AH113</f>
        <v>0</v>
      </c>
      <c r="AI113" s="82">
        <f>'Rock Climbing Log'!AI113</f>
        <v>0</v>
      </c>
      <c r="AJ113" s="83">
        <f>'Rock Climbing Log'!AJ113</f>
        <v>0</v>
      </c>
      <c r="AK113" s="81">
        <f>'Rock Climbing Log'!AK113</f>
        <v>0</v>
      </c>
      <c r="AL113" s="82">
        <f>'Rock Climbing Log'!AL113</f>
        <v>0</v>
      </c>
      <c r="AM113" s="83">
        <f>'Rock Climbing Log'!AM113</f>
        <v>0</v>
      </c>
      <c r="AN113" s="81">
        <f>'Rock Climbing Log'!AN113</f>
        <v>0</v>
      </c>
      <c r="AO113" s="82">
        <f>'Rock Climbing Log'!AO113</f>
        <v>0</v>
      </c>
      <c r="AP113" s="83">
        <f>'Rock Climbing Log'!AP113</f>
        <v>0</v>
      </c>
      <c r="AQ113" s="81">
        <f>'Rock Climbing Log'!AQ113</f>
        <v>0</v>
      </c>
      <c r="AR113" s="82">
        <f>'Rock Climbing Log'!AR113</f>
        <v>0</v>
      </c>
      <c r="AS113" s="83">
        <f>'Rock Climbing Log'!AS113</f>
        <v>0</v>
      </c>
      <c r="AT113" s="81">
        <f>'Rock Climbing Log'!AT113</f>
        <v>0</v>
      </c>
      <c r="AU113" s="82">
        <f>'Rock Climbing Log'!AU113</f>
        <v>0</v>
      </c>
      <c r="AV113" s="83">
        <f>'Rock Climbing Log'!AV113</f>
        <v>0</v>
      </c>
      <c r="AW113" s="66">
        <f ca="1">'RC Template'!AW113</f>
        <v>0</v>
      </c>
      <c r="AX113" s="66">
        <f ca="1">'RC Template'!BC113</f>
        <v>0</v>
      </c>
      <c r="AY113" s="75">
        <f>'Rock Climbing Log'!AY113</f>
        <v>0</v>
      </c>
    </row>
    <row r="114" spans="1:51" x14ac:dyDescent="0.3">
      <c r="A114" s="28">
        <f t="shared" si="13"/>
        <v>107</v>
      </c>
      <c r="B114" s="19">
        <f>'Rock Climbing Log'!B114</f>
        <v>0</v>
      </c>
      <c r="C114" s="24">
        <f>'Rock Climbing Log'!C114</f>
        <v>0</v>
      </c>
      <c r="D114" s="81">
        <f>'Rock Climbing Log'!D114</f>
        <v>0</v>
      </c>
      <c r="E114" s="82">
        <f>'Rock Climbing Log'!E114</f>
        <v>0</v>
      </c>
      <c r="F114" s="83">
        <f>'Rock Climbing Log'!F114</f>
        <v>0</v>
      </c>
      <c r="G114" s="81">
        <f>'Rock Climbing Log'!G114</f>
        <v>0</v>
      </c>
      <c r="H114" s="82">
        <f>'Rock Climbing Log'!H114</f>
        <v>0</v>
      </c>
      <c r="I114" s="83">
        <f>'Rock Climbing Log'!I114</f>
        <v>0</v>
      </c>
      <c r="J114" s="81">
        <f>'Rock Climbing Log'!J114</f>
        <v>0</v>
      </c>
      <c r="K114" s="82">
        <f>'Rock Climbing Log'!K114</f>
        <v>0</v>
      </c>
      <c r="L114" s="83">
        <f>'Rock Climbing Log'!L114</f>
        <v>0</v>
      </c>
      <c r="M114" s="81">
        <f>'Rock Climbing Log'!M114</f>
        <v>0</v>
      </c>
      <c r="N114" s="82">
        <f>'Rock Climbing Log'!N114</f>
        <v>0</v>
      </c>
      <c r="O114" s="83">
        <f>'Rock Climbing Log'!O114</f>
        <v>0</v>
      </c>
      <c r="P114" s="81">
        <f>'Rock Climbing Log'!P114</f>
        <v>0</v>
      </c>
      <c r="Q114" s="82">
        <f>'Rock Climbing Log'!Q114</f>
        <v>0</v>
      </c>
      <c r="R114" s="83">
        <f>'Rock Climbing Log'!R114</f>
        <v>0</v>
      </c>
      <c r="S114" s="81">
        <f>'Rock Climbing Log'!S114</f>
        <v>0</v>
      </c>
      <c r="T114" s="82">
        <f>'Rock Climbing Log'!T114</f>
        <v>0</v>
      </c>
      <c r="U114" s="83">
        <f>'Rock Climbing Log'!U114</f>
        <v>0</v>
      </c>
      <c r="V114" s="81">
        <f>'Rock Climbing Log'!V114</f>
        <v>0</v>
      </c>
      <c r="W114" s="82">
        <f>'Rock Climbing Log'!W114</f>
        <v>0</v>
      </c>
      <c r="X114" s="83">
        <f>'Rock Climbing Log'!X114</f>
        <v>0</v>
      </c>
      <c r="Y114" s="81">
        <f>'Rock Climbing Log'!Y114</f>
        <v>0</v>
      </c>
      <c r="Z114" s="82">
        <f>'Rock Climbing Log'!Z114</f>
        <v>0</v>
      </c>
      <c r="AA114" s="83">
        <f>'Rock Climbing Log'!AA114</f>
        <v>0</v>
      </c>
      <c r="AB114" s="81">
        <f>'Rock Climbing Log'!AB114</f>
        <v>0</v>
      </c>
      <c r="AC114" s="82">
        <f>'Rock Climbing Log'!AC114</f>
        <v>0</v>
      </c>
      <c r="AD114" s="83">
        <f>'Rock Climbing Log'!AD114</f>
        <v>0</v>
      </c>
      <c r="AE114" s="81">
        <f>'Rock Climbing Log'!AE114</f>
        <v>0</v>
      </c>
      <c r="AF114" s="82">
        <f>'Rock Climbing Log'!AF114</f>
        <v>0</v>
      </c>
      <c r="AG114" s="83">
        <f>'Rock Climbing Log'!AG114</f>
        <v>0</v>
      </c>
      <c r="AH114" s="81">
        <f>'Rock Climbing Log'!AH114</f>
        <v>0</v>
      </c>
      <c r="AI114" s="82">
        <f>'Rock Climbing Log'!AI114</f>
        <v>0</v>
      </c>
      <c r="AJ114" s="83">
        <f>'Rock Climbing Log'!AJ114</f>
        <v>0</v>
      </c>
      <c r="AK114" s="81">
        <f>'Rock Climbing Log'!AK114</f>
        <v>0</v>
      </c>
      <c r="AL114" s="82">
        <f>'Rock Climbing Log'!AL114</f>
        <v>0</v>
      </c>
      <c r="AM114" s="83">
        <f>'Rock Climbing Log'!AM114</f>
        <v>0</v>
      </c>
      <c r="AN114" s="81">
        <f>'Rock Climbing Log'!AN114</f>
        <v>0</v>
      </c>
      <c r="AO114" s="82">
        <f>'Rock Climbing Log'!AO114</f>
        <v>0</v>
      </c>
      <c r="AP114" s="83">
        <f>'Rock Climbing Log'!AP114</f>
        <v>0</v>
      </c>
      <c r="AQ114" s="81">
        <f>'Rock Climbing Log'!AQ114</f>
        <v>0</v>
      </c>
      <c r="AR114" s="82">
        <f>'Rock Climbing Log'!AR114</f>
        <v>0</v>
      </c>
      <c r="AS114" s="83">
        <f>'Rock Climbing Log'!AS114</f>
        <v>0</v>
      </c>
      <c r="AT114" s="81">
        <f>'Rock Climbing Log'!AT114</f>
        <v>0</v>
      </c>
      <c r="AU114" s="82">
        <f>'Rock Climbing Log'!AU114</f>
        <v>0</v>
      </c>
      <c r="AV114" s="83">
        <f>'Rock Climbing Log'!AV114</f>
        <v>0</v>
      </c>
      <c r="AW114" s="66">
        <f ca="1">'RC Template'!AW114</f>
        <v>0</v>
      </c>
      <c r="AX114" s="66">
        <f ca="1">'RC Template'!BC114</f>
        <v>0</v>
      </c>
      <c r="AY114" s="75">
        <f>'Rock Climbing Log'!AY114</f>
        <v>0</v>
      </c>
    </row>
    <row r="115" spans="1:51" x14ac:dyDescent="0.3">
      <c r="A115" s="28">
        <f t="shared" si="13"/>
        <v>108</v>
      </c>
      <c r="B115" s="19">
        <f>'Rock Climbing Log'!B115</f>
        <v>0</v>
      </c>
      <c r="C115" s="24">
        <f>'Rock Climbing Log'!C115</f>
        <v>0</v>
      </c>
      <c r="D115" s="81">
        <f>'Rock Climbing Log'!D115</f>
        <v>0</v>
      </c>
      <c r="E115" s="82">
        <f>'Rock Climbing Log'!E115</f>
        <v>0</v>
      </c>
      <c r="F115" s="83">
        <f>'Rock Climbing Log'!F115</f>
        <v>0</v>
      </c>
      <c r="G115" s="81">
        <f>'Rock Climbing Log'!G115</f>
        <v>0</v>
      </c>
      <c r="H115" s="82">
        <f>'Rock Climbing Log'!H115</f>
        <v>0</v>
      </c>
      <c r="I115" s="83">
        <f>'Rock Climbing Log'!I115</f>
        <v>0</v>
      </c>
      <c r="J115" s="81">
        <f>'Rock Climbing Log'!J115</f>
        <v>0</v>
      </c>
      <c r="K115" s="82">
        <f>'Rock Climbing Log'!K115</f>
        <v>0</v>
      </c>
      <c r="L115" s="83">
        <f>'Rock Climbing Log'!L115</f>
        <v>0</v>
      </c>
      <c r="M115" s="81">
        <f>'Rock Climbing Log'!M115</f>
        <v>0</v>
      </c>
      <c r="N115" s="82">
        <f>'Rock Climbing Log'!N115</f>
        <v>0</v>
      </c>
      <c r="O115" s="83">
        <f>'Rock Climbing Log'!O115</f>
        <v>0</v>
      </c>
      <c r="P115" s="81">
        <f>'Rock Climbing Log'!P115</f>
        <v>0</v>
      </c>
      <c r="Q115" s="82">
        <f>'Rock Climbing Log'!Q115</f>
        <v>0</v>
      </c>
      <c r="R115" s="83">
        <f>'Rock Climbing Log'!R115</f>
        <v>0</v>
      </c>
      <c r="S115" s="81">
        <f>'Rock Climbing Log'!S115</f>
        <v>0</v>
      </c>
      <c r="T115" s="82">
        <f>'Rock Climbing Log'!T115</f>
        <v>0</v>
      </c>
      <c r="U115" s="83">
        <f>'Rock Climbing Log'!U115</f>
        <v>0</v>
      </c>
      <c r="V115" s="81">
        <f>'Rock Climbing Log'!V115</f>
        <v>0</v>
      </c>
      <c r="W115" s="82">
        <f>'Rock Climbing Log'!W115</f>
        <v>0</v>
      </c>
      <c r="X115" s="83">
        <f>'Rock Climbing Log'!X115</f>
        <v>0</v>
      </c>
      <c r="Y115" s="81">
        <f>'Rock Climbing Log'!Y115</f>
        <v>0</v>
      </c>
      <c r="Z115" s="82">
        <f>'Rock Climbing Log'!Z115</f>
        <v>0</v>
      </c>
      <c r="AA115" s="83">
        <f>'Rock Climbing Log'!AA115</f>
        <v>0</v>
      </c>
      <c r="AB115" s="81">
        <f>'Rock Climbing Log'!AB115</f>
        <v>0</v>
      </c>
      <c r="AC115" s="82">
        <f>'Rock Climbing Log'!AC115</f>
        <v>0</v>
      </c>
      <c r="AD115" s="83">
        <f>'Rock Climbing Log'!AD115</f>
        <v>0</v>
      </c>
      <c r="AE115" s="81">
        <f>'Rock Climbing Log'!AE115</f>
        <v>0</v>
      </c>
      <c r="AF115" s="82">
        <f>'Rock Climbing Log'!AF115</f>
        <v>0</v>
      </c>
      <c r="AG115" s="83">
        <f>'Rock Climbing Log'!AG115</f>
        <v>0</v>
      </c>
      <c r="AH115" s="81">
        <f>'Rock Climbing Log'!AH115</f>
        <v>0</v>
      </c>
      <c r="AI115" s="82">
        <f>'Rock Climbing Log'!AI115</f>
        <v>0</v>
      </c>
      <c r="AJ115" s="83">
        <f>'Rock Climbing Log'!AJ115</f>
        <v>0</v>
      </c>
      <c r="AK115" s="81">
        <f>'Rock Climbing Log'!AK115</f>
        <v>0</v>
      </c>
      <c r="AL115" s="82">
        <f>'Rock Climbing Log'!AL115</f>
        <v>0</v>
      </c>
      <c r="AM115" s="83">
        <f>'Rock Climbing Log'!AM115</f>
        <v>0</v>
      </c>
      <c r="AN115" s="81">
        <f>'Rock Climbing Log'!AN115</f>
        <v>0</v>
      </c>
      <c r="AO115" s="82">
        <f>'Rock Climbing Log'!AO115</f>
        <v>0</v>
      </c>
      <c r="AP115" s="83">
        <f>'Rock Climbing Log'!AP115</f>
        <v>0</v>
      </c>
      <c r="AQ115" s="81">
        <f>'Rock Climbing Log'!AQ115</f>
        <v>0</v>
      </c>
      <c r="AR115" s="82">
        <f>'Rock Climbing Log'!AR115</f>
        <v>0</v>
      </c>
      <c r="AS115" s="83">
        <f>'Rock Climbing Log'!AS115</f>
        <v>0</v>
      </c>
      <c r="AT115" s="81">
        <f>'Rock Climbing Log'!AT115</f>
        <v>0</v>
      </c>
      <c r="AU115" s="82">
        <f>'Rock Climbing Log'!AU115</f>
        <v>0</v>
      </c>
      <c r="AV115" s="83">
        <f>'Rock Climbing Log'!AV115</f>
        <v>0</v>
      </c>
      <c r="AW115" s="66">
        <f ca="1">'RC Template'!AW115</f>
        <v>0</v>
      </c>
      <c r="AX115" s="66">
        <f ca="1">'RC Template'!BC115</f>
        <v>0</v>
      </c>
      <c r="AY115" s="75">
        <f>'Rock Climbing Log'!AY115</f>
        <v>0</v>
      </c>
    </row>
    <row r="116" spans="1:51" x14ac:dyDescent="0.3">
      <c r="A116" s="28">
        <f t="shared" si="13"/>
        <v>109</v>
      </c>
      <c r="B116" s="19">
        <f>'Rock Climbing Log'!B116</f>
        <v>0</v>
      </c>
      <c r="C116" s="24">
        <f>'Rock Climbing Log'!C116</f>
        <v>0</v>
      </c>
      <c r="D116" s="81">
        <f>'Rock Climbing Log'!D116</f>
        <v>0</v>
      </c>
      <c r="E116" s="82">
        <f>'Rock Climbing Log'!E116</f>
        <v>0</v>
      </c>
      <c r="F116" s="83">
        <f>'Rock Climbing Log'!F116</f>
        <v>0</v>
      </c>
      <c r="G116" s="81">
        <f>'Rock Climbing Log'!G116</f>
        <v>0</v>
      </c>
      <c r="H116" s="82">
        <f>'Rock Climbing Log'!H116</f>
        <v>0</v>
      </c>
      <c r="I116" s="83">
        <f>'Rock Climbing Log'!I116</f>
        <v>0</v>
      </c>
      <c r="J116" s="81">
        <f>'Rock Climbing Log'!J116</f>
        <v>0</v>
      </c>
      <c r="K116" s="82">
        <f>'Rock Climbing Log'!K116</f>
        <v>0</v>
      </c>
      <c r="L116" s="83">
        <f>'Rock Climbing Log'!L116</f>
        <v>0</v>
      </c>
      <c r="M116" s="81">
        <f>'Rock Climbing Log'!M116</f>
        <v>0</v>
      </c>
      <c r="N116" s="82">
        <f>'Rock Climbing Log'!N116</f>
        <v>0</v>
      </c>
      <c r="O116" s="83">
        <f>'Rock Climbing Log'!O116</f>
        <v>0</v>
      </c>
      <c r="P116" s="81">
        <f>'Rock Climbing Log'!P116</f>
        <v>0</v>
      </c>
      <c r="Q116" s="82">
        <f>'Rock Climbing Log'!Q116</f>
        <v>0</v>
      </c>
      <c r="R116" s="83">
        <f>'Rock Climbing Log'!R116</f>
        <v>0</v>
      </c>
      <c r="S116" s="81">
        <f>'Rock Climbing Log'!S116</f>
        <v>0</v>
      </c>
      <c r="T116" s="82">
        <f>'Rock Climbing Log'!T116</f>
        <v>0</v>
      </c>
      <c r="U116" s="83">
        <f>'Rock Climbing Log'!U116</f>
        <v>0</v>
      </c>
      <c r="V116" s="81">
        <f>'Rock Climbing Log'!V116</f>
        <v>0</v>
      </c>
      <c r="W116" s="82">
        <f>'Rock Climbing Log'!W116</f>
        <v>0</v>
      </c>
      <c r="X116" s="83">
        <f>'Rock Climbing Log'!X116</f>
        <v>0</v>
      </c>
      <c r="Y116" s="81">
        <f>'Rock Climbing Log'!Y116</f>
        <v>0</v>
      </c>
      <c r="Z116" s="82">
        <f>'Rock Climbing Log'!Z116</f>
        <v>0</v>
      </c>
      <c r="AA116" s="83">
        <f>'Rock Climbing Log'!AA116</f>
        <v>0</v>
      </c>
      <c r="AB116" s="81">
        <f>'Rock Climbing Log'!AB116</f>
        <v>0</v>
      </c>
      <c r="AC116" s="82">
        <f>'Rock Climbing Log'!AC116</f>
        <v>0</v>
      </c>
      <c r="AD116" s="83">
        <f>'Rock Climbing Log'!AD116</f>
        <v>0</v>
      </c>
      <c r="AE116" s="81">
        <f>'Rock Climbing Log'!AE116</f>
        <v>0</v>
      </c>
      <c r="AF116" s="82">
        <f>'Rock Climbing Log'!AF116</f>
        <v>0</v>
      </c>
      <c r="AG116" s="83">
        <f>'Rock Climbing Log'!AG116</f>
        <v>0</v>
      </c>
      <c r="AH116" s="81">
        <f>'Rock Climbing Log'!AH116</f>
        <v>0</v>
      </c>
      <c r="AI116" s="82">
        <f>'Rock Climbing Log'!AI116</f>
        <v>0</v>
      </c>
      <c r="AJ116" s="83">
        <f>'Rock Climbing Log'!AJ116</f>
        <v>0</v>
      </c>
      <c r="AK116" s="81">
        <f>'Rock Climbing Log'!AK116</f>
        <v>0</v>
      </c>
      <c r="AL116" s="82">
        <f>'Rock Climbing Log'!AL116</f>
        <v>0</v>
      </c>
      <c r="AM116" s="83">
        <f>'Rock Climbing Log'!AM116</f>
        <v>0</v>
      </c>
      <c r="AN116" s="81">
        <f>'Rock Climbing Log'!AN116</f>
        <v>0</v>
      </c>
      <c r="AO116" s="82">
        <f>'Rock Climbing Log'!AO116</f>
        <v>0</v>
      </c>
      <c r="AP116" s="83">
        <f>'Rock Climbing Log'!AP116</f>
        <v>0</v>
      </c>
      <c r="AQ116" s="81">
        <f>'Rock Climbing Log'!AQ116</f>
        <v>0</v>
      </c>
      <c r="AR116" s="82">
        <f>'Rock Climbing Log'!AR116</f>
        <v>0</v>
      </c>
      <c r="AS116" s="83">
        <f>'Rock Climbing Log'!AS116</f>
        <v>0</v>
      </c>
      <c r="AT116" s="81">
        <f>'Rock Climbing Log'!AT116</f>
        <v>0</v>
      </c>
      <c r="AU116" s="82">
        <f>'Rock Climbing Log'!AU116</f>
        <v>0</v>
      </c>
      <c r="AV116" s="83">
        <f>'Rock Climbing Log'!AV116</f>
        <v>0</v>
      </c>
      <c r="AW116" s="66">
        <f ca="1">'RC Template'!AW116</f>
        <v>0</v>
      </c>
      <c r="AX116" s="66">
        <f ca="1">'RC Template'!BC116</f>
        <v>0</v>
      </c>
      <c r="AY116" s="75">
        <f>'Rock Climbing Log'!AY116</f>
        <v>0</v>
      </c>
    </row>
    <row r="117" spans="1:51" x14ac:dyDescent="0.3">
      <c r="A117" s="28">
        <f t="shared" si="13"/>
        <v>110</v>
      </c>
      <c r="B117" s="19">
        <f>'Rock Climbing Log'!B117</f>
        <v>0</v>
      </c>
      <c r="C117" s="24">
        <f>'Rock Climbing Log'!C117</f>
        <v>0</v>
      </c>
      <c r="D117" s="81">
        <f>'Rock Climbing Log'!D117</f>
        <v>0</v>
      </c>
      <c r="E117" s="82">
        <f>'Rock Climbing Log'!E117</f>
        <v>0</v>
      </c>
      <c r="F117" s="83">
        <f>'Rock Climbing Log'!F117</f>
        <v>0</v>
      </c>
      <c r="G117" s="81">
        <f>'Rock Climbing Log'!G117</f>
        <v>0</v>
      </c>
      <c r="H117" s="82">
        <f>'Rock Climbing Log'!H117</f>
        <v>0</v>
      </c>
      <c r="I117" s="83">
        <f>'Rock Climbing Log'!I117</f>
        <v>0</v>
      </c>
      <c r="J117" s="81">
        <f>'Rock Climbing Log'!J117</f>
        <v>0</v>
      </c>
      <c r="K117" s="82">
        <f>'Rock Climbing Log'!K117</f>
        <v>0</v>
      </c>
      <c r="L117" s="83">
        <f>'Rock Climbing Log'!L117</f>
        <v>0</v>
      </c>
      <c r="M117" s="81">
        <f>'Rock Climbing Log'!M117</f>
        <v>0</v>
      </c>
      <c r="N117" s="82">
        <f>'Rock Climbing Log'!N117</f>
        <v>0</v>
      </c>
      <c r="O117" s="83">
        <f>'Rock Climbing Log'!O117</f>
        <v>0</v>
      </c>
      <c r="P117" s="81">
        <f>'Rock Climbing Log'!P117</f>
        <v>0</v>
      </c>
      <c r="Q117" s="82">
        <f>'Rock Climbing Log'!Q117</f>
        <v>0</v>
      </c>
      <c r="R117" s="83">
        <f>'Rock Climbing Log'!R117</f>
        <v>0</v>
      </c>
      <c r="S117" s="81">
        <f>'Rock Climbing Log'!S117</f>
        <v>0</v>
      </c>
      <c r="T117" s="82">
        <f>'Rock Climbing Log'!T117</f>
        <v>0</v>
      </c>
      <c r="U117" s="83">
        <f>'Rock Climbing Log'!U117</f>
        <v>0</v>
      </c>
      <c r="V117" s="81">
        <f>'Rock Climbing Log'!V117</f>
        <v>0</v>
      </c>
      <c r="W117" s="82">
        <f>'Rock Climbing Log'!W117</f>
        <v>0</v>
      </c>
      <c r="X117" s="83">
        <f>'Rock Climbing Log'!X117</f>
        <v>0</v>
      </c>
      <c r="Y117" s="81">
        <f>'Rock Climbing Log'!Y117</f>
        <v>0</v>
      </c>
      <c r="Z117" s="82">
        <f>'Rock Climbing Log'!Z117</f>
        <v>0</v>
      </c>
      <c r="AA117" s="83">
        <f>'Rock Climbing Log'!AA117</f>
        <v>0</v>
      </c>
      <c r="AB117" s="81">
        <f>'Rock Climbing Log'!AB117</f>
        <v>0</v>
      </c>
      <c r="AC117" s="82">
        <f>'Rock Climbing Log'!AC117</f>
        <v>0</v>
      </c>
      <c r="AD117" s="83">
        <f>'Rock Climbing Log'!AD117</f>
        <v>0</v>
      </c>
      <c r="AE117" s="81">
        <f>'Rock Climbing Log'!AE117</f>
        <v>0</v>
      </c>
      <c r="AF117" s="82">
        <f>'Rock Climbing Log'!AF117</f>
        <v>0</v>
      </c>
      <c r="AG117" s="83">
        <f>'Rock Climbing Log'!AG117</f>
        <v>0</v>
      </c>
      <c r="AH117" s="81">
        <f>'Rock Climbing Log'!AH117</f>
        <v>0</v>
      </c>
      <c r="AI117" s="82">
        <f>'Rock Climbing Log'!AI117</f>
        <v>0</v>
      </c>
      <c r="AJ117" s="83">
        <f>'Rock Climbing Log'!AJ117</f>
        <v>0</v>
      </c>
      <c r="AK117" s="81">
        <f>'Rock Climbing Log'!AK117</f>
        <v>0</v>
      </c>
      <c r="AL117" s="82">
        <f>'Rock Climbing Log'!AL117</f>
        <v>0</v>
      </c>
      <c r="AM117" s="83">
        <f>'Rock Climbing Log'!AM117</f>
        <v>0</v>
      </c>
      <c r="AN117" s="81">
        <f>'Rock Climbing Log'!AN117</f>
        <v>0</v>
      </c>
      <c r="AO117" s="82">
        <f>'Rock Climbing Log'!AO117</f>
        <v>0</v>
      </c>
      <c r="AP117" s="83">
        <f>'Rock Climbing Log'!AP117</f>
        <v>0</v>
      </c>
      <c r="AQ117" s="81">
        <f>'Rock Climbing Log'!AQ117</f>
        <v>0</v>
      </c>
      <c r="AR117" s="82">
        <f>'Rock Climbing Log'!AR117</f>
        <v>0</v>
      </c>
      <c r="AS117" s="83">
        <f>'Rock Climbing Log'!AS117</f>
        <v>0</v>
      </c>
      <c r="AT117" s="81">
        <f>'Rock Climbing Log'!AT117</f>
        <v>0</v>
      </c>
      <c r="AU117" s="82">
        <f>'Rock Climbing Log'!AU117</f>
        <v>0</v>
      </c>
      <c r="AV117" s="83">
        <f>'Rock Climbing Log'!AV117</f>
        <v>0</v>
      </c>
      <c r="AW117" s="66">
        <f ca="1">'RC Template'!AW117</f>
        <v>0</v>
      </c>
      <c r="AX117" s="66">
        <f ca="1">'RC Template'!BC117</f>
        <v>0</v>
      </c>
      <c r="AY117" s="75">
        <f>'Rock Climbing Log'!AY117</f>
        <v>0</v>
      </c>
    </row>
    <row r="118" spans="1:51" x14ac:dyDescent="0.3">
      <c r="A118" s="28">
        <f t="shared" si="13"/>
        <v>111</v>
      </c>
      <c r="B118" s="19">
        <f>'Rock Climbing Log'!B118</f>
        <v>0</v>
      </c>
      <c r="C118" s="24">
        <f>'Rock Climbing Log'!C118</f>
        <v>0</v>
      </c>
      <c r="D118" s="81">
        <f>'Rock Climbing Log'!D118</f>
        <v>0</v>
      </c>
      <c r="E118" s="82">
        <f>'Rock Climbing Log'!E118</f>
        <v>0</v>
      </c>
      <c r="F118" s="83">
        <f>'Rock Climbing Log'!F118</f>
        <v>0</v>
      </c>
      <c r="G118" s="81">
        <f>'Rock Climbing Log'!G118</f>
        <v>0</v>
      </c>
      <c r="H118" s="82">
        <f>'Rock Climbing Log'!H118</f>
        <v>0</v>
      </c>
      <c r="I118" s="83">
        <f>'Rock Climbing Log'!I118</f>
        <v>0</v>
      </c>
      <c r="J118" s="81">
        <f>'Rock Climbing Log'!J118</f>
        <v>0</v>
      </c>
      <c r="K118" s="82">
        <f>'Rock Climbing Log'!K118</f>
        <v>0</v>
      </c>
      <c r="L118" s="83">
        <f>'Rock Climbing Log'!L118</f>
        <v>0</v>
      </c>
      <c r="M118" s="81">
        <f>'Rock Climbing Log'!M118</f>
        <v>0</v>
      </c>
      <c r="N118" s="82">
        <f>'Rock Climbing Log'!N118</f>
        <v>0</v>
      </c>
      <c r="O118" s="83">
        <f>'Rock Climbing Log'!O118</f>
        <v>0</v>
      </c>
      <c r="P118" s="81">
        <f>'Rock Climbing Log'!P118</f>
        <v>0</v>
      </c>
      <c r="Q118" s="82">
        <f>'Rock Climbing Log'!Q118</f>
        <v>0</v>
      </c>
      <c r="R118" s="83">
        <f>'Rock Climbing Log'!R118</f>
        <v>0</v>
      </c>
      <c r="S118" s="81">
        <f>'Rock Climbing Log'!S118</f>
        <v>0</v>
      </c>
      <c r="T118" s="82">
        <f>'Rock Climbing Log'!T118</f>
        <v>0</v>
      </c>
      <c r="U118" s="83">
        <f>'Rock Climbing Log'!U118</f>
        <v>0</v>
      </c>
      <c r="V118" s="81">
        <f>'Rock Climbing Log'!V118</f>
        <v>0</v>
      </c>
      <c r="W118" s="82">
        <f>'Rock Climbing Log'!W118</f>
        <v>0</v>
      </c>
      <c r="X118" s="83">
        <f>'Rock Climbing Log'!X118</f>
        <v>0</v>
      </c>
      <c r="Y118" s="81">
        <f>'Rock Climbing Log'!Y118</f>
        <v>0</v>
      </c>
      <c r="Z118" s="82">
        <f>'Rock Climbing Log'!Z118</f>
        <v>0</v>
      </c>
      <c r="AA118" s="83">
        <f>'Rock Climbing Log'!AA118</f>
        <v>0</v>
      </c>
      <c r="AB118" s="81">
        <f>'Rock Climbing Log'!AB118</f>
        <v>0</v>
      </c>
      <c r="AC118" s="82">
        <f>'Rock Climbing Log'!AC118</f>
        <v>0</v>
      </c>
      <c r="AD118" s="83">
        <f>'Rock Climbing Log'!AD118</f>
        <v>0</v>
      </c>
      <c r="AE118" s="81">
        <f>'Rock Climbing Log'!AE118</f>
        <v>0</v>
      </c>
      <c r="AF118" s="82">
        <f>'Rock Climbing Log'!AF118</f>
        <v>0</v>
      </c>
      <c r="AG118" s="83">
        <f>'Rock Climbing Log'!AG118</f>
        <v>0</v>
      </c>
      <c r="AH118" s="81">
        <f>'Rock Climbing Log'!AH118</f>
        <v>0</v>
      </c>
      <c r="AI118" s="82">
        <f>'Rock Climbing Log'!AI118</f>
        <v>0</v>
      </c>
      <c r="AJ118" s="83">
        <f>'Rock Climbing Log'!AJ118</f>
        <v>0</v>
      </c>
      <c r="AK118" s="81">
        <f>'Rock Climbing Log'!AK118</f>
        <v>0</v>
      </c>
      <c r="AL118" s="82">
        <f>'Rock Climbing Log'!AL118</f>
        <v>0</v>
      </c>
      <c r="AM118" s="83">
        <f>'Rock Climbing Log'!AM118</f>
        <v>0</v>
      </c>
      <c r="AN118" s="81">
        <f>'Rock Climbing Log'!AN118</f>
        <v>0</v>
      </c>
      <c r="AO118" s="82">
        <f>'Rock Climbing Log'!AO118</f>
        <v>0</v>
      </c>
      <c r="AP118" s="83">
        <f>'Rock Climbing Log'!AP118</f>
        <v>0</v>
      </c>
      <c r="AQ118" s="81">
        <f>'Rock Climbing Log'!AQ118</f>
        <v>0</v>
      </c>
      <c r="AR118" s="82">
        <f>'Rock Climbing Log'!AR118</f>
        <v>0</v>
      </c>
      <c r="AS118" s="83">
        <f>'Rock Climbing Log'!AS118</f>
        <v>0</v>
      </c>
      <c r="AT118" s="81">
        <f>'Rock Climbing Log'!AT118</f>
        <v>0</v>
      </c>
      <c r="AU118" s="82">
        <f>'Rock Climbing Log'!AU118</f>
        <v>0</v>
      </c>
      <c r="AV118" s="83">
        <f>'Rock Climbing Log'!AV118</f>
        <v>0</v>
      </c>
      <c r="AW118" s="66">
        <f ca="1">'RC Template'!AW118</f>
        <v>0</v>
      </c>
      <c r="AX118" s="66">
        <f ca="1">'RC Template'!BC118</f>
        <v>0</v>
      </c>
      <c r="AY118" s="75">
        <f>'Rock Climbing Log'!AY118</f>
        <v>0</v>
      </c>
    </row>
    <row r="119" spans="1:51" x14ac:dyDescent="0.3">
      <c r="A119" s="28">
        <f t="shared" si="13"/>
        <v>112</v>
      </c>
      <c r="B119" s="19">
        <f>'Rock Climbing Log'!B119</f>
        <v>0</v>
      </c>
      <c r="C119" s="24">
        <f>'Rock Climbing Log'!C119</f>
        <v>0</v>
      </c>
      <c r="D119" s="81">
        <f>'Rock Climbing Log'!D119</f>
        <v>0</v>
      </c>
      <c r="E119" s="82">
        <f>'Rock Climbing Log'!E119</f>
        <v>0</v>
      </c>
      <c r="F119" s="83">
        <f>'Rock Climbing Log'!F119</f>
        <v>0</v>
      </c>
      <c r="G119" s="81">
        <f>'Rock Climbing Log'!G119</f>
        <v>0</v>
      </c>
      <c r="H119" s="82">
        <f>'Rock Climbing Log'!H119</f>
        <v>0</v>
      </c>
      <c r="I119" s="83">
        <f>'Rock Climbing Log'!I119</f>
        <v>0</v>
      </c>
      <c r="J119" s="81">
        <f>'Rock Climbing Log'!J119</f>
        <v>0</v>
      </c>
      <c r="K119" s="82">
        <f>'Rock Climbing Log'!K119</f>
        <v>0</v>
      </c>
      <c r="L119" s="83">
        <f>'Rock Climbing Log'!L119</f>
        <v>0</v>
      </c>
      <c r="M119" s="81">
        <f>'Rock Climbing Log'!M119</f>
        <v>0</v>
      </c>
      <c r="N119" s="82">
        <f>'Rock Climbing Log'!N119</f>
        <v>0</v>
      </c>
      <c r="O119" s="83">
        <f>'Rock Climbing Log'!O119</f>
        <v>0</v>
      </c>
      <c r="P119" s="81">
        <f>'Rock Climbing Log'!P119</f>
        <v>0</v>
      </c>
      <c r="Q119" s="82">
        <f>'Rock Climbing Log'!Q119</f>
        <v>0</v>
      </c>
      <c r="R119" s="83">
        <f>'Rock Climbing Log'!R119</f>
        <v>0</v>
      </c>
      <c r="S119" s="81">
        <f>'Rock Climbing Log'!S119</f>
        <v>0</v>
      </c>
      <c r="T119" s="82">
        <f>'Rock Climbing Log'!T119</f>
        <v>0</v>
      </c>
      <c r="U119" s="83">
        <f>'Rock Climbing Log'!U119</f>
        <v>0</v>
      </c>
      <c r="V119" s="81">
        <f>'Rock Climbing Log'!V119</f>
        <v>0</v>
      </c>
      <c r="W119" s="82">
        <f>'Rock Climbing Log'!W119</f>
        <v>0</v>
      </c>
      <c r="X119" s="83">
        <f>'Rock Climbing Log'!X119</f>
        <v>0</v>
      </c>
      <c r="Y119" s="81">
        <f>'Rock Climbing Log'!Y119</f>
        <v>0</v>
      </c>
      <c r="Z119" s="82">
        <f>'Rock Climbing Log'!Z119</f>
        <v>0</v>
      </c>
      <c r="AA119" s="83">
        <f>'Rock Climbing Log'!AA119</f>
        <v>0</v>
      </c>
      <c r="AB119" s="81">
        <f>'Rock Climbing Log'!AB119</f>
        <v>0</v>
      </c>
      <c r="AC119" s="82">
        <f>'Rock Climbing Log'!AC119</f>
        <v>0</v>
      </c>
      <c r="AD119" s="83">
        <f>'Rock Climbing Log'!AD119</f>
        <v>0</v>
      </c>
      <c r="AE119" s="81">
        <f>'Rock Climbing Log'!AE119</f>
        <v>0</v>
      </c>
      <c r="AF119" s="82">
        <f>'Rock Climbing Log'!AF119</f>
        <v>0</v>
      </c>
      <c r="AG119" s="83">
        <f>'Rock Climbing Log'!AG119</f>
        <v>0</v>
      </c>
      <c r="AH119" s="81">
        <f>'Rock Climbing Log'!AH119</f>
        <v>0</v>
      </c>
      <c r="AI119" s="82">
        <f>'Rock Climbing Log'!AI119</f>
        <v>0</v>
      </c>
      <c r="AJ119" s="83">
        <f>'Rock Climbing Log'!AJ119</f>
        <v>0</v>
      </c>
      <c r="AK119" s="81">
        <f>'Rock Climbing Log'!AK119</f>
        <v>0</v>
      </c>
      <c r="AL119" s="82">
        <f>'Rock Climbing Log'!AL119</f>
        <v>0</v>
      </c>
      <c r="AM119" s="83">
        <f>'Rock Climbing Log'!AM119</f>
        <v>0</v>
      </c>
      <c r="AN119" s="81">
        <f>'Rock Climbing Log'!AN119</f>
        <v>0</v>
      </c>
      <c r="AO119" s="82">
        <f>'Rock Climbing Log'!AO119</f>
        <v>0</v>
      </c>
      <c r="AP119" s="83">
        <f>'Rock Climbing Log'!AP119</f>
        <v>0</v>
      </c>
      <c r="AQ119" s="81">
        <f>'Rock Climbing Log'!AQ119</f>
        <v>0</v>
      </c>
      <c r="AR119" s="82">
        <f>'Rock Climbing Log'!AR119</f>
        <v>0</v>
      </c>
      <c r="AS119" s="83">
        <f>'Rock Climbing Log'!AS119</f>
        <v>0</v>
      </c>
      <c r="AT119" s="81">
        <f>'Rock Climbing Log'!AT119</f>
        <v>0</v>
      </c>
      <c r="AU119" s="82">
        <f>'Rock Climbing Log'!AU119</f>
        <v>0</v>
      </c>
      <c r="AV119" s="83">
        <f>'Rock Climbing Log'!AV119</f>
        <v>0</v>
      </c>
      <c r="AW119" s="66">
        <f ca="1">'RC Template'!AW119</f>
        <v>0</v>
      </c>
      <c r="AX119" s="66">
        <f ca="1">'RC Template'!BC119</f>
        <v>0</v>
      </c>
      <c r="AY119" s="75">
        <f>'Rock Climbing Log'!AY119</f>
        <v>0</v>
      </c>
    </row>
    <row r="120" spans="1:51" x14ac:dyDescent="0.3">
      <c r="A120" s="28">
        <f t="shared" si="13"/>
        <v>113</v>
      </c>
      <c r="B120" s="19">
        <f>'Rock Climbing Log'!B120</f>
        <v>0</v>
      </c>
      <c r="C120" s="24">
        <f>'Rock Climbing Log'!C120</f>
        <v>0</v>
      </c>
      <c r="D120" s="81">
        <f>'Rock Climbing Log'!D120</f>
        <v>0</v>
      </c>
      <c r="E120" s="82">
        <f>'Rock Climbing Log'!E120</f>
        <v>0</v>
      </c>
      <c r="F120" s="83">
        <f>'Rock Climbing Log'!F120</f>
        <v>0</v>
      </c>
      <c r="G120" s="81">
        <f>'Rock Climbing Log'!G120</f>
        <v>0</v>
      </c>
      <c r="H120" s="82">
        <f>'Rock Climbing Log'!H120</f>
        <v>0</v>
      </c>
      <c r="I120" s="83">
        <f>'Rock Climbing Log'!I120</f>
        <v>0</v>
      </c>
      <c r="J120" s="81">
        <f>'Rock Climbing Log'!J120</f>
        <v>0</v>
      </c>
      <c r="K120" s="82">
        <f>'Rock Climbing Log'!K120</f>
        <v>0</v>
      </c>
      <c r="L120" s="83">
        <f>'Rock Climbing Log'!L120</f>
        <v>0</v>
      </c>
      <c r="M120" s="81">
        <f>'Rock Climbing Log'!M120</f>
        <v>0</v>
      </c>
      <c r="N120" s="82">
        <f>'Rock Climbing Log'!N120</f>
        <v>0</v>
      </c>
      <c r="O120" s="83">
        <f>'Rock Climbing Log'!O120</f>
        <v>0</v>
      </c>
      <c r="P120" s="81">
        <f>'Rock Climbing Log'!P120</f>
        <v>0</v>
      </c>
      <c r="Q120" s="82">
        <f>'Rock Climbing Log'!Q120</f>
        <v>0</v>
      </c>
      <c r="R120" s="83">
        <f>'Rock Climbing Log'!R120</f>
        <v>0</v>
      </c>
      <c r="S120" s="81">
        <f>'Rock Climbing Log'!S120</f>
        <v>0</v>
      </c>
      <c r="T120" s="82">
        <f>'Rock Climbing Log'!T120</f>
        <v>0</v>
      </c>
      <c r="U120" s="83">
        <f>'Rock Climbing Log'!U120</f>
        <v>0</v>
      </c>
      <c r="V120" s="81">
        <f>'Rock Climbing Log'!V120</f>
        <v>0</v>
      </c>
      <c r="W120" s="82">
        <f>'Rock Climbing Log'!W120</f>
        <v>0</v>
      </c>
      <c r="X120" s="83">
        <f>'Rock Climbing Log'!X120</f>
        <v>0</v>
      </c>
      <c r="Y120" s="81">
        <f>'Rock Climbing Log'!Y120</f>
        <v>0</v>
      </c>
      <c r="Z120" s="82">
        <f>'Rock Climbing Log'!Z120</f>
        <v>0</v>
      </c>
      <c r="AA120" s="83">
        <f>'Rock Climbing Log'!AA120</f>
        <v>0</v>
      </c>
      <c r="AB120" s="81">
        <f>'Rock Climbing Log'!AB120</f>
        <v>0</v>
      </c>
      <c r="AC120" s="82">
        <f>'Rock Climbing Log'!AC120</f>
        <v>0</v>
      </c>
      <c r="AD120" s="83">
        <f>'Rock Climbing Log'!AD120</f>
        <v>0</v>
      </c>
      <c r="AE120" s="81">
        <f>'Rock Climbing Log'!AE120</f>
        <v>0</v>
      </c>
      <c r="AF120" s="82">
        <f>'Rock Climbing Log'!AF120</f>
        <v>0</v>
      </c>
      <c r="AG120" s="83">
        <f>'Rock Climbing Log'!AG120</f>
        <v>0</v>
      </c>
      <c r="AH120" s="81">
        <f>'Rock Climbing Log'!AH120</f>
        <v>0</v>
      </c>
      <c r="AI120" s="82">
        <f>'Rock Climbing Log'!AI120</f>
        <v>0</v>
      </c>
      <c r="AJ120" s="83">
        <f>'Rock Climbing Log'!AJ120</f>
        <v>0</v>
      </c>
      <c r="AK120" s="81">
        <f>'Rock Climbing Log'!AK120</f>
        <v>0</v>
      </c>
      <c r="AL120" s="82">
        <f>'Rock Climbing Log'!AL120</f>
        <v>0</v>
      </c>
      <c r="AM120" s="83">
        <f>'Rock Climbing Log'!AM120</f>
        <v>0</v>
      </c>
      <c r="AN120" s="81">
        <f>'Rock Climbing Log'!AN120</f>
        <v>0</v>
      </c>
      <c r="AO120" s="82">
        <f>'Rock Climbing Log'!AO120</f>
        <v>0</v>
      </c>
      <c r="AP120" s="83">
        <f>'Rock Climbing Log'!AP120</f>
        <v>0</v>
      </c>
      <c r="AQ120" s="81">
        <f>'Rock Climbing Log'!AQ120</f>
        <v>0</v>
      </c>
      <c r="AR120" s="82">
        <f>'Rock Climbing Log'!AR120</f>
        <v>0</v>
      </c>
      <c r="AS120" s="83">
        <f>'Rock Climbing Log'!AS120</f>
        <v>0</v>
      </c>
      <c r="AT120" s="81">
        <f>'Rock Climbing Log'!AT120</f>
        <v>0</v>
      </c>
      <c r="AU120" s="82">
        <f>'Rock Climbing Log'!AU120</f>
        <v>0</v>
      </c>
      <c r="AV120" s="83">
        <f>'Rock Climbing Log'!AV120</f>
        <v>0</v>
      </c>
      <c r="AW120" s="66">
        <f ca="1">'RC Template'!AW120</f>
        <v>0</v>
      </c>
      <c r="AX120" s="66">
        <f ca="1">'RC Template'!BC120</f>
        <v>0</v>
      </c>
      <c r="AY120" s="75">
        <f>'Rock Climbing Log'!AY120</f>
        <v>0</v>
      </c>
    </row>
    <row r="121" spans="1:51" x14ac:dyDescent="0.3">
      <c r="A121" s="28">
        <f t="shared" si="13"/>
        <v>114</v>
      </c>
      <c r="B121" s="19">
        <f>'Rock Climbing Log'!B121</f>
        <v>0</v>
      </c>
      <c r="C121" s="24">
        <f>'Rock Climbing Log'!C121</f>
        <v>0</v>
      </c>
      <c r="D121" s="81">
        <f>'Rock Climbing Log'!D121</f>
        <v>0</v>
      </c>
      <c r="E121" s="82">
        <f>'Rock Climbing Log'!E121</f>
        <v>0</v>
      </c>
      <c r="F121" s="83">
        <f>'Rock Climbing Log'!F121</f>
        <v>0</v>
      </c>
      <c r="G121" s="81">
        <f>'Rock Climbing Log'!G121</f>
        <v>0</v>
      </c>
      <c r="H121" s="82">
        <f>'Rock Climbing Log'!H121</f>
        <v>0</v>
      </c>
      <c r="I121" s="83">
        <f>'Rock Climbing Log'!I121</f>
        <v>0</v>
      </c>
      <c r="J121" s="81">
        <f>'Rock Climbing Log'!J121</f>
        <v>0</v>
      </c>
      <c r="K121" s="82">
        <f>'Rock Climbing Log'!K121</f>
        <v>0</v>
      </c>
      <c r="L121" s="83">
        <f>'Rock Climbing Log'!L121</f>
        <v>0</v>
      </c>
      <c r="M121" s="81">
        <f>'Rock Climbing Log'!M121</f>
        <v>0</v>
      </c>
      <c r="N121" s="82">
        <f>'Rock Climbing Log'!N121</f>
        <v>0</v>
      </c>
      <c r="O121" s="83">
        <f>'Rock Climbing Log'!O121</f>
        <v>0</v>
      </c>
      <c r="P121" s="81">
        <f>'Rock Climbing Log'!P121</f>
        <v>0</v>
      </c>
      <c r="Q121" s="82">
        <f>'Rock Climbing Log'!Q121</f>
        <v>0</v>
      </c>
      <c r="R121" s="83">
        <f>'Rock Climbing Log'!R121</f>
        <v>0</v>
      </c>
      <c r="S121" s="81">
        <f>'Rock Climbing Log'!S121</f>
        <v>0</v>
      </c>
      <c r="T121" s="82">
        <f>'Rock Climbing Log'!T121</f>
        <v>0</v>
      </c>
      <c r="U121" s="83">
        <f>'Rock Climbing Log'!U121</f>
        <v>0</v>
      </c>
      <c r="V121" s="81">
        <f>'Rock Climbing Log'!V121</f>
        <v>0</v>
      </c>
      <c r="W121" s="82">
        <f>'Rock Climbing Log'!W121</f>
        <v>0</v>
      </c>
      <c r="X121" s="83">
        <f>'Rock Climbing Log'!X121</f>
        <v>0</v>
      </c>
      <c r="Y121" s="81">
        <f>'Rock Climbing Log'!Y121</f>
        <v>0</v>
      </c>
      <c r="Z121" s="82">
        <f>'Rock Climbing Log'!Z121</f>
        <v>0</v>
      </c>
      <c r="AA121" s="83">
        <f>'Rock Climbing Log'!AA121</f>
        <v>0</v>
      </c>
      <c r="AB121" s="81">
        <f>'Rock Climbing Log'!AB121</f>
        <v>0</v>
      </c>
      <c r="AC121" s="82">
        <f>'Rock Climbing Log'!AC121</f>
        <v>0</v>
      </c>
      <c r="AD121" s="83">
        <f>'Rock Climbing Log'!AD121</f>
        <v>0</v>
      </c>
      <c r="AE121" s="81">
        <f>'Rock Climbing Log'!AE121</f>
        <v>0</v>
      </c>
      <c r="AF121" s="82">
        <f>'Rock Climbing Log'!AF121</f>
        <v>0</v>
      </c>
      <c r="AG121" s="83">
        <f>'Rock Climbing Log'!AG121</f>
        <v>0</v>
      </c>
      <c r="AH121" s="81">
        <f>'Rock Climbing Log'!AH121</f>
        <v>0</v>
      </c>
      <c r="AI121" s="82">
        <f>'Rock Climbing Log'!AI121</f>
        <v>0</v>
      </c>
      <c r="AJ121" s="83">
        <f>'Rock Climbing Log'!AJ121</f>
        <v>0</v>
      </c>
      <c r="AK121" s="81">
        <f>'Rock Climbing Log'!AK121</f>
        <v>0</v>
      </c>
      <c r="AL121" s="82">
        <f>'Rock Climbing Log'!AL121</f>
        <v>0</v>
      </c>
      <c r="AM121" s="83">
        <f>'Rock Climbing Log'!AM121</f>
        <v>0</v>
      </c>
      <c r="AN121" s="81">
        <f>'Rock Climbing Log'!AN121</f>
        <v>0</v>
      </c>
      <c r="AO121" s="82">
        <f>'Rock Climbing Log'!AO121</f>
        <v>0</v>
      </c>
      <c r="AP121" s="83">
        <f>'Rock Climbing Log'!AP121</f>
        <v>0</v>
      </c>
      <c r="AQ121" s="81">
        <f>'Rock Climbing Log'!AQ121</f>
        <v>0</v>
      </c>
      <c r="AR121" s="82">
        <f>'Rock Climbing Log'!AR121</f>
        <v>0</v>
      </c>
      <c r="AS121" s="83">
        <f>'Rock Climbing Log'!AS121</f>
        <v>0</v>
      </c>
      <c r="AT121" s="81">
        <f>'Rock Climbing Log'!AT121</f>
        <v>0</v>
      </c>
      <c r="AU121" s="82">
        <f>'Rock Climbing Log'!AU121</f>
        <v>0</v>
      </c>
      <c r="AV121" s="83">
        <f>'Rock Climbing Log'!AV121</f>
        <v>0</v>
      </c>
      <c r="AW121" s="66">
        <f ca="1">'RC Template'!AW121</f>
        <v>0</v>
      </c>
      <c r="AX121" s="66">
        <f ca="1">'RC Template'!BC121</f>
        <v>0</v>
      </c>
      <c r="AY121" s="75">
        <f>'Rock Climbing Log'!AY121</f>
        <v>0</v>
      </c>
    </row>
    <row r="122" spans="1:51" x14ac:dyDescent="0.3">
      <c r="A122" s="28">
        <f t="shared" si="13"/>
        <v>115</v>
      </c>
      <c r="B122" s="19">
        <f>'Rock Climbing Log'!B122</f>
        <v>0</v>
      </c>
      <c r="C122" s="24">
        <f>'Rock Climbing Log'!C122</f>
        <v>0</v>
      </c>
      <c r="D122" s="81">
        <f>'Rock Climbing Log'!D122</f>
        <v>0</v>
      </c>
      <c r="E122" s="82">
        <f>'Rock Climbing Log'!E122</f>
        <v>0</v>
      </c>
      <c r="F122" s="83">
        <f>'Rock Climbing Log'!F122</f>
        <v>0</v>
      </c>
      <c r="G122" s="81">
        <f>'Rock Climbing Log'!G122</f>
        <v>0</v>
      </c>
      <c r="H122" s="82">
        <f>'Rock Climbing Log'!H122</f>
        <v>0</v>
      </c>
      <c r="I122" s="83">
        <f>'Rock Climbing Log'!I122</f>
        <v>0</v>
      </c>
      <c r="J122" s="81">
        <f>'Rock Climbing Log'!J122</f>
        <v>0</v>
      </c>
      <c r="K122" s="82">
        <f>'Rock Climbing Log'!K122</f>
        <v>0</v>
      </c>
      <c r="L122" s="83">
        <f>'Rock Climbing Log'!L122</f>
        <v>0</v>
      </c>
      <c r="M122" s="81">
        <f>'Rock Climbing Log'!M122</f>
        <v>0</v>
      </c>
      <c r="N122" s="82">
        <f>'Rock Climbing Log'!N122</f>
        <v>0</v>
      </c>
      <c r="O122" s="83">
        <f>'Rock Climbing Log'!O122</f>
        <v>0</v>
      </c>
      <c r="P122" s="81">
        <f>'Rock Climbing Log'!P122</f>
        <v>0</v>
      </c>
      <c r="Q122" s="82">
        <f>'Rock Climbing Log'!Q122</f>
        <v>0</v>
      </c>
      <c r="R122" s="83">
        <f>'Rock Climbing Log'!R122</f>
        <v>0</v>
      </c>
      <c r="S122" s="81">
        <f>'Rock Climbing Log'!S122</f>
        <v>0</v>
      </c>
      <c r="T122" s="82">
        <f>'Rock Climbing Log'!T122</f>
        <v>0</v>
      </c>
      <c r="U122" s="83">
        <f>'Rock Climbing Log'!U122</f>
        <v>0</v>
      </c>
      <c r="V122" s="81">
        <f>'Rock Climbing Log'!V122</f>
        <v>0</v>
      </c>
      <c r="W122" s="82">
        <f>'Rock Climbing Log'!W122</f>
        <v>0</v>
      </c>
      <c r="X122" s="83">
        <f>'Rock Climbing Log'!X122</f>
        <v>0</v>
      </c>
      <c r="Y122" s="81">
        <f>'Rock Climbing Log'!Y122</f>
        <v>0</v>
      </c>
      <c r="Z122" s="82">
        <f>'Rock Climbing Log'!Z122</f>
        <v>0</v>
      </c>
      <c r="AA122" s="83">
        <f>'Rock Climbing Log'!AA122</f>
        <v>0</v>
      </c>
      <c r="AB122" s="81">
        <f>'Rock Climbing Log'!AB122</f>
        <v>0</v>
      </c>
      <c r="AC122" s="82">
        <f>'Rock Climbing Log'!AC122</f>
        <v>0</v>
      </c>
      <c r="AD122" s="83">
        <f>'Rock Climbing Log'!AD122</f>
        <v>0</v>
      </c>
      <c r="AE122" s="81">
        <f>'Rock Climbing Log'!AE122</f>
        <v>0</v>
      </c>
      <c r="AF122" s="82">
        <f>'Rock Climbing Log'!AF122</f>
        <v>0</v>
      </c>
      <c r="AG122" s="83">
        <f>'Rock Climbing Log'!AG122</f>
        <v>0</v>
      </c>
      <c r="AH122" s="81">
        <f>'Rock Climbing Log'!AH122</f>
        <v>0</v>
      </c>
      <c r="AI122" s="82">
        <f>'Rock Climbing Log'!AI122</f>
        <v>0</v>
      </c>
      <c r="AJ122" s="83">
        <f>'Rock Climbing Log'!AJ122</f>
        <v>0</v>
      </c>
      <c r="AK122" s="81">
        <f>'Rock Climbing Log'!AK122</f>
        <v>0</v>
      </c>
      <c r="AL122" s="82">
        <f>'Rock Climbing Log'!AL122</f>
        <v>0</v>
      </c>
      <c r="AM122" s="83">
        <f>'Rock Climbing Log'!AM122</f>
        <v>0</v>
      </c>
      <c r="AN122" s="81">
        <f>'Rock Climbing Log'!AN122</f>
        <v>0</v>
      </c>
      <c r="AO122" s="82">
        <f>'Rock Climbing Log'!AO122</f>
        <v>0</v>
      </c>
      <c r="AP122" s="83">
        <f>'Rock Climbing Log'!AP122</f>
        <v>0</v>
      </c>
      <c r="AQ122" s="81">
        <f>'Rock Climbing Log'!AQ122</f>
        <v>0</v>
      </c>
      <c r="AR122" s="82">
        <f>'Rock Climbing Log'!AR122</f>
        <v>0</v>
      </c>
      <c r="AS122" s="83">
        <f>'Rock Climbing Log'!AS122</f>
        <v>0</v>
      </c>
      <c r="AT122" s="81">
        <f>'Rock Climbing Log'!AT122</f>
        <v>0</v>
      </c>
      <c r="AU122" s="82">
        <f>'Rock Climbing Log'!AU122</f>
        <v>0</v>
      </c>
      <c r="AV122" s="83">
        <f>'Rock Climbing Log'!AV122</f>
        <v>0</v>
      </c>
      <c r="AW122" s="66">
        <f ca="1">'RC Template'!AW122</f>
        <v>0</v>
      </c>
      <c r="AX122" s="66">
        <f ca="1">'RC Template'!BC122</f>
        <v>0</v>
      </c>
      <c r="AY122" s="75">
        <f>'Rock Climbing Log'!AY122</f>
        <v>0</v>
      </c>
    </row>
    <row r="123" spans="1:51" x14ac:dyDescent="0.3">
      <c r="A123" s="28">
        <f t="shared" si="13"/>
        <v>116</v>
      </c>
      <c r="B123" s="19">
        <f>'Rock Climbing Log'!B123</f>
        <v>0</v>
      </c>
      <c r="C123" s="24">
        <f>'Rock Climbing Log'!C123</f>
        <v>0</v>
      </c>
      <c r="D123" s="81">
        <f>'Rock Climbing Log'!D123</f>
        <v>0</v>
      </c>
      <c r="E123" s="82">
        <f>'Rock Climbing Log'!E123</f>
        <v>0</v>
      </c>
      <c r="F123" s="83">
        <f>'Rock Climbing Log'!F123</f>
        <v>0</v>
      </c>
      <c r="G123" s="81">
        <f>'Rock Climbing Log'!G123</f>
        <v>0</v>
      </c>
      <c r="H123" s="82">
        <f>'Rock Climbing Log'!H123</f>
        <v>0</v>
      </c>
      <c r="I123" s="83">
        <f>'Rock Climbing Log'!I123</f>
        <v>0</v>
      </c>
      <c r="J123" s="81">
        <f>'Rock Climbing Log'!J123</f>
        <v>0</v>
      </c>
      <c r="K123" s="82">
        <f>'Rock Climbing Log'!K123</f>
        <v>0</v>
      </c>
      <c r="L123" s="83">
        <f>'Rock Climbing Log'!L123</f>
        <v>0</v>
      </c>
      <c r="M123" s="81">
        <f>'Rock Climbing Log'!M123</f>
        <v>0</v>
      </c>
      <c r="N123" s="82">
        <f>'Rock Climbing Log'!N123</f>
        <v>0</v>
      </c>
      <c r="O123" s="83">
        <f>'Rock Climbing Log'!O123</f>
        <v>0</v>
      </c>
      <c r="P123" s="81">
        <f>'Rock Climbing Log'!P123</f>
        <v>0</v>
      </c>
      <c r="Q123" s="82">
        <f>'Rock Climbing Log'!Q123</f>
        <v>0</v>
      </c>
      <c r="R123" s="83">
        <f>'Rock Climbing Log'!R123</f>
        <v>0</v>
      </c>
      <c r="S123" s="81">
        <f>'Rock Climbing Log'!S123</f>
        <v>0</v>
      </c>
      <c r="T123" s="82">
        <f>'Rock Climbing Log'!T123</f>
        <v>0</v>
      </c>
      <c r="U123" s="83">
        <f>'Rock Climbing Log'!U123</f>
        <v>0</v>
      </c>
      <c r="V123" s="81">
        <f>'Rock Climbing Log'!V123</f>
        <v>0</v>
      </c>
      <c r="W123" s="82">
        <f>'Rock Climbing Log'!W123</f>
        <v>0</v>
      </c>
      <c r="X123" s="83">
        <f>'Rock Climbing Log'!X123</f>
        <v>0</v>
      </c>
      <c r="Y123" s="81">
        <f>'Rock Climbing Log'!Y123</f>
        <v>0</v>
      </c>
      <c r="Z123" s="82">
        <f>'Rock Climbing Log'!Z123</f>
        <v>0</v>
      </c>
      <c r="AA123" s="83">
        <f>'Rock Climbing Log'!AA123</f>
        <v>0</v>
      </c>
      <c r="AB123" s="81">
        <f>'Rock Climbing Log'!AB123</f>
        <v>0</v>
      </c>
      <c r="AC123" s="82">
        <f>'Rock Climbing Log'!AC123</f>
        <v>0</v>
      </c>
      <c r="AD123" s="83">
        <f>'Rock Climbing Log'!AD123</f>
        <v>0</v>
      </c>
      <c r="AE123" s="81">
        <f>'Rock Climbing Log'!AE123</f>
        <v>0</v>
      </c>
      <c r="AF123" s="82">
        <f>'Rock Climbing Log'!AF123</f>
        <v>0</v>
      </c>
      <c r="AG123" s="83">
        <f>'Rock Climbing Log'!AG123</f>
        <v>0</v>
      </c>
      <c r="AH123" s="81">
        <f>'Rock Climbing Log'!AH123</f>
        <v>0</v>
      </c>
      <c r="AI123" s="82">
        <f>'Rock Climbing Log'!AI123</f>
        <v>0</v>
      </c>
      <c r="AJ123" s="83">
        <f>'Rock Climbing Log'!AJ123</f>
        <v>0</v>
      </c>
      <c r="AK123" s="81">
        <f>'Rock Climbing Log'!AK123</f>
        <v>0</v>
      </c>
      <c r="AL123" s="82">
        <f>'Rock Climbing Log'!AL123</f>
        <v>0</v>
      </c>
      <c r="AM123" s="83">
        <f>'Rock Climbing Log'!AM123</f>
        <v>0</v>
      </c>
      <c r="AN123" s="81">
        <f>'Rock Climbing Log'!AN123</f>
        <v>0</v>
      </c>
      <c r="AO123" s="82">
        <f>'Rock Climbing Log'!AO123</f>
        <v>0</v>
      </c>
      <c r="AP123" s="83">
        <f>'Rock Climbing Log'!AP123</f>
        <v>0</v>
      </c>
      <c r="AQ123" s="81">
        <f>'Rock Climbing Log'!AQ123</f>
        <v>0</v>
      </c>
      <c r="AR123" s="82">
        <f>'Rock Climbing Log'!AR123</f>
        <v>0</v>
      </c>
      <c r="AS123" s="83">
        <f>'Rock Climbing Log'!AS123</f>
        <v>0</v>
      </c>
      <c r="AT123" s="81">
        <f>'Rock Climbing Log'!AT123</f>
        <v>0</v>
      </c>
      <c r="AU123" s="82">
        <f>'Rock Climbing Log'!AU123</f>
        <v>0</v>
      </c>
      <c r="AV123" s="83">
        <f>'Rock Climbing Log'!AV123</f>
        <v>0</v>
      </c>
      <c r="AW123" s="66">
        <f ca="1">'RC Template'!AW123</f>
        <v>0</v>
      </c>
      <c r="AX123" s="66">
        <f ca="1">'RC Template'!BC123</f>
        <v>0</v>
      </c>
      <c r="AY123" s="75">
        <f>'Rock Climbing Log'!AY123</f>
        <v>0</v>
      </c>
    </row>
    <row r="124" spans="1:51" x14ac:dyDescent="0.3">
      <c r="A124" s="28">
        <f t="shared" si="13"/>
        <v>117</v>
      </c>
      <c r="B124" s="19">
        <f>'Rock Climbing Log'!B124</f>
        <v>0</v>
      </c>
      <c r="C124" s="24">
        <f>'Rock Climbing Log'!C124</f>
        <v>0</v>
      </c>
      <c r="D124" s="81">
        <f>'Rock Climbing Log'!D124</f>
        <v>0</v>
      </c>
      <c r="E124" s="82">
        <f>'Rock Climbing Log'!E124</f>
        <v>0</v>
      </c>
      <c r="F124" s="83">
        <f>'Rock Climbing Log'!F124</f>
        <v>0</v>
      </c>
      <c r="G124" s="81">
        <f>'Rock Climbing Log'!G124</f>
        <v>0</v>
      </c>
      <c r="H124" s="82">
        <f>'Rock Climbing Log'!H124</f>
        <v>0</v>
      </c>
      <c r="I124" s="83">
        <f>'Rock Climbing Log'!I124</f>
        <v>0</v>
      </c>
      <c r="J124" s="81">
        <f>'Rock Climbing Log'!J124</f>
        <v>0</v>
      </c>
      <c r="K124" s="82">
        <f>'Rock Climbing Log'!K124</f>
        <v>0</v>
      </c>
      <c r="L124" s="83">
        <f>'Rock Climbing Log'!L124</f>
        <v>0</v>
      </c>
      <c r="M124" s="81">
        <f>'Rock Climbing Log'!M124</f>
        <v>0</v>
      </c>
      <c r="N124" s="82">
        <f>'Rock Climbing Log'!N124</f>
        <v>0</v>
      </c>
      <c r="O124" s="83">
        <f>'Rock Climbing Log'!O124</f>
        <v>0</v>
      </c>
      <c r="P124" s="81">
        <f>'Rock Climbing Log'!P124</f>
        <v>0</v>
      </c>
      <c r="Q124" s="82">
        <f>'Rock Climbing Log'!Q124</f>
        <v>0</v>
      </c>
      <c r="R124" s="83">
        <f>'Rock Climbing Log'!R124</f>
        <v>0</v>
      </c>
      <c r="S124" s="81">
        <f>'Rock Climbing Log'!S124</f>
        <v>0</v>
      </c>
      <c r="T124" s="82">
        <f>'Rock Climbing Log'!T124</f>
        <v>0</v>
      </c>
      <c r="U124" s="83">
        <f>'Rock Climbing Log'!U124</f>
        <v>0</v>
      </c>
      <c r="V124" s="81">
        <f>'Rock Climbing Log'!V124</f>
        <v>0</v>
      </c>
      <c r="W124" s="82">
        <f>'Rock Climbing Log'!W124</f>
        <v>0</v>
      </c>
      <c r="X124" s="83">
        <f>'Rock Climbing Log'!X124</f>
        <v>0</v>
      </c>
      <c r="Y124" s="81">
        <f>'Rock Climbing Log'!Y124</f>
        <v>0</v>
      </c>
      <c r="Z124" s="82">
        <f>'Rock Climbing Log'!Z124</f>
        <v>0</v>
      </c>
      <c r="AA124" s="83">
        <f>'Rock Climbing Log'!AA124</f>
        <v>0</v>
      </c>
      <c r="AB124" s="81">
        <f>'Rock Climbing Log'!AB124</f>
        <v>0</v>
      </c>
      <c r="AC124" s="82">
        <f>'Rock Climbing Log'!AC124</f>
        <v>0</v>
      </c>
      <c r="AD124" s="83">
        <f>'Rock Climbing Log'!AD124</f>
        <v>0</v>
      </c>
      <c r="AE124" s="81">
        <f>'Rock Climbing Log'!AE124</f>
        <v>0</v>
      </c>
      <c r="AF124" s="82">
        <f>'Rock Climbing Log'!AF124</f>
        <v>0</v>
      </c>
      <c r="AG124" s="83">
        <f>'Rock Climbing Log'!AG124</f>
        <v>0</v>
      </c>
      <c r="AH124" s="81">
        <f>'Rock Climbing Log'!AH124</f>
        <v>0</v>
      </c>
      <c r="AI124" s="82">
        <f>'Rock Climbing Log'!AI124</f>
        <v>0</v>
      </c>
      <c r="AJ124" s="83">
        <f>'Rock Climbing Log'!AJ124</f>
        <v>0</v>
      </c>
      <c r="AK124" s="81">
        <f>'Rock Climbing Log'!AK124</f>
        <v>0</v>
      </c>
      <c r="AL124" s="82">
        <f>'Rock Climbing Log'!AL124</f>
        <v>0</v>
      </c>
      <c r="AM124" s="83">
        <f>'Rock Climbing Log'!AM124</f>
        <v>0</v>
      </c>
      <c r="AN124" s="81">
        <f>'Rock Climbing Log'!AN124</f>
        <v>0</v>
      </c>
      <c r="AO124" s="82">
        <f>'Rock Climbing Log'!AO124</f>
        <v>0</v>
      </c>
      <c r="AP124" s="83">
        <f>'Rock Climbing Log'!AP124</f>
        <v>0</v>
      </c>
      <c r="AQ124" s="81">
        <f>'Rock Climbing Log'!AQ124</f>
        <v>0</v>
      </c>
      <c r="AR124" s="82">
        <f>'Rock Climbing Log'!AR124</f>
        <v>0</v>
      </c>
      <c r="AS124" s="83">
        <f>'Rock Climbing Log'!AS124</f>
        <v>0</v>
      </c>
      <c r="AT124" s="81">
        <f>'Rock Climbing Log'!AT124</f>
        <v>0</v>
      </c>
      <c r="AU124" s="82">
        <f>'Rock Climbing Log'!AU124</f>
        <v>0</v>
      </c>
      <c r="AV124" s="83">
        <f>'Rock Climbing Log'!AV124</f>
        <v>0</v>
      </c>
      <c r="AW124" s="66">
        <f ca="1">'RC Template'!AW124</f>
        <v>0</v>
      </c>
      <c r="AX124" s="66">
        <f ca="1">'RC Template'!BC124</f>
        <v>0</v>
      </c>
      <c r="AY124" s="75">
        <f>'Rock Climbing Log'!AY124</f>
        <v>0</v>
      </c>
    </row>
    <row r="125" spans="1:51" x14ac:dyDescent="0.3">
      <c r="A125" s="28">
        <f t="shared" si="13"/>
        <v>118</v>
      </c>
      <c r="B125" s="19">
        <f>'Rock Climbing Log'!B125</f>
        <v>0</v>
      </c>
      <c r="C125" s="24">
        <f>'Rock Climbing Log'!C125</f>
        <v>0</v>
      </c>
      <c r="D125" s="81">
        <f>'Rock Climbing Log'!D125</f>
        <v>0</v>
      </c>
      <c r="E125" s="82">
        <f>'Rock Climbing Log'!E125</f>
        <v>0</v>
      </c>
      <c r="F125" s="83">
        <f>'Rock Climbing Log'!F125</f>
        <v>0</v>
      </c>
      <c r="G125" s="81">
        <f>'Rock Climbing Log'!G125</f>
        <v>0</v>
      </c>
      <c r="H125" s="82">
        <f>'Rock Climbing Log'!H125</f>
        <v>0</v>
      </c>
      <c r="I125" s="83">
        <f>'Rock Climbing Log'!I125</f>
        <v>0</v>
      </c>
      <c r="J125" s="81">
        <f>'Rock Climbing Log'!J125</f>
        <v>0</v>
      </c>
      <c r="K125" s="82">
        <f>'Rock Climbing Log'!K125</f>
        <v>0</v>
      </c>
      <c r="L125" s="83">
        <f>'Rock Climbing Log'!L125</f>
        <v>0</v>
      </c>
      <c r="M125" s="81">
        <f>'Rock Climbing Log'!M125</f>
        <v>0</v>
      </c>
      <c r="N125" s="82">
        <f>'Rock Climbing Log'!N125</f>
        <v>0</v>
      </c>
      <c r="O125" s="83">
        <f>'Rock Climbing Log'!O125</f>
        <v>0</v>
      </c>
      <c r="P125" s="81">
        <f>'Rock Climbing Log'!P125</f>
        <v>0</v>
      </c>
      <c r="Q125" s="82">
        <f>'Rock Climbing Log'!Q125</f>
        <v>0</v>
      </c>
      <c r="R125" s="83">
        <f>'Rock Climbing Log'!R125</f>
        <v>0</v>
      </c>
      <c r="S125" s="81">
        <f>'Rock Climbing Log'!S125</f>
        <v>0</v>
      </c>
      <c r="T125" s="82">
        <f>'Rock Climbing Log'!T125</f>
        <v>0</v>
      </c>
      <c r="U125" s="83">
        <f>'Rock Climbing Log'!U125</f>
        <v>0</v>
      </c>
      <c r="V125" s="81">
        <f>'Rock Climbing Log'!V125</f>
        <v>0</v>
      </c>
      <c r="W125" s="82">
        <f>'Rock Climbing Log'!W125</f>
        <v>0</v>
      </c>
      <c r="X125" s="83">
        <f>'Rock Climbing Log'!X125</f>
        <v>0</v>
      </c>
      <c r="Y125" s="81">
        <f>'Rock Climbing Log'!Y125</f>
        <v>0</v>
      </c>
      <c r="Z125" s="82">
        <f>'Rock Climbing Log'!Z125</f>
        <v>0</v>
      </c>
      <c r="AA125" s="83">
        <f>'Rock Climbing Log'!AA125</f>
        <v>0</v>
      </c>
      <c r="AB125" s="81">
        <f>'Rock Climbing Log'!AB125</f>
        <v>0</v>
      </c>
      <c r="AC125" s="82">
        <f>'Rock Climbing Log'!AC125</f>
        <v>0</v>
      </c>
      <c r="AD125" s="83">
        <f>'Rock Climbing Log'!AD125</f>
        <v>0</v>
      </c>
      <c r="AE125" s="81">
        <f>'Rock Climbing Log'!AE125</f>
        <v>0</v>
      </c>
      <c r="AF125" s="82">
        <f>'Rock Climbing Log'!AF125</f>
        <v>0</v>
      </c>
      <c r="AG125" s="83">
        <f>'Rock Climbing Log'!AG125</f>
        <v>0</v>
      </c>
      <c r="AH125" s="81">
        <f>'Rock Climbing Log'!AH125</f>
        <v>0</v>
      </c>
      <c r="AI125" s="82">
        <f>'Rock Climbing Log'!AI125</f>
        <v>0</v>
      </c>
      <c r="AJ125" s="83">
        <f>'Rock Climbing Log'!AJ125</f>
        <v>0</v>
      </c>
      <c r="AK125" s="81">
        <f>'Rock Climbing Log'!AK125</f>
        <v>0</v>
      </c>
      <c r="AL125" s="82">
        <f>'Rock Climbing Log'!AL125</f>
        <v>0</v>
      </c>
      <c r="AM125" s="83">
        <f>'Rock Climbing Log'!AM125</f>
        <v>0</v>
      </c>
      <c r="AN125" s="81">
        <f>'Rock Climbing Log'!AN125</f>
        <v>0</v>
      </c>
      <c r="AO125" s="82">
        <f>'Rock Climbing Log'!AO125</f>
        <v>0</v>
      </c>
      <c r="AP125" s="83">
        <f>'Rock Climbing Log'!AP125</f>
        <v>0</v>
      </c>
      <c r="AQ125" s="81">
        <f>'Rock Climbing Log'!AQ125</f>
        <v>0</v>
      </c>
      <c r="AR125" s="82">
        <f>'Rock Climbing Log'!AR125</f>
        <v>0</v>
      </c>
      <c r="AS125" s="83">
        <f>'Rock Climbing Log'!AS125</f>
        <v>0</v>
      </c>
      <c r="AT125" s="81">
        <f>'Rock Climbing Log'!AT125</f>
        <v>0</v>
      </c>
      <c r="AU125" s="82">
        <f>'Rock Climbing Log'!AU125</f>
        <v>0</v>
      </c>
      <c r="AV125" s="83">
        <f>'Rock Climbing Log'!AV125</f>
        <v>0</v>
      </c>
      <c r="AW125" s="66">
        <f ca="1">'RC Template'!AW125</f>
        <v>0</v>
      </c>
      <c r="AX125" s="66">
        <f ca="1">'RC Template'!BC125</f>
        <v>0</v>
      </c>
      <c r="AY125" s="75">
        <f>'Rock Climbing Log'!AY125</f>
        <v>0</v>
      </c>
    </row>
    <row r="126" spans="1:51" x14ac:dyDescent="0.3">
      <c r="A126" s="28">
        <f t="shared" si="13"/>
        <v>119</v>
      </c>
      <c r="B126" s="19">
        <f>'Rock Climbing Log'!B126</f>
        <v>0</v>
      </c>
      <c r="C126" s="24">
        <f>'Rock Climbing Log'!C126</f>
        <v>0</v>
      </c>
      <c r="D126" s="81">
        <f>'Rock Climbing Log'!D126</f>
        <v>0</v>
      </c>
      <c r="E126" s="82">
        <f>'Rock Climbing Log'!E126</f>
        <v>0</v>
      </c>
      <c r="F126" s="83">
        <f>'Rock Climbing Log'!F126</f>
        <v>0</v>
      </c>
      <c r="G126" s="81">
        <f>'Rock Climbing Log'!G126</f>
        <v>0</v>
      </c>
      <c r="H126" s="82">
        <f>'Rock Climbing Log'!H126</f>
        <v>0</v>
      </c>
      <c r="I126" s="83">
        <f>'Rock Climbing Log'!I126</f>
        <v>0</v>
      </c>
      <c r="J126" s="81">
        <f>'Rock Climbing Log'!J126</f>
        <v>0</v>
      </c>
      <c r="K126" s="82">
        <f>'Rock Climbing Log'!K126</f>
        <v>0</v>
      </c>
      <c r="L126" s="83">
        <f>'Rock Climbing Log'!L126</f>
        <v>0</v>
      </c>
      <c r="M126" s="81">
        <f>'Rock Climbing Log'!M126</f>
        <v>0</v>
      </c>
      <c r="N126" s="82">
        <f>'Rock Climbing Log'!N126</f>
        <v>0</v>
      </c>
      <c r="O126" s="83">
        <f>'Rock Climbing Log'!O126</f>
        <v>0</v>
      </c>
      <c r="P126" s="81">
        <f>'Rock Climbing Log'!P126</f>
        <v>0</v>
      </c>
      <c r="Q126" s="82">
        <f>'Rock Climbing Log'!Q126</f>
        <v>0</v>
      </c>
      <c r="R126" s="83">
        <f>'Rock Climbing Log'!R126</f>
        <v>0</v>
      </c>
      <c r="S126" s="81">
        <f>'Rock Climbing Log'!S126</f>
        <v>0</v>
      </c>
      <c r="T126" s="82">
        <f>'Rock Climbing Log'!T126</f>
        <v>0</v>
      </c>
      <c r="U126" s="83">
        <f>'Rock Climbing Log'!U126</f>
        <v>0</v>
      </c>
      <c r="V126" s="81">
        <f>'Rock Climbing Log'!V126</f>
        <v>0</v>
      </c>
      <c r="W126" s="82">
        <f>'Rock Climbing Log'!W126</f>
        <v>0</v>
      </c>
      <c r="X126" s="83">
        <f>'Rock Climbing Log'!X126</f>
        <v>0</v>
      </c>
      <c r="Y126" s="81">
        <f>'Rock Climbing Log'!Y126</f>
        <v>0</v>
      </c>
      <c r="Z126" s="82">
        <f>'Rock Climbing Log'!Z126</f>
        <v>0</v>
      </c>
      <c r="AA126" s="83">
        <f>'Rock Climbing Log'!AA126</f>
        <v>0</v>
      </c>
      <c r="AB126" s="81">
        <f>'Rock Climbing Log'!AB126</f>
        <v>0</v>
      </c>
      <c r="AC126" s="82">
        <f>'Rock Climbing Log'!AC126</f>
        <v>0</v>
      </c>
      <c r="AD126" s="83">
        <f>'Rock Climbing Log'!AD126</f>
        <v>0</v>
      </c>
      <c r="AE126" s="81">
        <f>'Rock Climbing Log'!AE126</f>
        <v>0</v>
      </c>
      <c r="AF126" s="82">
        <f>'Rock Climbing Log'!AF126</f>
        <v>0</v>
      </c>
      <c r="AG126" s="83">
        <f>'Rock Climbing Log'!AG126</f>
        <v>0</v>
      </c>
      <c r="AH126" s="81">
        <f>'Rock Climbing Log'!AH126</f>
        <v>0</v>
      </c>
      <c r="AI126" s="82">
        <f>'Rock Climbing Log'!AI126</f>
        <v>0</v>
      </c>
      <c r="AJ126" s="83">
        <f>'Rock Climbing Log'!AJ126</f>
        <v>0</v>
      </c>
      <c r="AK126" s="81">
        <f>'Rock Climbing Log'!AK126</f>
        <v>0</v>
      </c>
      <c r="AL126" s="82">
        <f>'Rock Climbing Log'!AL126</f>
        <v>0</v>
      </c>
      <c r="AM126" s="83">
        <f>'Rock Climbing Log'!AM126</f>
        <v>0</v>
      </c>
      <c r="AN126" s="81">
        <f>'Rock Climbing Log'!AN126</f>
        <v>0</v>
      </c>
      <c r="AO126" s="82">
        <f>'Rock Climbing Log'!AO126</f>
        <v>0</v>
      </c>
      <c r="AP126" s="83">
        <f>'Rock Climbing Log'!AP126</f>
        <v>0</v>
      </c>
      <c r="AQ126" s="81">
        <f>'Rock Climbing Log'!AQ126</f>
        <v>0</v>
      </c>
      <c r="AR126" s="82">
        <f>'Rock Climbing Log'!AR126</f>
        <v>0</v>
      </c>
      <c r="AS126" s="83">
        <f>'Rock Climbing Log'!AS126</f>
        <v>0</v>
      </c>
      <c r="AT126" s="81">
        <f>'Rock Climbing Log'!AT126</f>
        <v>0</v>
      </c>
      <c r="AU126" s="82">
        <f>'Rock Climbing Log'!AU126</f>
        <v>0</v>
      </c>
      <c r="AV126" s="83">
        <f>'Rock Climbing Log'!AV126</f>
        <v>0</v>
      </c>
      <c r="AW126" s="66">
        <f ca="1">'RC Template'!AW126</f>
        <v>0</v>
      </c>
      <c r="AX126" s="66">
        <f ca="1">'RC Template'!BC126</f>
        <v>0</v>
      </c>
      <c r="AY126" s="75">
        <f>'Rock Climbing Log'!AY126</f>
        <v>0</v>
      </c>
    </row>
    <row r="127" spans="1:51" x14ac:dyDescent="0.3">
      <c r="A127" s="28">
        <f t="shared" si="13"/>
        <v>120</v>
      </c>
      <c r="B127" s="19">
        <f>'Rock Climbing Log'!B127</f>
        <v>0</v>
      </c>
      <c r="C127" s="24">
        <f>'Rock Climbing Log'!C127</f>
        <v>0</v>
      </c>
      <c r="D127" s="81">
        <f>'Rock Climbing Log'!D127</f>
        <v>0</v>
      </c>
      <c r="E127" s="82">
        <f>'Rock Climbing Log'!E127</f>
        <v>0</v>
      </c>
      <c r="F127" s="83">
        <f>'Rock Climbing Log'!F127</f>
        <v>0</v>
      </c>
      <c r="G127" s="81">
        <f>'Rock Climbing Log'!G127</f>
        <v>0</v>
      </c>
      <c r="H127" s="82">
        <f>'Rock Climbing Log'!H127</f>
        <v>0</v>
      </c>
      <c r="I127" s="83">
        <f>'Rock Climbing Log'!I127</f>
        <v>0</v>
      </c>
      <c r="J127" s="81">
        <f>'Rock Climbing Log'!J127</f>
        <v>0</v>
      </c>
      <c r="K127" s="82">
        <f>'Rock Climbing Log'!K127</f>
        <v>0</v>
      </c>
      <c r="L127" s="83">
        <f>'Rock Climbing Log'!L127</f>
        <v>0</v>
      </c>
      <c r="M127" s="81">
        <f>'Rock Climbing Log'!M127</f>
        <v>0</v>
      </c>
      <c r="N127" s="82">
        <f>'Rock Climbing Log'!N127</f>
        <v>0</v>
      </c>
      <c r="O127" s="83">
        <f>'Rock Climbing Log'!O127</f>
        <v>0</v>
      </c>
      <c r="P127" s="81">
        <f>'Rock Climbing Log'!P127</f>
        <v>0</v>
      </c>
      <c r="Q127" s="82">
        <f>'Rock Climbing Log'!Q127</f>
        <v>0</v>
      </c>
      <c r="R127" s="83">
        <f>'Rock Climbing Log'!R127</f>
        <v>0</v>
      </c>
      <c r="S127" s="81">
        <f>'Rock Climbing Log'!S127</f>
        <v>0</v>
      </c>
      <c r="T127" s="82">
        <f>'Rock Climbing Log'!T127</f>
        <v>0</v>
      </c>
      <c r="U127" s="83">
        <f>'Rock Climbing Log'!U127</f>
        <v>0</v>
      </c>
      <c r="V127" s="81">
        <f>'Rock Climbing Log'!V127</f>
        <v>0</v>
      </c>
      <c r="W127" s="82">
        <f>'Rock Climbing Log'!W127</f>
        <v>0</v>
      </c>
      <c r="X127" s="83">
        <f>'Rock Climbing Log'!X127</f>
        <v>0</v>
      </c>
      <c r="Y127" s="81">
        <f>'Rock Climbing Log'!Y127</f>
        <v>0</v>
      </c>
      <c r="Z127" s="82">
        <f>'Rock Climbing Log'!Z127</f>
        <v>0</v>
      </c>
      <c r="AA127" s="83">
        <f>'Rock Climbing Log'!AA127</f>
        <v>0</v>
      </c>
      <c r="AB127" s="81">
        <f>'Rock Climbing Log'!AB127</f>
        <v>0</v>
      </c>
      <c r="AC127" s="82">
        <f>'Rock Climbing Log'!AC127</f>
        <v>0</v>
      </c>
      <c r="AD127" s="83">
        <f>'Rock Climbing Log'!AD127</f>
        <v>0</v>
      </c>
      <c r="AE127" s="81">
        <f>'Rock Climbing Log'!AE127</f>
        <v>0</v>
      </c>
      <c r="AF127" s="82">
        <f>'Rock Climbing Log'!AF127</f>
        <v>0</v>
      </c>
      <c r="AG127" s="83">
        <f>'Rock Climbing Log'!AG127</f>
        <v>0</v>
      </c>
      <c r="AH127" s="81">
        <f>'Rock Climbing Log'!AH127</f>
        <v>0</v>
      </c>
      <c r="AI127" s="82">
        <f>'Rock Climbing Log'!AI127</f>
        <v>0</v>
      </c>
      <c r="AJ127" s="83">
        <f>'Rock Climbing Log'!AJ127</f>
        <v>0</v>
      </c>
      <c r="AK127" s="81">
        <f>'Rock Climbing Log'!AK127</f>
        <v>0</v>
      </c>
      <c r="AL127" s="82">
        <f>'Rock Climbing Log'!AL127</f>
        <v>0</v>
      </c>
      <c r="AM127" s="83">
        <f>'Rock Climbing Log'!AM127</f>
        <v>0</v>
      </c>
      <c r="AN127" s="81">
        <f>'Rock Climbing Log'!AN127</f>
        <v>0</v>
      </c>
      <c r="AO127" s="82">
        <f>'Rock Climbing Log'!AO127</f>
        <v>0</v>
      </c>
      <c r="AP127" s="83">
        <f>'Rock Climbing Log'!AP127</f>
        <v>0</v>
      </c>
      <c r="AQ127" s="81">
        <f>'Rock Climbing Log'!AQ127</f>
        <v>0</v>
      </c>
      <c r="AR127" s="82">
        <f>'Rock Climbing Log'!AR127</f>
        <v>0</v>
      </c>
      <c r="AS127" s="83">
        <f>'Rock Climbing Log'!AS127</f>
        <v>0</v>
      </c>
      <c r="AT127" s="81">
        <f>'Rock Climbing Log'!AT127</f>
        <v>0</v>
      </c>
      <c r="AU127" s="82">
        <f>'Rock Climbing Log'!AU127</f>
        <v>0</v>
      </c>
      <c r="AV127" s="83">
        <f>'Rock Climbing Log'!AV127</f>
        <v>0</v>
      </c>
      <c r="AW127" s="66">
        <f ca="1">'RC Template'!AW127</f>
        <v>0</v>
      </c>
      <c r="AX127" s="66">
        <f ca="1">'RC Template'!BC127</f>
        <v>0</v>
      </c>
      <c r="AY127" s="75">
        <f>'Rock Climbing Log'!AY127</f>
        <v>0</v>
      </c>
    </row>
    <row r="128" spans="1:51" x14ac:dyDescent="0.3">
      <c r="A128" s="28">
        <f t="shared" si="13"/>
        <v>121</v>
      </c>
      <c r="B128" s="19">
        <f>'Rock Climbing Log'!B128</f>
        <v>0</v>
      </c>
      <c r="C128" s="24">
        <f>'Rock Climbing Log'!C128</f>
        <v>0</v>
      </c>
      <c r="D128" s="81">
        <f>'Rock Climbing Log'!D128</f>
        <v>0</v>
      </c>
      <c r="E128" s="82">
        <f>'Rock Climbing Log'!E128</f>
        <v>0</v>
      </c>
      <c r="F128" s="83">
        <f>'Rock Climbing Log'!F128</f>
        <v>0</v>
      </c>
      <c r="G128" s="81">
        <f>'Rock Climbing Log'!G128</f>
        <v>0</v>
      </c>
      <c r="H128" s="82">
        <f>'Rock Climbing Log'!H128</f>
        <v>0</v>
      </c>
      <c r="I128" s="83">
        <f>'Rock Climbing Log'!I128</f>
        <v>0</v>
      </c>
      <c r="J128" s="81">
        <f>'Rock Climbing Log'!J128</f>
        <v>0</v>
      </c>
      <c r="K128" s="82">
        <f>'Rock Climbing Log'!K128</f>
        <v>0</v>
      </c>
      <c r="L128" s="83">
        <f>'Rock Climbing Log'!L128</f>
        <v>0</v>
      </c>
      <c r="M128" s="81">
        <f>'Rock Climbing Log'!M128</f>
        <v>0</v>
      </c>
      <c r="N128" s="82">
        <f>'Rock Climbing Log'!N128</f>
        <v>0</v>
      </c>
      <c r="O128" s="83">
        <f>'Rock Climbing Log'!O128</f>
        <v>0</v>
      </c>
      <c r="P128" s="81">
        <f>'Rock Climbing Log'!P128</f>
        <v>0</v>
      </c>
      <c r="Q128" s="82">
        <f>'Rock Climbing Log'!Q128</f>
        <v>0</v>
      </c>
      <c r="R128" s="83">
        <f>'Rock Climbing Log'!R128</f>
        <v>0</v>
      </c>
      <c r="S128" s="81">
        <f>'Rock Climbing Log'!S128</f>
        <v>0</v>
      </c>
      <c r="T128" s="82">
        <f>'Rock Climbing Log'!T128</f>
        <v>0</v>
      </c>
      <c r="U128" s="83">
        <f>'Rock Climbing Log'!U128</f>
        <v>0</v>
      </c>
      <c r="V128" s="81">
        <f>'Rock Climbing Log'!V128</f>
        <v>0</v>
      </c>
      <c r="W128" s="82">
        <f>'Rock Climbing Log'!W128</f>
        <v>0</v>
      </c>
      <c r="X128" s="83">
        <f>'Rock Climbing Log'!X128</f>
        <v>0</v>
      </c>
      <c r="Y128" s="81">
        <f>'Rock Climbing Log'!Y128</f>
        <v>0</v>
      </c>
      <c r="Z128" s="82">
        <f>'Rock Climbing Log'!Z128</f>
        <v>0</v>
      </c>
      <c r="AA128" s="83">
        <f>'Rock Climbing Log'!AA128</f>
        <v>0</v>
      </c>
      <c r="AB128" s="81">
        <f>'Rock Climbing Log'!AB128</f>
        <v>0</v>
      </c>
      <c r="AC128" s="82">
        <f>'Rock Climbing Log'!AC128</f>
        <v>0</v>
      </c>
      <c r="AD128" s="83">
        <f>'Rock Climbing Log'!AD128</f>
        <v>0</v>
      </c>
      <c r="AE128" s="81">
        <f>'Rock Climbing Log'!AE128</f>
        <v>0</v>
      </c>
      <c r="AF128" s="82">
        <f>'Rock Climbing Log'!AF128</f>
        <v>0</v>
      </c>
      <c r="AG128" s="83">
        <f>'Rock Climbing Log'!AG128</f>
        <v>0</v>
      </c>
      <c r="AH128" s="81">
        <f>'Rock Climbing Log'!AH128</f>
        <v>0</v>
      </c>
      <c r="AI128" s="82">
        <f>'Rock Climbing Log'!AI128</f>
        <v>0</v>
      </c>
      <c r="AJ128" s="83">
        <f>'Rock Climbing Log'!AJ128</f>
        <v>0</v>
      </c>
      <c r="AK128" s="81">
        <f>'Rock Climbing Log'!AK128</f>
        <v>0</v>
      </c>
      <c r="AL128" s="82">
        <f>'Rock Climbing Log'!AL128</f>
        <v>0</v>
      </c>
      <c r="AM128" s="83">
        <f>'Rock Climbing Log'!AM128</f>
        <v>0</v>
      </c>
      <c r="AN128" s="81">
        <f>'Rock Climbing Log'!AN128</f>
        <v>0</v>
      </c>
      <c r="AO128" s="82">
        <f>'Rock Climbing Log'!AO128</f>
        <v>0</v>
      </c>
      <c r="AP128" s="83">
        <f>'Rock Climbing Log'!AP128</f>
        <v>0</v>
      </c>
      <c r="AQ128" s="81">
        <f>'Rock Climbing Log'!AQ128</f>
        <v>0</v>
      </c>
      <c r="AR128" s="82">
        <f>'Rock Climbing Log'!AR128</f>
        <v>0</v>
      </c>
      <c r="AS128" s="83">
        <f>'Rock Climbing Log'!AS128</f>
        <v>0</v>
      </c>
      <c r="AT128" s="81">
        <f>'Rock Climbing Log'!AT128</f>
        <v>0</v>
      </c>
      <c r="AU128" s="82">
        <f>'Rock Climbing Log'!AU128</f>
        <v>0</v>
      </c>
      <c r="AV128" s="83">
        <f>'Rock Climbing Log'!AV128</f>
        <v>0</v>
      </c>
      <c r="AW128" s="66">
        <f ca="1">'RC Template'!AW128</f>
        <v>0</v>
      </c>
      <c r="AX128" s="66">
        <f ca="1">'RC Template'!BC128</f>
        <v>0</v>
      </c>
      <c r="AY128" s="75">
        <f>'Rock Climbing Log'!AY128</f>
        <v>0</v>
      </c>
    </row>
    <row r="129" spans="1:51" x14ac:dyDescent="0.3">
      <c r="A129" s="28">
        <f t="shared" si="13"/>
        <v>122</v>
      </c>
      <c r="B129" s="19">
        <f>'Rock Climbing Log'!B129</f>
        <v>0</v>
      </c>
      <c r="C129" s="24">
        <f>'Rock Climbing Log'!C129</f>
        <v>0</v>
      </c>
      <c r="D129" s="81">
        <f>'Rock Climbing Log'!D129</f>
        <v>0</v>
      </c>
      <c r="E129" s="82">
        <f>'Rock Climbing Log'!E129</f>
        <v>0</v>
      </c>
      <c r="F129" s="83">
        <f>'Rock Climbing Log'!F129</f>
        <v>0</v>
      </c>
      <c r="G129" s="81">
        <f>'Rock Climbing Log'!G129</f>
        <v>0</v>
      </c>
      <c r="H129" s="82">
        <f>'Rock Climbing Log'!H129</f>
        <v>0</v>
      </c>
      <c r="I129" s="83">
        <f>'Rock Climbing Log'!I129</f>
        <v>0</v>
      </c>
      <c r="J129" s="81">
        <f>'Rock Climbing Log'!J129</f>
        <v>0</v>
      </c>
      <c r="K129" s="82">
        <f>'Rock Climbing Log'!K129</f>
        <v>0</v>
      </c>
      <c r="L129" s="83">
        <f>'Rock Climbing Log'!L129</f>
        <v>0</v>
      </c>
      <c r="M129" s="81">
        <f>'Rock Climbing Log'!M129</f>
        <v>0</v>
      </c>
      <c r="N129" s="82">
        <f>'Rock Climbing Log'!N129</f>
        <v>0</v>
      </c>
      <c r="O129" s="83">
        <f>'Rock Climbing Log'!O129</f>
        <v>0</v>
      </c>
      <c r="P129" s="81">
        <f>'Rock Climbing Log'!P129</f>
        <v>0</v>
      </c>
      <c r="Q129" s="82">
        <f>'Rock Climbing Log'!Q129</f>
        <v>0</v>
      </c>
      <c r="R129" s="83">
        <f>'Rock Climbing Log'!R129</f>
        <v>0</v>
      </c>
      <c r="S129" s="81">
        <f>'Rock Climbing Log'!S129</f>
        <v>0</v>
      </c>
      <c r="T129" s="82">
        <f>'Rock Climbing Log'!T129</f>
        <v>0</v>
      </c>
      <c r="U129" s="83">
        <f>'Rock Climbing Log'!U129</f>
        <v>0</v>
      </c>
      <c r="V129" s="81">
        <f>'Rock Climbing Log'!V129</f>
        <v>0</v>
      </c>
      <c r="W129" s="82">
        <f>'Rock Climbing Log'!W129</f>
        <v>0</v>
      </c>
      <c r="X129" s="83">
        <f>'Rock Climbing Log'!X129</f>
        <v>0</v>
      </c>
      <c r="Y129" s="81">
        <f>'Rock Climbing Log'!Y129</f>
        <v>0</v>
      </c>
      <c r="Z129" s="82">
        <f>'Rock Climbing Log'!Z129</f>
        <v>0</v>
      </c>
      <c r="AA129" s="83">
        <f>'Rock Climbing Log'!AA129</f>
        <v>0</v>
      </c>
      <c r="AB129" s="81">
        <f>'Rock Climbing Log'!AB129</f>
        <v>0</v>
      </c>
      <c r="AC129" s="82">
        <f>'Rock Climbing Log'!AC129</f>
        <v>0</v>
      </c>
      <c r="AD129" s="83">
        <f>'Rock Climbing Log'!AD129</f>
        <v>0</v>
      </c>
      <c r="AE129" s="81">
        <f>'Rock Climbing Log'!AE129</f>
        <v>0</v>
      </c>
      <c r="AF129" s="82">
        <f>'Rock Climbing Log'!AF129</f>
        <v>0</v>
      </c>
      <c r="AG129" s="83">
        <f>'Rock Climbing Log'!AG129</f>
        <v>0</v>
      </c>
      <c r="AH129" s="81">
        <f>'Rock Climbing Log'!AH129</f>
        <v>0</v>
      </c>
      <c r="AI129" s="82">
        <f>'Rock Climbing Log'!AI129</f>
        <v>0</v>
      </c>
      <c r="AJ129" s="83">
        <f>'Rock Climbing Log'!AJ129</f>
        <v>0</v>
      </c>
      <c r="AK129" s="81">
        <f>'Rock Climbing Log'!AK129</f>
        <v>0</v>
      </c>
      <c r="AL129" s="82">
        <f>'Rock Climbing Log'!AL129</f>
        <v>0</v>
      </c>
      <c r="AM129" s="83">
        <f>'Rock Climbing Log'!AM129</f>
        <v>0</v>
      </c>
      <c r="AN129" s="81">
        <f>'Rock Climbing Log'!AN129</f>
        <v>0</v>
      </c>
      <c r="AO129" s="82">
        <f>'Rock Climbing Log'!AO129</f>
        <v>0</v>
      </c>
      <c r="AP129" s="83">
        <f>'Rock Climbing Log'!AP129</f>
        <v>0</v>
      </c>
      <c r="AQ129" s="81">
        <f>'Rock Climbing Log'!AQ129</f>
        <v>0</v>
      </c>
      <c r="AR129" s="82">
        <f>'Rock Climbing Log'!AR129</f>
        <v>0</v>
      </c>
      <c r="AS129" s="83">
        <f>'Rock Climbing Log'!AS129</f>
        <v>0</v>
      </c>
      <c r="AT129" s="81">
        <f>'Rock Climbing Log'!AT129</f>
        <v>0</v>
      </c>
      <c r="AU129" s="82">
        <f>'Rock Climbing Log'!AU129</f>
        <v>0</v>
      </c>
      <c r="AV129" s="83">
        <f>'Rock Climbing Log'!AV129</f>
        <v>0</v>
      </c>
      <c r="AW129" s="66">
        <f ca="1">'RC Template'!AW129</f>
        <v>0</v>
      </c>
      <c r="AX129" s="66">
        <f ca="1">'RC Template'!BC129</f>
        <v>0</v>
      </c>
      <c r="AY129" s="75">
        <f>'Rock Climbing Log'!AY129</f>
        <v>0</v>
      </c>
    </row>
    <row r="130" spans="1:51" x14ac:dyDescent="0.3">
      <c r="A130" s="28">
        <f t="shared" si="13"/>
        <v>123</v>
      </c>
      <c r="B130" s="19">
        <f>'Rock Climbing Log'!B130</f>
        <v>0</v>
      </c>
      <c r="C130" s="24">
        <f>'Rock Climbing Log'!C130</f>
        <v>0</v>
      </c>
      <c r="D130" s="81">
        <f>'Rock Climbing Log'!D130</f>
        <v>0</v>
      </c>
      <c r="E130" s="82">
        <f>'Rock Climbing Log'!E130</f>
        <v>0</v>
      </c>
      <c r="F130" s="83">
        <f>'Rock Climbing Log'!F130</f>
        <v>0</v>
      </c>
      <c r="G130" s="81">
        <f>'Rock Climbing Log'!G130</f>
        <v>0</v>
      </c>
      <c r="H130" s="82">
        <f>'Rock Climbing Log'!H130</f>
        <v>0</v>
      </c>
      <c r="I130" s="83">
        <f>'Rock Climbing Log'!I130</f>
        <v>0</v>
      </c>
      <c r="J130" s="81">
        <f>'Rock Climbing Log'!J130</f>
        <v>0</v>
      </c>
      <c r="K130" s="82">
        <f>'Rock Climbing Log'!K130</f>
        <v>0</v>
      </c>
      <c r="L130" s="83">
        <f>'Rock Climbing Log'!L130</f>
        <v>0</v>
      </c>
      <c r="M130" s="81">
        <f>'Rock Climbing Log'!M130</f>
        <v>0</v>
      </c>
      <c r="N130" s="82">
        <f>'Rock Climbing Log'!N130</f>
        <v>0</v>
      </c>
      <c r="O130" s="83">
        <f>'Rock Climbing Log'!O130</f>
        <v>0</v>
      </c>
      <c r="P130" s="81">
        <f>'Rock Climbing Log'!P130</f>
        <v>0</v>
      </c>
      <c r="Q130" s="82">
        <f>'Rock Climbing Log'!Q130</f>
        <v>0</v>
      </c>
      <c r="R130" s="83">
        <f>'Rock Climbing Log'!R130</f>
        <v>0</v>
      </c>
      <c r="S130" s="81">
        <f>'Rock Climbing Log'!S130</f>
        <v>0</v>
      </c>
      <c r="T130" s="82">
        <f>'Rock Climbing Log'!T130</f>
        <v>0</v>
      </c>
      <c r="U130" s="83">
        <f>'Rock Climbing Log'!U130</f>
        <v>0</v>
      </c>
      <c r="V130" s="81">
        <f>'Rock Climbing Log'!V130</f>
        <v>0</v>
      </c>
      <c r="W130" s="82">
        <f>'Rock Climbing Log'!W130</f>
        <v>0</v>
      </c>
      <c r="X130" s="83">
        <f>'Rock Climbing Log'!X130</f>
        <v>0</v>
      </c>
      <c r="Y130" s="81">
        <f>'Rock Climbing Log'!Y130</f>
        <v>0</v>
      </c>
      <c r="Z130" s="82">
        <f>'Rock Climbing Log'!Z130</f>
        <v>0</v>
      </c>
      <c r="AA130" s="83">
        <f>'Rock Climbing Log'!AA130</f>
        <v>0</v>
      </c>
      <c r="AB130" s="81">
        <f>'Rock Climbing Log'!AB130</f>
        <v>0</v>
      </c>
      <c r="AC130" s="82">
        <f>'Rock Climbing Log'!AC130</f>
        <v>0</v>
      </c>
      <c r="AD130" s="83">
        <f>'Rock Climbing Log'!AD130</f>
        <v>0</v>
      </c>
      <c r="AE130" s="81">
        <f>'Rock Climbing Log'!AE130</f>
        <v>0</v>
      </c>
      <c r="AF130" s="82">
        <f>'Rock Climbing Log'!AF130</f>
        <v>0</v>
      </c>
      <c r="AG130" s="83">
        <f>'Rock Climbing Log'!AG130</f>
        <v>0</v>
      </c>
      <c r="AH130" s="81">
        <f>'Rock Climbing Log'!AH130</f>
        <v>0</v>
      </c>
      <c r="AI130" s="82">
        <f>'Rock Climbing Log'!AI130</f>
        <v>0</v>
      </c>
      <c r="AJ130" s="83">
        <f>'Rock Climbing Log'!AJ130</f>
        <v>0</v>
      </c>
      <c r="AK130" s="81">
        <f>'Rock Climbing Log'!AK130</f>
        <v>0</v>
      </c>
      <c r="AL130" s="82">
        <f>'Rock Climbing Log'!AL130</f>
        <v>0</v>
      </c>
      <c r="AM130" s="83">
        <f>'Rock Climbing Log'!AM130</f>
        <v>0</v>
      </c>
      <c r="AN130" s="81">
        <f>'Rock Climbing Log'!AN130</f>
        <v>0</v>
      </c>
      <c r="AO130" s="82">
        <f>'Rock Climbing Log'!AO130</f>
        <v>0</v>
      </c>
      <c r="AP130" s="83">
        <f>'Rock Climbing Log'!AP130</f>
        <v>0</v>
      </c>
      <c r="AQ130" s="81">
        <f>'Rock Climbing Log'!AQ130</f>
        <v>0</v>
      </c>
      <c r="AR130" s="82">
        <f>'Rock Climbing Log'!AR130</f>
        <v>0</v>
      </c>
      <c r="AS130" s="83">
        <f>'Rock Climbing Log'!AS130</f>
        <v>0</v>
      </c>
      <c r="AT130" s="81">
        <f>'Rock Climbing Log'!AT130</f>
        <v>0</v>
      </c>
      <c r="AU130" s="82">
        <f>'Rock Climbing Log'!AU130</f>
        <v>0</v>
      </c>
      <c r="AV130" s="83">
        <f>'Rock Climbing Log'!AV130</f>
        <v>0</v>
      </c>
      <c r="AW130" s="66">
        <f ca="1">'RC Template'!AW130</f>
        <v>0</v>
      </c>
      <c r="AX130" s="66">
        <f ca="1">'RC Template'!BC130</f>
        <v>0</v>
      </c>
      <c r="AY130" s="75">
        <f>'Rock Climbing Log'!AY130</f>
        <v>0</v>
      </c>
    </row>
    <row r="131" spans="1:51" x14ac:dyDescent="0.3">
      <c r="A131" s="28">
        <f t="shared" si="13"/>
        <v>124</v>
      </c>
      <c r="B131" s="19">
        <f>'Rock Climbing Log'!B131</f>
        <v>0</v>
      </c>
      <c r="C131" s="24">
        <f>'Rock Climbing Log'!C131</f>
        <v>0</v>
      </c>
      <c r="D131" s="81">
        <f>'Rock Climbing Log'!D131</f>
        <v>0</v>
      </c>
      <c r="E131" s="82">
        <f>'Rock Climbing Log'!E131</f>
        <v>0</v>
      </c>
      <c r="F131" s="83">
        <f>'Rock Climbing Log'!F131</f>
        <v>0</v>
      </c>
      <c r="G131" s="81">
        <f>'Rock Climbing Log'!G131</f>
        <v>0</v>
      </c>
      <c r="H131" s="82">
        <f>'Rock Climbing Log'!H131</f>
        <v>0</v>
      </c>
      <c r="I131" s="83">
        <f>'Rock Climbing Log'!I131</f>
        <v>0</v>
      </c>
      <c r="J131" s="81">
        <f>'Rock Climbing Log'!J131</f>
        <v>0</v>
      </c>
      <c r="K131" s="82">
        <f>'Rock Climbing Log'!K131</f>
        <v>0</v>
      </c>
      <c r="L131" s="83">
        <f>'Rock Climbing Log'!L131</f>
        <v>0</v>
      </c>
      <c r="M131" s="81">
        <f>'Rock Climbing Log'!M131</f>
        <v>0</v>
      </c>
      <c r="N131" s="82">
        <f>'Rock Climbing Log'!N131</f>
        <v>0</v>
      </c>
      <c r="O131" s="83">
        <f>'Rock Climbing Log'!O131</f>
        <v>0</v>
      </c>
      <c r="P131" s="81">
        <f>'Rock Climbing Log'!P131</f>
        <v>0</v>
      </c>
      <c r="Q131" s="82">
        <f>'Rock Climbing Log'!Q131</f>
        <v>0</v>
      </c>
      <c r="R131" s="83">
        <f>'Rock Climbing Log'!R131</f>
        <v>0</v>
      </c>
      <c r="S131" s="81">
        <f>'Rock Climbing Log'!S131</f>
        <v>0</v>
      </c>
      <c r="T131" s="82">
        <f>'Rock Climbing Log'!T131</f>
        <v>0</v>
      </c>
      <c r="U131" s="83">
        <f>'Rock Climbing Log'!U131</f>
        <v>0</v>
      </c>
      <c r="V131" s="81">
        <f>'Rock Climbing Log'!V131</f>
        <v>0</v>
      </c>
      <c r="W131" s="82">
        <f>'Rock Climbing Log'!W131</f>
        <v>0</v>
      </c>
      <c r="X131" s="83">
        <f>'Rock Climbing Log'!X131</f>
        <v>0</v>
      </c>
      <c r="Y131" s="81">
        <f>'Rock Climbing Log'!Y131</f>
        <v>0</v>
      </c>
      <c r="Z131" s="82">
        <f>'Rock Climbing Log'!Z131</f>
        <v>0</v>
      </c>
      <c r="AA131" s="83">
        <f>'Rock Climbing Log'!AA131</f>
        <v>0</v>
      </c>
      <c r="AB131" s="81">
        <f>'Rock Climbing Log'!AB131</f>
        <v>0</v>
      </c>
      <c r="AC131" s="82">
        <f>'Rock Climbing Log'!AC131</f>
        <v>0</v>
      </c>
      <c r="AD131" s="83">
        <f>'Rock Climbing Log'!AD131</f>
        <v>0</v>
      </c>
      <c r="AE131" s="81">
        <f>'Rock Climbing Log'!AE131</f>
        <v>0</v>
      </c>
      <c r="AF131" s="82">
        <f>'Rock Climbing Log'!AF131</f>
        <v>0</v>
      </c>
      <c r="AG131" s="83">
        <f>'Rock Climbing Log'!AG131</f>
        <v>0</v>
      </c>
      <c r="AH131" s="81">
        <f>'Rock Climbing Log'!AH131</f>
        <v>0</v>
      </c>
      <c r="AI131" s="82">
        <f>'Rock Climbing Log'!AI131</f>
        <v>0</v>
      </c>
      <c r="AJ131" s="83">
        <f>'Rock Climbing Log'!AJ131</f>
        <v>0</v>
      </c>
      <c r="AK131" s="81">
        <f>'Rock Climbing Log'!AK131</f>
        <v>0</v>
      </c>
      <c r="AL131" s="82">
        <f>'Rock Climbing Log'!AL131</f>
        <v>0</v>
      </c>
      <c r="AM131" s="83">
        <f>'Rock Climbing Log'!AM131</f>
        <v>0</v>
      </c>
      <c r="AN131" s="81">
        <f>'Rock Climbing Log'!AN131</f>
        <v>0</v>
      </c>
      <c r="AO131" s="82">
        <f>'Rock Climbing Log'!AO131</f>
        <v>0</v>
      </c>
      <c r="AP131" s="83">
        <f>'Rock Climbing Log'!AP131</f>
        <v>0</v>
      </c>
      <c r="AQ131" s="81">
        <f>'Rock Climbing Log'!AQ131</f>
        <v>0</v>
      </c>
      <c r="AR131" s="82">
        <f>'Rock Climbing Log'!AR131</f>
        <v>0</v>
      </c>
      <c r="AS131" s="83">
        <f>'Rock Climbing Log'!AS131</f>
        <v>0</v>
      </c>
      <c r="AT131" s="81">
        <f>'Rock Climbing Log'!AT131</f>
        <v>0</v>
      </c>
      <c r="AU131" s="82">
        <f>'Rock Climbing Log'!AU131</f>
        <v>0</v>
      </c>
      <c r="AV131" s="83">
        <f>'Rock Climbing Log'!AV131</f>
        <v>0</v>
      </c>
      <c r="AW131" s="66">
        <f ca="1">'RC Template'!AW131</f>
        <v>0</v>
      </c>
      <c r="AX131" s="66">
        <f ca="1">'RC Template'!BC131</f>
        <v>0</v>
      </c>
      <c r="AY131" s="75">
        <f>'Rock Climbing Log'!AY131</f>
        <v>0</v>
      </c>
    </row>
    <row r="132" spans="1:51" x14ac:dyDescent="0.3">
      <c r="A132" s="28">
        <f t="shared" si="13"/>
        <v>125</v>
      </c>
      <c r="B132" s="19">
        <f>'Rock Climbing Log'!B132</f>
        <v>0</v>
      </c>
      <c r="C132" s="24">
        <f>'Rock Climbing Log'!C132</f>
        <v>0</v>
      </c>
      <c r="D132" s="81">
        <f>'Rock Climbing Log'!D132</f>
        <v>0</v>
      </c>
      <c r="E132" s="82">
        <f>'Rock Climbing Log'!E132</f>
        <v>0</v>
      </c>
      <c r="F132" s="83">
        <f>'Rock Climbing Log'!F132</f>
        <v>0</v>
      </c>
      <c r="G132" s="81">
        <f>'Rock Climbing Log'!G132</f>
        <v>0</v>
      </c>
      <c r="H132" s="82">
        <f>'Rock Climbing Log'!H132</f>
        <v>0</v>
      </c>
      <c r="I132" s="83">
        <f>'Rock Climbing Log'!I132</f>
        <v>0</v>
      </c>
      <c r="J132" s="81">
        <f>'Rock Climbing Log'!J132</f>
        <v>0</v>
      </c>
      <c r="K132" s="82">
        <f>'Rock Climbing Log'!K132</f>
        <v>0</v>
      </c>
      <c r="L132" s="83">
        <f>'Rock Climbing Log'!L132</f>
        <v>0</v>
      </c>
      <c r="M132" s="81">
        <f>'Rock Climbing Log'!M132</f>
        <v>0</v>
      </c>
      <c r="N132" s="82">
        <f>'Rock Climbing Log'!N132</f>
        <v>0</v>
      </c>
      <c r="O132" s="83">
        <f>'Rock Climbing Log'!O132</f>
        <v>0</v>
      </c>
      <c r="P132" s="81">
        <f>'Rock Climbing Log'!P132</f>
        <v>0</v>
      </c>
      <c r="Q132" s="82">
        <f>'Rock Climbing Log'!Q132</f>
        <v>0</v>
      </c>
      <c r="R132" s="83">
        <f>'Rock Climbing Log'!R132</f>
        <v>0</v>
      </c>
      <c r="S132" s="81">
        <f>'Rock Climbing Log'!S132</f>
        <v>0</v>
      </c>
      <c r="T132" s="82">
        <f>'Rock Climbing Log'!T132</f>
        <v>0</v>
      </c>
      <c r="U132" s="83">
        <f>'Rock Climbing Log'!U132</f>
        <v>0</v>
      </c>
      <c r="V132" s="81">
        <f>'Rock Climbing Log'!V132</f>
        <v>0</v>
      </c>
      <c r="W132" s="82">
        <f>'Rock Climbing Log'!W132</f>
        <v>0</v>
      </c>
      <c r="X132" s="83">
        <f>'Rock Climbing Log'!X132</f>
        <v>0</v>
      </c>
      <c r="Y132" s="81">
        <f>'Rock Climbing Log'!Y132</f>
        <v>0</v>
      </c>
      <c r="Z132" s="82">
        <f>'Rock Climbing Log'!Z132</f>
        <v>0</v>
      </c>
      <c r="AA132" s="83">
        <f>'Rock Climbing Log'!AA132</f>
        <v>0</v>
      </c>
      <c r="AB132" s="81">
        <f>'Rock Climbing Log'!AB132</f>
        <v>0</v>
      </c>
      <c r="AC132" s="82">
        <f>'Rock Climbing Log'!AC132</f>
        <v>0</v>
      </c>
      <c r="AD132" s="83">
        <f>'Rock Climbing Log'!AD132</f>
        <v>0</v>
      </c>
      <c r="AE132" s="81">
        <f>'Rock Climbing Log'!AE132</f>
        <v>0</v>
      </c>
      <c r="AF132" s="82">
        <f>'Rock Climbing Log'!AF132</f>
        <v>0</v>
      </c>
      <c r="AG132" s="83">
        <f>'Rock Climbing Log'!AG132</f>
        <v>0</v>
      </c>
      <c r="AH132" s="81">
        <f>'Rock Climbing Log'!AH132</f>
        <v>0</v>
      </c>
      <c r="AI132" s="82">
        <f>'Rock Climbing Log'!AI132</f>
        <v>0</v>
      </c>
      <c r="AJ132" s="83">
        <f>'Rock Climbing Log'!AJ132</f>
        <v>0</v>
      </c>
      <c r="AK132" s="81">
        <f>'Rock Climbing Log'!AK132</f>
        <v>0</v>
      </c>
      <c r="AL132" s="82">
        <f>'Rock Climbing Log'!AL132</f>
        <v>0</v>
      </c>
      <c r="AM132" s="83">
        <f>'Rock Climbing Log'!AM132</f>
        <v>0</v>
      </c>
      <c r="AN132" s="81">
        <f>'Rock Climbing Log'!AN132</f>
        <v>0</v>
      </c>
      <c r="AO132" s="82">
        <f>'Rock Climbing Log'!AO132</f>
        <v>0</v>
      </c>
      <c r="AP132" s="83">
        <f>'Rock Climbing Log'!AP132</f>
        <v>0</v>
      </c>
      <c r="AQ132" s="81">
        <f>'Rock Climbing Log'!AQ132</f>
        <v>0</v>
      </c>
      <c r="AR132" s="82">
        <f>'Rock Climbing Log'!AR132</f>
        <v>0</v>
      </c>
      <c r="AS132" s="83">
        <f>'Rock Climbing Log'!AS132</f>
        <v>0</v>
      </c>
      <c r="AT132" s="81">
        <f>'Rock Climbing Log'!AT132</f>
        <v>0</v>
      </c>
      <c r="AU132" s="82">
        <f>'Rock Climbing Log'!AU132</f>
        <v>0</v>
      </c>
      <c r="AV132" s="83">
        <f>'Rock Climbing Log'!AV132</f>
        <v>0</v>
      </c>
      <c r="AW132" s="66">
        <f ca="1">'RC Template'!AW132</f>
        <v>0</v>
      </c>
      <c r="AX132" s="66">
        <f ca="1">'RC Template'!BC132</f>
        <v>0</v>
      </c>
      <c r="AY132" s="75">
        <f>'Rock Climbing Log'!AY132</f>
        <v>0</v>
      </c>
    </row>
    <row r="133" spans="1:51" x14ac:dyDescent="0.3">
      <c r="A133" s="28">
        <f t="shared" si="13"/>
        <v>126</v>
      </c>
      <c r="B133" s="19">
        <f>'Rock Climbing Log'!B133</f>
        <v>0</v>
      </c>
      <c r="C133" s="24">
        <f>'Rock Climbing Log'!C133</f>
        <v>0</v>
      </c>
      <c r="D133" s="81">
        <f>'Rock Climbing Log'!D133</f>
        <v>0</v>
      </c>
      <c r="E133" s="82">
        <f>'Rock Climbing Log'!E133</f>
        <v>0</v>
      </c>
      <c r="F133" s="83">
        <f>'Rock Climbing Log'!F133</f>
        <v>0</v>
      </c>
      <c r="G133" s="81">
        <f>'Rock Climbing Log'!G133</f>
        <v>0</v>
      </c>
      <c r="H133" s="82">
        <f>'Rock Climbing Log'!H133</f>
        <v>0</v>
      </c>
      <c r="I133" s="83">
        <f>'Rock Climbing Log'!I133</f>
        <v>0</v>
      </c>
      <c r="J133" s="81">
        <f>'Rock Climbing Log'!J133</f>
        <v>0</v>
      </c>
      <c r="K133" s="82">
        <f>'Rock Climbing Log'!K133</f>
        <v>0</v>
      </c>
      <c r="L133" s="83">
        <f>'Rock Climbing Log'!L133</f>
        <v>0</v>
      </c>
      <c r="M133" s="81">
        <f>'Rock Climbing Log'!M133</f>
        <v>0</v>
      </c>
      <c r="N133" s="82">
        <f>'Rock Climbing Log'!N133</f>
        <v>0</v>
      </c>
      <c r="O133" s="83">
        <f>'Rock Climbing Log'!O133</f>
        <v>0</v>
      </c>
      <c r="P133" s="81">
        <f>'Rock Climbing Log'!P133</f>
        <v>0</v>
      </c>
      <c r="Q133" s="82">
        <f>'Rock Climbing Log'!Q133</f>
        <v>0</v>
      </c>
      <c r="R133" s="83">
        <f>'Rock Climbing Log'!R133</f>
        <v>0</v>
      </c>
      <c r="S133" s="81">
        <f>'Rock Climbing Log'!S133</f>
        <v>0</v>
      </c>
      <c r="T133" s="82">
        <f>'Rock Climbing Log'!T133</f>
        <v>0</v>
      </c>
      <c r="U133" s="83">
        <f>'Rock Climbing Log'!U133</f>
        <v>0</v>
      </c>
      <c r="V133" s="81">
        <f>'Rock Climbing Log'!V133</f>
        <v>0</v>
      </c>
      <c r="W133" s="82">
        <f>'Rock Climbing Log'!W133</f>
        <v>0</v>
      </c>
      <c r="X133" s="83">
        <f>'Rock Climbing Log'!X133</f>
        <v>0</v>
      </c>
      <c r="Y133" s="81">
        <f>'Rock Climbing Log'!Y133</f>
        <v>0</v>
      </c>
      <c r="Z133" s="82">
        <f>'Rock Climbing Log'!Z133</f>
        <v>0</v>
      </c>
      <c r="AA133" s="83">
        <f>'Rock Climbing Log'!AA133</f>
        <v>0</v>
      </c>
      <c r="AB133" s="81">
        <f>'Rock Climbing Log'!AB133</f>
        <v>0</v>
      </c>
      <c r="AC133" s="82">
        <f>'Rock Climbing Log'!AC133</f>
        <v>0</v>
      </c>
      <c r="AD133" s="83">
        <f>'Rock Climbing Log'!AD133</f>
        <v>0</v>
      </c>
      <c r="AE133" s="81">
        <f>'Rock Climbing Log'!AE133</f>
        <v>0</v>
      </c>
      <c r="AF133" s="82">
        <f>'Rock Climbing Log'!AF133</f>
        <v>0</v>
      </c>
      <c r="AG133" s="83">
        <f>'Rock Climbing Log'!AG133</f>
        <v>0</v>
      </c>
      <c r="AH133" s="81">
        <f>'Rock Climbing Log'!AH133</f>
        <v>0</v>
      </c>
      <c r="AI133" s="82">
        <f>'Rock Climbing Log'!AI133</f>
        <v>0</v>
      </c>
      <c r="AJ133" s="83">
        <f>'Rock Climbing Log'!AJ133</f>
        <v>0</v>
      </c>
      <c r="AK133" s="81">
        <f>'Rock Climbing Log'!AK133</f>
        <v>0</v>
      </c>
      <c r="AL133" s="82">
        <f>'Rock Climbing Log'!AL133</f>
        <v>0</v>
      </c>
      <c r="AM133" s="83">
        <f>'Rock Climbing Log'!AM133</f>
        <v>0</v>
      </c>
      <c r="AN133" s="81">
        <f>'Rock Climbing Log'!AN133</f>
        <v>0</v>
      </c>
      <c r="AO133" s="82">
        <f>'Rock Climbing Log'!AO133</f>
        <v>0</v>
      </c>
      <c r="AP133" s="83">
        <f>'Rock Climbing Log'!AP133</f>
        <v>0</v>
      </c>
      <c r="AQ133" s="81">
        <f>'Rock Climbing Log'!AQ133</f>
        <v>0</v>
      </c>
      <c r="AR133" s="82">
        <f>'Rock Climbing Log'!AR133</f>
        <v>0</v>
      </c>
      <c r="AS133" s="83">
        <f>'Rock Climbing Log'!AS133</f>
        <v>0</v>
      </c>
      <c r="AT133" s="81">
        <f>'Rock Climbing Log'!AT133</f>
        <v>0</v>
      </c>
      <c r="AU133" s="82">
        <f>'Rock Climbing Log'!AU133</f>
        <v>0</v>
      </c>
      <c r="AV133" s="83">
        <f>'Rock Climbing Log'!AV133</f>
        <v>0</v>
      </c>
      <c r="AW133" s="66">
        <f ca="1">'RC Template'!AW133</f>
        <v>0</v>
      </c>
      <c r="AX133" s="66">
        <f ca="1">'RC Template'!BC133</f>
        <v>0</v>
      </c>
      <c r="AY133" s="75">
        <f>'Rock Climbing Log'!AY133</f>
        <v>0</v>
      </c>
    </row>
    <row r="134" spans="1:51" x14ac:dyDescent="0.3">
      <c r="A134" s="28">
        <f t="shared" si="13"/>
        <v>127</v>
      </c>
      <c r="B134" s="19">
        <f>'Rock Climbing Log'!B134</f>
        <v>0</v>
      </c>
      <c r="C134" s="24">
        <f>'Rock Climbing Log'!C134</f>
        <v>0</v>
      </c>
      <c r="D134" s="81">
        <f>'Rock Climbing Log'!D134</f>
        <v>0</v>
      </c>
      <c r="E134" s="82">
        <f>'Rock Climbing Log'!E134</f>
        <v>0</v>
      </c>
      <c r="F134" s="83">
        <f>'Rock Climbing Log'!F134</f>
        <v>0</v>
      </c>
      <c r="G134" s="81">
        <f>'Rock Climbing Log'!G134</f>
        <v>0</v>
      </c>
      <c r="H134" s="82">
        <f>'Rock Climbing Log'!H134</f>
        <v>0</v>
      </c>
      <c r="I134" s="83">
        <f>'Rock Climbing Log'!I134</f>
        <v>0</v>
      </c>
      <c r="J134" s="81">
        <f>'Rock Climbing Log'!J134</f>
        <v>0</v>
      </c>
      <c r="K134" s="82">
        <f>'Rock Climbing Log'!K134</f>
        <v>0</v>
      </c>
      <c r="L134" s="83">
        <f>'Rock Climbing Log'!L134</f>
        <v>0</v>
      </c>
      <c r="M134" s="81">
        <f>'Rock Climbing Log'!M134</f>
        <v>0</v>
      </c>
      <c r="N134" s="82">
        <f>'Rock Climbing Log'!N134</f>
        <v>0</v>
      </c>
      <c r="O134" s="83">
        <f>'Rock Climbing Log'!O134</f>
        <v>0</v>
      </c>
      <c r="P134" s="81">
        <f>'Rock Climbing Log'!P134</f>
        <v>0</v>
      </c>
      <c r="Q134" s="82">
        <f>'Rock Climbing Log'!Q134</f>
        <v>0</v>
      </c>
      <c r="R134" s="83">
        <f>'Rock Climbing Log'!R134</f>
        <v>0</v>
      </c>
      <c r="S134" s="81">
        <f>'Rock Climbing Log'!S134</f>
        <v>0</v>
      </c>
      <c r="T134" s="82">
        <f>'Rock Climbing Log'!T134</f>
        <v>0</v>
      </c>
      <c r="U134" s="83">
        <f>'Rock Climbing Log'!U134</f>
        <v>0</v>
      </c>
      <c r="V134" s="81">
        <f>'Rock Climbing Log'!V134</f>
        <v>0</v>
      </c>
      <c r="W134" s="82">
        <f>'Rock Climbing Log'!W134</f>
        <v>0</v>
      </c>
      <c r="X134" s="83">
        <f>'Rock Climbing Log'!X134</f>
        <v>0</v>
      </c>
      <c r="Y134" s="81">
        <f>'Rock Climbing Log'!Y134</f>
        <v>0</v>
      </c>
      <c r="Z134" s="82">
        <f>'Rock Climbing Log'!Z134</f>
        <v>0</v>
      </c>
      <c r="AA134" s="83">
        <f>'Rock Climbing Log'!AA134</f>
        <v>0</v>
      </c>
      <c r="AB134" s="81">
        <f>'Rock Climbing Log'!AB134</f>
        <v>0</v>
      </c>
      <c r="AC134" s="82">
        <f>'Rock Climbing Log'!AC134</f>
        <v>0</v>
      </c>
      <c r="AD134" s="83">
        <f>'Rock Climbing Log'!AD134</f>
        <v>0</v>
      </c>
      <c r="AE134" s="81">
        <f>'Rock Climbing Log'!AE134</f>
        <v>0</v>
      </c>
      <c r="AF134" s="82">
        <f>'Rock Climbing Log'!AF134</f>
        <v>0</v>
      </c>
      <c r="AG134" s="83">
        <f>'Rock Climbing Log'!AG134</f>
        <v>0</v>
      </c>
      <c r="AH134" s="81">
        <f>'Rock Climbing Log'!AH134</f>
        <v>0</v>
      </c>
      <c r="AI134" s="82">
        <f>'Rock Climbing Log'!AI134</f>
        <v>0</v>
      </c>
      <c r="AJ134" s="83">
        <f>'Rock Climbing Log'!AJ134</f>
        <v>0</v>
      </c>
      <c r="AK134" s="81">
        <f>'Rock Climbing Log'!AK134</f>
        <v>0</v>
      </c>
      <c r="AL134" s="82">
        <f>'Rock Climbing Log'!AL134</f>
        <v>0</v>
      </c>
      <c r="AM134" s="83">
        <f>'Rock Climbing Log'!AM134</f>
        <v>0</v>
      </c>
      <c r="AN134" s="81">
        <f>'Rock Climbing Log'!AN134</f>
        <v>0</v>
      </c>
      <c r="AO134" s="82">
        <f>'Rock Climbing Log'!AO134</f>
        <v>0</v>
      </c>
      <c r="AP134" s="83">
        <f>'Rock Climbing Log'!AP134</f>
        <v>0</v>
      </c>
      <c r="AQ134" s="81">
        <f>'Rock Climbing Log'!AQ134</f>
        <v>0</v>
      </c>
      <c r="AR134" s="82">
        <f>'Rock Climbing Log'!AR134</f>
        <v>0</v>
      </c>
      <c r="AS134" s="83">
        <f>'Rock Climbing Log'!AS134</f>
        <v>0</v>
      </c>
      <c r="AT134" s="81">
        <f>'Rock Climbing Log'!AT134</f>
        <v>0</v>
      </c>
      <c r="AU134" s="82">
        <f>'Rock Climbing Log'!AU134</f>
        <v>0</v>
      </c>
      <c r="AV134" s="83">
        <f>'Rock Climbing Log'!AV134</f>
        <v>0</v>
      </c>
      <c r="AW134" s="66">
        <f ca="1">'RC Template'!AW134</f>
        <v>0</v>
      </c>
      <c r="AX134" s="66">
        <f ca="1">'RC Template'!BC134</f>
        <v>0</v>
      </c>
      <c r="AY134" s="75">
        <f>'Rock Climbing Log'!AY134</f>
        <v>0</v>
      </c>
    </row>
    <row r="135" spans="1:51" x14ac:dyDescent="0.3">
      <c r="A135" s="28">
        <f t="shared" si="13"/>
        <v>128</v>
      </c>
      <c r="B135" s="19">
        <f>'Rock Climbing Log'!B135</f>
        <v>0</v>
      </c>
      <c r="C135" s="24">
        <f>'Rock Climbing Log'!C135</f>
        <v>0</v>
      </c>
      <c r="D135" s="81">
        <f>'Rock Climbing Log'!D135</f>
        <v>0</v>
      </c>
      <c r="E135" s="82">
        <f>'Rock Climbing Log'!E135</f>
        <v>0</v>
      </c>
      <c r="F135" s="83">
        <f>'Rock Climbing Log'!F135</f>
        <v>0</v>
      </c>
      <c r="G135" s="81">
        <f>'Rock Climbing Log'!G135</f>
        <v>0</v>
      </c>
      <c r="H135" s="82">
        <f>'Rock Climbing Log'!H135</f>
        <v>0</v>
      </c>
      <c r="I135" s="83">
        <f>'Rock Climbing Log'!I135</f>
        <v>0</v>
      </c>
      <c r="J135" s="81">
        <f>'Rock Climbing Log'!J135</f>
        <v>0</v>
      </c>
      <c r="K135" s="82">
        <f>'Rock Climbing Log'!K135</f>
        <v>0</v>
      </c>
      <c r="L135" s="83">
        <f>'Rock Climbing Log'!L135</f>
        <v>0</v>
      </c>
      <c r="M135" s="81">
        <f>'Rock Climbing Log'!M135</f>
        <v>0</v>
      </c>
      <c r="N135" s="82">
        <f>'Rock Climbing Log'!N135</f>
        <v>0</v>
      </c>
      <c r="O135" s="83">
        <f>'Rock Climbing Log'!O135</f>
        <v>0</v>
      </c>
      <c r="P135" s="81">
        <f>'Rock Climbing Log'!P135</f>
        <v>0</v>
      </c>
      <c r="Q135" s="82">
        <f>'Rock Climbing Log'!Q135</f>
        <v>0</v>
      </c>
      <c r="R135" s="83">
        <f>'Rock Climbing Log'!R135</f>
        <v>0</v>
      </c>
      <c r="S135" s="81">
        <f>'Rock Climbing Log'!S135</f>
        <v>0</v>
      </c>
      <c r="T135" s="82">
        <f>'Rock Climbing Log'!T135</f>
        <v>0</v>
      </c>
      <c r="U135" s="83">
        <f>'Rock Climbing Log'!U135</f>
        <v>0</v>
      </c>
      <c r="V135" s="81">
        <f>'Rock Climbing Log'!V135</f>
        <v>0</v>
      </c>
      <c r="W135" s="82">
        <f>'Rock Climbing Log'!W135</f>
        <v>0</v>
      </c>
      <c r="X135" s="83">
        <f>'Rock Climbing Log'!X135</f>
        <v>0</v>
      </c>
      <c r="Y135" s="81">
        <f>'Rock Climbing Log'!Y135</f>
        <v>0</v>
      </c>
      <c r="Z135" s="82">
        <f>'Rock Climbing Log'!Z135</f>
        <v>0</v>
      </c>
      <c r="AA135" s="83">
        <f>'Rock Climbing Log'!AA135</f>
        <v>0</v>
      </c>
      <c r="AB135" s="81">
        <f>'Rock Climbing Log'!AB135</f>
        <v>0</v>
      </c>
      <c r="AC135" s="82">
        <f>'Rock Climbing Log'!AC135</f>
        <v>0</v>
      </c>
      <c r="AD135" s="83">
        <f>'Rock Climbing Log'!AD135</f>
        <v>0</v>
      </c>
      <c r="AE135" s="81">
        <f>'Rock Climbing Log'!AE135</f>
        <v>0</v>
      </c>
      <c r="AF135" s="82">
        <f>'Rock Climbing Log'!AF135</f>
        <v>0</v>
      </c>
      <c r="AG135" s="83">
        <f>'Rock Climbing Log'!AG135</f>
        <v>0</v>
      </c>
      <c r="AH135" s="81">
        <f>'Rock Climbing Log'!AH135</f>
        <v>0</v>
      </c>
      <c r="AI135" s="82">
        <f>'Rock Climbing Log'!AI135</f>
        <v>0</v>
      </c>
      <c r="AJ135" s="83">
        <f>'Rock Climbing Log'!AJ135</f>
        <v>0</v>
      </c>
      <c r="AK135" s="81">
        <f>'Rock Climbing Log'!AK135</f>
        <v>0</v>
      </c>
      <c r="AL135" s="82">
        <f>'Rock Climbing Log'!AL135</f>
        <v>0</v>
      </c>
      <c r="AM135" s="83">
        <f>'Rock Climbing Log'!AM135</f>
        <v>0</v>
      </c>
      <c r="AN135" s="81">
        <f>'Rock Climbing Log'!AN135</f>
        <v>0</v>
      </c>
      <c r="AO135" s="82">
        <f>'Rock Climbing Log'!AO135</f>
        <v>0</v>
      </c>
      <c r="AP135" s="83">
        <f>'Rock Climbing Log'!AP135</f>
        <v>0</v>
      </c>
      <c r="AQ135" s="81">
        <f>'Rock Climbing Log'!AQ135</f>
        <v>0</v>
      </c>
      <c r="AR135" s="82">
        <f>'Rock Climbing Log'!AR135</f>
        <v>0</v>
      </c>
      <c r="AS135" s="83">
        <f>'Rock Climbing Log'!AS135</f>
        <v>0</v>
      </c>
      <c r="AT135" s="81">
        <f>'Rock Climbing Log'!AT135</f>
        <v>0</v>
      </c>
      <c r="AU135" s="82">
        <f>'Rock Climbing Log'!AU135</f>
        <v>0</v>
      </c>
      <c r="AV135" s="83">
        <f>'Rock Climbing Log'!AV135</f>
        <v>0</v>
      </c>
      <c r="AW135" s="66">
        <f ca="1">'RC Template'!AW135</f>
        <v>0</v>
      </c>
      <c r="AX135" s="66">
        <f ca="1">'RC Template'!BC135</f>
        <v>0</v>
      </c>
      <c r="AY135" s="75">
        <f>'Rock Climbing Log'!AY135</f>
        <v>0</v>
      </c>
    </row>
    <row r="136" spans="1:51" x14ac:dyDescent="0.3">
      <c r="A136" s="28">
        <f t="shared" si="13"/>
        <v>129</v>
      </c>
      <c r="B136" s="19">
        <f>'Rock Climbing Log'!B136</f>
        <v>0</v>
      </c>
      <c r="C136" s="24">
        <f>'Rock Climbing Log'!C136</f>
        <v>0</v>
      </c>
      <c r="D136" s="81">
        <f>'Rock Climbing Log'!D136</f>
        <v>0</v>
      </c>
      <c r="E136" s="82">
        <f>'Rock Climbing Log'!E136</f>
        <v>0</v>
      </c>
      <c r="F136" s="83">
        <f>'Rock Climbing Log'!F136</f>
        <v>0</v>
      </c>
      <c r="G136" s="81">
        <f>'Rock Climbing Log'!G136</f>
        <v>0</v>
      </c>
      <c r="H136" s="82">
        <f>'Rock Climbing Log'!H136</f>
        <v>0</v>
      </c>
      <c r="I136" s="83">
        <f>'Rock Climbing Log'!I136</f>
        <v>0</v>
      </c>
      <c r="J136" s="81">
        <f>'Rock Climbing Log'!J136</f>
        <v>0</v>
      </c>
      <c r="K136" s="82">
        <f>'Rock Climbing Log'!K136</f>
        <v>0</v>
      </c>
      <c r="L136" s="83">
        <f>'Rock Climbing Log'!L136</f>
        <v>0</v>
      </c>
      <c r="M136" s="81">
        <f>'Rock Climbing Log'!M136</f>
        <v>0</v>
      </c>
      <c r="N136" s="82">
        <f>'Rock Climbing Log'!N136</f>
        <v>0</v>
      </c>
      <c r="O136" s="83">
        <f>'Rock Climbing Log'!O136</f>
        <v>0</v>
      </c>
      <c r="P136" s="81">
        <f>'Rock Climbing Log'!P136</f>
        <v>0</v>
      </c>
      <c r="Q136" s="82">
        <f>'Rock Climbing Log'!Q136</f>
        <v>0</v>
      </c>
      <c r="R136" s="83">
        <f>'Rock Climbing Log'!R136</f>
        <v>0</v>
      </c>
      <c r="S136" s="81">
        <f>'Rock Climbing Log'!S136</f>
        <v>0</v>
      </c>
      <c r="T136" s="82">
        <f>'Rock Climbing Log'!T136</f>
        <v>0</v>
      </c>
      <c r="U136" s="83">
        <f>'Rock Climbing Log'!U136</f>
        <v>0</v>
      </c>
      <c r="V136" s="81">
        <f>'Rock Climbing Log'!V136</f>
        <v>0</v>
      </c>
      <c r="W136" s="82">
        <f>'Rock Climbing Log'!W136</f>
        <v>0</v>
      </c>
      <c r="X136" s="83">
        <f>'Rock Climbing Log'!X136</f>
        <v>0</v>
      </c>
      <c r="Y136" s="81">
        <f>'Rock Climbing Log'!Y136</f>
        <v>0</v>
      </c>
      <c r="Z136" s="82">
        <f>'Rock Climbing Log'!Z136</f>
        <v>0</v>
      </c>
      <c r="AA136" s="83">
        <f>'Rock Climbing Log'!AA136</f>
        <v>0</v>
      </c>
      <c r="AB136" s="81">
        <f>'Rock Climbing Log'!AB136</f>
        <v>0</v>
      </c>
      <c r="AC136" s="82">
        <f>'Rock Climbing Log'!AC136</f>
        <v>0</v>
      </c>
      <c r="AD136" s="83">
        <f>'Rock Climbing Log'!AD136</f>
        <v>0</v>
      </c>
      <c r="AE136" s="81">
        <f>'Rock Climbing Log'!AE136</f>
        <v>0</v>
      </c>
      <c r="AF136" s="82">
        <f>'Rock Climbing Log'!AF136</f>
        <v>0</v>
      </c>
      <c r="AG136" s="83">
        <f>'Rock Climbing Log'!AG136</f>
        <v>0</v>
      </c>
      <c r="AH136" s="81">
        <f>'Rock Climbing Log'!AH136</f>
        <v>0</v>
      </c>
      <c r="AI136" s="82">
        <f>'Rock Climbing Log'!AI136</f>
        <v>0</v>
      </c>
      <c r="AJ136" s="83">
        <f>'Rock Climbing Log'!AJ136</f>
        <v>0</v>
      </c>
      <c r="AK136" s="81">
        <f>'Rock Climbing Log'!AK136</f>
        <v>0</v>
      </c>
      <c r="AL136" s="82">
        <f>'Rock Climbing Log'!AL136</f>
        <v>0</v>
      </c>
      <c r="AM136" s="83">
        <f>'Rock Climbing Log'!AM136</f>
        <v>0</v>
      </c>
      <c r="AN136" s="81">
        <f>'Rock Climbing Log'!AN136</f>
        <v>0</v>
      </c>
      <c r="AO136" s="82">
        <f>'Rock Climbing Log'!AO136</f>
        <v>0</v>
      </c>
      <c r="AP136" s="83">
        <f>'Rock Climbing Log'!AP136</f>
        <v>0</v>
      </c>
      <c r="AQ136" s="81">
        <f>'Rock Climbing Log'!AQ136</f>
        <v>0</v>
      </c>
      <c r="AR136" s="82">
        <f>'Rock Climbing Log'!AR136</f>
        <v>0</v>
      </c>
      <c r="AS136" s="83">
        <f>'Rock Climbing Log'!AS136</f>
        <v>0</v>
      </c>
      <c r="AT136" s="81">
        <f>'Rock Climbing Log'!AT136</f>
        <v>0</v>
      </c>
      <c r="AU136" s="82">
        <f>'Rock Climbing Log'!AU136</f>
        <v>0</v>
      </c>
      <c r="AV136" s="83">
        <f>'Rock Climbing Log'!AV136</f>
        <v>0</v>
      </c>
      <c r="AW136" s="66">
        <f ca="1">'RC Template'!AW136</f>
        <v>0</v>
      </c>
      <c r="AX136" s="66">
        <f ca="1">'RC Template'!BC136</f>
        <v>0</v>
      </c>
      <c r="AY136" s="75">
        <f>'Rock Climbing Log'!AY136</f>
        <v>0</v>
      </c>
    </row>
    <row r="137" spans="1:51" x14ac:dyDescent="0.3">
      <c r="A137" s="28">
        <f t="shared" si="13"/>
        <v>130</v>
      </c>
      <c r="B137" s="19">
        <f>'Rock Climbing Log'!B137</f>
        <v>0</v>
      </c>
      <c r="C137" s="24">
        <f>'Rock Climbing Log'!C137</f>
        <v>0</v>
      </c>
      <c r="D137" s="81">
        <f>'Rock Climbing Log'!D137</f>
        <v>0</v>
      </c>
      <c r="E137" s="82">
        <f>'Rock Climbing Log'!E137</f>
        <v>0</v>
      </c>
      <c r="F137" s="83">
        <f>'Rock Climbing Log'!F137</f>
        <v>0</v>
      </c>
      <c r="G137" s="81">
        <f>'Rock Climbing Log'!G137</f>
        <v>0</v>
      </c>
      <c r="H137" s="82">
        <f>'Rock Climbing Log'!H137</f>
        <v>0</v>
      </c>
      <c r="I137" s="83">
        <f>'Rock Climbing Log'!I137</f>
        <v>0</v>
      </c>
      <c r="J137" s="81">
        <f>'Rock Climbing Log'!J137</f>
        <v>0</v>
      </c>
      <c r="K137" s="82">
        <f>'Rock Climbing Log'!K137</f>
        <v>0</v>
      </c>
      <c r="L137" s="83">
        <f>'Rock Climbing Log'!L137</f>
        <v>0</v>
      </c>
      <c r="M137" s="81">
        <f>'Rock Climbing Log'!M137</f>
        <v>0</v>
      </c>
      <c r="N137" s="82">
        <f>'Rock Climbing Log'!N137</f>
        <v>0</v>
      </c>
      <c r="O137" s="83">
        <f>'Rock Climbing Log'!O137</f>
        <v>0</v>
      </c>
      <c r="P137" s="81">
        <f>'Rock Climbing Log'!P137</f>
        <v>0</v>
      </c>
      <c r="Q137" s="82">
        <f>'Rock Climbing Log'!Q137</f>
        <v>0</v>
      </c>
      <c r="R137" s="83">
        <f>'Rock Climbing Log'!R137</f>
        <v>0</v>
      </c>
      <c r="S137" s="81">
        <f>'Rock Climbing Log'!S137</f>
        <v>0</v>
      </c>
      <c r="T137" s="82">
        <f>'Rock Climbing Log'!T137</f>
        <v>0</v>
      </c>
      <c r="U137" s="83">
        <f>'Rock Climbing Log'!U137</f>
        <v>0</v>
      </c>
      <c r="V137" s="81">
        <f>'Rock Climbing Log'!V137</f>
        <v>0</v>
      </c>
      <c r="W137" s="82">
        <f>'Rock Climbing Log'!W137</f>
        <v>0</v>
      </c>
      <c r="X137" s="83">
        <f>'Rock Climbing Log'!X137</f>
        <v>0</v>
      </c>
      <c r="Y137" s="81">
        <f>'Rock Climbing Log'!Y137</f>
        <v>0</v>
      </c>
      <c r="Z137" s="82">
        <f>'Rock Climbing Log'!Z137</f>
        <v>0</v>
      </c>
      <c r="AA137" s="83">
        <f>'Rock Climbing Log'!AA137</f>
        <v>0</v>
      </c>
      <c r="AB137" s="81">
        <f>'Rock Climbing Log'!AB137</f>
        <v>0</v>
      </c>
      <c r="AC137" s="82">
        <f>'Rock Climbing Log'!AC137</f>
        <v>0</v>
      </c>
      <c r="AD137" s="83">
        <f>'Rock Climbing Log'!AD137</f>
        <v>0</v>
      </c>
      <c r="AE137" s="81">
        <f>'Rock Climbing Log'!AE137</f>
        <v>0</v>
      </c>
      <c r="AF137" s="82">
        <f>'Rock Climbing Log'!AF137</f>
        <v>0</v>
      </c>
      <c r="AG137" s="83">
        <f>'Rock Climbing Log'!AG137</f>
        <v>0</v>
      </c>
      <c r="AH137" s="81">
        <f>'Rock Climbing Log'!AH137</f>
        <v>0</v>
      </c>
      <c r="AI137" s="82">
        <f>'Rock Climbing Log'!AI137</f>
        <v>0</v>
      </c>
      <c r="AJ137" s="83">
        <f>'Rock Climbing Log'!AJ137</f>
        <v>0</v>
      </c>
      <c r="AK137" s="81">
        <f>'Rock Climbing Log'!AK137</f>
        <v>0</v>
      </c>
      <c r="AL137" s="82">
        <f>'Rock Climbing Log'!AL137</f>
        <v>0</v>
      </c>
      <c r="AM137" s="83">
        <f>'Rock Climbing Log'!AM137</f>
        <v>0</v>
      </c>
      <c r="AN137" s="81">
        <f>'Rock Climbing Log'!AN137</f>
        <v>0</v>
      </c>
      <c r="AO137" s="82">
        <f>'Rock Climbing Log'!AO137</f>
        <v>0</v>
      </c>
      <c r="AP137" s="83">
        <f>'Rock Climbing Log'!AP137</f>
        <v>0</v>
      </c>
      <c r="AQ137" s="81">
        <f>'Rock Climbing Log'!AQ137</f>
        <v>0</v>
      </c>
      <c r="AR137" s="82">
        <f>'Rock Climbing Log'!AR137</f>
        <v>0</v>
      </c>
      <c r="AS137" s="83">
        <f>'Rock Climbing Log'!AS137</f>
        <v>0</v>
      </c>
      <c r="AT137" s="81">
        <f>'Rock Climbing Log'!AT137</f>
        <v>0</v>
      </c>
      <c r="AU137" s="82">
        <f>'Rock Climbing Log'!AU137</f>
        <v>0</v>
      </c>
      <c r="AV137" s="83">
        <f>'Rock Climbing Log'!AV137</f>
        <v>0</v>
      </c>
      <c r="AW137" s="66">
        <f ca="1">'RC Template'!AW137</f>
        <v>0</v>
      </c>
      <c r="AX137" s="66">
        <f ca="1">'RC Template'!BC137</f>
        <v>0</v>
      </c>
      <c r="AY137" s="75">
        <f>'Rock Climbing Log'!AY137</f>
        <v>0</v>
      </c>
    </row>
    <row r="138" spans="1:51" x14ac:dyDescent="0.3">
      <c r="A138" s="28">
        <f t="shared" si="13"/>
        <v>131</v>
      </c>
      <c r="B138" s="19">
        <f>'Rock Climbing Log'!B138</f>
        <v>0</v>
      </c>
      <c r="C138" s="24">
        <f>'Rock Climbing Log'!C138</f>
        <v>0</v>
      </c>
      <c r="D138" s="81">
        <f>'Rock Climbing Log'!D138</f>
        <v>0</v>
      </c>
      <c r="E138" s="82">
        <f>'Rock Climbing Log'!E138</f>
        <v>0</v>
      </c>
      <c r="F138" s="83">
        <f>'Rock Climbing Log'!F138</f>
        <v>0</v>
      </c>
      <c r="G138" s="81">
        <f>'Rock Climbing Log'!G138</f>
        <v>0</v>
      </c>
      <c r="H138" s="82">
        <f>'Rock Climbing Log'!H138</f>
        <v>0</v>
      </c>
      <c r="I138" s="83">
        <f>'Rock Climbing Log'!I138</f>
        <v>0</v>
      </c>
      <c r="J138" s="81">
        <f>'Rock Climbing Log'!J138</f>
        <v>0</v>
      </c>
      <c r="K138" s="82">
        <f>'Rock Climbing Log'!K138</f>
        <v>0</v>
      </c>
      <c r="L138" s="83">
        <f>'Rock Climbing Log'!L138</f>
        <v>0</v>
      </c>
      <c r="M138" s="81">
        <f>'Rock Climbing Log'!M138</f>
        <v>0</v>
      </c>
      <c r="N138" s="82">
        <f>'Rock Climbing Log'!N138</f>
        <v>0</v>
      </c>
      <c r="O138" s="83">
        <f>'Rock Climbing Log'!O138</f>
        <v>0</v>
      </c>
      <c r="P138" s="81">
        <f>'Rock Climbing Log'!P138</f>
        <v>0</v>
      </c>
      <c r="Q138" s="82">
        <f>'Rock Climbing Log'!Q138</f>
        <v>0</v>
      </c>
      <c r="R138" s="83">
        <f>'Rock Climbing Log'!R138</f>
        <v>0</v>
      </c>
      <c r="S138" s="81">
        <f>'Rock Climbing Log'!S138</f>
        <v>0</v>
      </c>
      <c r="T138" s="82">
        <f>'Rock Climbing Log'!T138</f>
        <v>0</v>
      </c>
      <c r="U138" s="83">
        <f>'Rock Climbing Log'!U138</f>
        <v>0</v>
      </c>
      <c r="V138" s="81">
        <f>'Rock Climbing Log'!V138</f>
        <v>0</v>
      </c>
      <c r="W138" s="82">
        <f>'Rock Climbing Log'!W138</f>
        <v>0</v>
      </c>
      <c r="X138" s="83">
        <f>'Rock Climbing Log'!X138</f>
        <v>0</v>
      </c>
      <c r="Y138" s="81">
        <f>'Rock Climbing Log'!Y138</f>
        <v>0</v>
      </c>
      <c r="Z138" s="82">
        <f>'Rock Climbing Log'!Z138</f>
        <v>0</v>
      </c>
      <c r="AA138" s="83">
        <f>'Rock Climbing Log'!AA138</f>
        <v>0</v>
      </c>
      <c r="AB138" s="81">
        <f>'Rock Climbing Log'!AB138</f>
        <v>0</v>
      </c>
      <c r="AC138" s="82">
        <f>'Rock Climbing Log'!AC138</f>
        <v>0</v>
      </c>
      <c r="AD138" s="83">
        <f>'Rock Climbing Log'!AD138</f>
        <v>0</v>
      </c>
      <c r="AE138" s="81">
        <f>'Rock Climbing Log'!AE138</f>
        <v>0</v>
      </c>
      <c r="AF138" s="82">
        <f>'Rock Climbing Log'!AF138</f>
        <v>0</v>
      </c>
      <c r="AG138" s="83">
        <f>'Rock Climbing Log'!AG138</f>
        <v>0</v>
      </c>
      <c r="AH138" s="81">
        <f>'Rock Climbing Log'!AH138</f>
        <v>0</v>
      </c>
      <c r="AI138" s="82">
        <f>'Rock Climbing Log'!AI138</f>
        <v>0</v>
      </c>
      <c r="AJ138" s="83">
        <f>'Rock Climbing Log'!AJ138</f>
        <v>0</v>
      </c>
      <c r="AK138" s="81">
        <f>'Rock Climbing Log'!AK138</f>
        <v>0</v>
      </c>
      <c r="AL138" s="82">
        <f>'Rock Climbing Log'!AL138</f>
        <v>0</v>
      </c>
      <c r="AM138" s="83">
        <f>'Rock Climbing Log'!AM138</f>
        <v>0</v>
      </c>
      <c r="AN138" s="81">
        <f>'Rock Climbing Log'!AN138</f>
        <v>0</v>
      </c>
      <c r="AO138" s="82">
        <f>'Rock Climbing Log'!AO138</f>
        <v>0</v>
      </c>
      <c r="AP138" s="83">
        <f>'Rock Climbing Log'!AP138</f>
        <v>0</v>
      </c>
      <c r="AQ138" s="81">
        <f>'Rock Climbing Log'!AQ138</f>
        <v>0</v>
      </c>
      <c r="AR138" s="82">
        <f>'Rock Climbing Log'!AR138</f>
        <v>0</v>
      </c>
      <c r="AS138" s="83">
        <f>'Rock Climbing Log'!AS138</f>
        <v>0</v>
      </c>
      <c r="AT138" s="81">
        <f>'Rock Climbing Log'!AT138</f>
        <v>0</v>
      </c>
      <c r="AU138" s="82">
        <f>'Rock Climbing Log'!AU138</f>
        <v>0</v>
      </c>
      <c r="AV138" s="83">
        <f>'Rock Climbing Log'!AV138</f>
        <v>0</v>
      </c>
      <c r="AW138" s="66">
        <f ca="1">'RC Template'!AW138</f>
        <v>0</v>
      </c>
      <c r="AX138" s="66">
        <f ca="1">'RC Template'!BC138</f>
        <v>0</v>
      </c>
      <c r="AY138" s="75">
        <f>'Rock Climbing Log'!AY138</f>
        <v>0</v>
      </c>
    </row>
    <row r="139" spans="1:51" x14ac:dyDescent="0.3">
      <c r="A139" s="28">
        <f t="shared" si="13"/>
        <v>132</v>
      </c>
      <c r="B139" s="19">
        <f>'Rock Climbing Log'!B139</f>
        <v>0</v>
      </c>
      <c r="C139" s="24">
        <f>'Rock Climbing Log'!C139</f>
        <v>0</v>
      </c>
      <c r="D139" s="81">
        <f>'Rock Climbing Log'!D139</f>
        <v>0</v>
      </c>
      <c r="E139" s="82">
        <f>'Rock Climbing Log'!E139</f>
        <v>0</v>
      </c>
      <c r="F139" s="83">
        <f>'Rock Climbing Log'!F139</f>
        <v>0</v>
      </c>
      <c r="G139" s="81">
        <f>'Rock Climbing Log'!G139</f>
        <v>0</v>
      </c>
      <c r="H139" s="82">
        <f>'Rock Climbing Log'!H139</f>
        <v>0</v>
      </c>
      <c r="I139" s="83">
        <f>'Rock Climbing Log'!I139</f>
        <v>0</v>
      </c>
      <c r="J139" s="81">
        <f>'Rock Climbing Log'!J139</f>
        <v>0</v>
      </c>
      <c r="K139" s="82">
        <f>'Rock Climbing Log'!K139</f>
        <v>0</v>
      </c>
      <c r="L139" s="83">
        <f>'Rock Climbing Log'!L139</f>
        <v>0</v>
      </c>
      <c r="M139" s="81">
        <f>'Rock Climbing Log'!M139</f>
        <v>0</v>
      </c>
      <c r="N139" s="82">
        <f>'Rock Climbing Log'!N139</f>
        <v>0</v>
      </c>
      <c r="O139" s="83">
        <f>'Rock Climbing Log'!O139</f>
        <v>0</v>
      </c>
      <c r="P139" s="81">
        <f>'Rock Climbing Log'!P139</f>
        <v>0</v>
      </c>
      <c r="Q139" s="82">
        <f>'Rock Climbing Log'!Q139</f>
        <v>0</v>
      </c>
      <c r="R139" s="83">
        <f>'Rock Climbing Log'!R139</f>
        <v>0</v>
      </c>
      <c r="S139" s="81">
        <f>'Rock Climbing Log'!S139</f>
        <v>0</v>
      </c>
      <c r="T139" s="82">
        <f>'Rock Climbing Log'!T139</f>
        <v>0</v>
      </c>
      <c r="U139" s="83">
        <f>'Rock Climbing Log'!U139</f>
        <v>0</v>
      </c>
      <c r="V139" s="81">
        <f>'Rock Climbing Log'!V139</f>
        <v>0</v>
      </c>
      <c r="W139" s="82">
        <f>'Rock Climbing Log'!W139</f>
        <v>0</v>
      </c>
      <c r="X139" s="83">
        <f>'Rock Climbing Log'!X139</f>
        <v>0</v>
      </c>
      <c r="Y139" s="81">
        <f>'Rock Climbing Log'!Y139</f>
        <v>0</v>
      </c>
      <c r="Z139" s="82">
        <f>'Rock Climbing Log'!Z139</f>
        <v>0</v>
      </c>
      <c r="AA139" s="83">
        <f>'Rock Climbing Log'!AA139</f>
        <v>0</v>
      </c>
      <c r="AB139" s="81">
        <f>'Rock Climbing Log'!AB139</f>
        <v>0</v>
      </c>
      <c r="AC139" s="82">
        <f>'Rock Climbing Log'!AC139</f>
        <v>0</v>
      </c>
      <c r="AD139" s="83">
        <f>'Rock Climbing Log'!AD139</f>
        <v>0</v>
      </c>
      <c r="AE139" s="81">
        <f>'Rock Climbing Log'!AE139</f>
        <v>0</v>
      </c>
      <c r="AF139" s="82">
        <f>'Rock Climbing Log'!AF139</f>
        <v>0</v>
      </c>
      <c r="AG139" s="83">
        <f>'Rock Climbing Log'!AG139</f>
        <v>0</v>
      </c>
      <c r="AH139" s="81">
        <f>'Rock Climbing Log'!AH139</f>
        <v>0</v>
      </c>
      <c r="AI139" s="82">
        <f>'Rock Climbing Log'!AI139</f>
        <v>0</v>
      </c>
      <c r="AJ139" s="83">
        <f>'Rock Climbing Log'!AJ139</f>
        <v>0</v>
      </c>
      <c r="AK139" s="81">
        <f>'Rock Climbing Log'!AK139</f>
        <v>0</v>
      </c>
      <c r="AL139" s="82">
        <f>'Rock Climbing Log'!AL139</f>
        <v>0</v>
      </c>
      <c r="AM139" s="83">
        <f>'Rock Climbing Log'!AM139</f>
        <v>0</v>
      </c>
      <c r="AN139" s="81">
        <f>'Rock Climbing Log'!AN139</f>
        <v>0</v>
      </c>
      <c r="AO139" s="82">
        <f>'Rock Climbing Log'!AO139</f>
        <v>0</v>
      </c>
      <c r="AP139" s="83">
        <f>'Rock Climbing Log'!AP139</f>
        <v>0</v>
      </c>
      <c r="AQ139" s="81">
        <f>'Rock Climbing Log'!AQ139</f>
        <v>0</v>
      </c>
      <c r="AR139" s="82">
        <f>'Rock Climbing Log'!AR139</f>
        <v>0</v>
      </c>
      <c r="AS139" s="83">
        <f>'Rock Climbing Log'!AS139</f>
        <v>0</v>
      </c>
      <c r="AT139" s="81">
        <f>'Rock Climbing Log'!AT139</f>
        <v>0</v>
      </c>
      <c r="AU139" s="82">
        <f>'Rock Climbing Log'!AU139</f>
        <v>0</v>
      </c>
      <c r="AV139" s="83">
        <f>'Rock Climbing Log'!AV139</f>
        <v>0</v>
      </c>
      <c r="AW139" s="66">
        <f ca="1">'RC Template'!AW139</f>
        <v>0</v>
      </c>
      <c r="AX139" s="66">
        <f ca="1">'RC Template'!BC139</f>
        <v>0</v>
      </c>
      <c r="AY139" s="75">
        <f>'Rock Climbing Log'!AY139</f>
        <v>0</v>
      </c>
    </row>
    <row r="140" spans="1:51" x14ac:dyDescent="0.3">
      <c r="A140" s="28">
        <f t="shared" ref="A140:A160" si="14">+A139+1</f>
        <v>133</v>
      </c>
      <c r="B140" s="19">
        <f>'Rock Climbing Log'!B140</f>
        <v>0</v>
      </c>
      <c r="C140" s="24">
        <f>'Rock Climbing Log'!C140</f>
        <v>0</v>
      </c>
      <c r="D140" s="81">
        <f>'Rock Climbing Log'!D140</f>
        <v>0</v>
      </c>
      <c r="E140" s="82">
        <f>'Rock Climbing Log'!E140</f>
        <v>0</v>
      </c>
      <c r="F140" s="83">
        <f>'Rock Climbing Log'!F140</f>
        <v>0</v>
      </c>
      <c r="G140" s="81">
        <f>'Rock Climbing Log'!G140</f>
        <v>0</v>
      </c>
      <c r="H140" s="82">
        <f>'Rock Climbing Log'!H140</f>
        <v>0</v>
      </c>
      <c r="I140" s="83">
        <f>'Rock Climbing Log'!I140</f>
        <v>0</v>
      </c>
      <c r="J140" s="81">
        <f>'Rock Climbing Log'!J140</f>
        <v>0</v>
      </c>
      <c r="K140" s="82">
        <f>'Rock Climbing Log'!K140</f>
        <v>0</v>
      </c>
      <c r="L140" s="83">
        <f>'Rock Climbing Log'!L140</f>
        <v>0</v>
      </c>
      <c r="M140" s="81">
        <f>'Rock Climbing Log'!M140</f>
        <v>0</v>
      </c>
      <c r="N140" s="82">
        <f>'Rock Climbing Log'!N140</f>
        <v>0</v>
      </c>
      <c r="O140" s="83">
        <f>'Rock Climbing Log'!O140</f>
        <v>0</v>
      </c>
      <c r="P140" s="81">
        <f>'Rock Climbing Log'!P140</f>
        <v>0</v>
      </c>
      <c r="Q140" s="82">
        <f>'Rock Climbing Log'!Q140</f>
        <v>0</v>
      </c>
      <c r="R140" s="83">
        <f>'Rock Climbing Log'!R140</f>
        <v>0</v>
      </c>
      <c r="S140" s="81">
        <f>'Rock Climbing Log'!S140</f>
        <v>0</v>
      </c>
      <c r="T140" s="82">
        <f>'Rock Climbing Log'!T140</f>
        <v>0</v>
      </c>
      <c r="U140" s="83">
        <f>'Rock Climbing Log'!U140</f>
        <v>0</v>
      </c>
      <c r="V140" s="81">
        <f>'Rock Climbing Log'!V140</f>
        <v>0</v>
      </c>
      <c r="W140" s="82">
        <f>'Rock Climbing Log'!W140</f>
        <v>0</v>
      </c>
      <c r="X140" s="83">
        <f>'Rock Climbing Log'!X140</f>
        <v>0</v>
      </c>
      <c r="Y140" s="81">
        <f>'Rock Climbing Log'!Y140</f>
        <v>0</v>
      </c>
      <c r="Z140" s="82">
        <f>'Rock Climbing Log'!Z140</f>
        <v>0</v>
      </c>
      <c r="AA140" s="83">
        <f>'Rock Climbing Log'!AA140</f>
        <v>0</v>
      </c>
      <c r="AB140" s="81">
        <f>'Rock Climbing Log'!AB140</f>
        <v>0</v>
      </c>
      <c r="AC140" s="82">
        <f>'Rock Climbing Log'!AC140</f>
        <v>0</v>
      </c>
      <c r="AD140" s="83">
        <f>'Rock Climbing Log'!AD140</f>
        <v>0</v>
      </c>
      <c r="AE140" s="81">
        <f>'Rock Climbing Log'!AE140</f>
        <v>0</v>
      </c>
      <c r="AF140" s="82">
        <f>'Rock Climbing Log'!AF140</f>
        <v>0</v>
      </c>
      <c r="AG140" s="83">
        <f>'Rock Climbing Log'!AG140</f>
        <v>0</v>
      </c>
      <c r="AH140" s="81">
        <f>'Rock Climbing Log'!AH140</f>
        <v>0</v>
      </c>
      <c r="AI140" s="82">
        <f>'Rock Climbing Log'!AI140</f>
        <v>0</v>
      </c>
      <c r="AJ140" s="83">
        <f>'Rock Climbing Log'!AJ140</f>
        <v>0</v>
      </c>
      <c r="AK140" s="81">
        <f>'Rock Climbing Log'!AK140</f>
        <v>0</v>
      </c>
      <c r="AL140" s="82">
        <f>'Rock Climbing Log'!AL140</f>
        <v>0</v>
      </c>
      <c r="AM140" s="83">
        <f>'Rock Climbing Log'!AM140</f>
        <v>0</v>
      </c>
      <c r="AN140" s="81">
        <f>'Rock Climbing Log'!AN140</f>
        <v>0</v>
      </c>
      <c r="AO140" s="82">
        <f>'Rock Climbing Log'!AO140</f>
        <v>0</v>
      </c>
      <c r="AP140" s="83">
        <f>'Rock Climbing Log'!AP140</f>
        <v>0</v>
      </c>
      <c r="AQ140" s="81">
        <f>'Rock Climbing Log'!AQ140</f>
        <v>0</v>
      </c>
      <c r="AR140" s="82">
        <f>'Rock Climbing Log'!AR140</f>
        <v>0</v>
      </c>
      <c r="AS140" s="83">
        <f>'Rock Climbing Log'!AS140</f>
        <v>0</v>
      </c>
      <c r="AT140" s="81">
        <f>'Rock Climbing Log'!AT140</f>
        <v>0</v>
      </c>
      <c r="AU140" s="82">
        <f>'Rock Climbing Log'!AU140</f>
        <v>0</v>
      </c>
      <c r="AV140" s="83">
        <f>'Rock Climbing Log'!AV140</f>
        <v>0</v>
      </c>
      <c r="AW140" s="66">
        <f ca="1">'RC Template'!AW140</f>
        <v>0</v>
      </c>
      <c r="AX140" s="66">
        <f ca="1">'RC Template'!BC140</f>
        <v>0</v>
      </c>
      <c r="AY140" s="75">
        <f>'Rock Climbing Log'!AY140</f>
        <v>0</v>
      </c>
    </row>
    <row r="141" spans="1:51" x14ac:dyDescent="0.3">
      <c r="A141" s="28">
        <f t="shared" si="14"/>
        <v>134</v>
      </c>
      <c r="B141" s="19">
        <f>'Rock Climbing Log'!B141</f>
        <v>0</v>
      </c>
      <c r="C141" s="24">
        <f>'Rock Climbing Log'!C141</f>
        <v>0</v>
      </c>
      <c r="D141" s="81">
        <f>'Rock Climbing Log'!D141</f>
        <v>0</v>
      </c>
      <c r="E141" s="82">
        <f>'Rock Climbing Log'!E141</f>
        <v>0</v>
      </c>
      <c r="F141" s="83">
        <f>'Rock Climbing Log'!F141</f>
        <v>0</v>
      </c>
      <c r="G141" s="81">
        <f>'Rock Climbing Log'!G141</f>
        <v>0</v>
      </c>
      <c r="H141" s="82">
        <f>'Rock Climbing Log'!H141</f>
        <v>0</v>
      </c>
      <c r="I141" s="83">
        <f>'Rock Climbing Log'!I141</f>
        <v>0</v>
      </c>
      <c r="J141" s="81">
        <f>'Rock Climbing Log'!J141</f>
        <v>0</v>
      </c>
      <c r="K141" s="82">
        <f>'Rock Climbing Log'!K141</f>
        <v>0</v>
      </c>
      <c r="L141" s="83">
        <f>'Rock Climbing Log'!L141</f>
        <v>0</v>
      </c>
      <c r="M141" s="81">
        <f>'Rock Climbing Log'!M141</f>
        <v>0</v>
      </c>
      <c r="N141" s="82">
        <f>'Rock Climbing Log'!N141</f>
        <v>0</v>
      </c>
      <c r="O141" s="83">
        <f>'Rock Climbing Log'!O141</f>
        <v>0</v>
      </c>
      <c r="P141" s="81">
        <f>'Rock Climbing Log'!P141</f>
        <v>0</v>
      </c>
      <c r="Q141" s="82">
        <f>'Rock Climbing Log'!Q141</f>
        <v>0</v>
      </c>
      <c r="R141" s="83">
        <f>'Rock Climbing Log'!R141</f>
        <v>0</v>
      </c>
      <c r="S141" s="81">
        <f>'Rock Climbing Log'!S141</f>
        <v>0</v>
      </c>
      <c r="T141" s="82">
        <f>'Rock Climbing Log'!T141</f>
        <v>0</v>
      </c>
      <c r="U141" s="83">
        <f>'Rock Climbing Log'!U141</f>
        <v>0</v>
      </c>
      <c r="V141" s="81">
        <f>'Rock Climbing Log'!V141</f>
        <v>0</v>
      </c>
      <c r="W141" s="82">
        <f>'Rock Climbing Log'!W141</f>
        <v>0</v>
      </c>
      <c r="X141" s="83">
        <f>'Rock Climbing Log'!X141</f>
        <v>0</v>
      </c>
      <c r="Y141" s="81">
        <f>'Rock Climbing Log'!Y141</f>
        <v>0</v>
      </c>
      <c r="Z141" s="82">
        <f>'Rock Climbing Log'!Z141</f>
        <v>0</v>
      </c>
      <c r="AA141" s="83">
        <f>'Rock Climbing Log'!AA141</f>
        <v>0</v>
      </c>
      <c r="AB141" s="81">
        <f>'Rock Climbing Log'!AB141</f>
        <v>0</v>
      </c>
      <c r="AC141" s="82">
        <f>'Rock Climbing Log'!AC141</f>
        <v>0</v>
      </c>
      <c r="AD141" s="83">
        <f>'Rock Climbing Log'!AD141</f>
        <v>0</v>
      </c>
      <c r="AE141" s="81">
        <f>'Rock Climbing Log'!AE141</f>
        <v>0</v>
      </c>
      <c r="AF141" s="82">
        <f>'Rock Climbing Log'!AF141</f>
        <v>0</v>
      </c>
      <c r="AG141" s="83">
        <f>'Rock Climbing Log'!AG141</f>
        <v>0</v>
      </c>
      <c r="AH141" s="81">
        <f>'Rock Climbing Log'!AH141</f>
        <v>0</v>
      </c>
      <c r="AI141" s="82">
        <f>'Rock Climbing Log'!AI141</f>
        <v>0</v>
      </c>
      <c r="AJ141" s="83">
        <f>'Rock Climbing Log'!AJ141</f>
        <v>0</v>
      </c>
      <c r="AK141" s="81">
        <f>'Rock Climbing Log'!AK141</f>
        <v>0</v>
      </c>
      <c r="AL141" s="82">
        <f>'Rock Climbing Log'!AL141</f>
        <v>0</v>
      </c>
      <c r="AM141" s="83">
        <f>'Rock Climbing Log'!AM141</f>
        <v>0</v>
      </c>
      <c r="AN141" s="81">
        <f>'Rock Climbing Log'!AN141</f>
        <v>0</v>
      </c>
      <c r="AO141" s="82">
        <f>'Rock Climbing Log'!AO141</f>
        <v>0</v>
      </c>
      <c r="AP141" s="83">
        <f>'Rock Climbing Log'!AP141</f>
        <v>0</v>
      </c>
      <c r="AQ141" s="81">
        <f>'Rock Climbing Log'!AQ141</f>
        <v>0</v>
      </c>
      <c r="AR141" s="82">
        <f>'Rock Climbing Log'!AR141</f>
        <v>0</v>
      </c>
      <c r="AS141" s="83">
        <f>'Rock Climbing Log'!AS141</f>
        <v>0</v>
      </c>
      <c r="AT141" s="81">
        <f>'Rock Climbing Log'!AT141</f>
        <v>0</v>
      </c>
      <c r="AU141" s="82">
        <f>'Rock Climbing Log'!AU141</f>
        <v>0</v>
      </c>
      <c r="AV141" s="83">
        <f>'Rock Climbing Log'!AV141</f>
        <v>0</v>
      </c>
      <c r="AW141" s="66">
        <f ca="1">'RC Template'!AW141</f>
        <v>0</v>
      </c>
      <c r="AX141" s="66">
        <f ca="1">'RC Template'!BC141</f>
        <v>0</v>
      </c>
      <c r="AY141" s="75">
        <f>'Rock Climbing Log'!AY141</f>
        <v>0</v>
      </c>
    </row>
    <row r="142" spans="1:51" x14ac:dyDescent="0.3">
      <c r="A142" s="28">
        <f t="shared" si="14"/>
        <v>135</v>
      </c>
      <c r="B142" s="19">
        <f>'Rock Climbing Log'!B142</f>
        <v>0</v>
      </c>
      <c r="C142" s="24">
        <f>'Rock Climbing Log'!C142</f>
        <v>0</v>
      </c>
      <c r="D142" s="81">
        <f>'Rock Climbing Log'!D142</f>
        <v>0</v>
      </c>
      <c r="E142" s="82">
        <f>'Rock Climbing Log'!E142</f>
        <v>0</v>
      </c>
      <c r="F142" s="83">
        <f>'Rock Climbing Log'!F142</f>
        <v>0</v>
      </c>
      <c r="G142" s="81">
        <f>'Rock Climbing Log'!G142</f>
        <v>0</v>
      </c>
      <c r="H142" s="82">
        <f>'Rock Climbing Log'!H142</f>
        <v>0</v>
      </c>
      <c r="I142" s="83">
        <f>'Rock Climbing Log'!I142</f>
        <v>0</v>
      </c>
      <c r="J142" s="81">
        <f>'Rock Climbing Log'!J142</f>
        <v>0</v>
      </c>
      <c r="K142" s="82">
        <f>'Rock Climbing Log'!K142</f>
        <v>0</v>
      </c>
      <c r="L142" s="83">
        <f>'Rock Climbing Log'!L142</f>
        <v>0</v>
      </c>
      <c r="M142" s="81">
        <f>'Rock Climbing Log'!M142</f>
        <v>0</v>
      </c>
      <c r="N142" s="82">
        <f>'Rock Climbing Log'!N142</f>
        <v>0</v>
      </c>
      <c r="O142" s="83">
        <f>'Rock Climbing Log'!O142</f>
        <v>0</v>
      </c>
      <c r="P142" s="81">
        <f>'Rock Climbing Log'!P142</f>
        <v>0</v>
      </c>
      <c r="Q142" s="82">
        <f>'Rock Climbing Log'!Q142</f>
        <v>0</v>
      </c>
      <c r="R142" s="83">
        <f>'Rock Climbing Log'!R142</f>
        <v>0</v>
      </c>
      <c r="S142" s="81">
        <f>'Rock Climbing Log'!S142</f>
        <v>0</v>
      </c>
      <c r="T142" s="82">
        <f>'Rock Climbing Log'!T142</f>
        <v>0</v>
      </c>
      <c r="U142" s="83">
        <f>'Rock Climbing Log'!U142</f>
        <v>0</v>
      </c>
      <c r="V142" s="81">
        <f>'Rock Climbing Log'!V142</f>
        <v>0</v>
      </c>
      <c r="W142" s="82">
        <f>'Rock Climbing Log'!W142</f>
        <v>0</v>
      </c>
      <c r="X142" s="83">
        <f>'Rock Climbing Log'!X142</f>
        <v>0</v>
      </c>
      <c r="Y142" s="81">
        <f>'Rock Climbing Log'!Y142</f>
        <v>0</v>
      </c>
      <c r="Z142" s="82">
        <f>'Rock Climbing Log'!Z142</f>
        <v>0</v>
      </c>
      <c r="AA142" s="83">
        <f>'Rock Climbing Log'!AA142</f>
        <v>0</v>
      </c>
      <c r="AB142" s="81">
        <f>'Rock Climbing Log'!AB142</f>
        <v>0</v>
      </c>
      <c r="AC142" s="82">
        <f>'Rock Climbing Log'!AC142</f>
        <v>0</v>
      </c>
      <c r="AD142" s="83">
        <f>'Rock Climbing Log'!AD142</f>
        <v>0</v>
      </c>
      <c r="AE142" s="81">
        <f>'Rock Climbing Log'!AE142</f>
        <v>0</v>
      </c>
      <c r="AF142" s="82">
        <f>'Rock Climbing Log'!AF142</f>
        <v>0</v>
      </c>
      <c r="AG142" s="83">
        <f>'Rock Climbing Log'!AG142</f>
        <v>0</v>
      </c>
      <c r="AH142" s="81">
        <f>'Rock Climbing Log'!AH142</f>
        <v>0</v>
      </c>
      <c r="AI142" s="82">
        <f>'Rock Climbing Log'!AI142</f>
        <v>0</v>
      </c>
      <c r="AJ142" s="83">
        <f>'Rock Climbing Log'!AJ142</f>
        <v>0</v>
      </c>
      <c r="AK142" s="81">
        <f>'Rock Climbing Log'!AK142</f>
        <v>0</v>
      </c>
      <c r="AL142" s="82">
        <f>'Rock Climbing Log'!AL142</f>
        <v>0</v>
      </c>
      <c r="AM142" s="83">
        <f>'Rock Climbing Log'!AM142</f>
        <v>0</v>
      </c>
      <c r="AN142" s="81">
        <f>'Rock Climbing Log'!AN142</f>
        <v>0</v>
      </c>
      <c r="AO142" s="82">
        <f>'Rock Climbing Log'!AO142</f>
        <v>0</v>
      </c>
      <c r="AP142" s="83">
        <f>'Rock Climbing Log'!AP142</f>
        <v>0</v>
      </c>
      <c r="AQ142" s="81">
        <f>'Rock Climbing Log'!AQ142</f>
        <v>0</v>
      </c>
      <c r="AR142" s="82">
        <f>'Rock Climbing Log'!AR142</f>
        <v>0</v>
      </c>
      <c r="AS142" s="83">
        <f>'Rock Climbing Log'!AS142</f>
        <v>0</v>
      </c>
      <c r="AT142" s="81">
        <f>'Rock Climbing Log'!AT142</f>
        <v>0</v>
      </c>
      <c r="AU142" s="82">
        <f>'Rock Climbing Log'!AU142</f>
        <v>0</v>
      </c>
      <c r="AV142" s="83">
        <f>'Rock Climbing Log'!AV142</f>
        <v>0</v>
      </c>
      <c r="AW142" s="66">
        <f ca="1">'RC Template'!AW142</f>
        <v>0</v>
      </c>
      <c r="AX142" s="66">
        <f ca="1">'RC Template'!BC142</f>
        <v>0</v>
      </c>
      <c r="AY142" s="75">
        <f>'Rock Climbing Log'!AY142</f>
        <v>0</v>
      </c>
    </row>
    <row r="143" spans="1:51" x14ac:dyDescent="0.3">
      <c r="A143" s="28">
        <f t="shared" si="14"/>
        <v>136</v>
      </c>
      <c r="B143" s="19">
        <f>'Rock Climbing Log'!B143</f>
        <v>0</v>
      </c>
      <c r="C143" s="24">
        <f>'Rock Climbing Log'!C143</f>
        <v>0</v>
      </c>
      <c r="D143" s="81">
        <f>'Rock Climbing Log'!D143</f>
        <v>0</v>
      </c>
      <c r="E143" s="82">
        <f>'Rock Climbing Log'!E143</f>
        <v>0</v>
      </c>
      <c r="F143" s="83">
        <f>'Rock Climbing Log'!F143</f>
        <v>0</v>
      </c>
      <c r="G143" s="81">
        <f>'Rock Climbing Log'!G143</f>
        <v>0</v>
      </c>
      <c r="H143" s="82">
        <f>'Rock Climbing Log'!H143</f>
        <v>0</v>
      </c>
      <c r="I143" s="83">
        <f>'Rock Climbing Log'!I143</f>
        <v>0</v>
      </c>
      <c r="J143" s="81">
        <f>'Rock Climbing Log'!J143</f>
        <v>0</v>
      </c>
      <c r="K143" s="82">
        <f>'Rock Climbing Log'!K143</f>
        <v>0</v>
      </c>
      <c r="L143" s="83">
        <f>'Rock Climbing Log'!L143</f>
        <v>0</v>
      </c>
      <c r="M143" s="81">
        <f>'Rock Climbing Log'!M143</f>
        <v>0</v>
      </c>
      <c r="N143" s="82">
        <f>'Rock Climbing Log'!N143</f>
        <v>0</v>
      </c>
      <c r="O143" s="83">
        <f>'Rock Climbing Log'!O143</f>
        <v>0</v>
      </c>
      <c r="P143" s="81">
        <f>'Rock Climbing Log'!P143</f>
        <v>0</v>
      </c>
      <c r="Q143" s="82">
        <f>'Rock Climbing Log'!Q143</f>
        <v>0</v>
      </c>
      <c r="R143" s="83">
        <f>'Rock Climbing Log'!R143</f>
        <v>0</v>
      </c>
      <c r="S143" s="81">
        <f>'Rock Climbing Log'!S143</f>
        <v>0</v>
      </c>
      <c r="T143" s="82">
        <f>'Rock Climbing Log'!T143</f>
        <v>0</v>
      </c>
      <c r="U143" s="83">
        <f>'Rock Climbing Log'!U143</f>
        <v>0</v>
      </c>
      <c r="V143" s="81">
        <f>'Rock Climbing Log'!V143</f>
        <v>0</v>
      </c>
      <c r="W143" s="82">
        <f>'Rock Climbing Log'!W143</f>
        <v>0</v>
      </c>
      <c r="X143" s="83">
        <f>'Rock Climbing Log'!X143</f>
        <v>0</v>
      </c>
      <c r="Y143" s="81">
        <f>'Rock Climbing Log'!Y143</f>
        <v>0</v>
      </c>
      <c r="Z143" s="82">
        <f>'Rock Climbing Log'!Z143</f>
        <v>0</v>
      </c>
      <c r="AA143" s="83">
        <f>'Rock Climbing Log'!AA143</f>
        <v>0</v>
      </c>
      <c r="AB143" s="81">
        <f>'Rock Climbing Log'!AB143</f>
        <v>0</v>
      </c>
      <c r="AC143" s="82">
        <f>'Rock Climbing Log'!AC143</f>
        <v>0</v>
      </c>
      <c r="AD143" s="83">
        <f>'Rock Climbing Log'!AD143</f>
        <v>0</v>
      </c>
      <c r="AE143" s="81">
        <f>'Rock Climbing Log'!AE143</f>
        <v>0</v>
      </c>
      <c r="AF143" s="82">
        <f>'Rock Climbing Log'!AF143</f>
        <v>0</v>
      </c>
      <c r="AG143" s="83">
        <f>'Rock Climbing Log'!AG143</f>
        <v>0</v>
      </c>
      <c r="AH143" s="81">
        <f>'Rock Climbing Log'!AH143</f>
        <v>0</v>
      </c>
      <c r="AI143" s="82">
        <f>'Rock Climbing Log'!AI143</f>
        <v>0</v>
      </c>
      <c r="AJ143" s="83">
        <f>'Rock Climbing Log'!AJ143</f>
        <v>0</v>
      </c>
      <c r="AK143" s="81">
        <f>'Rock Climbing Log'!AK143</f>
        <v>0</v>
      </c>
      <c r="AL143" s="82">
        <f>'Rock Climbing Log'!AL143</f>
        <v>0</v>
      </c>
      <c r="AM143" s="83">
        <f>'Rock Climbing Log'!AM143</f>
        <v>0</v>
      </c>
      <c r="AN143" s="81">
        <f>'Rock Climbing Log'!AN143</f>
        <v>0</v>
      </c>
      <c r="AO143" s="82">
        <f>'Rock Climbing Log'!AO143</f>
        <v>0</v>
      </c>
      <c r="AP143" s="83">
        <f>'Rock Climbing Log'!AP143</f>
        <v>0</v>
      </c>
      <c r="AQ143" s="81">
        <f>'Rock Climbing Log'!AQ143</f>
        <v>0</v>
      </c>
      <c r="AR143" s="82">
        <f>'Rock Climbing Log'!AR143</f>
        <v>0</v>
      </c>
      <c r="AS143" s="83">
        <f>'Rock Climbing Log'!AS143</f>
        <v>0</v>
      </c>
      <c r="AT143" s="81">
        <f>'Rock Climbing Log'!AT143</f>
        <v>0</v>
      </c>
      <c r="AU143" s="82">
        <f>'Rock Climbing Log'!AU143</f>
        <v>0</v>
      </c>
      <c r="AV143" s="83">
        <f>'Rock Climbing Log'!AV143</f>
        <v>0</v>
      </c>
      <c r="AW143" s="66">
        <f ca="1">'RC Template'!AW143</f>
        <v>0</v>
      </c>
      <c r="AX143" s="66">
        <f ca="1">'RC Template'!BC143</f>
        <v>0</v>
      </c>
      <c r="AY143" s="75">
        <f>'Rock Climbing Log'!AY143</f>
        <v>0</v>
      </c>
    </row>
    <row r="144" spans="1:51" x14ac:dyDescent="0.3">
      <c r="A144" s="28">
        <f t="shared" si="14"/>
        <v>137</v>
      </c>
      <c r="B144" s="19">
        <f>'Rock Climbing Log'!B144</f>
        <v>0</v>
      </c>
      <c r="C144" s="24">
        <f>'Rock Climbing Log'!C144</f>
        <v>0</v>
      </c>
      <c r="D144" s="81">
        <f>'Rock Climbing Log'!D144</f>
        <v>0</v>
      </c>
      <c r="E144" s="82">
        <f>'Rock Climbing Log'!E144</f>
        <v>0</v>
      </c>
      <c r="F144" s="83">
        <f>'Rock Climbing Log'!F144</f>
        <v>0</v>
      </c>
      <c r="G144" s="81">
        <f>'Rock Climbing Log'!G144</f>
        <v>0</v>
      </c>
      <c r="H144" s="82">
        <f>'Rock Climbing Log'!H144</f>
        <v>0</v>
      </c>
      <c r="I144" s="83">
        <f>'Rock Climbing Log'!I144</f>
        <v>0</v>
      </c>
      <c r="J144" s="81">
        <f>'Rock Climbing Log'!J144</f>
        <v>0</v>
      </c>
      <c r="K144" s="82">
        <f>'Rock Climbing Log'!K144</f>
        <v>0</v>
      </c>
      <c r="L144" s="83">
        <f>'Rock Climbing Log'!L144</f>
        <v>0</v>
      </c>
      <c r="M144" s="81">
        <f>'Rock Climbing Log'!M144</f>
        <v>0</v>
      </c>
      <c r="N144" s="82">
        <f>'Rock Climbing Log'!N144</f>
        <v>0</v>
      </c>
      <c r="O144" s="83">
        <f>'Rock Climbing Log'!O144</f>
        <v>0</v>
      </c>
      <c r="P144" s="81">
        <f>'Rock Climbing Log'!P144</f>
        <v>0</v>
      </c>
      <c r="Q144" s="82">
        <f>'Rock Climbing Log'!Q144</f>
        <v>0</v>
      </c>
      <c r="R144" s="83">
        <f>'Rock Climbing Log'!R144</f>
        <v>0</v>
      </c>
      <c r="S144" s="81">
        <f>'Rock Climbing Log'!S144</f>
        <v>0</v>
      </c>
      <c r="T144" s="82">
        <f>'Rock Climbing Log'!T144</f>
        <v>0</v>
      </c>
      <c r="U144" s="83">
        <f>'Rock Climbing Log'!U144</f>
        <v>0</v>
      </c>
      <c r="V144" s="81">
        <f>'Rock Climbing Log'!V144</f>
        <v>0</v>
      </c>
      <c r="W144" s="82">
        <f>'Rock Climbing Log'!W144</f>
        <v>0</v>
      </c>
      <c r="X144" s="83">
        <f>'Rock Climbing Log'!X144</f>
        <v>0</v>
      </c>
      <c r="Y144" s="81">
        <f>'Rock Climbing Log'!Y144</f>
        <v>0</v>
      </c>
      <c r="Z144" s="82">
        <f>'Rock Climbing Log'!Z144</f>
        <v>0</v>
      </c>
      <c r="AA144" s="83">
        <f>'Rock Climbing Log'!AA144</f>
        <v>0</v>
      </c>
      <c r="AB144" s="81">
        <f>'Rock Climbing Log'!AB144</f>
        <v>0</v>
      </c>
      <c r="AC144" s="82">
        <f>'Rock Climbing Log'!AC144</f>
        <v>0</v>
      </c>
      <c r="AD144" s="83">
        <f>'Rock Climbing Log'!AD144</f>
        <v>0</v>
      </c>
      <c r="AE144" s="81">
        <f>'Rock Climbing Log'!AE144</f>
        <v>0</v>
      </c>
      <c r="AF144" s="82">
        <f>'Rock Climbing Log'!AF144</f>
        <v>0</v>
      </c>
      <c r="AG144" s="83">
        <f>'Rock Climbing Log'!AG144</f>
        <v>0</v>
      </c>
      <c r="AH144" s="81">
        <f>'Rock Climbing Log'!AH144</f>
        <v>0</v>
      </c>
      <c r="AI144" s="82">
        <f>'Rock Climbing Log'!AI144</f>
        <v>0</v>
      </c>
      <c r="AJ144" s="83">
        <f>'Rock Climbing Log'!AJ144</f>
        <v>0</v>
      </c>
      <c r="AK144" s="81">
        <f>'Rock Climbing Log'!AK144</f>
        <v>0</v>
      </c>
      <c r="AL144" s="82">
        <f>'Rock Climbing Log'!AL144</f>
        <v>0</v>
      </c>
      <c r="AM144" s="83">
        <f>'Rock Climbing Log'!AM144</f>
        <v>0</v>
      </c>
      <c r="AN144" s="81">
        <f>'Rock Climbing Log'!AN144</f>
        <v>0</v>
      </c>
      <c r="AO144" s="82">
        <f>'Rock Climbing Log'!AO144</f>
        <v>0</v>
      </c>
      <c r="AP144" s="83">
        <f>'Rock Climbing Log'!AP144</f>
        <v>0</v>
      </c>
      <c r="AQ144" s="81">
        <f>'Rock Climbing Log'!AQ144</f>
        <v>0</v>
      </c>
      <c r="AR144" s="82">
        <f>'Rock Climbing Log'!AR144</f>
        <v>0</v>
      </c>
      <c r="AS144" s="83">
        <f>'Rock Climbing Log'!AS144</f>
        <v>0</v>
      </c>
      <c r="AT144" s="81">
        <f>'Rock Climbing Log'!AT144</f>
        <v>0</v>
      </c>
      <c r="AU144" s="82">
        <f>'Rock Climbing Log'!AU144</f>
        <v>0</v>
      </c>
      <c r="AV144" s="83">
        <f>'Rock Climbing Log'!AV144</f>
        <v>0</v>
      </c>
      <c r="AW144" s="66">
        <f ca="1">'RC Template'!AW144</f>
        <v>0</v>
      </c>
      <c r="AX144" s="66">
        <f ca="1">'RC Template'!BC144</f>
        <v>0</v>
      </c>
      <c r="AY144" s="75">
        <f>'Rock Climbing Log'!AY144</f>
        <v>0</v>
      </c>
    </row>
    <row r="145" spans="1:51" x14ac:dyDescent="0.3">
      <c r="A145" s="28">
        <f t="shared" si="14"/>
        <v>138</v>
      </c>
      <c r="B145" s="19">
        <f>'Rock Climbing Log'!B145</f>
        <v>0</v>
      </c>
      <c r="C145" s="24">
        <f>'Rock Climbing Log'!C145</f>
        <v>0</v>
      </c>
      <c r="D145" s="81">
        <f>'Rock Climbing Log'!D145</f>
        <v>0</v>
      </c>
      <c r="E145" s="82">
        <f>'Rock Climbing Log'!E145</f>
        <v>0</v>
      </c>
      <c r="F145" s="83">
        <f>'Rock Climbing Log'!F145</f>
        <v>0</v>
      </c>
      <c r="G145" s="81">
        <f>'Rock Climbing Log'!G145</f>
        <v>0</v>
      </c>
      <c r="H145" s="82">
        <f>'Rock Climbing Log'!H145</f>
        <v>0</v>
      </c>
      <c r="I145" s="83">
        <f>'Rock Climbing Log'!I145</f>
        <v>0</v>
      </c>
      <c r="J145" s="81">
        <f>'Rock Climbing Log'!J145</f>
        <v>0</v>
      </c>
      <c r="K145" s="82">
        <f>'Rock Climbing Log'!K145</f>
        <v>0</v>
      </c>
      <c r="L145" s="83">
        <f>'Rock Climbing Log'!L145</f>
        <v>0</v>
      </c>
      <c r="M145" s="81">
        <f>'Rock Climbing Log'!M145</f>
        <v>0</v>
      </c>
      <c r="N145" s="82">
        <f>'Rock Climbing Log'!N145</f>
        <v>0</v>
      </c>
      <c r="O145" s="83">
        <f>'Rock Climbing Log'!O145</f>
        <v>0</v>
      </c>
      <c r="P145" s="81">
        <f>'Rock Climbing Log'!P145</f>
        <v>0</v>
      </c>
      <c r="Q145" s="82">
        <f>'Rock Climbing Log'!Q145</f>
        <v>0</v>
      </c>
      <c r="R145" s="83">
        <f>'Rock Climbing Log'!R145</f>
        <v>0</v>
      </c>
      <c r="S145" s="81">
        <f>'Rock Climbing Log'!S145</f>
        <v>0</v>
      </c>
      <c r="T145" s="82">
        <f>'Rock Climbing Log'!T145</f>
        <v>0</v>
      </c>
      <c r="U145" s="83">
        <f>'Rock Climbing Log'!U145</f>
        <v>0</v>
      </c>
      <c r="V145" s="81">
        <f>'Rock Climbing Log'!V145</f>
        <v>0</v>
      </c>
      <c r="W145" s="82">
        <f>'Rock Climbing Log'!W145</f>
        <v>0</v>
      </c>
      <c r="X145" s="83">
        <f>'Rock Climbing Log'!X145</f>
        <v>0</v>
      </c>
      <c r="Y145" s="81">
        <f>'Rock Climbing Log'!Y145</f>
        <v>0</v>
      </c>
      <c r="Z145" s="82">
        <f>'Rock Climbing Log'!Z145</f>
        <v>0</v>
      </c>
      <c r="AA145" s="83">
        <f>'Rock Climbing Log'!AA145</f>
        <v>0</v>
      </c>
      <c r="AB145" s="81">
        <f>'Rock Climbing Log'!AB145</f>
        <v>0</v>
      </c>
      <c r="AC145" s="82">
        <f>'Rock Climbing Log'!AC145</f>
        <v>0</v>
      </c>
      <c r="AD145" s="83">
        <f>'Rock Climbing Log'!AD145</f>
        <v>0</v>
      </c>
      <c r="AE145" s="81">
        <f>'Rock Climbing Log'!AE145</f>
        <v>0</v>
      </c>
      <c r="AF145" s="82">
        <f>'Rock Climbing Log'!AF145</f>
        <v>0</v>
      </c>
      <c r="AG145" s="83">
        <f>'Rock Climbing Log'!AG145</f>
        <v>0</v>
      </c>
      <c r="AH145" s="81">
        <f>'Rock Climbing Log'!AH145</f>
        <v>0</v>
      </c>
      <c r="AI145" s="82">
        <f>'Rock Climbing Log'!AI145</f>
        <v>0</v>
      </c>
      <c r="AJ145" s="83">
        <f>'Rock Climbing Log'!AJ145</f>
        <v>0</v>
      </c>
      <c r="AK145" s="81">
        <f>'Rock Climbing Log'!AK145</f>
        <v>0</v>
      </c>
      <c r="AL145" s="82">
        <f>'Rock Climbing Log'!AL145</f>
        <v>0</v>
      </c>
      <c r="AM145" s="83">
        <f>'Rock Climbing Log'!AM145</f>
        <v>0</v>
      </c>
      <c r="AN145" s="81">
        <f>'Rock Climbing Log'!AN145</f>
        <v>0</v>
      </c>
      <c r="AO145" s="82">
        <f>'Rock Climbing Log'!AO145</f>
        <v>0</v>
      </c>
      <c r="AP145" s="83">
        <f>'Rock Climbing Log'!AP145</f>
        <v>0</v>
      </c>
      <c r="AQ145" s="81">
        <f>'Rock Climbing Log'!AQ145</f>
        <v>0</v>
      </c>
      <c r="AR145" s="82">
        <f>'Rock Climbing Log'!AR145</f>
        <v>0</v>
      </c>
      <c r="AS145" s="83">
        <f>'Rock Climbing Log'!AS145</f>
        <v>0</v>
      </c>
      <c r="AT145" s="81">
        <f>'Rock Climbing Log'!AT145</f>
        <v>0</v>
      </c>
      <c r="AU145" s="82">
        <f>'Rock Climbing Log'!AU145</f>
        <v>0</v>
      </c>
      <c r="AV145" s="83">
        <f>'Rock Climbing Log'!AV145</f>
        <v>0</v>
      </c>
      <c r="AW145" s="66">
        <f ca="1">'RC Template'!AW145</f>
        <v>0</v>
      </c>
      <c r="AX145" s="66">
        <f ca="1">'RC Template'!BC145</f>
        <v>0</v>
      </c>
      <c r="AY145" s="75">
        <f>'Rock Climbing Log'!AY145</f>
        <v>0</v>
      </c>
    </row>
    <row r="146" spans="1:51" x14ac:dyDescent="0.3">
      <c r="A146" s="28">
        <f t="shared" si="14"/>
        <v>139</v>
      </c>
      <c r="B146" s="19">
        <f>'Rock Climbing Log'!B146</f>
        <v>0</v>
      </c>
      <c r="C146" s="24">
        <f>'Rock Climbing Log'!C146</f>
        <v>0</v>
      </c>
      <c r="D146" s="81">
        <f>'Rock Climbing Log'!D146</f>
        <v>0</v>
      </c>
      <c r="E146" s="82">
        <f>'Rock Climbing Log'!E146</f>
        <v>0</v>
      </c>
      <c r="F146" s="83">
        <f>'Rock Climbing Log'!F146</f>
        <v>0</v>
      </c>
      <c r="G146" s="81">
        <f>'Rock Climbing Log'!G146</f>
        <v>0</v>
      </c>
      <c r="H146" s="82">
        <f>'Rock Climbing Log'!H146</f>
        <v>0</v>
      </c>
      <c r="I146" s="83">
        <f>'Rock Climbing Log'!I146</f>
        <v>0</v>
      </c>
      <c r="J146" s="81">
        <f>'Rock Climbing Log'!J146</f>
        <v>0</v>
      </c>
      <c r="K146" s="82">
        <f>'Rock Climbing Log'!K146</f>
        <v>0</v>
      </c>
      <c r="L146" s="83">
        <f>'Rock Climbing Log'!L146</f>
        <v>0</v>
      </c>
      <c r="M146" s="81">
        <f>'Rock Climbing Log'!M146</f>
        <v>0</v>
      </c>
      <c r="N146" s="82">
        <f>'Rock Climbing Log'!N146</f>
        <v>0</v>
      </c>
      <c r="O146" s="83">
        <f>'Rock Climbing Log'!O146</f>
        <v>0</v>
      </c>
      <c r="P146" s="81">
        <f>'Rock Climbing Log'!P146</f>
        <v>0</v>
      </c>
      <c r="Q146" s="82">
        <f>'Rock Climbing Log'!Q146</f>
        <v>0</v>
      </c>
      <c r="R146" s="83">
        <f>'Rock Climbing Log'!R146</f>
        <v>0</v>
      </c>
      <c r="S146" s="81">
        <f>'Rock Climbing Log'!S146</f>
        <v>0</v>
      </c>
      <c r="T146" s="82">
        <f>'Rock Climbing Log'!T146</f>
        <v>0</v>
      </c>
      <c r="U146" s="83">
        <f>'Rock Climbing Log'!U146</f>
        <v>0</v>
      </c>
      <c r="V146" s="81">
        <f>'Rock Climbing Log'!V146</f>
        <v>0</v>
      </c>
      <c r="W146" s="82">
        <f>'Rock Climbing Log'!W146</f>
        <v>0</v>
      </c>
      <c r="X146" s="83">
        <f>'Rock Climbing Log'!X146</f>
        <v>0</v>
      </c>
      <c r="Y146" s="81">
        <f>'Rock Climbing Log'!Y146</f>
        <v>0</v>
      </c>
      <c r="Z146" s="82">
        <f>'Rock Climbing Log'!Z146</f>
        <v>0</v>
      </c>
      <c r="AA146" s="83">
        <f>'Rock Climbing Log'!AA146</f>
        <v>0</v>
      </c>
      <c r="AB146" s="81">
        <f>'Rock Climbing Log'!AB146</f>
        <v>0</v>
      </c>
      <c r="AC146" s="82">
        <f>'Rock Climbing Log'!AC146</f>
        <v>0</v>
      </c>
      <c r="AD146" s="83">
        <f>'Rock Climbing Log'!AD146</f>
        <v>0</v>
      </c>
      <c r="AE146" s="81">
        <f>'Rock Climbing Log'!AE146</f>
        <v>0</v>
      </c>
      <c r="AF146" s="82">
        <f>'Rock Climbing Log'!AF146</f>
        <v>0</v>
      </c>
      <c r="AG146" s="83">
        <f>'Rock Climbing Log'!AG146</f>
        <v>0</v>
      </c>
      <c r="AH146" s="81">
        <f>'Rock Climbing Log'!AH146</f>
        <v>0</v>
      </c>
      <c r="AI146" s="82">
        <f>'Rock Climbing Log'!AI146</f>
        <v>0</v>
      </c>
      <c r="AJ146" s="83">
        <f>'Rock Climbing Log'!AJ146</f>
        <v>0</v>
      </c>
      <c r="AK146" s="81">
        <f>'Rock Climbing Log'!AK146</f>
        <v>0</v>
      </c>
      <c r="AL146" s="82">
        <f>'Rock Climbing Log'!AL146</f>
        <v>0</v>
      </c>
      <c r="AM146" s="83">
        <f>'Rock Climbing Log'!AM146</f>
        <v>0</v>
      </c>
      <c r="AN146" s="81">
        <f>'Rock Climbing Log'!AN146</f>
        <v>0</v>
      </c>
      <c r="AO146" s="82">
        <f>'Rock Climbing Log'!AO146</f>
        <v>0</v>
      </c>
      <c r="AP146" s="83">
        <f>'Rock Climbing Log'!AP146</f>
        <v>0</v>
      </c>
      <c r="AQ146" s="81">
        <f>'Rock Climbing Log'!AQ146</f>
        <v>0</v>
      </c>
      <c r="AR146" s="82">
        <f>'Rock Climbing Log'!AR146</f>
        <v>0</v>
      </c>
      <c r="AS146" s="83">
        <f>'Rock Climbing Log'!AS146</f>
        <v>0</v>
      </c>
      <c r="AT146" s="81">
        <f>'Rock Climbing Log'!AT146</f>
        <v>0</v>
      </c>
      <c r="AU146" s="82">
        <f>'Rock Climbing Log'!AU146</f>
        <v>0</v>
      </c>
      <c r="AV146" s="83">
        <f>'Rock Climbing Log'!AV146</f>
        <v>0</v>
      </c>
      <c r="AW146" s="66">
        <f ca="1">'RC Template'!AW146</f>
        <v>0</v>
      </c>
      <c r="AX146" s="66">
        <f ca="1">'RC Template'!BC146</f>
        <v>0</v>
      </c>
      <c r="AY146" s="75">
        <f>'Rock Climbing Log'!AY146</f>
        <v>0</v>
      </c>
    </row>
    <row r="147" spans="1:51" x14ac:dyDescent="0.3">
      <c r="A147" s="28">
        <f t="shared" si="14"/>
        <v>140</v>
      </c>
      <c r="B147" s="19">
        <f>'Rock Climbing Log'!B147</f>
        <v>0</v>
      </c>
      <c r="C147" s="24">
        <f>'Rock Climbing Log'!C147</f>
        <v>0</v>
      </c>
      <c r="D147" s="81">
        <f>'Rock Climbing Log'!D147</f>
        <v>0</v>
      </c>
      <c r="E147" s="82">
        <f>'Rock Climbing Log'!E147</f>
        <v>0</v>
      </c>
      <c r="F147" s="83">
        <f>'Rock Climbing Log'!F147</f>
        <v>0</v>
      </c>
      <c r="G147" s="81">
        <f>'Rock Climbing Log'!G147</f>
        <v>0</v>
      </c>
      <c r="H147" s="82">
        <f>'Rock Climbing Log'!H147</f>
        <v>0</v>
      </c>
      <c r="I147" s="83">
        <f>'Rock Climbing Log'!I147</f>
        <v>0</v>
      </c>
      <c r="J147" s="81">
        <f>'Rock Climbing Log'!J147</f>
        <v>0</v>
      </c>
      <c r="K147" s="82">
        <f>'Rock Climbing Log'!K147</f>
        <v>0</v>
      </c>
      <c r="L147" s="83">
        <f>'Rock Climbing Log'!L147</f>
        <v>0</v>
      </c>
      <c r="M147" s="81">
        <f>'Rock Climbing Log'!M147</f>
        <v>0</v>
      </c>
      <c r="N147" s="82">
        <f>'Rock Climbing Log'!N147</f>
        <v>0</v>
      </c>
      <c r="O147" s="83">
        <f>'Rock Climbing Log'!O147</f>
        <v>0</v>
      </c>
      <c r="P147" s="81">
        <f>'Rock Climbing Log'!P147</f>
        <v>0</v>
      </c>
      <c r="Q147" s="82">
        <f>'Rock Climbing Log'!Q147</f>
        <v>0</v>
      </c>
      <c r="R147" s="83">
        <f>'Rock Climbing Log'!R147</f>
        <v>0</v>
      </c>
      <c r="S147" s="81">
        <f>'Rock Climbing Log'!S147</f>
        <v>0</v>
      </c>
      <c r="T147" s="82">
        <f>'Rock Climbing Log'!T147</f>
        <v>0</v>
      </c>
      <c r="U147" s="83">
        <f>'Rock Climbing Log'!U147</f>
        <v>0</v>
      </c>
      <c r="V147" s="81">
        <f>'Rock Climbing Log'!V147</f>
        <v>0</v>
      </c>
      <c r="W147" s="82">
        <f>'Rock Climbing Log'!W147</f>
        <v>0</v>
      </c>
      <c r="X147" s="83">
        <f>'Rock Climbing Log'!X147</f>
        <v>0</v>
      </c>
      <c r="Y147" s="81">
        <f>'Rock Climbing Log'!Y147</f>
        <v>0</v>
      </c>
      <c r="Z147" s="82">
        <f>'Rock Climbing Log'!Z147</f>
        <v>0</v>
      </c>
      <c r="AA147" s="83">
        <f>'Rock Climbing Log'!AA147</f>
        <v>0</v>
      </c>
      <c r="AB147" s="81">
        <f>'Rock Climbing Log'!AB147</f>
        <v>0</v>
      </c>
      <c r="AC147" s="82">
        <f>'Rock Climbing Log'!AC147</f>
        <v>0</v>
      </c>
      <c r="AD147" s="83">
        <f>'Rock Climbing Log'!AD147</f>
        <v>0</v>
      </c>
      <c r="AE147" s="81">
        <f>'Rock Climbing Log'!AE147</f>
        <v>0</v>
      </c>
      <c r="AF147" s="82">
        <f>'Rock Climbing Log'!AF147</f>
        <v>0</v>
      </c>
      <c r="AG147" s="83">
        <f>'Rock Climbing Log'!AG147</f>
        <v>0</v>
      </c>
      <c r="AH147" s="81">
        <f>'Rock Climbing Log'!AH147</f>
        <v>0</v>
      </c>
      <c r="AI147" s="82">
        <f>'Rock Climbing Log'!AI147</f>
        <v>0</v>
      </c>
      <c r="AJ147" s="83">
        <f>'Rock Climbing Log'!AJ147</f>
        <v>0</v>
      </c>
      <c r="AK147" s="81">
        <f>'Rock Climbing Log'!AK147</f>
        <v>0</v>
      </c>
      <c r="AL147" s="82">
        <f>'Rock Climbing Log'!AL147</f>
        <v>0</v>
      </c>
      <c r="AM147" s="83">
        <f>'Rock Climbing Log'!AM147</f>
        <v>0</v>
      </c>
      <c r="AN147" s="81">
        <f>'Rock Climbing Log'!AN147</f>
        <v>0</v>
      </c>
      <c r="AO147" s="82">
        <f>'Rock Climbing Log'!AO147</f>
        <v>0</v>
      </c>
      <c r="AP147" s="83">
        <f>'Rock Climbing Log'!AP147</f>
        <v>0</v>
      </c>
      <c r="AQ147" s="81">
        <f>'Rock Climbing Log'!AQ147</f>
        <v>0</v>
      </c>
      <c r="AR147" s="82">
        <f>'Rock Climbing Log'!AR147</f>
        <v>0</v>
      </c>
      <c r="AS147" s="83">
        <f>'Rock Climbing Log'!AS147</f>
        <v>0</v>
      </c>
      <c r="AT147" s="81">
        <f>'Rock Climbing Log'!AT147</f>
        <v>0</v>
      </c>
      <c r="AU147" s="82">
        <f>'Rock Climbing Log'!AU147</f>
        <v>0</v>
      </c>
      <c r="AV147" s="83">
        <f>'Rock Climbing Log'!AV147</f>
        <v>0</v>
      </c>
      <c r="AW147" s="66">
        <f ca="1">'RC Template'!AW147</f>
        <v>0</v>
      </c>
      <c r="AX147" s="66">
        <f ca="1">'RC Template'!BC147</f>
        <v>0</v>
      </c>
      <c r="AY147" s="75">
        <f>'Rock Climbing Log'!AY147</f>
        <v>0</v>
      </c>
    </row>
    <row r="148" spans="1:51" x14ac:dyDescent="0.3">
      <c r="A148" s="28">
        <f t="shared" si="14"/>
        <v>141</v>
      </c>
      <c r="B148" s="19">
        <f>'Rock Climbing Log'!B148</f>
        <v>0</v>
      </c>
      <c r="C148" s="24">
        <f>'Rock Climbing Log'!C148</f>
        <v>0</v>
      </c>
      <c r="D148" s="81">
        <f>'Rock Climbing Log'!D148</f>
        <v>0</v>
      </c>
      <c r="E148" s="82">
        <f>'Rock Climbing Log'!E148</f>
        <v>0</v>
      </c>
      <c r="F148" s="83">
        <f>'Rock Climbing Log'!F148</f>
        <v>0</v>
      </c>
      <c r="G148" s="81">
        <f>'Rock Climbing Log'!G148</f>
        <v>0</v>
      </c>
      <c r="H148" s="82">
        <f>'Rock Climbing Log'!H148</f>
        <v>0</v>
      </c>
      <c r="I148" s="83">
        <f>'Rock Climbing Log'!I148</f>
        <v>0</v>
      </c>
      <c r="J148" s="81">
        <f>'Rock Climbing Log'!J148</f>
        <v>0</v>
      </c>
      <c r="K148" s="82">
        <f>'Rock Climbing Log'!K148</f>
        <v>0</v>
      </c>
      <c r="L148" s="83">
        <f>'Rock Climbing Log'!L148</f>
        <v>0</v>
      </c>
      <c r="M148" s="81">
        <f>'Rock Climbing Log'!M148</f>
        <v>0</v>
      </c>
      <c r="N148" s="82">
        <f>'Rock Climbing Log'!N148</f>
        <v>0</v>
      </c>
      <c r="O148" s="83">
        <f>'Rock Climbing Log'!O148</f>
        <v>0</v>
      </c>
      <c r="P148" s="81">
        <f>'Rock Climbing Log'!P148</f>
        <v>0</v>
      </c>
      <c r="Q148" s="82">
        <f>'Rock Climbing Log'!Q148</f>
        <v>0</v>
      </c>
      <c r="R148" s="83">
        <f>'Rock Climbing Log'!R148</f>
        <v>0</v>
      </c>
      <c r="S148" s="81">
        <f>'Rock Climbing Log'!S148</f>
        <v>0</v>
      </c>
      <c r="T148" s="82">
        <f>'Rock Climbing Log'!T148</f>
        <v>0</v>
      </c>
      <c r="U148" s="83">
        <f>'Rock Climbing Log'!U148</f>
        <v>0</v>
      </c>
      <c r="V148" s="81">
        <f>'Rock Climbing Log'!V148</f>
        <v>0</v>
      </c>
      <c r="W148" s="82">
        <f>'Rock Climbing Log'!W148</f>
        <v>0</v>
      </c>
      <c r="X148" s="83">
        <f>'Rock Climbing Log'!X148</f>
        <v>0</v>
      </c>
      <c r="Y148" s="81">
        <f>'Rock Climbing Log'!Y148</f>
        <v>0</v>
      </c>
      <c r="Z148" s="82">
        <f>'Rock Climbing Log'!Z148</f>
        <v>0</v>
      </c>
      <c r="AA148" s="83">
        <f>'Rock Climbing Log'!AA148</f>
        <v>0</v>
      </c>
      <c r="AB148" s="81">
        <f>'Rock Climbing Log'!AB148</f>
        <v>0</v>
      </c>
      <c r="AC148" s="82">
        <f>'Rock Climbing Log'!AC148</f>
        <v>0</v>
      </c>
      <c r="AD148" s="83">
        <f>'Rock Climbing Log'!AD148</f>
        <v>0</v>
      </c>
      <c r="AE148" s="81">
        <f>'Rock Climbing Log'!AE148</f>
        <v>0</v>
      </c>
      <c r="AF148" s="82">
        <f>'Rock Climbing Log'!AF148</f>
        <v>0</v>
      </c>
      <c r="AG148" s="83">
        <f>'Rock Climbing Log'!AG148</f>
        <v>0</v>
      </c>
      <c r="AH148" s="81">
        <f>'Rock Climbing Log'!AH148</f>
        <v>0</v>
      </c>
      <c r="AI148" s="82">
        <f>'Rock Climbing Log'!AI148</f>
        <v>0</v>
      </c>
      <c r="AJ148" s="83">
        <f>'Rock Climbing Log'!AJ148</f>
        <v>0</v>
      </c>
      <c r="AK148" s="81">
        <f>'Rock Climbing Log'!AK148</f>
        <v>0</v>
      </c>
      <c r="AL148" s="82">
        <f>'Rock Climbing Log'!AL148</f>
        <v>0</v>
      </c>
      <c r="AM148" s="83">
        <f>'Rock Climbing Log'!AM148</f>
        <v>0</v>
      </c>
      <c r="AN148" s="81">
        <f>'Rock Climbing Log'!AN148</f>
        <v>0</v>
      </c>
      <c r="AO148" s="82">
        <f>'Rock Climbing Log'!AO148</f>
        <v>0</v>
      </c>
      <c r="AP148" s="83">
        <f>'Rock Climbing Log'!AP148</f>
        <v>0</v>
      </c>
      <c r="AQ148" s="81">
        <f>'Rock Climbing Log'!AQ148</f>
        <v>0</v>
      </c>
      <c r="AR148" s="82">
        <f>'Rock Climbing Log'!AR148</f>
        <v>0</v>
      </c>
      <c r="AS148" s="83">
        <f>'Rock Climbing Log'!AS148</f>
        <v>0</v>
      </c>
      <c r="AT148" s="81">
        <f>'Rock Climbing Log'!AT148</f>
        <v>0</v>
      </c>
      <c r="AU148" s="82">
        <f>'Rock Climbing Log'!AU148</f>
        <v>0</v>
      </c>
      <c r="AV148" s="83">
        <f>'Rock Climbing Log'!AV148</f>
        <v>0</v>
      </c>
      <c r="AW148" s="66">
        <f ca="1">'RC Template'!AW148</f>
        <v>0</v>
      </c>
      <c r="AX148" s="66">
        <f ca="1">'RC Template'!BC148</f>
        <v>0</v>
      </c>
      <c r="AY148" s="75">
        <f>'Rock Climbing Log'!AY148</f>
        <v>0</v>
      </c>
    </row>
    <row r="149" spans="1:51" x14ac:dyDescent="0.3">
      <c r="A149" s="28">
        <f t="shared" si="14"/>
        <v>142</v>
      </c>
      <c r="B149" s="19">
        <f>'Rock Climbing Log'!B149</f>
        <v>0</v>
      </c>
      <c r="C149" s="24">
        <f>'Rock Climbing Log'!C149</f>
        <v>0</v>
      </c>
      <c r="D149" s="81">
        <f>'Rock Climbing Log'!D149</f>
        <v>0</v>
      </c>
      <c r="E149" s="82">
        <f>'Rock Climbing Log'!E149</f>
        <v>0</v>
      </c>
      <c r="F149" s="83">
        <f>'Rock Climbing Log'!F149</f>
        <v>0</v>
      </c>
      <c r="G149" s="81">
        <f>'Rock Climbing Log'!G149</f>
        <v>0</v>
      </c>
      <c r="H149" s="82">
        <f>'Rock Climbing Log'!H149</f>
        <v>0</v>
      </c>
      <c r="I149" s="83">
        <f>'Rock Climbing Log'!I149</f>
        <v>0</v>
      </c>
      <c r="J149" s="81">
        <f>'Rock Climbing Log'!J149</f>
        <v>0</v>
      </c>
      <c r="K149" s="82">
        <f>'Rock Climbing Log'!K149</f>
        <v>0</v>
      </c>
      <c r="L149" s="83">
        <f>'Rock Climbing Log'!L149</f>
        <v>0</v>
      </c>
      <c r="M149" s="81">
        <f>'Rock Climbing Log'!M149</f>
        <v>0</v>
      </c>
      <c r="N149" s="82">
        <f>'Rock Climbing Log'!N149</f>
        <v>0</v>
      </c>
      <c r="O149" s="83">
        <f>'Rock Climbing Log'!O149</f>
        <v>0</v>
      </c>
      <c r="P149" s="81">
        <f>'Rock Climbing Log'!P149</f>
        <v>0</v>
      </c>
      <c r="Q149" s="82">
        <f>'Rock Climbing Log'!Q149</f>
        <v>0</v>
      </c>
      <c r="R149" s="83">
        <f>'Rock Climbing Log'!R149</f>
        <v>0</v>
      </c>
      <c r="S149" s="81">
        <f>'Rock Climbing Log'!S149</f>
        <v>0</v>
      </c>
      <c r="T149" s="82">
        <f>'Rock Climbing Log'!T149</f>
        <v>0</v>
      </c>
      <c r="U149" s="83">
        <f>'Rock Climbing Log'!U149</f>
        <v>0</v>
      </c>
      <c r="V149" s="81">
        <f>'Rock Climbing Log'!V149</f>
        <v>0</v>
      </c>
      <c r="W149" s="82">
        <f>'Rock Climbing Log'!W149</f>
        <v>0</v>
      </c>
      <c r="X149" s="83">
        <f>'Rock Climbing Log'!X149</f>
        <v>0</v>
      </c>
      <c r="Y149" s="81">
        <f>'Rock Climbing Log'!Y149</f>
        <v>0</v>
      </c>
      <c r="Z149" s="82">
        <f>'Rock Climbing Log'!Z149</f>
        <v>0</v>
      </c>
      <c r="AA149" s="83">
        <f>'Rock Climbing Log'!AA149</f>
        <v>0</v>
      </c>
      <c r="AB149" s="81">
        <f>'Rock Climbing Log'!AB149</f>
        <v>0</v>
      </c>
      <c r="AC149" s="82">
        <f>'Rock Climbing Log'!AC149</f>
        <v>0</v>
      </c>
      <c r="AD149" s="83">
        <f>'Rock Climbing Log'!AD149</f>
        <v>0</v>
      </c>
      <c r="AE149" s="81">
        <f>'Rock Climbing Log'!AE149</f>
        <v>0</v>
      </c>
      <c r="AF149" s="82">
        <f>'Rock Climbing Log'!AF149</f>
        <v>0</v>
      </c>
      <c r="AG149" s="83">
        <f>'Rock Climbing Log'!AG149</f>
        <v>0</v>
      </c>
      <c r="AH149" s="81">
        <f>'Rock Climbing Log'!AH149</f>
        <v>0</v>
      </c>
      <c r="AI149" s="82">
        <f>'Rock Climbing Log'!AI149</f>
        <v>0</v>
      </c>
      <c r="AJ149" s="83">
        <f>'Rock Climbing Log'!AJ149</f>
        <v>0</v>
      </c>
      <c r="AK149" s="81">
        <f>'Rock Climbing Log'!AK149</f>
        <v>0</v>
      </c>
      <c r="AL149" s="82">
        <f>'Rock Climbing Log'!AL149</f>
        <v>0</v>
      </c>
      <c r="AM149" s="83">
        <f>'Rock Climbing Log'!AM149</f>
        <v>0</v>
      </c>
      <c r="AN149" s="81">
        <f>'Rock Climbing Log'!AN149</f>
        <v>0</v>
      </c>
      <c r="AO149" s="82">
        <f>'Rock Climbing Log'!AO149</f>
        <v>0</v>
      </c>
      <c r="AP149" s="83">
        <f>'Rock Climbing Log'!AP149</f>
        <v>0</v>
      </c>
      <c r="AQ149" s="81">
        <f>'Rock Climbing Log'!AQ149</f>
        <v>0</v>
      </c>
      <c r="AR149" s="82">
        <f>'Rock Climbing Log'!AR149</f>
        <v>0</v>
      </c>
      <c r="AS149" s="83">
        <f>'Rock Climbing Log'!AS149</f>
        <v>0</v>
      </c>
      <c r="AT149" s="81">
        <f>'Rock Climbing Log'!AT149</f>
        <v>0</v>
      </c>
      <c r="AU149" s="82">
        <f>'Rock Climbing Log'!AU149</f>
        <v>0</v>
      </c>
      <c r="AV149" s="83">
        <f>'Rock Climbing Log'!AV149</f>
        <v>0</v>
      </c>
      <c r="AW149" s="66">
        <f ca="1">'RC Template'!AW149</f>
        <v>0</v>
      </c>
      <c r="AX149" s="66">
        <f ca="1">'RC Template'!BC149</f>
        <v>0</v>
      </c>
      <c r="AY149" s="75">
        <f>'Rock Climbing Log'!AY149</f>
        <v>0</v>
      </c>
    </row>
    <row r="150" spans="1:51" x14ac:dyDescent="0.3">
      <c r="A150" s="28">
        <f t="shared" si="14"/>
        <v>143</v>
      </c>
      <c r="B150" s="19">
        <f>'Rock Climbing Log'!B150</f>
        <v>0</v>
      </c>
      <c r="C150" s="24">
        <f>'Rock Climbing Log'!C150</f>
        <v>0</v>
      </c>
      <c r="D150" s="81">
        <f>'Rock Climbing Log'!D150</f>
        <v>0</v>
      </c>
      <c r="E150" s="82">
        <f>'Rock Climbing Log'!E150</f>
        <v>0</v>
      </c>
      <c r="F150" s="83">
        <f>'Rock Climbing Log'!F150</f>
        <v>0</v>
      </c>
      <c r="G150" s="81">
        <f>'Rock Climbing Log'!G150</f>
        <v>0</v>
      </c>
      <c r="H150" s="82">
        <f>'Rock Climbing Log'!H150</f>
        <v>0</v>
      </c>
      <c r="I150" s="83">
        <f>'Rock Climbing Log'!I150</f>
        <v>0</v>
      </c>
      <c r="J150" s="81">
        <f>'Rock Climbing Log'!J150</f>
        <v>0</v>
      </c>
      <c r="K150" s="82">
        <f>'Rock Climbing Log'!K150</f>
        <v>0</v>
      </c>
      <c r="L150" s="83">
        <f>'Rock Climbing Log'!L150</f>
        <v>0</v>
      </c>
      <c r="M150" s="81">
        <f>'Rock Climbing Log'!M150</f>
        <v>0</v>
      </c>
      <c r="N150" s="82">
        <f>'Rock Climbing Log'!N150</f>
        <v>0</v>
      </c>
      <c r="O150" s="83">
        <f>'Rock Climbing Log'!O150</f>
        <v>0</v>
      </c>
      <c r="P150" s="81">
        <f>'Rock Climbing Log'!P150</f>
        <v>0</v>
      </c>
      <c r="Q150" s="82">
        <f>'Rock Climbing Log'!Q150</f>
        <v>0</v>
      </c>
      <c r="R150" s="83">
        <f>'Rock Climbing Log'!R150</f>
        <v>0</v>
      </c>
      <c r="S150" s="81">
        <f>'Rock Climbing Log'!S150</f>
        <v>0</v>
      </c>
      <c r="T150" s="82">
        <f>'Rock Climbing Log'!T150</f>
        <v>0</v>
      </c>
      <c r="U150" s="83">
        <f>'Rock Climbing Log'!U150</f>
        <v>0</v>
      </c>
      <c r="V150" s="81">
        <f>'Rock Climbing Log'!V150</f>
        <v>0</v>
      </c>
      <c r="W150" s="82">
        <f>'Rock Climbing Log'!W150</f>
        <v>0</v>
      </c>
      <c r="X150" s="83">
        <f>'Rock Climbing Log'!X150</f>
        <v>0</v>
      </c>
      <c r="Y150" s="81">
        <f>'Rock Climbing Log'!Y150</f>
        <v>0</v>
      </c>
      <c r="Z150" s="82">
        <f>'Rock Climbing Log'!Z150</f>
        <v>0</v>
      </c>
      <c r="AA150" s="83">
        <f>'Rock Climbing Log'!AA150</f>
        <v>0</v>
      </c>
      <c r="AB150" s="81">
        <f>'Rock Climbing Log'!AB150</f>
        <v>0</v>
      </c>
      <c r="AC150" s="82">
        <f>'Rock Climbing Log'!AC150</f>
        <v>0</v>
      </c>
      <c r="AD150" s="83">
        <f>'Rock Climbing Log'!AD150</f>
        <v>0</v>
      </c>
      <c r="AE150" s="81">
        <f>'Rock Climbing Log'!AE150</f>
        <v>0</v>
      </c>
      <c r="AF150" s="82">
        <f>'Rock Climbing Log'!AF150</f>
        <v>0</v>
      </c>
      <c r="AG150" s="83">
        <f>'Rock Climbing Log'!AG150</f>
        <v>0</v>
      </c>
      <c r="AH150" s="81">
        <f>'Rock Climbing Log'!AH150</f>
        <v>0</v>
      </c>
      <c r="AI150" s="82">
        <f>'Rock Climbing Log'!AI150</f>
        <v>0</v>
      </c>
      <c r="AJ150" s="83">
        <f>'Rock Climbing Log'!AJ150</f>
        <v>0</v>
      </c>
      <c r="AK150" s="81">
        <f>'Rock Climbing Log'!AK150</f>
        <v>0</v>
      </c>
      <c r="AL150" s="82">
        <f>'Rock Climbing Log'!AL150</f>
        <v>0</v>
      </c>
      <c r="AM150" s="83">
        <f>'Rock Climbing Log'!AM150</f>
        <v>0</v>
      </c>
      <c r="AN150" s="81">
        <f>'Rock Climbing Log'!AN150</f>
        <v>0</v>
      </c>
      <c r="AO150" s="82">
        <f>'Rock Climbing Log'!AO150</f>
        <v>0</v>
      </c>
      <c r="AP150" s="83">
        <f>'Rock Climbing Log'!AP150</f>
        <v>0</v>
      </c>
      <c r="AQ150" s="81">
        <f>'Rock Climbing Log'!AQ150</f>
        <v>0</v>
      </c>
      <c r="AR150" s="82">
        <f>'Rock Climbing Log'!AR150</f>
        <v>0</v>
      </c>
      <c r="AS150" s="83">
        <f>'Rock Climbing Log'!AS150</f>
        <v>0</v>
      </c>
      <c r="AT150" s="81">
        <f>'Rock Climbing Log'!AT150</f>
        <v>0</v>
      </c>
      <c r="AU150" s="82">
        <f>'Rock Climbing Log'!AU150</f>
        <v>0</v>
      </c>
      <c r="AV150" s="83">
        <f>'Rock Climbing Log'!AV150</f>
        <v>0</v>
      </c>
      <c r="AW150" s="66">
        <f ca="1">'RC Template'!AW150</f>
        <v>0</v>
      </c>
      <c r="AX150" s="66">
        <f ca="1">'RC Template'!BC150</f>
        <v>0</v>
      </c>
      <c r="AY150" s="75">
        <f>'Rock Climbing Log'!AY150</f>
        <v>0</v>
      </c>
    </row>
    <row r="151" spans="1:51" x14ac:dyDescent="0.3">
      <c r="A151" s="28">
        <f t="shared" si="14"/>
        <v>144</v>
      </c>
      <c r="B151" s="19">
        <f>'Rock Climbing Log'!B151</f>
        <v>0</v>
      </c>
      <c r="C151" s="24">
        <f>'Rock Climbing Log'!C151</f>
        <v>0</v>
      </c>
      <c r="D151" s="81">
        <f>'Rock Climbing Log'!D151</f>
        <v>0</v>
      </c>
      <c r="E151" s="82">
        <f>'Rock Climbing Log'!E151</f>
        <v>0</v>
      </c>
      <c r="F151" s="83">
        <f>'Rock Climbing Log'!F151</f>
        <v>0</v>
      </c>
      <c r="G151" s="81">
        <f>'Rock Climbing Log'!G151</f>
        <v>0</v>
      </c>
      <c r="H151" s="82">
        <f>'Rock Climbing Log'!H151</f>
        <v>0</v>
      </c>
      <c r="I151" s="83">
        <f>'Rock Climbing Log'!I151</f>
        <v>0</v>
      </c>
      <c r="J151" s="81">
        <f>'Rock Climbing Log'!J151</f>
        <v>0</v>
      </c>
      <c r="K151" s="82">
        <f>'Rock Climbing Log'!K151</f>
        <v>0</v>
      </c>
      <c r="L151" s="83">
        <f>'Rock Climbing Log'!L151</f>
        <v>0</v>
      </c>
      <c r="M151" s="81">
        <f>'Rock Climbing Log'!M151</f>
        <v>0</v>
      </c>
      <c r="N151" s="82">
        <f>'Rock Climbing Log'!N151</f>
        <v>0</v>
      </c>
      <c r="O151" s="83">
        <f>'Rock Climbing Log'!O151</f>
        <v>0</v>
      </c>
      <c r="P151" s="81">
        <f>'Rock Climbing Log'!P151</f>
        <v>0</v>
      </c>
      <c r="Q151" s="82">
        <f>'Rock Climbing Log'!Q151</f>
        <v>0</v>
      </c>
      <c r="R151" s="83">
        <f>'Rock Climbing Log'!R151</f>
        <v>0</v>
      </c>
      <c r="S151" s="81">
        <f>'Rock Climbing Log'!S151</f>
        <v>0</v>
      </c>
      <c r="T151" s="82">
        <f>'Rock Climbing Log'!T151</f>
        <v>0</v>
      </c>
      <c r="U151" s="83">
        <f>'Rock Climbing Log'!U151</f>
        <v>0</v>
      </c>
      <c r="V151" s="81">
        <f>'Rock Climbing Log'!V151</f>
        <v>0</v>
      </c>
      <c r="W151" s="82">
        <f>'Rock Climbing Log'!W151</f>
        <v>0</v>
      </c>
      <c r="X151" s="83">
        <f>'Rock Climbing Log'!X151</f>
        <v>0</v>
      </c>
      <c r="Y151" s="81">
        <f>'Rock Climbing Log'!Y151</f>
        <v>0</v>
      </c>
      <c r="Z151" s="82">
        <f>'Rock Climbing Log'!Z151</f>
        <v>0</v>
      </c>
      <c r="AA151" s="83">
        <f>'Rock Climbing Log'!AA151</f>
        <v>0</v>
      </c>
      <c r="AB151" s="81">
        <f>'Rock Climbing Log'!AB151</f>
        <v>0</v>
      </c>
      <c r="AC151" s="82">
        <f>'Rock Climbing Log'!AC151</f>
        <v>0</v>
      </c>
      <c r="AD151" s="83">
        <f>'Rock Climbing Log'!AD151</f>
        <v>0</v>
      </c>
      <c r="AE151" s="81">
        <f>'Rock Climbing Log'!AE151</f>
        <v>0</v>
      </c>
      <c r="AF151" s="82">
        <f>'Rock Climbing Log'!AF151</f>
        <v>0</v>
      </c>
      <c r="AG151" s="83">
        <f>'Rock Climbing Log'!AG151</f>
        <v>0</v>
      </c>
      <c r="AH151" s="81">
        <f>'Rock Climbing Log'!AH151</f>
        <v>0</v>
      </c>
      <c r="AI151" s="82">
        <f>'Rock Climbing Log'!AI151</f>
        <v>0</v>
      </c>
      <c r="AJ151" s="83">
        <f>'Rock Climbing Log'!AJ151</f>
        <v>0</v>
      </c>
      <c r="AK151" s="81">
        <f>'Rock Climbing Log'!AK151</f>
        <v>0</v>
      </c>
      <c r="AL151" s="82">
        <f>'Rock Climbing Log'!AL151</f>
        <v>0</v>
      </c>
      <c r="AM151" s="83">
        <f>'Rock Climbing Log'!AM151</f>
        <v>0</v>
      </c>
      <c r="AN151" s="81">
        <f>'Rock Climbing Log'!AN151</f>
        <v>0</v>
      </c>
      <c r="AO151" s="82">
        <f>'Rock Climbing Log'!AO151</f>
        <v>0</v>
      </c>
      <c r="AP151" s="83">
        <f>'Rock Climbing Log'!AP151</f>
        <v>0</v>
      </c>
      <c r="AQ151" s="81">
        <f>'Rock Climbing Log'!AQ151</f>
        <v>0</v>
      </c>
      <c r="AR151" s="82">
        <f>'Rock Climbing Log'!AR151</f>
        <v>0</v>
      </c>
      <c r="AS151" s="83">
        <f>'Rock Climbing Log'!AS151</f>
        <v>0</v>
      </c>
      <c r="AT151" s="81">
        <f>'Rock Climbing Log'!AT151</f>
        <v>0</v>
      </c>
      <c r="AU151" s="82">
        <f>'Rock Climbing Log'!AU151</f>
        <v>0</v>
      </c>
      <c r="AV151" s="83">
        <f>'Rock Climbing Log'!AV151</f>
        <v>0</v>
      </c>
      <c r="AW151" s="66">
        <f ca="1">'RC Template'!AW151</f>
        <v>0</v>
      </c>
      <c r="AX151" s="66">
        <f ca="1">'RC Template'!BC151</f>
        <v>0</v>
      </c>
      <c r="AY151" s="75">
        <f>'Rock Climbing Log'!AY151</f>
        <v>0</v>
      </c>
    </row>
    <row r="152" spans="1:51" x14ac:dyDescent="0.3">
      <c r="A152" s="28">
        <f t="shared" si="14"/>
        <v>145</v>
      </c>
      <c r="B152" s="19">
        <f>'Rock Climbing Log'!B152</f>
        <v>0</v>
      </c>
      <c r="C152" s="24">
        <f>'Rock Climbing Log'!C152</f>
        <v>0</v>
      </c>
      <c r="D152" s="81">
        <f>'Rock Climbing Log'!D152</f>
        <v>0</v>
      </c>
      <c r="E152" s="82">
        <f>'Rock Climbing Log'!E152</f>
        <v>0</v>
      </c>
      <c r="F152" s="83">
        <f>'Rock Climbing Log'!F152</f>
        <v>0</v>
      </c>
      <c r="G152" s="81">
        <f>'Rock Climbing Log'!G152</f>
        <v>0</v>
      </c>
      <c r="H152" s="82">
        <f>'Rock Climbing Log'!H152</f>
        <v>0</v>
      </c>
      <c r="I152" s="83">
        <f>'Rock Climbing Log'!I152</f>
        <v>0</v>
      </c>
      <c r="J152" s="81">
        <f>'Rock Climbing Log'!J152</f>
        <v>0</v>
      </c>
      <c r="K152" s="82">
        <f>'Rock Climbing Log'!K152</f>
        <v>0</v>
      </c>
      <c r="L152" s="83">
        <f>'Rock Climbing Log'!L152</f>
        <v>0</v>
      </c>
      <c r="M152" s="81">
        <f>'Rock Climbing Log'!M152</f>
        <v>0</v>
      </c>
      <c r="N152" s="82">
        <f>'Rock Climbing Log'!N152</f>
        <v>0</v>
      </c>
      <c r="O152" s="83">
        <f>'Rock Climbing Log'!O152</f>
        <v>0</v>
      </c>
      <c r="P152" s="81">
        <f>'Rock Climbing Log'!P152</f>
        <v>0</v>
      </c>
      <c r="Q152" s="82">
        <f>'Rock Climbing Log'!Q152</f>
        <v>0</v>
      </c>
      <c r="R152" s="83">
        <f>'Rock Climbing Log'!R152</f>
        <v>0</v>
      </c>
      <c r="S152" s="81">
        <f>'Rock Climbing Log'!S152</f>
        <v>0</v>
      </c>
      <c r="T152" s="82">
        <f>'Rock Climbing Log'!T152</f>
        <v>0</v>
      </c>
      <c r="U152" s="83">
        <f>'Rock Climbing Log'!U152</f>
        <v>0</v>
      </c>
      <c r="V152" s="81">
        <f>'Rock Climbing Log'!V152</f>
        <v>0</v>
      </c>
      <c r="W152" s="82">
        <f>'Rock Climbing Log'!W152</f>
        <v>0</v>
      </c>
      <c r="X152" s="83">
        <f>'Rock Climbing Log'!X152</f>
        <v>0</v>
      </c>
      <c r="Y152" s="81">
        <f>'Rock Climbing Log'!Y152</f>
        <v>0</v>
      </c>
      <c r="Z152" s="82">
        <f>'Rock Climbing Log'!Z152</f>
        <v>0</v>
      </c>
      <c r="AA152" s="83">
        <f>'Rock Climbing Log'!AA152</f>
        <v>0</v>
      </c>
      <c r="AB152" s="81">
        <f>'Rock Climbing Log'!AB152</f>
        <v>0</v>
      </c>
      <c r="AC152" s="82">
        <f>'Rock Climbing Log'!AC152</f>
        <v>0</v>
      </c>
      <c r="AD152" s="83">
        <f>'Rock Climbing Log'!AD152</f>
        <v>0</v>
      </c>
      <c r="AE152" s="81">
        <f>'Rock Climbing Log'!AE152</f>
        <v>0</v>
      </c>
      <c r="AF152" s="82">
        <f>'Rock Climbing Log'!AF152</f>
        <v>0</v>
      </c>
      <c r="AG152" s="83">
        <f>'Rock Climbing Log'!AG152</f>
        <v>0</v>
      </c>
      <c r="AH152" s="81">
        <f>'Rock Climbing Log'!AH152</f>
        <v>0</v>
      </c>
      <c r="AI152" s="82">
        <f>'Rock Climbing Log'!AI152</f>
        <v>0</v>
      </c>
      <c r="AJ152" s="83">
        <f>'Rock Climbing Log'!AJ152</f>
        <v>0</v>
      </c>
      <c r="AK152" s="81">
        <f>'Rock Climbing Log'!AK152</f>
        <v>0</v>
      </c>
      <c r="AL152" s="82">
        <f>'Rock Climbing Log'!AL152</f>
        <v>0</v>
      </c>
      <c r="AM152" s="83">
        <f>'Rock Climbing Log'!AM152</f>
        <v>0</v>
      </c>
      <c r="AN152" s="81">
        <f>'Rock Climbing Log'!AN152</f>
        <v>0</v>
      </c>
      <c r="AO152" s="82">
        <f>'Rock Climbing Log'!AO152</f>
        <v>0</v>
      </c>
      <c r="AP152" s="83">
        <f>'Rock Climbing Log'!AP152</f>
        <v>0</v>
      </c>
      <c r="AQ152" s="81">
        <f>'Rock Climbing Log'!AQ152</f>
        <v>0</v>
      </c>
      <c r="AR152" s="82">
        <f>'Rock Climbing Log'!AR152</f>
        <v>0</v>
      </c>
      <c r="AS152" s="83">
        <f>'Rock Climbing Log'!AS152</f>
        <v>0</v>
      </c>
      <c r="AT152" s="81">
        <f>'Rock Climbing Log'!AT152</f>
        <v>0</v>
      </c>
      <c r="AU152" s="82">
        <f>'Rock Climbing Log'!AU152</f>
        <v>0</v>
      </c>
      <c r="AV152" s="83">
        <f>'Rock Climbing Log'!AV152</f>
        <v>0</v>
      </c>
      <c r="AW152" s="66">
        <f ca="1">'RC Template'!AW152</f>
        <v>0</v>
      </c>
      <c r="AX152" s="66">
        <f ca="1">'RC Template'!BC152</f>
        <v>0</v>
      </c>
      <c r="AY152" s="75">
        <f>'Rock Climbing Log'!AY152</f>
        <v>0</v>
      </c>
    </row>
    <row r="153" spans="1:51" x14ac:dyDescent="0.3">
      <c r="A153" s="28">
        <f t="shared" si="14"/>
        <v>146</v>
      </c>
      <c r="B153" s="19">
        <f>'Rock Climbing Log'!B153</f>
        <v>0</v>
      </c>
      <c r="C153" s="24">
        <f>'Rock Climbing Log'!C153</f>
        <v>0</v>
      </c>
      <c r="D153" s="81">
        <f>'Rock Climbing Log'!D153</f>
        <v>0</v>
      </c>
      <c r="E153" s="82">
        <f>'Rock Climbing Log'!E153</f>
        <v>0</v>
      </c>
      <c r="F153" s="83">
        <f>'Rock Climbing Log'!F153</f>
        <v>0</v>
      </c>
      <c r="G153" s="81">
        <f>'Rock Climbing Log'!G153</f>
        <v>0</v>
      </c>
      <c r="H153" s="82">
        <f>'Rock Climbing Log'!H153</f>
        <v>0</v>
      </c>
      <c r="I153" s="83">
        <f>'Rock Climbing Log'!I153</f>
        <v>0</v>
      </c>
      <c r="J153" s="81">
        <f>'Rock Climbing Log'!J153</f>
        <v>0</v>
      </c>
      <c r="K153" s="82">
        <f>'Rock Climbing Log'!K153</f>
        <v>0</v>
      </c>
      <c r="L153" s="83">
        <f>'Rock Climbing Log'!L153</f>
        <v>0</v>
      </c>
      <c r="M153" s="81">
        <f>'Rock Climbing Log'!M153</f>
        <v>0</v>
      </c>
      <c r="N153" s="82">
        <f>'Rock Climbing Log'!N153</f>
        <v>0</v>
      </c>
      <c r="O153" s="83">
        <f>'Rock Climbing Log'!O153</f>
        <v>0</v>
      </c>
      <c r="P153" s="81">
        <f>'Rock Climbing Log'!P153</f>
        <v>0</v>
      </c>
      <c r="Q153" s="82">
        <f>'Rock Climbing Log'!Q153</f>
        <v>0</v>
      </c>
      <c r="R153" s="83">
        <f>'Rock Climbing Log'!R153</f>
        <v>0</v>
      </c>
      <c r="S153" s="81">
        <f>'Rock Climbing Log'!S153</f>
        <v>0</v>
      </c>
      <c r="T153" s="82">
        <f>'Rock Climbing Log'!T153</f>
        <v>0</v>
      </c>
      <c r="U153" s="83">
        <f>'Rock Climbing Log'!U153</f>
        <v>0</v>
      </c>
      <c r="V153" s="81">
        <f>'Rock Climbing Log'!V153</f>
        <v>0</v>
      </c>
      <c r="W153" s="82">
        <f>'Rock Climbing Log'!W153</f>
        <v>0</v>
      </c>
      <c r="X153" s="83">
        <f>'Rock Climbing Log'!X153</f>
        <v>0</v>
      </c>
      <c r="Y153" s="81">
        <f>'Rock Climbing Log'!Y153</f>
        <v>0</v>
      </c>
      <c r="Z153" s="82">
        <f>'Rock Climbing Log'!Z153</f>
        <v>0</v>
      </c>
      <c r="AA153" s="83">
        <f>'Rock Climbing Log'!AA153</f>
        <v>0</v>
      </c>
      <c r="AB153" s="81">
        <f>'Rock Climbing Log'!AB153</f>
        <v>0</v>
      </c>
      <c r="AC153" s="82">
        <f>'Rock Climbing Log'!AC153</f>
        <v>0</v>
      </c>
      <c r="AD153" s="83">
        <f>'Rock Climbing Log'!AD153</f>
        <v>0</v>
      </c>
      <c r="AE153" s="81">
        <f>'Rock Climbing Log'!AE153</f>
        <v>0</v>
      </c>
      <c r="AF153" s="82">
        <f>'Rock Climbing Log'!AF153</f>
        <v>0</v>
      </c>
      <c r="AG153" s="83">
        <f>'Rock Climbing Log'!AG153</f>
        <v>0</v>
      </c>
      <c r="AH153" s="81">
        <f>'Rock Climbing Log'!AH153</f>
        <v>0</v>
      </c>
      <c r="AI153" s="82">
        <f>'Rock Climbing Log'!AI153</f>
        <v>0</v>
      </c>
      <c r="AJ153" s="83">
        <f>'Rock Climbing Log'!AJ153</f>
        <v>0</v>
      </c>
      <c r="AK153" s="81">
        <f>'Rock Climbing Log'!AK153</f>
        <v>0</v>
      </c>
      <c r="AL153" s="82">
        <f>'Rock Climbing Log'!AL153</f>
        <v>0</v>
      </c>
      <c r="AM153" s="83">
        <f>'Rock Climbing Log'!AM153</f>
        <v>0</v>
      </c>
      <c r="AN153" s="81">
        <f>'Rock Climbing Log'!AN153</f>
        <v>0</v>
      </c>
      <c r="AO153" s="82">
        <f>'Rock Climbing Log'!AO153</f>
        <v>0</v>
      </c>
      <c r="AP153" s="83">
        <f>'Rock Climbing Log'!AP153</f>
        <v>0</v>
      </c>
      <c r="AQ153" s="81">
        <f>'Rock Climbing Log'!AQ153</f>
        <v>0</v>
      </c>
      <c r="AR153" s="82">
        <f>'Rock Climbing Log'!AR153</f>
        <v>0</v>
      </c>
      <c r="AS153" s="83">
        <f>'Rock Climbing Log'!AS153</f>
        <v>0</v>
      </c>
      <c r="AT153" s="81">
        <f>'Rock Climbing Log'!AT153</f>
        <v>0</v>
      </c>
      <c r="AU153" s="82">
        <f>'Rock Climbing Log'!AU153</f>
        <v>0</v>
      </c>
      <c r="AV153" s="83">
        <f>'Rock Climbing Log'!AV153</f>
        <v>0</v>
      </c>
      <c r="AW153" s="66">
        <f ca="1">'RC Template'!AW153</f>
        <v>0</v>
      </c>
      <c r="AX153" s="66">
        <f ca="1">'RC Template'!BC153</f>
        <v>0</v>
      </c>
      <c r="AY153" s="75">
        <f>'Rock Climbing Log'!AY153</f>
        <v>0</v>
      </c>
    </row>
    <row r="154" spans="1:51" x14ac:dyDescent="0.3">
      <c r="A154" s="28">
        <f t="shared" si="14"/>
        <v>147</v>
      </c>
      <c r="B154" s="19">
        <f>'Rock Climbing Log'!B154</f>
        <v>0</v>
      </c>
      <c r="C154" s="24">
        <f>'Rock Climbing Log'!C154</f>
        <v>0</v>
      </c>
      <c r="D154" s="81">
        <f>'Rock Climbing Log'!D154</f>
        <v>0</v>
      </c>
      <c r="E154" s="82">
        <f>'Rock Climbing Log'!E154</f>
        <v>0</v>
      </c>
      <c r="F154" s="83">
        <f>'Rock Climbing Log'!F154</f>
        <v>0</v>
      </c>
      <c r="G154" s="81">
        <f>'Rock Climbing Log'!G154</f>
        <v>0</v>
      </c>
      <c r="H154" s="82">
        <f>'Rock Climbing Log'!H154</f>
        <v>0</v>
      </c>
      <c r="I154" s="83">
        <f>'Rock Climbing Log'!I154</f>
        <v>0</v>
      </c>
      <c r="J154" s="81">
        <f>'Rock Climbing Log'!J154</f>
        <v>0</v>
      </c>
      <c r="K154" s="82">
        <f>'Rock Climbing Log'!K154</f>
        <v>0</v>
      </c>
      <c r="L154" s="83">
        <f>'Rock Climbing Log'!L154</f>
        <v>0</v>
      </c>
      <c r="M154" s="81">
        <f>'Rock Climbing Log'!M154</f>
        <v>0</v>
      </c>
      <c r="N154" s="82">
        <f>'Rock Climbing Log'!N154</f>
        <v>0</v>
      </c>
      <c r="O154" s="83">
        <f>'Rock Climbing Log'!O154</f>
        <v>0</v>
      </c>
      <c r="P154" s="81">
        <f>'Rock Climbing Log'!P154</f>
        <v>0</v>
      </c>
      <c r="Q154" s="82">
        <f>'Rock Climbing Log'!Q154</f>
        <v>0</v>
      </c>
      <c r="R154" s="83">
        <f>'Rock Climbing Log'!R154</f>
        <v>0</v>
      </c>
      <c r="S154" s="81">
        <f>'Rock Climbing Log'!S154</f>
        <v>0</v>
      </c>
      <c r="T154" s="82">
        <f>'Rock Climbing Log'!T154</f>
        <v>0</v>
      </c>
      <c r="U154" s="83">
        <f>'Rock Climbing Log'!U154</f>
        <v>0</v>
      </c>
      <c r="V154" s="81">
        <f>'Rock Climbing Log'!V154</f>
        <v>0</v>
      </c>
      <c r="W154" s="82">
        <f>'Rock Climbing Log'!W154</f>
        <v>0</v>
      </c>
      <c r="X154" s="83">
        <f>'Rock Climbing Log'!X154</f>
        <v>0</v>
      </c>
      <c r="Y154" s="81">
        <f>'Rock Climbing Log'!Y154</f>
        <v>0</v>
      </c>
      <c r="Z154" s="82">
        <f>'Rock Climbing Log'!Z154</f>
        <v>0</v>
      </c>
      <c r="AA154" s="83">
        <f>'Rock Climbing Log'!AA154</f>
        <v>0</v>
      </c>
      <c r="AB154" s="81">
        <f>'Rock Climbing Log'!AB154</f>
        <v>0</v>
      </c>
      <c r="AC154" s="82">
        <f>'Rock Climbing Log'!AC154</f>
        <v>0</v>
      </c>
      <c r="AD154" s="83">
        <f>'Rock Climbing Log'!AD154</f>
        <v>0</v>
      </c>
      <c r="AE154" s="81">
        <f>'Rock Climbing Log'!AE154</f>
        <v>0</v>
      </c>
      <c r="AF154" s="82">
        <f>'Rock Climbing Log'!AF154</f>
        <v>0</v>
      </c>
      <c r="AG154" s="83">
        <f>'Rock Climbing Log'!AG154</f>
        <v>0</v>
      </c>
      <c r="AH154" s="81">
        <f>'Rock Climbing Log'!AH154</f>
        <v>0</v>
      </c>
      <c r="AI154" s="82">
        <f>'Rock Climbing Log'!AI154</f>
        <v>0</v>
      </c>
      <c r="AJ154" s="83">
        <f>'Rock Climbing Log'!AJ154</f>
        <v>0</v>
      </c>
      <c r="AK154" s="81">
        <f>'Rock Climbing Log'!AK154</f>
        <v>0</v>
      </c>
      <c r="AL154" s="82">
        <f>'Rock Climbing Log'!AL154</f>
        <v>0</v>
      </c>
      <c r="AM154" s="83">
        <f>'Rock Climbing Log'!AM154</f>
        <v>0</v>
      </c>
      <c r="AN154" s="81">
        <f>'Rock Climbing Log'!AN154</f>
        <v>0</v>
      </c>
      <c r="AO154" s="82">
        <f>'Rock Climbing Log'!AO154</f>
        <v>0</v>
      </c>
      <c r="AP154" s="83">
        <f>'Rock Climbing Log'!AP154</f>
        <v>0</v>
      </c>
      <c r="AQ154" s="81">
        <f>'Rock Climbing Log'!AQ154</f>
        <v>0</v>
      </c>
      <c r="AR154" s="82">
        <f>'Rock Climbing Log'!AR154</f>
        <v>0</v>
      </c>
      <c r="AS154" s="83">
        <f>'Rock Climbing Log'!AS154</f>
        <v>0</v>
      </c>
      <c r="AT154" s="81">
        <f>'Rock Climbing Log'!AT154</f>
        <v>0</v>
      </c>
      <c r="AU154" s="82">
        <f>'Rock Climbing Log'!AU154</f>
        <v>0</v>
      </c>
      <c r="AV154" s="83">
        <f>'Rock Climbing Log'!AV154</f>
        <v>0</v>
      </c>
      <c r="AW154" s="66">
        <f ca="1">'RC Template'!AW154</f>
        <v>0</v>
      </c>
      <c r="AX154" s="66">
        <f ca="1">'RC Template'!BC154</f>
        <v>0</v>
      </c>
      <c r="AY154" s="75">
        <f>'Rock Climbing Log'!AY154</f>
        <v>0</v>
      </c>
    </row>
    <row r="155" spans="1:51" x14ac:dyDescent="0.3">
      <c r="A155" s="28">
        <f t="shared" si="14"/>
        <v>148</v>
      </c>
      <c r="B155" s="19">
        <f>'Rock Climbing Log'!B155</f>
        <v>0</v>
      </c>
      <c r="C155" s="24">
        <f>'Rock Climbing Log'!C155</f>
        <v>0</v>
      </c>
      <c r="D155" s="81">
        <f>'Rock Climbing Log'!D155</f>
        <v>0</v>
      </c>
      <c r="E155" s="82">
        <f>'Rock Climbing Log'!E155</f>
        <v>0</v>
      </c>
      <c r="F155" s="83">
        <f>'Rock Climbing Log'!F155</f>
        <v>0</v>
      </c>
      <c r="G155" s="81">
        <f>'Rock Climbing Log'!G155</f>
        <v>0</v>
      </c>
      <c r="H155" s="82">
        <f>'Rock Climbing Log'!H155</f>
        <v>0</v>
      </c>
      <c r="I155" s="83">
        <f>'Rock Climbing Log'!I155</f>
        <v>0</v>
      </c>
      <c r="J155" s="81">
        <f>'Rock Climbing Log'!J155</f>
        <v>0</v>
      </c>
      <c r="K155" s="82">
        <f>'Rock Climbing Log'!K155</f>
        <v>0</v>
      </c>
      <c r="L155" s="83">
        <f>'Rock Climbing Log'!L155</f>
        <v>0</v>
      </c>
      <c r="M155" s="81">
        <f>'Rock Climbing Log'!M155</f>
        <v>0</v>
      </c>
      <c r="N155" s="82">
        <f>'Rock Climbing Log'!N155</f>
        <v>0</v>
      </c>
      <c r="O155" s="83">
        <f>'Rock Climbing Log'!O155</f>
        <v>0</v>
      </c>
      <c r="P155" s="81">
        <f>'Rock Climbing Log'!P155</f>
        <v>0</v>
      </c>
      <c r="Q155" s="82">
        <f>'Rock Climbing Log'!Q155</f>
        <v>0</v>
      </c>
      <c r="R155" s="83">
        <f>'Rock Climbing Log'!R155</f>
        <v>0</v>
      </c>
      <c r="S155" s="81">
        <f>'Rock Climbing Log'!S155</f>
        <v>0</v>
      </c>
      <c r="T155" s="82">
        <f>'Rock Climbing Log'!T155</f>
        <v>0</v>
      </c>
      <c r="U155" s="83">
        <f>'Rock Climbing Log'!U155</f>
        <v>0</v>
      </c>
      <c r="V155" s="81">
        <f>'Rock Climbing Log'!V155</f>
        <v>0</v>
      </c>
      <c r="W155" s="82">
        <f>'Rock Climbing Log'!W155</f>
        <v>0</v>
      </c>
      <c r="X155" s="83">
        <f>'Rock Climbing Log'!X155</f>
        <v>0</v>
      </c>
      <c r="Y155" s="81">
        <f>'Rock Climbing Log'!Y155</f>
        <v>0</v>
      </c>
      <c r="Z155" s="82">
        <f>'Rock Climbing Log'!Z155</f>
        <v>0</v>
      </c>
      <c r="AA155" s="83">
        <f>'Rock Climbing Log'!AA155</f>
        <v>0</v>
      </c>
      <c r="AB155" s="81">
        <f>'Rock Climbing Log'!AB155</f>
        <v>0</v>
      </c>
      <c r="AC155" s="82">
        <f>'Rock Climbing Log'!AC155</f>
        <v>0</v>
      </c>
      <c r="AD155" s="83">
        <f>'Rock Climbing Log'!AD155</f>
        <v>0</v>
      </c>
      <c r="AE155" s="81">
        <f>'Rock Climbing Log'!AE155</f>
        <v>0</v>
      </c>
      <c r="AF155" s="82">
        <f>'Rock Climbing Log'!AF155</f>
        <v>0</v>
      </c>
      <c r="AG155" s="83">
        <f>'Rock Climbing Log'!AG155</f>
        <v>0</v>
      </c>
      <c r="AH155" s="81">
        <f>'Rock Climbing Log'!AH155</f>
        <v>0</v>
      </c>
      <c r="AI155" s="82">
        <f>'Rock Climbing Log'!AI155</f>
        <v>0</v>
      </c>
      <c r="AJ155" s="83">
        <f>'Rock Climbing Log'!AJ155</f>
        <v>0</v>
      </c>
      <c r="AK155" s="81">
        <f>'Rock Climbing Log'!AK155</f>
        <v>0</v>
      </c>
      <c r="AL155" s="82">
        <f>'Rock Climbing Log'!AL155</f>
        <v>0</v>
      </c>
      <c r="AM155" s="83">
        <f>'Rock Climbing Log'!AM155</f>
        <v>0</v>
      </c>
      <c r="AN155" s="81">
        <f>'Rock Climbing Log'!AN155</f>
        <v>0</v>
      </c>
      <c r="AO155" s="82">
        <f>'Rock Climbing Log'!AO155</f>
        <v>0</v>
      </c>
      <c r="AP155" s="83">
        <f>'Rock Climbing Log'!AP155</f>
        <v>0</v>
      </c>
      <c r="AQ155" s="81">
        <f>'Rock Climbing Log'!AQ155</f>
        <v>0</v>
      </c>
      <c r="AR155" s="82">
        <f>'Rock Climbing Log'!AR155</f>
        <v>0</v>
      </c>
      <c r="AS155" s="83">
        <f>'Rock Climbing Log'!AS155</f>
        <v>0</v>
      </c>
      <c r="AT155" s="81">
        <f>'Rock Climbing Log'!AT155</f>
        <v>0</v>
      </c>
      <c r="AU155" s="82">
        <f>'Rock Climbing Log'!AU155</f>
        <v>0</v>
      </c>
      <c r="AV155" s="83">
        <f>'Rock Climbing Log'!AV155</f>
        <v>0</v>
      </c>
      <c r="AW155" s="66">
        <f ca="1">'RC Template'!AW155</f>
        <v>0</v>
      </c>
      <c r="AX155" s="66">
        <f ca="1">'RC Template'!BC155</f>
        <v>0</v>
      </c>
      <c r="AY155" s="75">
        <f>'Rock Climbing Log'!AY155</f>
        <v>0</v>
      </c>
    </row>
    <row r="156" spans="1:51" x14ac:dyDescent="0.3">
      <c r="A156" s="28">
        <f t="shared" si="14"/>
        <v>149</v>
      </c>
      <c r="B156" s="19">
        <f>'Rock Climbing Log'!B156</f>
        <v>0</v>
      </c>
      <c r="C156" s="24">
        <f>'Rock Climbing Log'!C156</f>
        <v>0</v>
      </c>
      <c r="D156" s="81">
        <f>'Rock Climbing Log'!D156</f>
        <v>0</v>
      </c>
      <c r="E156" s="82">
        <f>'Rock Climbing Log'!E156</f>
        <v>0</v>
      </c>
      <c r="F156" s="83">
        <f>'Rock Climbing Log'!F156</f>
        <v>0</v>
      </c>
      <c r="G156" s="81">
        <f>'Rock Climbing Log'!G156</f>
        <v>0</v>
      </c>
      <c r="H156" s="82">
        <f>'Rock Climbing Log'!H156</f>
        <v>0</v>
      </c>
      <c r="I156" s="83">
        <f>'Rock Climbing Log'!I156</f>
        <v>0</v>
      </c>
      <c r="J156" s="81">
        <f>'Rock Climbing Log'!J156</f>
        <v>0</v>
      </c>
      <c r="K156" s="82">
        <f>'Rock Climbing Log'!K156</f>
        <v>0</v>
      </c>
      <c r="L156" s="83">
        <f>'Rock Climbing Log'!L156</f>
        <v>0</v>
      </c>
      <c r="M156" s="81">
        <f>'Rock Climbing Log'!M156</f>
        <v>0</v>
      </c>
      <c r="N156" s="82">
        <f>'Rock Climbing Log'!N156</f>
        <v>0</v>
      </c>
      <c r="O156" s="83">
        <f>'Rock Climbing Log'!O156</f>
        <v>0</v>
      </c>
      <c r="P156" s="81">
        <f>'Rock Climbing Log'!P156</f>
        <v>0</v>
      </c>
      <c r="Q156" s="82">
        <f>'Rock Climbing Log'!Q156</f>
        <v>0</v>
      </c>
      <c r="R156" s="83">
        <f>'Rock Climbing Log'!R156</f>
        <v>0</v>
      </c>
      <c r="S156" s="81">
        <f>'Rock Climbing Log'!S156</f>
        <v>0</v>
      </c>
      <c r="T156" s="82">
        <f>'Rock Climbing Log'!T156</f>
        <v>0</v>
      </c>
      <c r="U156" s="83">
        <f>'Rock Climbing Log'!U156</f>
        <v>0</v>
      </c>
      <c r="V156" s="81">
        <f>'Rock Climbing Log'!V156</f>
        <v>0</v>
      </c>
      <c r="W156" s="82">
        <f>'Rock Climbing Log'!W156</f>
        <v>0</v>
      </c>
      <c r="X156" s="83">
        <f>'Rock Climbing Log'!X156</f>
        <v>0</v>
      </c>
      <c r="Y156" s="81">
        <f>'Rock Climbing Log'!Y156</f>
        <v>0</v>
      </c>
      <c r="Z156" s="82">
        <f>'Rock Climbing Log'!Z156</f>
        <v>0</v>
      </c>
      <c r="AA156" s="83">
        <f>'Rock Climbing Log'!AA156</f>
        <v>0</v>
      </c>
      <c r="AB156" s="81">
        <f>'Rock Climbing Log'!AB156</f>
        <v>0</v>
      </c>
      <c r="AC156" s="82">
        <f>'Rock Climbing Log'!AC156</f>
        <v>0</v>
      </c>
      <c r="AD156" s="83">
        <f>'Rock Climbing Log'!AD156</f>
        <v>0</v>
      </c>
      <c r="AE156" s="81">
        <f>'Rock Climbing Log'!AE156</f>
        <v>0</v>
      </c>
      <c r="AF156" s="82">
        <f>'Rock Climbing Log'!AF156</f>
        <v>0</v>
      </c>
      <c r="AG156" s="83">
        <f>'Rock Climbing Log'!AG156</f>
        <v>0</v>
      </c>
      <c r="AH156" s="81">
        <f>'Rock Climbing Log'!AH156</f>
        <v>0</v>
      </c>
      <c r="AI156" s="82">
        <f>'Rock Climbing Log'!AI156</f>
        <v>0</v>
      </c>
      <c r="AJ156" s="83">
        <f>'Rock Climbing Log'!AJ156</f>
        <v>0</v>
      </c>
      <c r="AK156" s="81">
        <f>'Rock Climbing Log'!AK156</f>
        <v>0</v>
      </c>
      <c r="AL156" s="82">
        <f>'Rock Climbing Log'!AL156</f>
        <v>0</v>
      </c>
      <c r="AM156" s="83">
        <f>'Rock Climbing Log'!AM156</f>
        <v>0</v>
      </c>
      <c r="AN156" s="81">
        <f>'Rock Climbing Log'!AN156</f>
        <v>0</v>
      </c>
      <c r="AO156" s="82">
        <f>'Rock Climbing Log'!AO156</f>
        <v>0</v>
      </c>
      <c r="AP156" s="83">
        <f>'Rock Climbing Log'!AP156</f>
        <v>0</v>
      </c>
      <c r="AQ156" s="81">
        <f>'Rock Climbing Log'!AQ156</f>
        <v>0</v>
      </c>
      <c r="AR156" s="82">
        <f>'Rock Climbing Log'!AR156</f>
        <v>0</v>
      </c>
      <c r="AS156" s="83">
        <f>'Rock Climbing Log'!AS156</f>
        <v>0</v>
      </c>
      <c r="AT156" s="81">
        <f>'Rock Climbing Log'!AT156</f>
        <v>0</v>
      </c>
      <c r="AU156" s="82">
        <f>'Rock Climbing Log'!AU156</f>
        <v>0</v>
      </c>
      <c r="AV156" s="83">
        <f>'Rock Climbing Log'!AV156</f>
        <v>0</v>
      </c>
      <c r="AW156" s="66">
        <f ca="1">'RC Template'!AW156</f>
        <v>0</v>
      </c>
      <c r="AX156" s="66">
        <f ca="1">'RC Template'!BC156</f>
        <v>0</v>
      </c>
      <c r="AY156" s="75">
        <f>'Rock Climbing Log'!AY156</f>
        <v>0</v>
      </c>
    </row>
    <row r="157" spans="1:51" x14ac:dyDescent="0.3">
      <c r="A157" s="28">
        <f t="shared" si="14"/>
        <v>150</v>
      </c>
      <c r="B157" s="19">
        <f>'Rock Climbing Log'!B157</f>
        <v>0</v>
      </c>
      <c r="C157" s="24">
        <f>'Rock Climbing Log'!C157</f>
        <v>0</v>
      </c>
      <c r="D157" s="81">
        <f>'Rock Climbing Log'!D157</f>
        <v>0</v>
      </c>
      <c r="E157" s="82">
        <f>'Rock Climbing Log'!E157</f>
        <v>0</v>
      </c>
      <c r="F157" s="83">
        <f>'Rock Climbing Log'!F157</f>
        <v>0</v>
      </c>
      <c r="G157" s="81">
        <f>'Rock Climbing Log'!G157</f>
        <v>0</v>
      </c>
      <c r="H157" s="82">
        <f>'Rock Climbing Log'!H157</f>
        <v>0</v>
      </c>
      <c r="I157" s="83">
        <f>'Rock Climbing Log'!I157</f>
        <v>0</v>
      </c>
      <c r="J157" s="81">
        <f>'Rock Climbing Log'!J157</f>
        <v>0</v>
      </c>
      <c r="K157" s="82">
        <f>'Rock Climbing Log'!K157</f>
        <v>0</v>
      </c>
      <c r="L157" s="83">
        <f>'Rock Climbing Log'!L157</f>
        <v>0</v>
      </c>
      <c r="M157" s="81">
        <f>'Rock Climbing Log'!M157</f>
        <v>0</v>
      </c>
      <c r="N157" s="82">
        <f>'Rock Climbing Log'!N157</f>
        <v>0</v>
      </c>
      <c r="O157" s="83">
        <f>'Rock Climbing Log'!O157</f>
        <v>0</v>
      </c>
      <c r="P157" s="81">
        <f>'Rock Climbing Log'!P157</f>
        <v>0</v>
      </c>
      <c r="Q157" s="82">
        <f>'Rock Climbing Log'!Q157</f>
        <v>0</v>
      </c>
      <c r="R157" s="83">
        <f>'Rock Climbing Log'!R157</f>
        <v>0</v>
      </c>
      <c r="S157" s="81">
        <f>'Rock Climbing Log'!S157</f>
        <v>0</v>
      </c>
      <c r="T157" s="82">
        <f>'Rock Climbing Log'!T157</f>
        <v>0</v>
      </c>
      <c r="U157" s="83">
        <f>'Rock Climbing Log'!U157</f>
        <v>0</v>
      </c>
      <c r="V157" s="81">
        <f>'Rock Climbing Log'!V157</f>
        <v>0</v>
      </c>
      <c r="W157" s="82">
        <f>'Rock Climbing Log'!W157</f>
        <v>0</v>
      </c>
      <c r="X157" s="83">
        <f>'Rock Climbing Log'!X157</f>
        <v>0</v>
      </c>
      <c r="Y157" s="81">
        <f>'Rock Climbing Log'!Y157</f>
        <v>0</v>
      </c>
      <c r="Z157" s="82">
        <f>'Rock Climbing Log'!Z157</f>
        <v>0</v>
      </c>
      <c r="AA157" s="83">
        <f>'Rock Climbing Log'!AA157</f>
        <v>0</v>
      </c>
      <c r="AB157" s="81">
        <f>'Rock Climbing Log'!AB157</f>
        <v>0</v>
      </c>
      <c r="AC157" s="82">
        <f>'Rock Climbing Log'!AC157</f>
        <v>0</v>
      </c>
      <c r="AD157" s="83">
        <f>'Rock Climbing Log'!AD157</f>
        <v>0</v>
      </c>
      <c r="AE157" s="81">
        <f>'Rock Climbing Log'!AE157</f>
        <v>0</v>
      </c>
      <c r="AF157" s="82">
        <f>'Rock Climbing Log'!AF157</f>
        <v>0</v>
      </c>
      <c r="AG157" s="83">
        <f>'Rock Climbing Log'!AG157</f>
        <v>0</v>
      </c>
      <c r="AH157" s="81">
        <f>'Rock Climbing Log'!AH157</f>
        <v>0</v>
      </c>
      <c r="AI157" s="82">
        <f>'Rock Climbing Log'!AI157</f>
        <v>0</v>
      </c>
      <c r="AJ157" s="83">
        <f>'Rock Climbing Log'!AJ157</f>
        <v>0</v>
      </c>
      <c r="AK157" s="81">
        <f>'Rock Climbing Log'!AK157</f>
        <v>0</v>
      </c>
      <c r="AL157" s="82">
        <f>'Rock Climbing Log'!AL157</f>
        <v>0</v>
      </c>
      <c r="AM157" s="83">
        <f>'Rock Climbing Log'!AM157</f>
        <v>0</v>
      </c>
      <c r="AN157" s="81">
        <f>'Rock Climbing Log'!AN157</f>
        <v>0</v>
      </c>
      <c r="AO157" s="82">
        <f>'Rock Climbing Log'!AO157</f>
        <v>0</v>
      </c>
      <c r="AP157" s="83">
        <f>'Rock Climbing Log'!AP157</f>
        <v>0</v>
      </c>
      <c r="AQ157" s="81">
        <f>'Rock Climbing Log'!AQ157</f>
        <v>0</v>
      </c>
      <c r="AR157" s="82">
        <f>'Rock Climbing Log'!AR157</f>
        <v>0</v>
      </c>
      <c r="AS157" s="83">
        <f>'Rock Climbing Log'!AS157</f>
        <v>0</v>
      </c>
      <c r="AT157" s="81">
        <f>'Rock Climbing Log'!AT157</f>
        <v>0</v>
      </c>
      <c r="AU157" s="82">
        <f>'Rock Climbing Log'!AU157</f>
        <v>0</v>
      </c>
      <c r="AV157" s="83">
        <f>'Rock Climbing Log'!AV157</f>
        <v>0</v>
      </c>
      <c r="AW157" s="66">
        <f ca="1">'RC Template'!AW157</f>
        <v>0</v>
      </c>
      <c r="AX157" s="66">
        <f ca="1">'RC Template'!BC157</f>
        <v>0</v>
      </c>
      <c r="AY157" s="75">
        <f>'Rock Climbing Log'!AY157</f>
        <v>0</v>
      </c>
    </row>
    <row r="158" spans="1:51" x14ac:dyDescent="0.3">
      <c r="A158" s="28">
        <f t="shared" si="14"/>
        <v>151</v>
      </c>
      <c r="B158" s="19">
        <f>'Rock Climbing Log'!B158</f>
        <v>0</v>
      </c>
      <c r="C158" s="24">
        <f>'Rock Climbing Log'!C158</f>
        <v>0</v>
      </c>
      <c r="D158" s="81">
        <f>'Rock Climbing Log'!D158</f>
        <v>0</v>
      </c>
      <c r="E158" s="82">
        <f>'Rock Climbing Log'!E158</f>
        <v>0</v>
      </c>
      <c r="F158" s="83">
        <f>'Rock Climbing Log'!F158</f>
        <v>0</v>
      </c>
      <c r="G158" s="81">
        <f>'Rock Climbing Log'!G158</f>
        <v>0</v>
      </c>
      <c r="H158" s="82">
        <f>'Rock Climbing Log'!H158</f>
        <v>0</v>
      </c>
      <c r="I158" s="83">
        <f>'Rock Climbing Log'!I158</f>
        <v>0</v>
      </c>
      <c r="J158" s="81">
        <f>'Rock Climbing Log'!J158</f>
        <v>0</v>
      </c>
      <c r="K158" s="82">
        <f>'Rock Climbing Log'!K158</f>
        <v>0</v>
      </c>
      <c r="L158" s="83">
        <f>'Rock Climbing Log'!L158</f>
        <v>0</v>
      </c>
      <c r="M158" s="81">
        <f>'Rock Climbing Log'!M158</f>
        <v>0</v>
      </c>
      <c r="N158" s="82">
        <f>'Rock Climbing Log'!N158</f>
        <v>0</v>
      </c>
      <c r="O158" s="83">
        <f>'Rock Climbing Log'!O158</f>
        <v>0</v>
      </c>
      <c r="P158" s="81">
        <f>'Rock Climbing Log'!P158</f>
        <v>0</v>
      </c>
      <c r="Q158" s="82">
        <f>'Rock Climbing Log'!Q158</f>
        <v>0</v>
      </c>
      <c r="R158" s="83">
        <f>'Rock Climbing Log'!R158</f>
        <v>0</v>
      </c>
      <c r="S158" s="81">
        <f>'Rock Climbing Log'!S158</f>
        <v>0</v>
      </c>
      <c r="T158" s="82">
        <f>'Rock Climbing Log'!T158</f>
        <v>0</v>
      </c>
      <c r="U158" s="83">
        <f>'Rock Climbing Log'!U158</f>
        <v>0</v>
      </c>
      <c r="V158" s="81">
        <f>'Rock Climbing Log'!V158</f>
        <v>0</v>
      </c>
      <c r="W158" s="82">
        <f>'Rock Climbing Log'!W158</f>
        <v>0</v>
      </c>
      <c r="X158" s="83">
        <f>'Rock Climbing Log'!X158</f>
        <v>0</v>
      </c>
      <c r="Y158" s="81">
        <f>'Rock Climbing Log'!Y158</f>
        <v>0</v>
      </c>
      <c r="Z158" s="82">
        <f>'Rock Climbing Log'!Z158</f>
        <v>0</v>
      </c>
      <c r="AA158" s="83">
        <f>'Rock Climbing Log'!AA158</f>
        <v>0</v>
      </c>
      <c r="AB158" s="81">
        <f>'Rock Climbing Log'!AB158</f>
        <v>0</v>
      </c>
      <c r="AC158" s="82">
        <f>'Rock Climbing Log'!AC158</f>
        <v>0</v>
      </c>
      <c r="AD158" s="83">
        <f>'Rock Climbing Log'!AD158</f>
        <v>0</v>
      </c>
      <c r="AE158" s="81">
        <f>'Rock Climbing Log'!AE158</f>
        <v>0</v>
      </c>
      <c r="AF158" s="82">
        <f>'Rock Climbing Log'!AF158</f>
        <v>0</v>
      </c>
      <c r="AG158" s="83">
        <f>'Rock Climbing Log'!AG158</f>
        <v>0</v>
      </c>
      <c r="AH158" s="81">
        <f>'Rock Climbing Log'!AH158</f>
        <v>0</v>
      </c>
      <c r="AI158" s="82">
        <f>'Rock Climbing Log'!AI158</f>
        <v>0</v>
      </c>
      <c r="AJ158" s="83">
        <f>'Rock Climbing Log'!AJ158</f>
        <v>0</v>
      </c>
      <c r="AK158" s="81">
        <f>'Rock Climbing Log'!AK158</f>
        <v>0</v>
      </c>
      <c r="AL158" s="82">
        <f>'Rock Climbing Log'!AL158</f>
        <v>0</v>
      </c>
      <c r="AM158" s="83">
        <f>'Rock Climbing Log'!AM158</f>
        <v>0</v>
      </c>
      <c r="AN158" s="81">
        <f>'Rock Climbing Log'!AN158</f>
        <v>0</v>
      </c>
      <c r="AO158" s="82">
        <f>'Rock Climbing Log'!AO158</f>
        <v>0</v>
      </c>
      <c r="AP158" s="83">
        <f>'Rock Climbing Log'!AP158</f>
        <v>0</v>
      </c>
      <c r="AQ158" s="81">
        <f>'Rock Climbing Log'!AQ158</f>
        <v>0</v>
      </c>
      <c r="AR158" s="82">
        <f>'Rock Climbing Log'!AR158</f>
        <v>0</v>
      </c>
      <c r="AS158" s="83">
        <f>'Rock Climbing Log'!AS158</f>
        <v>0</v>
      </c>
      <c r="AT158" s="81">
        <f>'Rock Climbing Log'!AT158</f>
        <v>0</v>
      </c>
      <c r="AU158" s="82">
        <f>'Rock Climbing Log'!AU158</f>
        <v>0</v>
      </c>
      <c r="AV158" s="83">
        <f>'Rock Climbing Log'!AV158</f>
        <v>0</v>
      </c>
      <c r="AW158" s="66">
        <f>'RC Template'!AW158</f>
        <v>0</v>
      </c>
      <c r="AX158" s="66">
        <f>'RC Template'!BC158</f>
        <v>0</v>
      </c>
      <c r="AY158" s="75">
        <f>'Rock Climbing Log'!AY158</f>
        <v>0</v>
      </c>
    </row>
    <row r="159" spans="1:51" x14ac:dyDescent="0.3">
      <c r="A159" s="28">
        <f t="shared" si="14"/>
        <v>152</v>
      </c>
      <c r="B159" s="21">
        <f>'Rock Climbing Log'!B159</f>
        <v>0</v>
      </c>
      <c r="C159" s="20">
        <f>'Rock Climbing Log'!C159</f>
        <v>0</v>
      </c>
      <c r="D159" s="81">
        <f>'Rock Climbing Log'!D159</f>
        <v>0</v>
      </c>
      <c r="E159" s="82">
        <f>'Rock Climbing Log'!E159</f>
        <v>0</v>
      </c>
      <c r="F159" s="83">
        <f>'Rock Climbing Log'!F159</f>
        <v>0</v>
      </c>
      <c r="G159" s="81">
        <f>'Rock Climbing Log'!G159</f>
        <v>0</v>
      </c>
      <c r="H159" s="82">
        <f>'Rock Climbing Log'!H159</f>
        <v>0</v>
      </c>
      <c r="I159" s="83">
        <f>'Rock Climbing Log'!I159</f>
        <v>0</v>
      </c>
      <c r="J159" s="81">
        <f>'Rock Climbing Log'!J159</f>
        <v>0</v>
      </c>
      <c r="K159" s="82">
        <f>'Rock Climbing Log'!K159</f>
        <v>0</v>
      </c>
      <c r="L159" s="83">
        <f>'Rock Climbing Log'!L159</f>
        <v>0</v>
      </c>
      <c r="M159" s="81">
        <f>'Rock Climbing Log'!M159</f>
        <v>0</v>
      </c>
      <c r="N159" s="82">
        <f>'Rock Climbing Log'!N159</f>
        <v>0</v>
      </c>
      <c r="O159" s="83">
        <f>'Rock Climbing Log'!O159</f>
        <v>0</v>
      </c>
      <c r="P159" s="81">
        <f>'Rock Climbing Log'!P159</f>
        <v>0</v>
      </c>
      <c r="Q159" s="82">
        <f>'Rock Climbing Log'!Q159</f>
        <v>0</v>
      </c>
      <c r="R159" s="83">
        <f>'Rock Climbing Log'!R159</f>
        <v>0</v>
      </c>
      <c r="S159" s="81">
        <f>'Rock Climbing Log'!S159</f>
        <v>0</v>
      </c>
      <c r="T159" s="82">
        <f>'Rock Climbing Log'!T159</f>
        <v>0</v>
      </c>
      <c r="U159" s="83">
        <f>'Rock Climbing Log'!U159</f>
        <v>0</v>
      </c>
      <c r="V159" s="81">
        <f>'Rock Climbing Log'!V159</f>
        <v>0</v>
      </c>
      <c r="W159" s="82">
        <f>'Rock Climbing Log'!W159</f>
        <v>0</v>
      </c>
      <c r="X159" s="83">
        <f>'Rock Climbing Log'!X159</f>
        <v>0</v>
      </c>
      <c r="Y159" s="81">
        <f>'Rock Climbing Log'!Y159</f>
        <v>0</v>
      </c>
      <c r="Z159" s="82">
        <f>'Rock Climbing Log'!Z159</f>
        <v>0</v>
      </c>
      <c r="AA159" s="83">
        <f>'Rock Climbing Log'!AA159</f>
        <v>0</v>
      </c>
      <c r="AB159" s="81">
        <f>'Rock Climbing Log'!AB159</f>
        <v>0</v>
      </c>
      <c r="AC159" s="82">
        <f>'Rock Climbing Log'!AC159</f>
        <v>0</v>
      </c>
      <c r="AD159" s="83">
        <f>'Rock Climbing Log'!AD159</f>
        <v>0</v>
      </c>
      <c r="AE159" s="81">
        <f>'Rock Climbing Log'!AE159</f>
        <v>0</v>
      </c>
      <c r="AF159" s="82">
        <f>'Rock Climbing Log'!AF159</f>
        <v>0</v>
      </c>
      <c r="AG159" s="83">
        <f>'Rock Climbing Log'!AG159</f>
        <v>0</v>
      </c>
      <c r="AH159" s="81">
        <f>'Rock Climbing Log'!AH159</f>
        <v>0</v>
      </c>
      <c r="AI159" s="82">
        <f>'Rock Climbing Log'!AI159</f>
        <v>0</v>
      </c>
      <c r="AJ159" s="83">
        <f>'Rock Climbing Log'!AJ159</f>
        <v>0</v>
      </c>
      <c r="AK159" s="81">
        <f>'Rock Climbing Log'!AK159</f>
        <v>0</v>
      </c>
      <c r="AL159" s="82">
        <f>'Rock Climbing Log'!AL159</f>
        <v>0</v>
      </c>
      <c r="AM159" s="83">
        <f>'Rock Climbing Log'!AM159</f>
        <v>0</v>
      </c>
      <c r="AN159" s="81">
        <f>'Rock Climbing Log'!AN159</f>
        <v>0</v>
      </c>
      <c r="AO159" s="82">
        <f>'Rock Climbing Log'!AO159</f>
        <v>0</v>
      </c>
      <c r="AP159" s="83">
        <f>'Rock Climbing Log'!AP159</f>
        <v>0</v>
      </c>
      <c r="AQ159" s="81">
        <f>'Rock Climbing Log'!AQ159</f>
        <v>0</v>
      </c>
      <c r="AR159" s="82">
        <f>'Rock Climbing Log'!AR159</f>
        <v>0</v>
      </c>
      <c r="AS159" s="83">
        <f>'Rock Climbing Log'!AS159</f>
        <v>0</v>
      </c>
      <c r="AT159" s="81">
        <f>'Rock Climbing Log'!AT159</f>
        <v>0</v>
      </c>
      <c r="AU159" s="82">
        <f>'Rock Climbing Log'!AU159</f>
        <v>0</v>
      </c>
      <c r="AV159" s="83">
        <f>'Rock Climbing Log'!AV159</f>
        <v>0</v>
      </c>
      <c r="AW159" s="66">
        <f>'RC Template'!AW159</f>
        <v>0</v>
      </c>
      <c r="AX159" s="66">
        <f>'RC Template'!BC159</f>
        <v>0</v>
      </c>
      <c r="AY159" s="75">
        <f>'Rock Climbing Log'!AY159</f>
        <v>0</v>
      </c>
    </row>
    <row r="160" spans="1:51" ht="15" thickBot="1" x14ac:dyDescent="0.35">
      <c r="A160" s="29">
        <f t="shared" si="14"/>
        <v>153</v>
      </c>
      <c r="B160" s="22">
        <f>'Rock Climbing Log'!B160</f>
        <v>0</v>
      </c>
      <c r="C160" s="23">
        <f>'Rock Climbing Log'!C160</f>
        <v>0</v>
      </c>
      <c r="D160" s="84">
        <f>'Rock Climbing Log'!D160</f>
        <v>0</v>
      </c>
      <c r="E160" s="85">
        <f>'Rock Climbing Log'!E160</f>
        <v>0</v>
      </c>
      <c r="F160" s="86">
        <f>'Rock Climbing Log'!F160</f>
        <v>0</v>
      </c>
      <c r="G160" s="84">
        <f>'Rock Climbing Log'!G160</f>
        <v>0</v>
      </c>
      <c r="H160" s="85">
        <f>'Rock Climbing Log'!H160</f>
        <v>0</v>
      </c>
      <c r="I160" s="86">
        <f>'Rock Climbing Log'!I160</f>
        <v>0</v>
      </c>
      <c r="J160" s="84">
        <f>'Rock Climbing Log'!J160</f>
        <v>0</v>
      </c>
      <c r="K160" s="85">
        <f>'Rock Climbing Log'!K160</f>
        <v>0</v>
      </c>
      <c r="L160" s="86">
        <f>'Rock Climbing Log'!L160</f>
        <v>0</v>
      </c>
      <c r="M160" s="84">
        <f>'Rock Climbing Log'!M160</f>
        <v>0</v>
      </c>
      <c r="N160" s="85">
        <f>'Rock Climbing Log'!N160</f>
        <v>0</v>
      </c>
      <c r="O160" s="86">
        <f>'Rock Climbing Log'!O160</f>
        <v>0</v>
      </c>
      <c r="P160" s="84">
        <f>'Rock Climbing Log'!P160</f>
        <v>0</v>
      </c>
      <c r="Q160" s="85">
        <f>'Rock Climbing Log'!Q160</f>
        <v>0</v>
      </c>
      <c r="R160" s="86">
        <f>'Rock Climbing Log'!R160</f>
        <v>0</v>
      </c>
      <c r="S160" s="84">
        <f>'Rock Climbing Log'!S160</f>
        <v>0</v>
      </c>
      <c r="T160" s="85">
        <f>'Rock Climbing Log'!T160</f>
        <v>0</v>
      </c>
      <c r="U160" s="86">
        <f>'Rock Climbing Log'!U160</f>
        <v>0</v>
      </c>
      <c r="V160" s="84">
        <f>'Rock Climbing Log'!V160</f>
        <v>0</v>
      </c>
      <c r="W160" s="85">
        <f>'Rock Climbing Log'!W160</f>
        <v>0</v>
      </c>
      <c r="X160" s="86">
        <f>'Rock Climbing Log'!X160</f>
        <v>0</v>
      </c>
      <c r="Y160" s="84">
        <f>'Rock Climbing Log'!Y160</f>
        <v>0</v>
      </c>
      <c r="Z160" s="85">
        <f>'Rock Climbing Log'!Z160</f>
        <v>0</v>
      </c>
      <c r="AA160" s="86">
        <f>'Rock Climbing Log'!AA160</f>
        <v>0</v>
      </c>
      <c r="AB160" s="84">
        <f>'Rock Climbing Log'!AB160</f>
        <v>0</v>
      </c>
      <c r="AC160" s="85">
        <f>'Rock Climbing Log'!AC160</f>
        <v>0</v>
      </c>
      <c r="AD160" s="86">
        <f>'Rock Climbing Log'!AD160</f>
        <v>0</v>
      </c>
      <c r="AE160" s="84">
        <f>'Rock Climbing Log'!AE160</f>
        <v>0</v>
      </c>
      <c r="AF160" s="85">
        <f>'Rock Climbing Log'!AF160</f>
        <v>0</v>
      </c>
      <c r="AG160" s="86">
        <f>'Rock Climbing Log'!AG160</f>
        <v>0</v>
      </c>
      <c r="AH160" s="84">
        <f>'Rock Climbing Log'!AH160</f>
        <v>0</v>
      </c>
      <c r="AI160" s="85">
        <f>'Rock Climbing Log'!AI160</f>
        <v>0</v>
      </c>
      <c r="AJ160" s="86">
        <f>'Rock Climbing Log'!AJ160</f>
        <v>0</v>
      </c>
      <c r="AK160" s="84">
        <f>'Rock Climbing Log'!AK160</f>
        <v>0</v>
      </c>
      <c r="AL160" s="85">
        <f>'Rock Climbing Log'!AL160</f>
        <v>0</v>
      </c>
      <c r="AM160" s="86">
        <f>'Rock Climbing Log'!AM160</f>
        <v>0</v>
      </c>
      <c r="AN160" s="84">
        <f>'Rock Climbing Log'!AN160</f>
        <v>0</v>
      </c>
      <c r="AO160" s="85">
        <f>'Rock Climbing Log'!AO160</f>
        <v>0</v>
      </c>
      <c r="AP160" s="86">
        <f>'Rock Climbing Log'!AP160</f>
        <v>0</v>
      </c>
      <c r="AQ160" s="84">
        <f>'Rock Climbing Log'!AQ160</f>
        <v>0</v>
      </c>
      <c r="AR160" s="85">
        <f>'Rock Climbing Log'!AR160</f>
        <v>0</v>
      </c>
      <c r="AS160" s="86">
        <f>'Rock Climbing Log'!AS160</f>
        <v>0</v>
      </c>
      <c r="AT160" s="84">
        <f>'Rock Climbing Log'!AT160</f>
        <v>0</v>
      </c>
      <c r="AU160" s="85">
        <f>'Rock Climbing Log'!AU160</f>
        <v>0</v>
      </c>
      <c r="AV160" s="86">
        <f>'Rock Climbing Log'!AV160</f>
        <v>0</v>
      </c>
      <c r="AW160" s="67">
        <f>'RC Template'!AW160</f>
        <v>0</v>
      </c>
      <c r="AX160" s="67">
        <f>'RC Template'!BC160</f>
        <v>0</v>
      </c>
      <c r="AY160" s="77">
        <f>'Rock Climbing Log'!AY160</f>
        <v>0</v>
      </c>
    </row>
  </sheetData>
  <autoFilter ref="A7:BP60" xr:uid="{1E21DC70-3D65-471E-95AC-3802084A1011}">
    <filterColumn colId="3" showButton="0"/>
    <filterColumn colId="4" showButton="0"/>
    <filterColumn colId="6" showButton="0"/>
    <filterColumn colId="7" showButton="0"/>
    <filterColumn colId="9" showButton="0"/>
    <filterColumn colId="10" showButton="0"/>
    <filterColumn colId="12" showButton="0"/>
    <filterColumn colId="13" showButton="0"/>
    <filterColumn colId="15" showButton="0"/>
    <filterColumn colId="16" showButton="0"/>
    <filterColumn colId="18" showButton="0"/>
    <filterColumn colId="19" showButton="0"/>
    <filterColumn colId="21" showButton="0"/>
    <filterColumn colId="22" showButton="0"/>
    <filterColumn colId="24" showButton="0"/>
    <filterColumn colId="25" showButton="0"/>
    <filterColumn colId="27" showButton="0"/>
    <filterColumn colId="28" showButton="0"/>
    <filterColumn colId="30" showButton="0"/>
    <filterColumn colId="31" showButton="0"/>
    <filterColumn colId="33" showButton="0"/>
    <filterColumn colId="34" showButton="0"/>
    <filterColumn colId="36" showButton="0"/>
    <filterColumn colId="37" showButton="0"/>
    <filterColumn colId="39" showButton="0"/>
    <filterColumn colId="40" showButton="0"/>
    <filterColumn colId="42" showButton="0"/>
    <filterColumn colId="43" showButton="0"/>
    <filterColumn colId="45" showButton="0"/>
    <filterColumn colId="46" showButton="0"/>
  </autoFilter>
  <mergeCells count="42">
    <mergeCell ref="AT7:AV7"/>
    <mergeCell ref="BA35:BE36"/>
    <mergeCell ref="BH35:BK36"/>
    <mergeCell ref="BA8:BB8"/>
    <mergeCell ref="BA9:BB9"/>
    <mergeCell ref="BA11:BE12"/>
    <mergeCell ref="BH11:BK12"/>
    <mergeCell ref="BA23:BE24"/>
    <mergeCell ref="BH23:BK24"/>
    <mergeCell ref="BH5:BK6"/>
    <mergeCell ref="D7:F7"/>
    <mergeCell ref="G7:I7"/>
    <mergeCell ref="J7:L7"/>
    <mergeCell ref="M7:O7"/>
    <mergeCell ref="P7:R7"/>
    <mergeCell ref="S7:U7"/>
    <mergeCell ref="V7:X7"/>
    <mergeCell ref="Y7:AA7"/>
    <mergeCell ref="AB7:AD7"/>
    <mergeCell ref="BA5:BE6"/>
    <mergeCell ref="AE7:AG7"/>
    <mergeCell ref="AH7:AJ7"/>
    <mergeCell ref="AK7:AM7"/>
    <mergeCell ref="AN7:AP7"/>
    <mergeCell ref="AQ7:AS7"/>
    <mergeCell ref="AK4:AM4"/>
    <mergeCell ref="AN4:AP4"/>
    <mergeCell ref="AQ4:AS4"/>
    <mergeCell ref="AT4:AV4"/>
    <mergeCell ref="A5:AY6"/>
    <mergeCell ref="S4:U4"/>
    <mergeCell ref="V4:X4"/>
    <mergeCell ref="Y4:AA4"/>
    <mergeCell ref="AB4:AD4"/>
    <mergeCell ref="AE4:AG4"/>
    <mergeCell ref="AH4:AJ4"/>
    <mergeCell ref="P4:R4"/>
    <mergeCell ref="A1:B1"/>
    <mergeCell ref="D4:F4"/>
    <mergeCell ref="G4:I4"/>
    <mergeCell ref="J4:L4"/>
    <mergeCell ref="M4:O4"/>
  </mergeCells>
  <dataValidations count="2">
    <dataValidation allowBlank="1" showInputMessage="1" showErrorMessage="1" errorTitle="Please see Legend" error="Please use one of the proper codes." sqref="D8:AV160" xr:uid="{0F36689F-D2EC-46EF-AAC8-72BB0A295636}"/>
    <dataValidation type="list" allowBlank="1" showInputMessage="1" showErrorMessage="1" sqref="BE13 BK13" xr:uid="{68401A37-990F-46A0-872E-B199F6D9471E}">
      <formula1>$BF$5:$BF$6</formula1>
    </dataValidation>
  </dataValidations>
  <pageMargins left="0.7" right="0.7" top="0.75" bottom="0.75" header="0.3" footer="0.3"/>
  <pageSetup scale="52" fitToHeight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33303A0-5542-4357-8711-8E297ACDD58C}">
          <x14:formula1>
            <xm:f>'RC Lookup'!$L$4:$L$50</xm:f>
          </x14:formula1>
          <xm:sqref>BI8:BI9 BK8:BK9 BC8:BC9 BE8:BE9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988AA-8D1C-480C-BA5D-02E0B5B3E2B1}">
  <sheetPr codeName="Sheet2">
    <tabColor theme="5" tint="-0.249977111117893"/>
    <pageSetUpPr fitToPage="1"/>
  </sheetPr>
  <dimension ref="A1:BR182"/>
  <sheetViews>
    <sheetView tabSelected="1" zoomScaleNormal="100" workbookViewId="0">
      <pane xSplit="3" ySplit="7" topLeftCell="D8" activePane="bottomRight" state="frozen"/>
      <selection activeCell="BD14" sqref="BD14"/>
      <selection pane="topRight" activeCell="BD14" sqref="BD14"/>
      <selection pane="bottomLeft" activeCell="BD14" sqref="BD14"/>
      <selection pane="bottomRight" activeCell="AE12" sqref="AE12"/>
    </sheetView>
  </sheetViews>
  <sheetFormatPr defaultRowHeight="14.4" x14ac:dyDescent="0.3"/>
  <cols>
    <col min="1" max="1" width="8.88671875" customWidth="1"/>
    <col min="2" max="2" width="9.77734375" bestFit="1" customWidth="1"/>
    <col min="3" max="3" width="21" bestFit="1" customWidth="1"/>
    <col min="4" max="48" width="3.77734375" customWidth="1"/>
    <col min="49" max="50" width="12.21875" bestFit="1" customWidth="1"/>
    <col min="51" max="51" width="32.5546875" bestFit="1" customWidth="1"/>
    <col min="52" max="52" width="8.88671875" customWidth="1"/>
    <col min="53" max="53" width="13.6640625" customWidth="1"/>
    <col min="54" max="54" width="5.109375" customWidth="1"/>
    <col min="55" max="55" width="16.88671875" customWidth="1"/>
    <col min="56" max="56" width="16.88671875" style="131" customWidth="1"/>
    <col min="57" max="57" width="16.88671875" customWidth="1"/>
    <col min="58" max="59" width="8.88671875" customWidth="1"/>
    <col min="60" max="60" width="13.6640625" customWidth="1"/>
    <col min="61" max="63" width="16.88671875" customWidth="1"/>
    <col min="64" max="64" width="12.44140625" customWidth="1"/>
    <col min="65" max="65" width="12.5546875" customWidth="1"/>
    <col min="66" max="66" width="16.6640625" customWidth="1"/>
    <col min="67" max="67" width="18.33203125" customWidth="1"/>
    <col min="68" max="68" width="8.88671875" customWidth="1"/>
  </cols>
  <sheetData>
    <row r="1" spans="1:62" ht="15" thickBot="1" x14ac:dyDescent="0.35">
      <c r="A1" s="144" t="s">
        <v>17</v>
      </c>
      <c r="B1" s="145"/>
      <c r="D1" s="88"/>
      <c r="T1" s="88"/>
      <c r="U1" s="88"/>
      <c r="V1" s="88"/>
      <c r="W1" s="88"/>
      <c r="X1" s="88"/>
      <c r="Y1" s="88"/>
      <c r="Z1" s="88"/>
      <c r="AA1" s="88"/>
      <c r="AB1" s="88"/>
      <c r="AC1" s="88"/>
      <c r="AD1" s="88"/>
      <c r="AE1" s="88"/>
      <c r="AF1" s="88"/>
      <c r="AG1" s="88"/>
      <c r="AH1" s="88"/>
      <c r="AI1" s="88"/>
      <c r="AJ1" s="88"/>
      <c r="AK1" s="88"/>
      <c r="AL1" s="88"/>
      <c r="AM1" s="88"/>
      <c r="AN1" s="88"/>
      <c r="AO1" s="88"/>
      <c r="AP1" s="88"/>
      <c r="AQ1" s="88"/>
      <c r="AR1" s="88"/>
      <c r="AS1" s="88"/>
      <c r="AT1" s="88"/>
      <c r="AU1" s="88"/>
      <c r="AV1" s="88"/>
      <c r="AW1" s="88" t="s">
        <v>189</v>
      </c>
      <c r="AX1" s="88"/>
      <c r="AY1" s="68"/>
      <c r="BI1" s="46"/>
      <c r="BJ1" s="46"/>
    </row>
    <row r="2" spans="1:62" x14ac:dyDescent="0.3">
      <c r="A2" s="2" t="s">
        <v>19</v>
      </c>
      <c r="B2" s="3" t="s">
        <v>18</v>
      </c>
    </row>
    <row r="3" spans="1:62" ht="15" thickBot="1" x14ac:dyDescent="0.35">
      <c r="A3" s="2" t="s">
        <v>20</v>
      </c>
      <c r="B3" s="3" t="s">
        <v>22</v>
      </c>
      <c r="C3" t="s">
        <v>207</v>
      </c>
      <c r="G3" s="146" t="s">
        <v>183</v>
      </c>
      <c r="H3" s="146"/>
      <c r="I3" s="146"/>
      <c r="J3" s="146"/>
      <c r="K3" s="146"/>
      <c r="L3" s="146"/>
      <c r="M3" s="146" t="s">
        <v>184</v>
      </c>
      <c r="N3" s="146"/>
      <c r="O3" s="146"/>
      <c r="P3" s="146"/>
      <c r="Q3" s="146"/>
      <c r="R3" s="146"/>
      <c r="S3" s="146" t="s">
        <v>185</v>
      </c>
      <c r="T3" s="146"/>
      <c r="U3" s="146"/>
      <c r="V3" s="138"/>
      <c r="W3" s="138"/>
      <c r="X3" s="138"/>
      <c r="Y3" s="146"/>
      <c r="Z3" s="146"/>
      <c r="AA3" s="146"/>
      <c r="AB3" s="146" t="s">
        <v>186</v>
      </c>
      <c r="AC3" s="146"/>
      <c r="AD3" s="146"/>
      <c r="AE3" s="146"/>
      <c r="AF3" s="146"/>
      <c r="AG3" s="146"/>
      <c r="AH3" s="146"/>
      <c r="AI3" s="146"/>
      <c r="AJ3" s="146"/>
      <c r="AK3" s="146" t="s">
        <v>187</v>
      </c>
      <c r="AL3" s="146"/>
      <c r="AM3" s="146"/>
      <c r="AN3" s="146"/>
      <c r="AO3" s="146"/>
      <c r="AP3" s="146"/>
      <c r="AQ3" s="146"/>
      <c r="AR3" s="146"/>
      <c r="AS3" s="146"/>
      <c r="AT3" s="146" t="s">
        <v>188</v>
      </c>
      <c r="AU3" s="146"/>
      <c r="AV3" s="146"/>
      <c r="BD3" s="131">
        <f>100.16-99.42</f>
        <v>0.73999999999999488</v>
      </c>
    </row>
    <row r="4" spans="1:62" ht="15" thickBot="1" x14ac:dyDescent="0.35">
      <c r="A4" s="4" t="s">
        <v>21</v>
      </c>
      <c r="B4" s="5" t="s">
        <v>23</v>
      </c>
      <c r="C4" t="s">
        <v>206</v>
      </c>
      <c r="D4" s="146"/>
      <c r="E4" s="146"/>
      <c r="F4" s="146"/>
      <c r="G4" s="146" t="s">
        <v>55</v>
      </c>
      <c r="H4" s="146"/>
      <c r="I4" s="146"/>
      <c r="J4" s="146"/>
      <c r="K4" s="146"/>
      <c r="L4" s="146"/>
      <c r="M4" s="146"/>
      <c r="N4" s="146"/>
      <c r="O4" s="146"/>
      <c r="P4" s="146" t="s">
        <v>56</v>
      </c>
      <c r="Q4" s="146"/>
      <c r="R4" s="146"/>
      <c r="S4" s="146"/>
      <c r="T4" s="146"/>
      <c r="U4" s="146"/>
      <c r="V4" s="138" t="s">
        <v>57</v>
      </c>
      <c r="W4" s="138"/>
      <c r="X4" s="138"/>
      <c r="Y4" s="146"/>
      <c r="Z4" s="146"/>
      <c r="AA4" s="146"/>
      <c r="AB4" s="146" t="s">
        <v>58</v>
      </c>
      <c r="AC4" s="146"/>
      <c r="AD4" s="146"/>
      <c r="AE4" s="146"/>
      <c r="AF4" s="146"/>
      <c r="AG4" s="146"/>
      <c r="AH4" s="146" t="s">
        <v>59</v>
      </c>
      <c r="AI4" s="146"/>
      <c r="AJ4" s="146"/>
      <c r="AK4" s="146"/>
      <c r="AL4" s="146"/>
      <c r="AM4" s="146"/>
      <c r="AN4" s="146" t="s">
        <v>60</v>
      </c>
      <c r="AO4" s="146"/>
      <c r="AP4" s="146"/>
      <c r="AQ4" s="146"/>
      <c r="AR4" s="146"/>
      <c r="AS4" s="146"/>
      <c r="AT4" s="146" t="s">
        <v>61</v>
      </c>
      <c r="AU4" s="146"/>
      <c r="AV4" s="146"/>
    </row>
    <row r="5" spans="1:62" ht="18" customHeight="1" x14ac:dyDescent="0.3">
      <c r="A5" s="132" t="s">
        <v>47</v>
      </c>
      <c r="B5" s="133"/>
      <c r="C5" s="133"/>
      <c r="D5" s="133"/>
      <c r="E5" s="133"/>
      <c r="F5" s="133"/>
      <c r="G5" s="133"/>
      <c r="H5" s="133"/>
      <c r="I5" s="133"/>
      <c r="J5" s="133"/>
      <c r="K5" s="133"/>
      <c r="L5" s="133"/>
      <c r="M5" s="133"/>
      <c r="N5" s="133"/>
      <c r="O5" s="133"/>
      <c r="P5" s="133"/>
      <c r="Q5" s="133"/>
      <c r="R5" s="133"/>
      <c r="S5" s="133"/>
      <c r="T5" s="133"/>
      <c r="U5" s="133"/>
      <c r="V5" s="133"/>
      <c r="W5" s="133"/>
      <c r="X5" s="133"/>
      <c r="Y5" s="133"/>
      <c r="Z5" s="133"/>
      <c r="AA5" s="133"/>
      <c r="AB5" s="133"/>
      <c r="AC5" s="133"/>
      <c r="AD5" s="133"/>
      <c r="AE5" s="133"/>
      <c r="AF5" s="133"/>
      <c r="AG5" s="133"/>
      <c r="AH5" s="133"/>
      <c r="AI5" s="133"/>
      <c r="AJ5" s="133"/>
      <c r="AK5" s="133"/>
      <c r="AL5" s="133"/>
      <c r="AM5" s="133"/>
      <c r="AN5" s="133"/>
      <c r="AO5" s="133"/>
      <c r="AP5" s="133"/>
      <c r="AQ5" s="133"/>
      <c r="AR5" s="133"/>
      <c r="AS5" s="133"/>
      <c r="AT5" s="133"/>
      <c r="AU5" s="133"/>
      <c r="AV5" s="133"/>
      <c r="AW5" s="133"/>
      <c r="AX5" s="133"/>
      <c r="AY5" s="134"/>
    </row>
    <row r="6" spans="1:62" ht="15" customHeight="1" thickBot="1" x14ac:dyDescent="0.35">
      <c r="A6" s="135"/>
      <c r="B6" s="136"/>
      <c r="C6" s="136"/>
      <c r="D6" s="136"/>
      <c r="E6" s="136"/>
      <c r="F6" s="136"/>
      <c r="G6" s="136"/>
      <c r="H6" s="136"/>
      <c r="I6" s="136"/>
      <c r="J6" s="136"/>
      <c r="K6" s="136"/>
      <c r="L6" s="136"/>
      <c r="M6" s="136"/>
      <c r="N6" s="136"/>
      <c r="O6" s="136"/>
      <c r="P6" s="136"/>
      <c r="Q6" s="136"/>
      <c r="R6" s="136"/>
      <c r="S6" s="136"/>
      <c r="T6" s="136"/>
      <c r="U6" s="136"/>
      <c r="V6" s="136"/>
      <c r="W6" s="136"/>
      <c r="X6" s="136"/>
      <c r="Y6" s="136"/>
      <c r="Z6" s="136"/>
      <c r="AA6" s="136"/>
      <c r="AB6" s="136"/>
      <c r="AC6" s="136"/>
      <c r="AD6" s="136"/>
      <c r="AE6" s="136"/>
      <c r="AF6" s="136"/>
      <c r="AG6" s="136"/>
      <c r="AH6" s="136"/>
      <c r="AI6" s="136"/>
      <c r="AJ6" s="136"/>
      <c r="AK6" s="136"/>
      <c r="AL6" s="136"/>
      <c r="AM6" s="136"/>
      <c r="AN6" s="136"/>
      <c r="AO6" s="136"/>
      <c r="AP6" s="136"/>
      <c r="AQ6" s="136"/>
      <c r="AR6" s="136"/>
      <c r="AS6" s="136"/>
      <c r="AT6" s="136"/>
      <c r="AU6" s="136"/>
      <c r="AV6" s="136"/>
      <c r="AW6" s="136"/>
      <c r="AX6" s="136"/>
      <c r="AY6" s="137"/>
    </row>
    <row r="7" spans="1:62" ht="15" thickBot="1" x14ac:dyDescent="0.35">
      <c r="A7" s="27" t="s">
        <v>45</v>
      </c>
      <c r="B7" s="17" t="s">
        <v>14</v>
      </c>
      <c r="C7" s="18" t="s">
        <v>15</v>
      </c>
      <c r="D7" s="156" t="s">
        <v>0</v>
      </c>
      <c r="E7" s="157"/>
      <c r="F7" s="158"/>
      <c r="G7" s="156" t="s">
        <v>1</v>
      </c>
      <c r="H7" s="157"/>
      <c r="I7" s="158"/>
      <c r="J7" s="156" t="s">
        <v>2</v>
      </c>
      <c r="K7" s="157"/>
      <c r="L7" s="158"/>
      <c r="M7" s="156" t="s">
        <v>3</v>
      </c>
      <c r="N7" s="157"/>
      <c r="O7" s="158"/>
      <c r="P7" s="156" t="s">
        <v>4</v>
      </c>
      <c r="Q7" s="157"/>
      <c r="R7" s="158"/>
      <c r="S7" s="156" t="s">
        <v>5</v>
      </c>
      <c r="T7" s="157"/>
      <c r="U7" s="158"/>
      <c r="V7" s="139" t="s">
        <v>6</v>
      </c>
      <c r="W7" s="140"/>
      <c r="X7" s="141"/>
      <c r="Y7" s="156" t="s">
        <v>7</v>
      </c>
      <c r="Z7" s="157"/>
      <c r="AA7" s="158"/>
      <c r="AB7" s="156" t="s">
        <v>8</v>
      </c>
      <c r="AC7" s="157"/>
      <c r="AD7" s="158"/>
      <c r="AE7" s="156" t="s">
        <v>9</v>
      </c>
      <c r="AF7" s="157"/>
      <c r="AG7" s="158"/>
      <c r="AH7" s="156" t="s">
        <v>10</v>
      </c>
      <c r="AI7" s="157"/>
      <c r="AJ7" s="158"/>
      <c r="AK7" s="156" t="s">
        <v>11</v>
      </c>
      <c r="AL7" s="157"/>
      <c r="AM7" s="158"/>
      <c r="AN7" s="156" t="s">
        <v>12</v>
      </c>
      <c r="AO7" s="157"/>
      <c r="AP7" s="158"/>
      <c r="AQ7" s="156" t="s">
        <v>13</v>
      </c>
      <c r="AR7" s="157"/>
      <c r="AS7" s="158"/>
      <c r="AT7" s="156" t="s">
        <v>40</v>
      </c>
      <c r="AU7" s="157"/>
      <c r="AV7" s="158"/>
      <c r="AW7" s="16" t="s">
        <v>141</v>
      </c>
      <c r="AX7" s="16" t="s">
        <v>142</v>
      </c>
      <c r="AY7" s="16" t="s">
        <v>75</v>
      </c>
    </row>
    <row r="8" spans="1:62" ht="15" customHeight="1" thickTop="1" x14ac:dyDescent="0.3">
      <c r="A8" s="123">
        <v>1</v>
      </c>
      <c r="B8" s="19">
        <v>43106</v>
      </c>
      <c r="C8" s="20" t="s">
        <v>16</v>
      </c>
      <c r="D8" s="78"/>
      <c r="E8" s="79"/>
      <c r="F8" s="80"/>
      <c r="G8" s="78" t="s">
        <v>18</v>
      </c>
      <c r="H8" s="79"/>
      <c r="I8" s="80"/>
      <c r="J8" s="78" t="s">
        <v>18</v>
      </c>
      <c r="K8" s="79"/>
      <c r="L8" s="80"/>
      <c r="M8" s="78" t="s">
        <v>18</v>
      </c>
      <c r="N8" s="79"/>
      <c r="O8" s="80"/>
      <c r="P8" s="78" t="s">
        <v>18</v>
      </c>
      <c r="Q8" s="79"/>
      <c r="R8" s="80"/>
      <c r="S8" s="78"/>
      <c r="T8" s="79"/>
      <c r="U8" s="80"/>
      <c r="V8" s="78" t="s">
        <v>18</v>
      </c>
      <c r="W8" s="79"/>
      <c r="X8" s="80"/>
      <c r="Y8" s="78"/>
      <c r="Z8" s="79"/>
      <c r="AA8" s="80"/>
      <c r="AB8" s="78"/>
      <c r="AC8" s="79"/>
      <c r="AD8" s="80"/>
      <c r="AE8" s="78"/>
      <c r="AF8" s="79"/>
      <c r="AG8" s="80"/>
      <c r="AH8" s="78"/>
      <c r="AI8" s="79"/>
      <c r="AJ8" s="80"/>
      <c r="AK8" s="78"/>
      <c r="AL8" s="79"/>
      <c r="AM8" s="80"/>
      <c r="AN8" s="78"/>
      <c r="AO8" s="79"/>
      <c r="AP8" s="80"/>
      <c r="AQ8" s="78"/>
      <c r="AR8" s="79"/>
      <c r="AS8" s="80"/>
      <c r="AT8" s="78"/>
      <c r="AU8" s="79"/>
      <c r="AV8" s="80"/>
      <c r="AW8" s="66">
        <f ca="1">'RC Template'!AW8</f>
        <v>79.182235742400024</v>
      </c>
      <c r="AX8" s="66">
        <f ca="1">'RC Template'!BC8</f>
        <v>23.961518168164748</v>
      </c>
      <c r="AY8" s="75"/>
    </row>
    <row r="9" spans="1:62" ht="15" customHeight="1" x14ac:dyDescent="0.3">
      <c r="A9" s="123">
        <f t="shared" ref="A9:A40" si="0">+A8+1</f>
        <v>2</v>
      </c>
      <c r="B9" s="19">
        <v>43106</v>
      </c>
      <c r="C9" s="24" t="s">
        <v>24</v>
      </c>
      <c r="D9" s="81" t="s">
        <v>18</v>
      </c>
      <c r="E9" s="82"/>
      <c r="F9" s="83"/>
      <c r="G9" s="81" t="s">
        <v>18</v>
      </c>
      <c r="H9" s="82"/>
      <c r="I9" s="83"/>
      <c r="J9" s="81" t="s">
        <v>28</v>
      </c>
      <c r="K9" s="82"/>
      <c r="L9" s="83"/>
      <c r="M9" s="81"/>
      <c r="N9" s="82"/>
      <c r="O9" s="83"/>
      <c r="P9" s="81"/>
      <c r="Q9" s="82"/>
      <c r="R9" s="83"/>
      <c r="S9" s="81"/>
      <c r="T9" s="82"/>
      <c r="U9" s="83"/>
      <c r="V9" s="81"/>
      <c r="W9" s="82"/>
      <c r="X9" s="83"/>
      <c r="Y9" s="81"/>
      <c r="Z9" s="82"/>
      <c r="AA9" s="83"/>
      <c r="AB9" s="81"/>
      <c r="AC9" s="82"/>
      <c r="AD9" s="83"/>
      <c r="AE9" s="81"/>
      <c r="AF9" s="82"/>
      <c r="AG9" s="83"/>
      <c r="AH9" s="81"/>
      <c r="AI9" s="82"/>
      <c r="AJ9" s="83"/>
      <c r="AK9" s="81"/>
      <c r="AL9" s="82"/>
      <c r="AM9" s="83"/>
      <c r="AN9" s="81"/>
      <c r="AO9" s="82"/>
      <c r="AP9" s="83"/>
      <c r="AQ9" s="81"/>
      <c r="AR9" s="82"/>
      <c r="AS9" s="83"/>
      <c r="AT9" s="81"/>
      <c r="AU9" s="82"/>
      <c r="AV9" s="83"/>
      <c r="AW9" s="66">
        <f ca="1">'RC Template'!AW9</f>
        <v>35.2575</v>
      </c>
      <c r="AX9" s="66">
        <f ca="1">'RC Template'!BC9</f>
        <v>27.056855878915592</v>
      </c>
      <c r="AY9" s="75"/>
    </row>
    <row r="10" spans="1:62" x14ac:dyDescent="0.3">
      <c r="A10" s="123">
        <f t="shared" si="0"/>
        <v>3</v>
      </c>
      <c r="B10" s="19">
        <v>43106</v>
      </c>
      <c r="C10" s="24" t="s">
        <v>43</v>
      </c>
      <c r="D10" s="81"/>
      <c r="E10" s="82"/>
      <c r="F10" s="83"/>
      <c r="G10" s="81"/>
      <c r="H10" s="82"/>
      <c r="I10" s="83"/>
      <c r="J10" s="81" t="s">
        <v>18</v>
      </c>
      <c r="K10" s="82"/>
      <c r="L10" s="83"/>
      <c r="M10" s="81" t="s">
        <v>18</v>
      </c>
      <c r="N10" s="82"/>
      <c r="O10" s="83"/>
      <c r="P10" s="81"/>
      <c r="Q10" s="82"/>
      <c r="R10" s="83"/>
      <c r="S10" s="81" t="s">
        <v>18</v>
      </c>
      <c r="T10" s="82"/>
      <c r="U10" s="83"/>
      <c r="V10" s="81" t="s">
        <v>18</v>
      </c>
      <c r="W10" s="82"/>
      <c r="X10" s="83"/>
      <c r="Y10" s="81" t="s">
        <v>27</v>
      </c>
      <c r="Z10" s="82"/>
      <c r="AA10" s="83"/>
      <c r="AB10" s="81"/>
      <c r="AC10" s="82"/>
      <c r="AD10" s="83"/>
      <c r="AE10" s="81"/>
      <c r="AF10" s="82"/>
      <c r="AG10" s="83"/>
      <c r="AH10" s="81"/>
      <c r="AI10" s="82"/>
      <c r="AJ10" s="83"/>
      <c r="AK10" s="81"/>
      <c r="AL10" s="82"/>
      <c r="AM10" s="83"/>
      <c r="AN10" s="81"/>
      <c r="AO10" s="82"/>
      <c r="AP10" s="83"/>
      <c r="AQ10" s="81"/>
      <c r="AR10" s="82"/>
      <c r="AS10" s="83"/>
      <c r="AT10" s="81"/>
      <c r="AU10" s="82"/>
      <c r="AV10" s="83"/>
      <c r="AW10" s="66">
        <f ca="1">'RC Template'!AW10</f>
        <v>103.24839734157318</v>
      </c>
      <c r="AX10" s="66">
        <f ca="1">'RC Template'!BC10</f>
        <v>50.710642505628265</v>
      </c>
      <c r="AY10" s="75"/>
    </row>
    <row r="11" spans="1:62" x14ac:dyDescent="0.3">
      <c r="A11" s="123">
        <f t="shared" si="0"/>
        <v>4</v>
      </c>
      <c r="B11" s="19">
        <v>43106</v>
      </c>
      <c r="C11" s="24" t="s">
        <v>44</v>
      </c>
      <c r="D11" s="81"/>
      <c r="E11" s="82"/>
      <c r="F11" s="83"/>
      <c r="G11" s="81" t="s">
        <v>18</v>
      </c>
      <c r="H11" s="82"/>
      <c r="I11" s="83"/>
      <c r="J11" s="81" t="s">
        <v>18</v>
      </c>
      <c r="K11" s="82"/>
      <c r="L11" s="83"/>
      <c r="M11" s="81" t="s">
        <v>26</v>
      </c>
      <c r="N11" s="82"/>
      <c r="O11" s="83"/>
      <c r="P11" s="81"/>
      <c r="Q11" s="82"/>
      <c r="R11" s="83"/>
      <c r="S11" s="81"/>
      <c r="T11" s="82"/>
      <c r="U11" s="83"/>
      <c r="V11" s="81" t="s">
        <v>23</v>
      </c>
      <c r="W11" s="82"/>
      <c r="X11" s="83"/>
      <c r="Y11" s="81"/>
      <c r="Z11" s="82"/>
      <c r="AA11" s="83"/>
      <c r="AB11" s="81"/>
      <c r="AC11" s="82"/>
      <c r="AD11" s="83"/>
      <c r="AE11" s="81"/>
      <c r="AF11" s="82"/>
      <c r="AG11" s="83"/>
      <c r="AH11" s="81"/>
      <c r="AI11" s="82"/>
      <c r="AJ11" s="83"/>
      <c r="AK11" s="81"/>
      <c r="AL11" s="82"/>
      <c r="AM11" s="83"/>
      <c r="AN11" s="81"/>
      <c r="AO11" s="82"/>
      <c r="AP11" s="83"/>
      <c r="AQ11" s="81"/>
      <c r="AR11" s="82"/>
      <c r="AS11" s="83"/>
      <c r="AT11" s="81"/>
      <c r="AU11" s="82"/>
      <c r="AV11" s="83"/>
      <c r="AW11" s="66">
        <f ca="1">'RC Template'!AW11</f>
        <v>47.960195371200015</v>
      </c>
      <c r="AX11" s="66">
        <f ca="1">'RC Template'!BC11</f>
        <v>79.923668493438342</v>
      </c>
      <c r="AY11" s="75"/>
    </row>
    <row r="12" spans="1:62" x14ac:dyDescent="0.3">
      <c r="A12" s="123">
        <f t="shared" si="0"/>
        <v>5</v>
      </c>
      <c r="B12" s="19">
        <v>43108</v>
      </c>
      <c r="C12" s="24" t="s">
        <v>16</v>
      </c>
      <c r="D12" s="81"/>
      <c r="E12" s="82"/>
      <c r="F12" s="83"/>
      <c r="G12" s="81" t="s">
        <v>18</v>
      </c>
      <c r="H12" s="82"/>
      <c r="I12" s="83"/>
      <c r="J12" s="81" t="s">
        <v>18</v>
      </c>
      <c r="K12" s="82"/>
      <c r="L12" s="83"/>
      <c r="M12" s="81" t="s">
        <v>18</v>
      </c>
      <c r="N12" s="82"/>
      <c r="O12" s="83"/>
      <c r="P12" s="81" t="s">
        <v>18</v>
      </c>
      <c r="Q12" s="82"/>
      <c r="R12" s="83"/>
      <c r="S12" s="81"/>
      <c r="T12" s="82"/>
      <c r="U12" s="83"/>
      <c r="V12" s="81" t="s">
        <v>18</v>
      </c>
      <c r="W12" s="82"/>
      <c r="X12" s="83"/>
      <c r="Y12" s="81"/>
      <c r="Z12" s="82"/>
      <c r="AA12" s="83"/>
      <c r="AB12" s="81"/>
      <c r="AC12" s="82"/>
      <c r="AD12" s="83"/>
      <c r="AE12" s="81"/>
      <c r="AF12" s="82"/>
      <c r="AG12" s="83"/>
      <c r="AH12" s="81"/>
      <c r="AI12" s="82"/>
      <c r="AJ12" s="83"/>
      <c r="AK12" s="81"/>
      <c r="AL12" s="82"/>
      <c r="AM12" s="83"/>
      <c r="AN12" s="81"/>
      <c r="AO12" s="82"/>
      <c r="AP12" s="83"/>
      <c r="AQ12" s="81"/>
      <c r="AR12" s="82"/>
      <c r="AS12" s="83"/>
      <c r="AT12" s="81"/>
      <c r="AU12" s="82"/>
      <c r="AV12" s="83"/>
      <c r="AW12" s="66">
        <f ca="1">'RC Template'!AW12</f>
        <v>79.182235742400024</v>
      </c>
      <c r="AX12" s="66">
        <f ca="1">'RC Template'!BC12</f>
        <v>23.961518168164748</v>
      </c>
      <c r="AY12" s="75"/>
    </row>
    <row r="13" spans="1:62" x14ac:dyDescent="0.3">
      <c r="A13" s="123">
        <f t="shared" si="0"/>
        <v>6</v>
      </c>
      <c r="B13" s="19">
        <v>43108</v>
      </c>
      <c r="C13" s="24" t="s">
        <v>25</v>
      </c>
      <c r="D13" s="81"/>
      <c r="E13" s="82"/>
      <c r="F13" s="83"/>
      <c r="G13" s="81" t="s">
        <v>18</v>
      </c>
      <c r="H13" s="82"/>
      <c r="I13" s="83"/>
      <c r="J13" s="81" t="s">
        <v>18</v>
      </c>
      <c r="K13" s="82"/>
      <c r="L13" s="83"/>
      <c r="M13" s="81" t="s">
        <v>18</v>
      </c>
      <c r="N13" s="82"/>
      <c r="O13" s="83"/>
      <c r="P13" s="81" t="s">
        <v>18</v>
      </c>
      <c r="Q13" s="82"/>
      <c r="R13" s="83"/>
      <c r="S13" s="81"/>
      <c r="T13" s="82"/>
      <c r="U13" s="83"/>
      <c r="V13" s="81" t="s">
        <v>23</v>
      </c>
      <c r="W13" s="82"/>
      <c r="X13" s="83"/>
      <c r="Y13" s="81"/>
      <c r="Z13" s="82"/>
      <c r="AA13" s="83"/>
      <c r="AB13" s="81"/>
      <c r="AC13" s="82"/>
      <c r="AD13" s="83"/>
      <c r="AE13" s="81"/>
      <c r="AF13" s="82"/>
      <c r="AG13" s="83"/>
      <c r="AH13" s="81"/>
      <c r="AI13" s="82"/>
      <c r="AJ13" s="83"/>
      <c r="AK13" s="81"/>
      <c r="AL13" s="82"/>
      <c r="AM13" s="83"/>
      <c r="AN13" s="81"/>
      <c r="AO13" s="82"/>
      <c r="AP13" s="83"/>
      <c r="AQ13" s="81"/>
      <c r="AR13" s="82"/>
      <c r="AS13" s="83"/>
      <c r="AT13" s="81"/>
      <c r="AU13" s="82"/>
      <c r="AV13" s="83"/>
      <c r="AW13" s="66">
        <f ca="1">'RC Template'!AW13</f>
        <v>61.553862871200025</v>
      </c>
      <c r="AX13" s="66">
        <f ca="1">'RC Template'!BC13</f>
        <v>47.236871488239167</v>
      </c>
      <c r="AY13" s="75"/>
    </row>
    <row r="14" spans="1:62" x14ac:dyDescent="0.3">
      <c r="A14" s="123">
        <f t="shared" si="0"/>
        <v>7</v>
      </c>
      <c r="B14" s="19">
        <v>43111</v>
      </c>
      <c r="C14" s="20" t="s">
        <v>16</v>
      </c>
      <c r="D14" s="81"/>
      <c r="E14" s="82"/>
      <c r="F14" s="83"/>
      <c r="G14" s="81" t="s">
        <v>18</v>
      </c>
      <c r="H14" s="82"/>
      <c r="I14" s="83"/>
      <c r="J14" s="81" t="s">
        <v>18</v>
      </c>
      <c r="K14" s="82"/>
      <c r="L14" s="83"/>
      <c r="M14" s="81" t="s">
        <v>18</v>
      </c>
      <c r="N14" s="82"/>
      <c r="O14" s="83"/>
      <c r="P14" s="81"/>
      <c r="Q14" s="82"/>
      <c r="R14" s="83"/>
      <c r="S14" s="81"/>
      <c r="T14" s="82"/>
      <c r="U14" s="83"/>
      <c r="V14" s="81" t="s">
        <v>18</v>
      </c>
      <c r="W14" s="82"/>
      <c r="X14" s="83"/>
      <c r="Y14" s="81"/>
      <c r="Z14" s="82"/>
      <c r="AA14" s="83"/>
      <c r="AB14" s="81"/>
      <c r="AC14" s="82"/>
      <c r="AD14" s="83"/>
      <c r="AE14" s="81" t="s">
        <v>27</v>
      </c>
      <c r="AF14" s="82"/>
      <c r="AG14" s="83"/>
      <c r="AH14" s="81"/>
      <c r="AI14" s="82"/>
      <c r="AJ14" s="83"/>
      <c r="AK14" s="81"/>
      <c r="AL14" s="82"/>
      <c r="AM14" s="83"/>
      <c r="AN14" s="81"/>
      <c r="AO14" s="82"/>
      <c r="AP14" s="83"/>
      <c r="AQ14" s="81"/>
      <c r="AR14" s="82"/>
      <c r="AS14" s="83"/>
      <c r="AT14" s="81"/>
      <c r="AU14" s="82"/>
      <c r="AV14" s="83"/>
      <c r="AW14" s="66">
        <f ca="1">'RC Template'!AW14</f>
        <v>116.34015040463962</v>
      </c>
      <c r="AX14" s="66">
        <f ca="1">'RC Template'!BC14</f>
        <v>35.205960042311077</v>
      </c>
      <c r="AY14" s="75"/>
    </row>
    <row r="15" spans="1:62" x14ac:dyDescent="0.3">
      <c r="A15" s="123">
        <f t="shared" si="0"/>
        <v>8</v>
      </c>
      <c r="B15" s="19">
        <v>43111</v>
      </c>
      <c r="C15" s="20" t="s">
        <v>24</v>
      </c>
      <c r="D15" s="81" t="s">
        <v>18</v>
      </c>
      <c r="E15" s="82"/>
      <c r="F15" s="83"/>
      <c r="G15" s="81" t="s">
        <v>18</v>
      </c>
      <c r="H15" s="82"/>
      <c r="I15" s="83"/>
      <c r="J15" s="81" t="s">
        <v>29</v>
      </c>
      <c r="K15" s="82"/>
      <c r="L15" s="83"/>
      <c r="M15" s="81"/>
      <c r="N15" s="82"/>
      <c r="O15" s="83"/>
      <c r="P15" s="81"/>
      <c r="Q15" s="82"/>
      <c r="R15" s="83"/>
      <c r="S15" s="81"/>
      <c r="T15" s="82"/>
      <c r="U15" s="83"/>
      <c r="V15" s="81" t="s">
        <v>23</v>
      </c>
      <c r="W15" s="82"/>
      <c r="X15" s="83"/>
      <c r="Y15" s="81"/>
      <c r="Z15" s="82"/>
      <c r="AA15" s="83"/>
      <c r="AB15" s="81"/>
      <c r="AC15" s="82"/>
      <c r="AD15" s="83"/>
      <c r="AE15" s="81"/>
      <c r="AF15" s="82"/>
      <c r="AG15" s="83"/>
      <c r="AH15" s="81"/>
      <c r="AI15" s="82"/>
      <c r="AJ15" s="83"/>
      <c r="AK15" s="81"/>
      <c r="AL15" s="82"/>
      <c r="AM15" s="83"/>
      <c r="AN15" s="81"/>
      <c r="AO15" s="82"/>
      <c r="AP15" s="83"/>
      <c r="AQ15" s="81"/>
      <c r="AR15" s="82"/>
      <c r="AS15" s="83"/>
      <c r="AT15" s="81"/>
      <c r="AU15" s="82"/>
      <c r="AV15" s="83"/>
      <c r="AW15" s="66">
        <f ca="1">'RC Template'!AW15</f>
        <v>40.46194787120001</v>
      </c>
      <c r="AX15" s="66">
        <f ca="1">'RC Template'!BC15</f>
        <v>31.050786134333237</v>
      </c>
      <c r="AY15" s="75"/>
      <c r="AZ15" s="52"/>
    </row>
    <row r="16" spans="1:62" x14ac:dyDescent="0.3">
      <c r="A16" s="123">
        <f t="shared" si="0"/>
        <v>9</v>
      </c>
      <c r="B16" s="19">
        <v>43111</v>
      </c>
      <c r="C16" s="20" t="s">
        <v>25</v>
      </c>
      <c r="D16" s="81" t="s">
        <v>18</v>
      </c>
      <c r="E16" s="82"/>
      <c r="F16" s="83"/>
      <c r="G16" s="81" t="s">
        <v>18</v>
      </c>
      <c r="H16" s="82"/>
      <c r="I16" s="83"/>
      <c r="J16" s="81"/>
      <c r="K16" s="82"/>
      <c r="L16" s="83"/>
      <c r="M16" s="81" t="s">
        <v>18</v>
      </c>
      <c r="N16" s="82"/>
      <c r="O16" s="83"/>
      <c r="P16" s="81"/>
      <c r="Q16" s="82"/>
      <c r="R16" s="83"/>
      <c r="S16" s="81"/>
      <c r="T16" s="82"/>
      <c r="U16" s="83"/>
      <c r="V16" s="81" t="s">
        <v>26</v>
      </c>
      <c r="W16" s="82"/>
      <c r="X16" s="83"/>
      <c r="Y16" s="81"/>
      <c r="Z16" s="82"/>
      <c r="AA16" s="83"/>
      <c r="AB16" s="81"/>
      <c r="AC16" s="82"/>
      <c r="AD16" s="83"/>
      <c r="AE16" s="81"/>
      <c r="AF16" s="82"/>
      <c r="AG16" s="83"/>
      <c r="AH16" s="81"/>
      <c r="AI16" s="82"/>
      <c r="AJ16" s="83"/>
      <c r="AK16" s="81"/>
      <c r="AL16" s="82"/>
      <c r="AM16" s="83"/>
      <c r="AN16" s="81"/>
      <c r="AO16" s="82"/>
      <c r="AP16" s="83"/>
      <c r="AQ16" s="81"/>
      <c r="AR16" s="82"/>
      <c r="AS16" s="83"/>
      <c r="AT16" s="81"/>
      <c r="AU16" s="82"/>
      <c r="AV16" s="83"/>
      <c r="AW16" s="66">
        <f ca="1">'RC Template'!AW16</f>
        <v>58.204667646209622</v>
      </c>
      <c r="AX16" s="66">
        <f ca="1">'RC Template'!BC16</f>
        <v>44.666675288482587</v>
      </c>
      <c r="AY16" s="75"/>
    </row>
    <row r="17" spans="1:70" ht="14.4" customHeight="1" x14ac:dyDescent="0.3">
      <c r="A17" s="123">
        <f t="shared" si="0"/>
        <v>10</v>
      </c>
      <c r="B17" s="19">
        <v>43113</v>
      </c>
      <c r="C17" s="24" t="s">
        <v>16</v>
      </c>
      <c r="D17" s="81"/>
      <c r="E17" s="82"/>
      <c r="F17" s="83"/>
      <c r="G17" s="81" t="s">
        <v>18</v>
      </c>
      <c r="H17" s="82"/>
      <c r="I17" s="83"/>
      <c r="J17" s="81" t="s">
        <v>18</v>
      </c>
      <c r="K17" s="82"/>
      <c r="L17" s="83"/>
      <c r="M17" s="81" t="s">
        <v>18</v>
      </c>
      <c r="N17" s="82"/>
      <c r="O17" s="83"/>
      <c r="P17" s="81"/>
      <c r="Q17" s="82"/>
      <c r="R17" s="83"/>
      <c r="S17" s="81" t="s">
        <v>18</v>
      </c>
      <c r="T17" s="82"/>
      <c r="U17" s="83"/>
      <c r="V17" s="81" t="s">
        <v>18</v>
      </c>
      <c r="W17" s="82"/>
      <c r="X17" s="83"/>
      <c r="Y17" s="81"/>
      <c r="Z17" s="82"/>
      <c r="AA17" s="83"/>
      <c r="AB17" s="81"/>
      <c r="AC17" s="82"/>
      <c r="AD17" s="83"/>
      <c r="AE17" s="81" t="s">
        <v>18</v>
      </c>
      <c r="AF17" s="82"/>
      <c r="AG17" s="83"/>
      <c r="AH17" s="81"/>
      <c r="AI17" s="82"/>
      <c r="AJ17" s="83"/>
      <c r="AK17" s="81"/>
      <c r="AL17" s="82"/>
      <c r="AM17" s="83"/>
      <c r="AN17" s="81"/>
      <c r="AO17" s="82"/>
      <c r="AP17" s="83"/>
      <c r="AQ17" s="81"/>
      <c r="AR17" s="82"/>
      <c r="AS17" s="83"/>
      <c r="AT17" s="81"/>
      <c r="AU17" s="82"/>
      <c r="AV17" s="83"/>
      <c r="AW17" s="66">
        <f ca="1">'RC Template'!AW17</f>
        <v>132.02338950933293</v>
      </c>
      <c r="AX17" s="66">
        <f ca="1">'RC Template'!BC17</f>
        <v>39.951901038033085</v>
      </c>
      <c r="AY17" s="75"/>
    </row>
    <row r="18" spans="1:70" ht="15" customHeight="1" x14ac:dyDescent="0.3">
      <c r="A18" s="123">
        <f t="shared" si="0"/>
        <v>11</v>
      </c>
      <c r="B18" s="19">
        <v>43113</v>
      </c>
      <c r="C18" s="24" t="s">
        <v>43</v>
      </c>
      <c r="D18" s="81" t="s">
        <v>18</v>
      </c>
      <c r="E18" s="82"/>
      <c r="F18" s="83"/>
      <c r="G18" s="81" t="s">
        <v>18</v>
      </c>
      <c r="H18" s="82"/>
      <c r="I18" s="83"/>
      <c r="J18" s="81" t="s">
        <v>18</v>
      </c>
      <c r="K18" s="82"/>
      <c r="L18" s="83"/>
      <c r="M18" s="81" t="s">
        <v>18</v>
      </c>
      <c r="N18" s="82"/>
      <c r="O18" s="83"/>
      <c r="P18" s="81" t="s">
        <v>18</v>
      </c>
      <c r="Q18" s="82"/>
      <c r="R18" s="83"/>
      <c r="S18" s="81"/>
      <c r="T18" s="82"/>
      <c r="U18" s="83"/>
      <c r="V18" s="81" t="s">
        <v>29</v>
      </c>
      <c r="W18" s="82"/>
      <c r="X18" s="83"/>
      <c r="Y18" s="81"/>
      <c r="Z18" s="82"/>
      <c r="AA18" s="83"/>
      <c r="AB18" s="81"/>
      <c r="AC18" s="82"/>
      <c r="AD18" s="83"/>
      <c r="AE18" s="81"/>
      <c r="AF18" s="82"/>
      <c r="AG18" s="83"/>
      <c r="AH18" s="81"/>
      <c r="AI18" s="82"/>
      <c r="AJ18" s="83"/>
      <c r="AK18" s="81"/>
      <c r="AL18" s="82"/>
      <c r="AM18" s="83"/>
      <c r="AN18" s="81"/>
      <c r="AO18" s="82"/>
      <c r="AP18" s="83"/>
      <c r="AQ18" s="81"/>
      <c r="AR18" s="82"/>
      <c r="AS18" s="83"/>
      <c r="AT18" s="81"/>
      <c r="AU18" s="82"/>
      <c r="AV18" s="83"/>
      <c r="AW18" s="66">
        <f ca="1">'RC Template'!AW18</f>
        <v>67.057440881588661</v>
      </c>
      <c r="AX18" s="66">
        <f ca="1">'RC Template'!BC18</f>
        <v>32.935386886817234</v>
      </c>
      <c r="AY18" s="76" t="s">
        <v>76</v>
      </c>
    </row>
    <row r="19" spans="1:70" x14ac:dyDescent="0.3">
      <c r="A19" s="123">
        <f t="shared" si="0"/>
        <v>12</v>
      </c>
      <c r="B19" s="48">
        <v>43116</v>
      </c>
      <c r="C19" s="24" t="s">
        <v>25</v>
      </c>
      <c r="D19" s="81" t="s">
        <v>18</v>
      </c>
      <c r="E19" s="82"/>
      <c r="F19" s="83"/>
      <c r="G19" s="81" t="s">
        <v>18</v>
      </c>
      <c r="H19" s="82"/>
      <c r="I19" s="83"/>
      <c r="J19" s="81" t="s">
        <v>18</v>
      </c>
      <c r="K19" s="82"/>
      <c r="L19" s="83"/>
      <c r="M19" s="81" t="s">
        <v>18</v>
      </c>
      <c r="N19" s="82"/>
      <c r="O19" s="83"/>
      <c r="P19" s="81" t="s">
        <v>18</v>
      </c>
      <c r="Q19" s="82"/>
      <c r="R19" s="83"/>
      <c r="S19" s="81"/>
      <c r="T19" s="82"/>
      <c r="U19" s="83"/>
      <c r="V19" s="81" t="s">
        <v>18</v>
      </c>
      <c r="W19" s="82"/>
      <c r="X19" s="83"/>
      <c r="Y19" s="81"/>
      <c r="Z19" s="82"/>
      <c r="AA19" s="83"/>
      <c r="AB19" s="81"/>
      <c r="AC19" s="82"/>
      <c r="AD19" s="83"/>
      <c r="AE19" s="81"/>
      <c r="AF19" s="82"/>
      <c r="AG19" s="83"/>
      <c r="AH19" s="81"/>
      <c r="AI19" s="82"/>
      <c r="AJ19" s="83"/>
      <c r="AK19" s="81"/>
      <c r="AL19" s="82"/>
      <c r="AM19" s="83"/>
      <c r="AN19" s="81"/>
      <c r="AO19" s="82"/>
      <c r="AP19" s="83"/>
      <c r="AQ19" s="81"/>
      <c r="AR19" s="82"/>
      <c r="AS19" s="83"/>
      <c r="AT19" s="81"/>
      <c r="AU19" s="82"/>
      <c r="AV19" s="83"/>
      <c r="AW19" s="66">
        <f ca="1">'RC Template'!AW19</f>
        <v>79.182235742400024</v>
      </c>
      <c r="AX19" s="66">
        <f ca="1">'RC Template'!BC19</f>
        <v>60.765010016377687</v>
      </c>
      <c r="AY19" s="75"/>
    </row>
    <row r="20" spans="1:70" x14ac:dyDescent="0.3">
      <c r="A20" s="123">
        <f t="shared" si="0"/>
        <v>13</v>
      </c>
      <c r="B20" s="48">
        <v>43116</v>
      </c>
      <c r="C20" s="24" t="s">
        <v>24</v>
      </c>
      <c r="D20" s="81" t="s">
        <v>18</v>
      </c>
      <c r="E20" s="82"/>
      <c r="F20" s="83"/>
      <c r="G20" s="81" t="s">
        <v>18</v>
      </c>
      <c r="H20" s="82"/>
      <c r="I20" s="83"/>
      <c r="J20" s="81" t="s">
        <v>28</v>
      </c>
      <c r="K20" s="82"/>
      <c r="L20" s="83"/>
      <c r="M20" s="81"/>
      <c r="N20" s="82"/>
      <c r="O20" s="83"/>
      <c r="P20" s="81"/>
      <c r="Q20" s="82"/>
      <c r="R20" s="83"/>
      <c r="S20" s="81"/>
      <c r="T20" s="82"/>
      <c r="U20" s="83"/>
      <c r="V20" s="81"/>
      <c r="W20" s="82"/>
      <c r="X20" s="83"/>
      <c r="Y20" s="81"/>
      <c r="Z20" s="82"/>
      <c r="AA20" s="83"/>
      <c r="AB20" s="81"/>
      <c r="AC20" s="82"/>
      <c r="AD20" s="83"/>
      <c r="AE20" s="81"/>
      <c r="AF20" s="82"/>
      <c r="AG20" s="83"/>
      <c r="AH20" s="81"/>
      <c r="AI20" s="82"/>
      <c r="AJ20" s="83"/>
      <c r="AK20" s="81"/>
      <c r="AL20" s="82"/>
      <c r="AM20" s="83"/>
      <c r="AN20" s="81"/>
      <c r="AO20" s="82"/>
      <c r="AP20" s="83"/>
      <c r="AQ20" s="81"/>
      <c r="AR20" s="82"/>
      <c r="AS20" s="83"/>
      <c r="AT20" s="81"/>
      <c r="AU20" s="82"/>
      <c r="AV20" s="83"/>
      <c r="AW20" s="66">
        <f ca="1">'RC Template'!AW20</f>
        <v>35.2575</v>
      </c>
      <c r="AX20" s="66">
        <f ca="1">'RC Template'!BC20</f>
        <v>27.056855878915592</v>
      </c>
      <c r="AY20" s="76" t="s">
        <v>77</v>
      </c>
    </row>
    <row r="21" spans="1:70" x14ac:dyDescent="0.3">
      <c r="A21" s="123">
        <f t="shared" si="0"/>
        <v>14</v>
      </c>
      <c r="B21" s="19">
        <v>43117</v>
      </c>
      <c r="C21" s="24" t="s">
        <v>16</v>
      </c>
      <c r="D21" s="81"/>
      <c r="E21" s="82"/>
      <c r="F21" s="83"/>
      <c r="G21" s="81" t="s">
        <v>18</v>
      </c>
      <c r="H21" s="82"/>
      <c r="I21" s="83"/>
      <c r="J21" s="81" t="s">
        <v>18</v>
      </c>
      <c r="K21" s="82"/>
      <c r="L21" s="83"/>
      <c r="M21" s="81" t="s">
        <v>18</v>
      </c>
      <c r="N21" s="82"/>
      <c r="O21" s="83"/>
      <c r="P21" s="81"/>
      <c r="Q21" s="82"/>
      <c r="R21" s="83"/>
      <c r="S21" s="81"/>
      <c r="T21" s="82"/>
      <c r="U21" s="83"/>
      <c r="V21" s="81" t="s">
        <v>18</v>
      </c>
      <c r="W21" s="82"/>
      <c r="X21" s="83"/>
      <c r="Y21" s="81"/>
      <c r="Z21" s="82"/>
      <c r="AA21" s="83"/>
      <c r="AB21" s="81" t="s">
        <v>18</v>
      </c>
      <c r="AC21" s="82"/>
      <c r="AD21" s="83"/>
      <c r="AE21" s="81" t="s">
        <v>18</v>
      </c>
      <c r="AF21" s="82"/>
      <c r="AG21" s="83"/>
      <c r="AH21" s="81"/>
      <c r="AI21" s="82"/>
      <c r="AJ21" s="83"/>
      <c r="AK21" s="81"/>
      <c r="AL21" s="82"/>
      <c r="AM21" s="83"/>
      <c r="AN21" s="81"/>
      <c r="AO21" s="82"/>
      <c r="AP21" s="83"/>
      <c r="AQ21" s="81"/>
      <c r="AR21" s="82"/>
      <c r="AS21" s="83"/>
      <c r="AT21" s="81"/>
      <c r="AU21" s="82"/>
      <c r="AV21" s="83"/>
      <c r="AW21" s="66">
        <f ca="1">'RC Template'!AW21</f>
        <v>157.15918816810114</v>
      </c>
      <c r="AX21" s="66">
        <f ca="1">'RC Template'!BC21</f>
        <v>47.55830278441487</v>
      </c>
      <c r="AY21" s="75"/>
    </row>
    <row r="22" spans="1:70" x14ac:dyDescent="0.3">
      <c r="A22" s="123">
        <f t="shared" si="0"/>
        <v>15</v>
      </c>
      <c r="B22" s="19">
        <v>43119</v>
      </c>
      <c r="C22" s="24" t="s">
        <v>16</v>
      </c>
      <c r="D22" s="81" t="s">
        <v>18</v>
      </c>
      <c r="E22" s="82"/>
      <c r="F22" s="83"/>
      <c r="G22" s="81"/>
      <c r="H22" s="82"/>
      <c r="I22" s="83"/>
      <c r="J22" s="81" t="s">
        <v>18</v>
      </c>
      <c r="K22" s="82"/>
      <c r="L22" s="83"/>
      <c r="M22" s="81" t="s">
        <v>18</v>
      </c>
      <c r="N22" s="82"/>
      <c r="O22" s="83"/>
      <c r="P22" s="81"/>
      <c r="Q22" s="82"/>
      <c r="R22" s="83"/>
      <c r="S22" s="81"/>
      <c r="T22" s="82"/>
      <c r="U22" s="83"/>
      <c r="V22" s="81" t="s">
        <v>18</v>
      </c>
      <c r="W22" s="82"/>
      <c r="X22" s="83"/>
      <c r="Y22" s="81" t="s">
        <v>28</v>
      </c>
      <c r="Z22" s="82"/>
      <c r="AA22" s="83"/>
      <c r="AB22" s="81" t="s">
        <v>18</v>
      </c>
      <c r="AC22" s="82"/>
      <c r="AD22" s="83"/>
      <c r="AE22" s="81" t="s">
        <v>18</v>
      </c>
      <c r="AF22" s="82"/>
      <c r="AG22" s="83"/>
      <c r="AH22" s="81"/>
      <c r="AI22" s="82"/>
      <c r="AJ22" s="83"/>
      <c r="AK22" s="81"/>
      <c r="AL22" s="82"/>
      <c r="AM22" s="83"/>
      <c r="AN22" s="81"/>
      <c r="AO22" s="82"/>
      <c r="AP22" s="83"/>
      <c r="AQ22" s="81"/>
      <c r="AR22" s="82"/>
      <c r="AS22" s="83"/>
      <c r="AT22" s="81"/>
      <c r="AU22" s="82"/>
      <c r="AV22" s="83"/>
      <c r="AW22" s="66">
        <f ca="1">'RC Template'!AW22</f>
        <v>157.15918816810114</v>
      </c>
      <c r="AX22" s="66">
        <f ca="1">'RC Template'!BC22</f>
        <v>47.55830278441487</v>
      </c>
      <c r="AY22" s="75"/>
    </row>
    <row r="23" spans="1:70" ht="14.4" customHeight="1" x14ac:dyDescent="0.3">
      <c r="A23" s="123">
        <f t="shared" si="0"/>
        <v>16</v>
      </c>
      <c r="B23" s="19">
        <v>43121</v>
      </c>
      <c r="C23" s="24" t="s">
        <v>16</v>
      </c>
      <c r="D23" s="81"/>
      <c r="E23" s="82"/>
      <c r="F23" s="83"/>
      <c r="G23" s="81"/>
      <c r="H23" s="82"/>
      <c r="I23" s="83"/>
      <c r="J23" s="81"/>
      <c r="K23" s="82"/>
      <c r="L23" s="83"/>
      <c r="M23" s="81"/>
      <c r="N23" s="82"/>
      <c r="O23" s="83"/>
      <c r="P23" s="81"/>
      <c r="Q23" s="82"/>
      <c r="R23" s="83"/>
      <c r="S23" s="81"/>
      <c r="T23" s="82"/>
      <c r="U23" s="83"/>
      <c r="V23" s="81" t="s">
        <v>18</v>
      </c>
      <c r="W23" s="82"/>
      <c r="X23" s="83"/>
      <c r="Y23" s="81"/>
      <c r="Z23" s="82"/>
      <c r="AA23" s="83"/>
      <c r="AB23" s="81"/>
      <c r="AC23" s="82"/>
      <c r="AD23" s="83"/>
      <c r="AE23" s="81" t="s">
        <v>18</v>
      </c>
      <c r="AF23" s="82" t="s">
        <v>18</v>
      </c>
      <c r="AG23" s="83"/>
      <c r="AH23" s="81"/>
      <c r="AI23" s="82"/>
      <c r="AJ23" s="83"/>
      <c r="AK23" s="81"/>
      <c r="AL23" s="82"/>
      <c r="AM23" s="83"/>
      <c r="AN23" s="81"/>
      <c r="AO23" s="82"/>
      <c r="AP23" s="83"/>
      <c r="AQ23" s="81"/>
      <c r="AR23" s="82"/>
      <c r="AS23" s="83"/>
      <c r="AT23" s="81"/>
      <c r="AU23" s="82"/>
      <c r="AV23" s="83"/>
      <c r="AW23" s="66">
        <f ca="1">'RC Template'!AW23</f>
        <v>170.99208943626581</v>
      </c>
      <c r="AX23" s="66">
        <f ca="1">'RC Template'!BC23</f>
        <v>51.74430879886831</v>
      </c>
      <c r="AY23" s="76" t="s">
        <v>88</v>
      </c>
    </row>
    <row r="24" spans="1:70" ht="15" customHeight="1" x14ac:dyDescent="0.3">
      <c r="A24" s="123">
        <f t="shared" si="0"/>
        <v>17</v>
      </c>
      <c r="B24" s="19">
        <v>43121</v>
      </c>
      <c r="C24" s="24" t="s">
        <v>106</v>
      </c>
      <c r="D24" s="81" t="s">
        <v>18</v>
      </c>
      <c r="E24" s="82"/>
      <c r="F24" s="83"/>
      <c r="G24" s="81" t="s">
        <v>18</v>
      </c>
      <c r="H24" s="82" t="s">
        <v>18</v>
      </c>
      <c r="I24" s="83" t="s">
        <v>18</v>
      </c>
      <c r="J24" s="81"/>
      <c r="K24" s="82"/>
      <c r="L24" s="83"/>
      <c r="M24" s="81"/>
      <c r="N24" s="82"/>
      <c r="O24" s="83"/>
      <c r="P24" s="81" t="s">
        <v>23</v>
      </c>
      <c r="Q24" s="82"/>
      <c r="R24" s="83"/>
      <c r="S24" s="81"/>
      <c r="T24" s="82"/>
      <c r="U24" s="83"/>
      <c r="V24" s="81"/>
      <c r="W24" s="82"/>
      <c r="X24" s="83"/>
      <c r="Y24" s="81"/>
      <c r="Z24" s="82"/>
      <c r="AA24" s="83"/>
      <c r="AB24" s="81"/>
      <c r="AC24" s="82"/>
      <c r="AD24" s="83"/>
      <c r="AE24" s="81"/>
      <c r="AF24" s="82"/>
      <c r="AG24" s="83"/>
      <c r="AH24" s="81"/>
      <c r="AI24" s="82"/>
      <c r="AJ24" s="83"/>
      <c r="AK24" s="81"/>
      <c r="AL24" s="82"/>
      <c r="AM24" s="83"/>
      <c r="AN24" s="81"/>
      <c r="AO24" s="82"/>
      <c r="AP24" s="83"/>
      <c r="AQ24" s="81"/>
      <c r="AR24" s="82"/>
      <c r="AS24" s="83"/>
      <c r="AT24" s="81"/>
      <c r="AU24" s="82"/>
      <c r="AV24" s="83"/>
      <c r="AW24" s="66">
        <f ca="1">'RC Template'!AW24</f>
        <v>37.5</v>
      </c>
      <c r="AX24" s="66">
        <f ca="1">'RC Template'!BC24</f>
        <v>43.254133865395978</v>
      </c>
      <c r="AY24" s="75"/>
    </row>
    <row r="25" spans="1:70" x14ac:dyDescent="0.3">
      <c r="A25" s="123">
        <f t="shared" si="0"/>
        <v>18</v>
      </c>
      <c r="B25" s="19">
        <v>43124</v>
      </c>
      <c r="C25" s="24" t="s">
        <v>25</v>
      </c>
      <c r="D25" s="81"/>
      <c r="E25" s="82"/>
      <c r="F25" s="83"/>
      <c r="G25" s="81"/>
      <c r="H25" s="82"/>
      <c r="I25" s="83"/>
      <c r="J25" s="81"/>
      <c r="K25" s="82"/>
      <c r="L25" s="83"/>
      <c r="M25" s="81" t="s">
        <v>18</v>
      </c>
      <c r="N25" s="82"/>
      <c r="O25" s="83"/>
      <c r="P25" s="81"/>
      <c r="Q25" s="82"/>
      <c r="R25" s="83"/>
      <c r="S25" s="81"/>
      <c r="T25" s="82"/>
      <c r="U25" s="83"/>
      <c r="V25" s="81" t="s">
        <v>27</v>
      </c>
      <c r="W25" s="82"/>
      <c r="X25" s="83"/>
      <c r="Y25" s="81"/>
      <c r="Z25" s="82"/>
      <c r="AA25" s="83"/>
      <c r="AB25" s="81" t="s">
        <v>23</v>
      </c>
      <c r="AC25" s="82"/>
      <c r="AD25" s="83"/>
      <c r="AE25" s="81"/>
      <c r="AF25" s="82"/>
      <c r="AG25" s="83"/>
      <c r="AH25" s="81"/>
      <c r="AI25" s="82"/>
      <c r="AJ25" s="83"/>
      <c r="AK25" s="81"/>
      <c r="AL25" s="82"/>
      <c r="AM25" s="83"/>
      <c r="AN25" s="81"/>
      <c r="AO25" s="82"/>
      <c r="AP25" s="83"/>
      <c r="AQ25" s="81"/>
      <c r="AR25" s="82"/>
      <c r="AS25" s="83"/>
      <c r="AT25" s="81"/>
      <c r="AU25" s="82"/>
      <c r="AV25" s="83"/>
      <c r="AW25" s="66">
        <f ca="1">'RC Template'!AW25</f>
        <v>78.750956457544135</v>
      </c>
      <c r="AX25" s="66">
        <f ca="1">'RC Template'!BC25</f>
        <v>60.434043230476597</v>
      </c>
      <c r="AY25" s="76" t="s">
        <v>124</v>
      </c>
    </row>
    <row r="26" spans="1:70" x14ac:dyDescent="0.3">
      <c r="A26" s="123">
        <f t="shared" si="0"/>
        <v>19</v>
      </c>
      <c r="B26" s="19">
        <v>43124</v>
      </c>
      <c r="C26" s="24" t="s">
        <v>16</v>
      </c>
      <c r="D26" s="81"/>
      <c r="E26" s="82"/>
      <c r="F26" s="83"/>
      <c r="G26" s="81"/>
      <c r="H26" s="82"/>
      <c r="I26" s="83"/>
      <c r="J26" s="81"/>
      <c r="K26" s="82"/>
      <c r="L26" s="83"/>
      <c r="M26" s="81" t="s">
        <v>18</v>
      </c>
      <c r="N26" s="82"/>
      <c r="O26" s="83"/>
      <c r="P26" s="81"/>
      <c r="Q26" s="82"/>
      <c r="R26" s="83"/>
      <c r="S26" s="81"/>
      <c r="T26" s="82"/>
      <c r="U26" s="83"/>
      <c r="V26" s="81" t="s">
        <v>18</v>
      </c>
      <c r="W26" s="82" t="s">
        <v>18</v>
      </c>
      <c r="X26" s="83"/>
      <c r="Y26" s="81"/>
      <c r="Z26" s="82"/>
      <c r="AA26" s="83"/>
      <c r="AB26" s="81"/>
      <c r="AC26" s="82"/>
      <c r="AD26" s="83"/>
      <c r="AE26" s="81" t="s">
        <v>27</v>
      </c>
      <c r="AF26" s="82" t="s">
        <v>18</v>
      </c>
      <c r="AG26" s="83" t="s">
        <v>18</v>
      </c>
      <c r="AH26" s="81" t="s">
        <v>23</v>
      </c>
      <c r="AI26" s="82"/>
      <c r="AJ26" s="83"/>
      <c r="AK26" s="81"/>
      <c r="AL26" s="82"/>
      <c r="AM26" s="83"/>
      <c r="AN26" s="81"/>
      <c r="AO26" s="82"/>
      <c r="AP26" s="83"/>
      <c r="AQ26" s="81"/>
      <c r="AR26" s="82"/>
      <c r="AS26" s="83"/>
      <c r="AT26" s="81"/>
      <c r="AU26" s="82"/>
      <c r="AV26" s="83"/>
      <c r="AW26" s="66">
        <f ca="1">'RC Template'!AW26</f>
        <v>196.8162483561054</v>
      </c>
      <c r="AX26" s="66">
        <f ca="1">'RC Template'!BC26</f>
        <v>59.559016824395385</v>
      </c>
      <c r="AY26" s="75"/>
    </row>
    <row r="27" spans="1:70" x14ac:dyDescent="0.3">
      <c r="A27" s="123">
        <f t="shared" si="0"/>
        <v>20</v>
      </c>
      <c r="B27" s="19">
        <v>43124</v>
      </c>
      <c r="C27" s="24" t="s">
        <v>24</v>
      </c>
      <c r="D27" s="81" t="s">
        <v>18</v>
      </c>
      <c r="E27" s="82"/>
      <c r="F27" s="83"/>
      <c r="G27" s="81" t="s">
        <v>18</v>
      </c>
      <c r="H27" s="82"/>
      <c r="I27" s="83"/>
      <c r="J27" s="81" t="s">
        <v>18</v>
      </c>
      <c r="K27" s="82"/>
      <c r="L27" s="83"/>
      <c r="M27" s="81"/>
      <c r="N27" s="82"/>
      <c r="O27" s="83"/>
      <c r="P27" s="81"/>
      <c r="Q27" s="82"/>
      <c r="R27" s="83"/>
      <c r="S27" s="81"/>
      <c r="T27" s="82"/>
      <c r="U27" s="83"/>
      <c r="V27" s="81" t="s">
        <v>28</v>
      </c>
      <c r="W27" s="82"/>
      <c r="X27" s="83"/>
      <c r="Y27" s="81"/>
      <c r="Z27" s="82"/>
      <c r="AA27" s="83"/>
      <c r="AB27" s="81"/>
      <c r="AC27" s="82"/>
      <c r="AD27" s="83"/>
      <c r="AE27" s="81"/>
      <c r="AF27" s="82"/>
      <c r="AG27" s="83"/>
      <c r="AH27" s="81"/>
      <c r="AI27" s="82"/>
      <c r="AJ27" s="83"/>
      <c r="AK27" s="81"/>
      <c r="AL27" s="82"/>
      <c r="AM27" s="83"/>
      <c r="AN27" s="81"/>
      <c r="AO27" s="82"/>
      <c r="AP27" s="83"/>
      <c r="AQ27" s="81"/>
      <c r="AR27" s="82"/>
      <c r="AS27" s="83"/>
      <c r="AT27" s="81"/>
      <c r="AU27" s="82"/>
      <c r="AV27" s="83"/>
      <c r="AW27" s="66">
        <f ca="1">'RC Template'!AW27</f>
        <v>56.807964051344015</v>
      </c>
      <c r="AX27" s="66">
        <f ca="1">'RC Template'!BC27</f>
        <v>43.594835031180111</v>
      </c>
      <c r="AY27" s="75"/>
    </row>
    <row r="28" spans="1:70" x14ac:dyDescent="0.3">
      <c r="A28" s="123">
        <f t="shared" si="0"/>
        <v>21</v>
      </c>
      <c r="B28" s="19">
        <v>43126</v>
      </c>
      <c r="C28" s="24" t="s">
        <v>16</v>
      </c>
      <c r="D28" s="81"/>
      <c r="E28" s="82"/>
      <c r="F28" s="83"/>
      <c r="G28" s="81"/>
      <c r="H28" s="82"/>
      <c r="I28" s="83"/>
      <c r="J28" s="81"/>
      <c r="K28" s="82"/>
      <c r="L28" s="83"/>
      <c r="M28" s="81" t="s">
        <v>18</v>
      </c>
      <c r="N28" s="82"/>
      <c r="O28" s="83"/>
      <c r="P28" s="81"/>
      <c r="Q28" s="82"/>
      <c r="R28" s="83"/>
      <c r="S28" s="81"/>
      <c r="T28" s="82"/>
      <c r="U28" s="83"/>
      <c r="V28" s="81"/>
      <c r="W28" s="82"/>
      <c r="X28" s="83"/>
      <c r="Y28" s="81"/>
      <c r="Z28" s="82"/>
      <c r="AA28" s="83"/>
      <c r="AB28" s="81"/>
      <c r="AC28" s="82"/>
      <c r="AD28" s="83"/>
      <c r="AE28" s="81" t="s">
        <v>18</v>
      </c>
      <c r="AF28" s="82" t="s">
        <v>18</v>
      </c>
      <c r="AG28" s="83" t="s">
        <v>18</v>
      </c>
      <c r="AH28" s="81"/>
      <c r="AI28" s="82"/>
      <c r="AJ28" s="83"/>
      <c r="AK28" s="81" t="s">
        <v>18</v>
      </c>
      <c r="AL28" s="82"/>
      <c r="AM28" s="83"/>
      <c r="AN28" s="81"/>
      <c r="AO28" s="82"/>
      <c r="AP28" s="83"/>
      <c r="AQ28" s="81"/>
      <c r="AR28" s="82"/>
      <c r="AS28" s="83"/>
      <c r="AT28" s="81"/>
      <c r="AU28" s="82"/>
      <c r="AV28" s="83"/>
      <c r="AW28" s="66">
        <f ca="1">'RC Template'!AW28</f>
        <v>245.88728980831175</v>
      </c>
      <c r="AX28" s="66">
        <f ca="1">'RC Template'!BC28</f>
        <v>74.408517350157737</v>
      </c>
      <c r="AY28" s="75"/>
    </row>
    <row r="29" spans="1:70" x14ac:dyDescent="0.3">
      <c r="A29" s="123">
        <f t="shared" si="0"/>
        <v>22</v>
      </c>
      <c r="B29" s="19">
        <v>43126</v>
      </c>
      <c r="C29" s="24" t="s">
        <v>106</v>
      </c>
      <c r="D29" s="81" t="s">
        <v>23</v>
      </c>
      <c r="E29" s="82" t="s">
        <v>18</v>
      </c>
      <c r="F29" s="83"/>
      <c r="G29" s="81" t="s">
        <v>18</v>
      </c>
      <c r="H29" s="82" t="s">
        <v>18</v>
      </c>
      <c r="I29" s="83"/>
      <c r="J29" s="81" t="s">
        <v>28</v>
      </c>
      <c r="K29" s="82" t="s">
        <v>18</v>
      </c>
      <c r="L29" s="83"/>
      <c r="M29" s="81"/>
      <c r="N29" s="82"/>
      <c r="O29" s="83"/>
      <c r="P29" s="81" t="s">
        <v>23</v>
      </c>
      <c r="Q29" s="82"/>
      <c r="R29" s="83"/>
      <c r="S29" s="81"/>
      <c r="T29" s="82"/>
      <c r="U29" s="83"/>
      <c r="V29" s="81" t="s">
        <v>23</v>
      </c>
      <c r="W29" s="82"/>
      <c r="X29" s="83"/>
      <c r="Y29" s="81"/>
      <c r="Z29" s="82"/>
      <c r="AA29" s="83"/>
      <c r="AB29" s="81"/>
      <c r="AC29" s="82"/>
      <c r="AD29" s="83"/>
      <c r="AE29" s="81"/>
      <c r="AF29" s="82"/>
      <c r="AG29" s="83"/>
      <c r="AH29" s="81"/>
      <c r="AI29" s="82"/>
      <c r="AJ29" s="83"/>
      <c r="AK29" s="81"/>
      <c r="AL29" s="82"/>
      <c r="AM29" s="83"/>
      <c r="AN29" s="81"/>
      <c r="AO29" s="82"/>
      <c r="AP29" s="83"/>
      <c r="AQ29" s="81"/>
      <c r="AR29" s="82"/>
      <c r="AS29" s="83"/>
      <c r="AT29" s="81"/>
      <c r="AU29" s="82"/>
      <c r="AV29" s="83"/>
      <c r="AW29" s="66">
        <f ca="1">'RC Template'!AW29</f>
        <v>46.135872871200014</v>
      </c>
      <c r="AX29" s="66">
        <f ca="1">'RC Template'!BC29</f>
        <v>53.215125897807361</v>
      </c>
      <c r="AY29" s="75"/>
    </row>
    <row r="30" spans="1:70" x14ac:dyDescent="0.3">
      <c r="A30" s="123">
        <f t="shared" si="0"/>
        <v>23</v>
      </c>
      <c r="B30" s="19">
        <v>43128</v>
      </c>
      <c r="C30" s="24" t="s">
        <v>16</v>
      </c>
      <c r="D30" s="81"/>
      <c r="E30" s="82"/>
      <c r="F30" s="83"/>
      <c r="G30" s="81"/>
      <c r="H30" s="82"/>
      <c r="I30" s="83"/>
      <c r="J30" s="81" t="s">
        <v>18</v>
      </c>
      <c r="K30" s="82"/>
      <c r="L30" s="83"/>
      <c r="M30" s="81" t="s">
        <v>18</v>
      </c>
      <c r="N30" s="82"/>
      <c r="O30" s="83"/>
      <c r="P30" s="81"/>
      <c r="Q30" s="82"/>
      <c r="R30" s="83"/>
      <c r="S30" s="81"/>
      <c r="T30" s="82"/>
      <c r="U30" s="83"/>
      <c r="V30" s="81"/>
      <c r="W30" s="82"/>
      <c r="X30" s="83"/>
      <c r="Y30" s="81"/>
      <c r="Z30" s="82"/>
      <c r="AA30" s="83"/>
      <c r="AB30" s="81" t="s">
        <v>18</v>
      </c>
      <c r="AC30" s="82"/>
      <c r="AD30" s="83"/>
      <c r="AE30" s="81" t="s">
        <v>18</v>
      </c>
      <c r="AF30" s="82"/>
      <c r="AG30" s="83"/>
      <c r="AH30" s="81"/>
      <c r="AI30" s="82"/>
      <c r="AJ30" s="83"/>
      <c r="AK30" s="81" t="s">
        <v>18</v>
      </c>
      <c r="AL30" s="82" t="s">
        <v>27</v>
      </c>
      <c r="AM30" s="83"/>
      <c r="AN30" s="81"/>
      <c r="AO30" s="82"/>
      <c r="AP30" s="83"/>
      <c r="AQ30" s="81"/>
      <c r="AR30" s="82"/>
      <c r="AS30" s="83"/>
      <c r="AT30" s="81"/>
      <c r="AU30" s="82"/>
      <c r="AV30" s="83"/>
      <c r="AW30" s="66">
        <f ca="1">'RC Template'!AW30</f>
        <v>277.15636946438019</v>
      </c>
      <c r="AX30" s="66">
        <f ca="1">'RC Template'!BC30</f>
        <v>83.870925341745533</v>
      </c>
      <c r="AY30" s="75"/>
      <c r="BR30">
        <f ca="1">(AX30+AX34+AX35)/3</f>
        <v>78.965500455660717</v>
      </c>
    </row>
    <row r="31" spans="1:70" x14ac:dyDescent="0.3">
      <c r="A31" s="123">
        <f t="shared" si="0"/>
        <v>24</v>
      </c>
      <c r="B31" s="19">
        <v>43128</v>
      </c>
      <c r="C31" s="24" t="s">
        <v>24</v>
      </c>
      <c r="D31" s="81"/>
      <c r="E31" s="82"/>
      <c r="F31" s="83"/>
      <c r="G31" s="81"/>
      <c r="H31" s="82"/>
      <c r="I31" s="83"/>
      <c r="J31" s="81" t="s">
        <v>18</v>
      </c>
      <c r="K31" s="82" t="s">
        <v>18</v>
      </c>
      <c r="L31" s="83"/>
      <c r="M31" s="81" t="s">
        <v>18</v>
      </c>
      <c r="N31" s="82" t="s">
        <v>23</v>
      </c>
      <c r="O31" s="83" t="s">
        <v>18</v>
      </c>
      <c r="P31" s="81"/>
      <c r="Q31" s="82"/>
      <c r="R31" s="83"/>
      <c r="S31" s="81"/>
      <c r="T31" s="82"/>
      <c r="U31" s="83"/>
      <c r="V31" s="81"/>
      <c r="W31" s="82"/>
      <c r="X31" s="83"/>
      <c r="Y31" s="81"/>
      <c r="Z31" s="82"/>
      <c r="AA31" s="83"/>
      <c r="AB31" s="81"/>
      <c r="AC31" s="82"/>
      <c r="AD31" s="83"/>
      <c r="AE31" s="81"/>
      <c r="AF31" s="82"/>
      <c r="AG31" s="83"/>
      <c r="AH31" s="81"/>
      <c r="AI31" s="82"/>
      <c r="AJ31" s="83"/>
      <c r="AK31" s="81"/>
      <c r="AL31" s="82"/>
      <c r="AM31" s="83"/>
      <c r="AN31" s="81"/>
      <c r="AO31" s="82"/>
      <c r="AP31" s="83"/>
      <c r="AQ31" s="81"/>
      <c r="AR31" s="82"/>
      <c r="AS31" s="83"/>
      <c r="AT31" s="81"/>
      <c r="AU31" s="82"/>
      <c r="AV31" s="83"/>
      <c r="AW31" s="66">
        <f ca="1">'RC Template'!AW31</f>
        <v>55.755000000000003</v>
      </c>
      <c r="AX31" s="66">
        <f ca="1">'RC Template'!BC31</f>
        <v>42.786782940620824</v>
      </c>
      <c r="AY31" s="75"/>
    </row>
    <row r="32" spans="1:70" x14ac:dyDescent="0.3">
      <c r="A32" s="123">
        <f t="shared" si="0"/>
        <v>25</v>
      </c>
      <c r="B32" s="19">
        <v>43128</v>
      </c>
      <c r="C32" s="24" t="s">
        <v>43</v>
      </c>
      <c r="D32" s="81"/>
      <c r="E32" s="82"/>
      <c r="F32" s="83"/>
      <c r="G32" s="81"/>
      <c r="H32" s="82"/>
      <c r="I32" s="83"/>
      <c r="J32" s="81"/>
      <c r="K32" s="82"/>
      <c r="L32" s="83"/>
      <c r="M32" s="81" t="s">
        <v>18</v>
      </c>
      <c r="N32" s="82"/>
      <c r="O32" s="83"/>
      <c r="P32" s="81" t="s">
        <v>18</v>
      </c>
      <c r="Q32" s="82"/>
      <c r="R32" s="83"/>
      <c r="S32" s="81"/>
      <c r="T32" s="82"/>
      <c r="U32" s="83"/>
      <c r="V32" s="81" t="s">
        <v>18</v>
      </c>
      <c r="W32" s="82" t="s">
        <v>18</v>
      </c>
      <c r="X32" s="83"/>
      <c r="Y32" s="81"/>
      <c r="Z32" s="82"/>
      <c r="AA32" s="83"/>
      <c r="AB32" s="81" t="s">
        <v>18</v>
      </c>
      <c r="AC32" s="82"/>
      <c r="AD32" s="83"/>
      <c r="AE32" s="81"/>
      <c r="AF32" s="82"/>
      <c r="AG32" s="83"/>
      <c r="AH32" s="81"/>
      <c r="AI32" s="82"/>
      <c r="AJ32" s="83"/>
      <c r="AK32" s="81"/>
      <c r="AL32" s="82"/>
      <c r="AM32" s="83"/>
      <c r="AN32" s="81"/>
      <c r="AO32" s="82"/>
      <c r="AP32" s="83"/>
      <c r="AQ32" s="81"/>
      <c r="AR32" s="82"/>
      <c r="AS32" s="83"/>
      <c r="AT32" s="81"/>
      <c r="AU32" s="82"/>
      <c r="AV32" s="83"/>
      <c r="AW32" s="66">
        <f ca="1">'RC Template'!AW32</f>
        <v>124.54826206356827</v>
      </c>
      <c r="AX32" s="66">
        <f ca="1">'RC Template'!BC32</f>
        <v>61.17211070413191</v>
      </c>
      <c r="AY32" s="76" t="s">
        <v>154</v>
      </c>
    </row>
    <row r="33" spans="1:70" x14ac:dyDescent="0.3">
      <c r="A33" s="123">
        <f t="shared" si="0"/>
        <v>26</v>
      </c>
      <c r="B33" s="19">
        <v>43128</v>
      </c>
      <c r="C33" s="24" t="s">
        <v>25</v>
      </c>
      <c r="D33" s="81"/>
      <c r="E33" s="82"/>
      <c r="F33" s="83"/>
      <c r="G33" s="81"/>
      <c r="H33" s="82"/>
      <c r="I33" s="83"/>
      <c r="J33" s="81"/>
      <c r="K33" s="82"/>
      <c r="L33" s="83"/>
      <c r="M33" s="81" t="s">
        <v>18</v>
      </c>
      <c r="N33" s="82"/>
      <c r="O33" s="83"/>
      <c r="P33" s="81" t="s">
        <v>18</v>
      </c>
      <c r="Q33" s="82" t="s">
        <v>23</v>
      </c>
      <c r="R33" s="83"/>
      <c r="S33" s="81"/>
      <c r="T33" s="82"/>
      <c r="U33" s="83"/>
      <c r="V33" s="81" t="s">
        <v>18</v>
      </c>
      <c r="W33" s="82"/>
      <c r="X33" s="83"/>
      <c r="Y33" s="81"/>
      <c r="Z33" s="82"/>
      <c r="AA33" s="83"/>
      <c r="AB33" s="81" t="s">
        <v>18</v>
      </c>
      <c r="AC33" s="82"/>
      <c r="AD33" s="83"/>
      <c r="AE33" s="81"/>
      <c r="AF33" s="82"/>
      <c r="AG33" s="83"/>
      <c r="AH33" s="81"/>
      <c r="AI33" s="82"/>
      <c r="AJ33" s="83"/>
      <c r="AK33" s="81"/>
      <c r="AL33" s="82"/>
      <c r="AM33" s="83"/>
      <c r="AN33" s="81"/>
      <c r="AO33" s="82"/>
      <c r="AP33" s="83"/>
      <c r="AQ33" s="81"/>
      <c r="AR33" s="82"/>
      <c r="AS33" s="83"/>
      <c r="AT33" s="81"/>
      <c r="AU33" s="82"/>
      <c r="AV33" s="83"/>
      <c r="AW33" s="66">
        <f ca="1">'RC Template'!AW33</f>
        <v>113.21450632116824</v>
      </c>
      <c r="AX33" s="66">
        <f ca="1">'RC Template'!BC33</f>
        <v>86.881616136550448</v>
      </c>
      <c r="AY33" s="76" t="s">
        <v>154</v>
      </c>
      <c r="BP33">
        <f>_xlfn.MINIFS($A$8:$A$77,$B$8:$B$77,$BI$8)+7</f>
        <v>7</v>
      </c>
    </row>
    <row r="34" spans="1:70" x14ac:dyDescent="0.3">
      <c r="A34" s="123">
        <f t="shared" si="0"/>
        <v>27</v>
      </c>
      <c r="B34" s="19">
        <v>43130</v>
      </c>
      <c r="C34" s="24" t="s">
        <v>16</v>
      </c>
      <c r="D34" s="81"/>
      <c r="E34" s="82"/>
      <c r="F34" s="83"/>
      <c r="G34" s="81"/>
      <c r="H34" s="82"/>
      <c r="I34" s="83"/>
      <c r="J34" s="81"/>
      <c r="K34" s="82"/>
      <c r="L34" s="83"/>
      <c r="M34" s="81" t="s">
        <v>18</v>
      </c>
      <c r="N34" s="82"/>
      <c r="O34" s="83"/>
      <c r="P34" s="81"/>
      <c r="Q34" s="82"/>
      <c r="R34" s="83"/>
      <c r="S34" s="81"/>
      <c r="T34" s="82"/>
      <c r="U34" s="83"/>
      <c r="V34" s="81" t="s">
        <v>18</v>
      </c>
      <c r="W34" s="82"/>
      <c r="X34" s="83"/>
      <c r="Y34" s="81"/>
      <c r="Z34" s="82"/>
      <c r="AA34" s="83"/>
      <c r="AB34" s="81"/>
      <c r="AC34" s="82"/>
      <c r="AD34" s="83"/>
      <c r="AE34" s="81" t="s">
        <v>18</v>
      </c>
      <c r="AF34" s="82" t="s">
        <v>18</v>
      </c>
      <c r="AG34" s="83"/>
      <c r="AH34" s="81"/>
      <c r="AI34" s="82"/>
      <c r="AJ34" s="83"/>
      <c r="AK34" s="81"/>
      <c r="AL34" s="82"/>
      <c r="AM34" s="83"/>
      <c r="AN34" s="81"/>
      <c r="AO34" s="82"/>
      <c r="AP34" s="83"/>
      <c r="AQ34" s="81" t="s">
        <v>23</v>
      </c>
      <c r="AR34" s="82"/>
      <c r="AS34" s="83"/>
      <c r="AT34" s="81"/>
      <c r="AU34" s="82"/>
      <c r="AV34" s="83"/>
      <c r="AW34" s="66">
        <f ca="1">'RC Template'!AW34</f>
        <v>228.52558066953725</v>
      </c>
      <c r="AX34" s="66">
        <f ca="1">'RC Template'!BC34</f>
        <v>69.15465068349107</v>
      </c>
      <c r="AY34" s="76" t="s">
        <v>155</v>
      </c>
    </row>
    <row r="35" spans="1:70" ht="14.4" customHeight="1" x14ac:dyDescent="0.3">
      <c r="A35" s="123">
        <f t="shared" si="0"/>
        <v>28</v>
      </c>
      <c r="B35" s="19">
        <v>43132</v>
      </c>
      <c r="C35" s="24" t="s">
        <v>16</v>
      </c>
      <c r="D35" s="81"/>
      <c r="E35" s="82"/>
      <c r="F35" s="83"/>
      <c r="G35" s="81" t="s">
        <v>18</v>
      </c>
      <c r="H35" s="82"/>
      <c r="I35" s="83"/>
      <c r="J35" s="81"/>
      <c r="K35" s="82"/>
      <c r="L35" s="83"/>
      <c r="M35" s="81"/>
      <c r="N35" s="82"/>
      <c r="O35" s="83"/>
      <c r="P35" s="81"/>
      <c r="Q35" s="82"/>
      <c r="R35" s="83"/>
      <c r="S35" s="81"/>
      <c r="T35" s="82"/>
      <c r="U35" s="83"/>
      <c r="V35" s="81"/>
      <c r="W35" s="82"/>
      <c r="X35" s="83"/>
      <c r="Y35" s="81"/>
      <c r="Z35" s="82"/>
      <c r="AA35" s="83"/>
      <c r="AB35" s="81"/>
      <c r="AC35" s="82"/>
      <c r="AD35" s="83"/>
      <c r="AE35" s="81" t="s">
        <v>18</v>
      </c>
      <c r="AF35" s="82" t="s">
        <v>18</v>
      </c>
      <c r="AG35" s="83"/>
      <c r="AH35" s="81"/>
      <c r="AI35" s="82"/>
      <c r="AJ35" s="83"/>
      <c r="AK35" s="81" t="s">
        <v>18</v>
      </c>
      <c r="AL35" s="82" t="s">
        <v>27</v>
      </c>
      <c r="AM35" s="83"/>
      <c r="AN35" s="81"/>
      <c r="AO35" s="82"/>
      <c r="AP35" s="83"/>
      <c r="AQ35" s="81"/>
      <c r="AR35" s="82"/>
      <c r="AS35" s="83"/>
      <c r="AT35" s="81"/>
      <c r="AU35" s="82"/>
      <c r="AV35" s="83"/>
      <c r="AW35" s="66">
        <f ca="1">'RC Template'!AW35</f>
        <v>277.15636946438019</v>
      </c>
      <c r="AX35" s="66">
        <f ca="1">'RC Template'!BC35</f>
        <v>83.870925341745533</v>
      </c>
      <c r="AY35" s="75"/>
      <c r="AZ35" s="131"/>
      <c r="BA35" s="131"/>
      <c r="BB35" s="131"/>
      <c r="BC35" s="131"/>
    </row>
    <row r="36" spans="1:70" ht="15" customHeight="1" x14ac:dyDescent="0.3">
      <c r="A36" s="123">
        <f t="shared" si="0"/>
        <v>29</v>
      </c>
      <c r="B36" s="19">
        <v>43132</v>
      </c>
      <c r="C36" s="24" t="s">
        <v>25</v>
      </c>
      <c r="D36" s="81" t="s">
        <v>18</v>
      </c>
      <c r="E36" s="82"/>
      <c r="F36" s="83"/>
      <c r="G36" s="81"/>
      <c r="H36" s="82"/>
      <c r="I36" s="83"/>
      <c r="J36" s="81"/>
      <c r="K36" s="82"/>
      <c r="L36" s="83"/>
      <c r="M36" s="81" t="s">
        <v>18</v>
      </c>
      <c r="N36" s="82"/>
      <c r="O36" s="83"/>
      <c r="P36" s="81"/>
      <c r="Q36" s="82"/>
      <c r="R36" s="83"/>
      <c r="S36" s="81"/>
      <c r="T36" s="82"/>
      <c r="U36" s="83"/>
      <c r="V36" s="81" t="s">
        <v>27</v>
      </c>
      <c r="W36" s="82"/>
      <c r="X36" s="83"/>
      <c r="Y36" s="81"/>
      <c r="Z36" s="82"/>
      <c r="AA36" s="83"/>
      <c r="AB36" s="81" t="s">
        <v>26</v>
      </c>
      <c r="AC36" s="82"/>
      <c r="AD36" s="83"/>
      <c r="AE36" s="81"/>
      <c r="AF36" s="82"/>
      <c r="AG36" s="83"/>
      <c r="AH36" s="81"/>
      <c r="AI36" s="82"/>
      <c r="AJ36" s="83"/>
      <c r="AK36" s="81"/>
      <c r="AL36" s="82"/>
      <c r="AM36" s="83"/>
      <c r="AN36" s="81"/>
      <c r="AO36" s="82"/>
      <c r="AP36" s="83"/>
      <c r="AQ36" s="81"/>
      <c r="AR36" s="82"/>
      <c r="AS36" s="83"/>
      <c r="AT36" s="81"/>
      <c r="AU36" s="82"/>
      <c r="AV36" s="83"/>
      <c r="AW36" s="66">
        <f ca="1">'RC Template'!AW36</f>
        <v>91.124918920082052</v>
      </c>
      <c r="AX36" s="66">
        <f ca="1">'RC Template'!BC36</f>
        <v>69.929909897143261</v>
      </c>
      <c r="AY36" s="75"/>
      <c r="AZ36" s="131"/>
      <c r="BA36" s="131"/>
      <c r="BB36" s="131"/>
      <c r="BC36" s="131"/>
    </row>
    <row r="37" spans="1:70" x14ac:dyDescent="0.3">
      <c r="A37" s="123">
        <f t="shared" si="0"/>
        <v>30</v>
      </c>
      <c r="B37" s="19">
        <v>43134</v>
      </c>
      <c r="C37" s="24" t="s">
        <v>16</v>
      </c>
      <c r="D37" s="81"/>
      <c r="E37" s="82"/>
      <c r="F37" s="83"/>
      <c r="G37" s="81"/>
      <c r="H37" s="82"/>
      <c r="I37" s="83"/>
      <c r="J37" s="81"/>
      <c r="K37" s="82"/>
      <c r="L37" s="83"/>
      <c r="M37" s="81" t="s">
        <v>18</v>
      </c>
      <c r="N37" s="82"/>
      <c r="O37" s="83"/>
      <c r="P37" s="81"/>
      <c r="Q37" s="82"/>
      <c r="R37" s="83"/>
      <c r="S37" s="81"/>
      <c r="T37" s="82"/>
      <c r="U37" s="83"/>
      <c r="V37" s="81" t="s">
        <v>18</v>
      </c>
      <c r="W37" s="82"/>
      <c r="X37" s="83"/>
      <c r="Y37" s="81"/>
      <c r="Z37" s="82"/>
      <c r="AA37" s="83"/>
      <c r="AB37" s="81"/>
      <c r="AC37" s="82"/>
      <c r="AD37" s="83"/>
      <c r="AE37" s="81" t="s">
        <v>18</v>
      </c>
      <c r="AF37" s="82" t="s">
        <v>18</v>
      </c>
      <c r="AG37" s="83"/>
      <c r="AH37" s="81"/>
      <c r="AI37" s="82"/>
      <c r="AJ37" s="83"/>
      <c r="AK37" s="81" t="s">
        <v>18</v>
      </c>
      <c r="AL37" s="82" t="s">
        <v>26</v>
      </c>
      <c r="AM37" s="83"/>
      <c r="AN37" s="81" t="s">
        <v>30</v>
      </c>
      <c r="AO37" s="82"/>
      <c r="AP37" s="83"/>
      <c r="AQ37" s="81" t="s">
        <v>23</v>
      </c>
      <c r="AR37" s="82"/>
      <c r="AS37" s="83"/>
      <c r="AT37" s="81"/>
      <c r="AU37" s="82"/>
      <c r="AV37" s="83"/>
      <c r="AW37" s="66">
        <f ca="1">'RC Template'!AW37</f>
        <v>286.97854356828344</v>
      </c>
      <c r="AX37" s="66">
        <f ca="1">'RC Template'!BC37</f>
        <v>86.843236000000019</v>
      </c>
      <c r="AY37" s="75"/>
      <c r="AZ37" s="131"/>
      <c r="BA37" s="131">
        <v>100</v>
      </c>
      <c r="BB37" s="131"/>
      <c r="BC37" s="131">
        <v>100</v>
      </c>
      <c r="BD37" s="131">
        <v>98</v>
      </c>
      <c r="BR37">
        <f ca="1">(AX37+AX40+AX45)/3</f>
        <v>87.200676002804073</v>
      </c>
    </row>
    <row r="38" spans="1:70" x14ac:dyDescent="0.3">
      <c r="A38" s="123">
        <f t="shared" si="0"/>
        <v>31</v>
      </c>
      <c r="B38" s="19">
        <v>43134</v>
      </c>
      <c r="C38" s="24" t="s">
        <v>43</v>
      </c>
      <c r="D38" s="81"/>
      <c r="E38" s="82"/>
      <c r="F38" s="83"/>
      <c r="G38" s="81"/>
      <c r="H38" s="82"/>
      <c r="I38" s="83"/>
      <c r="J38" s="81"/>
      <c r="K38" s="82"/>
      <c r="L38" s="83"/>
      <c r="M38" s="81"/>
      <c r="N38" s="82"/>
      <c r="O38" s="83"/>
      <c r="P38" s="81"/>
      <c r="Q38" s="82"/>
      <c r="R38" s="83"/>
      <c r="S38" s="81"/>
      <c r="T38" s="82"/>
      <c r="U38" s="83"/>
      <c r="V38" s="81" t="s">
        <v>18</v>
      </c>
      <c r="W38" s="82" t="s">
        <v>18</v>
      </c>
      <c r="X38" s="83"/>
      <c r="Y38" s="81"/>
      <c r="Z38" s="82"/>
      <c r="AA38" s="83"/>
      <c r="AB38" s="81" t="s">
        <v>26</v>
      </c>
      <c r="AC38" s="82"/>
      <c r="AD38" s="83"/>
      <c r="AE38" s="81" t="s">
        <v>28</v>
      </c>
      <c r="AF38" s="82"/>
      <c r="AG38" s="83"/>
      <c r="AH38" s="81"/>
      <c r="AI38" s="82"/>
      <c r="AJ38" s="83"/>
      <c r="AK38" s="81"/>
      <c r="AL38" s="82"/>
      <c r="AM38" s="83"/>
      <c r="AN38" s="81"/>
      <c r="AO38" s="82"/>
      <c r="AP38" s="83"/>
      <c r="AQ38" s="81"/>
      <c r="AR38" s="82"/>
      <c r="AS38" s="83"/>
      <c r="AT38" s="81"/>
      <c r="AU38" s="82"/>
      <c r="AV38" s="83"/>
      <c r="AW38" s="66">
        <f ca="1">'RC Template'!AW38</f>
        <v>129.6209076903377</v>
      </c>
      <c r="AX38" s="66">
        <f ca="1">'RC Template'!BC38</f>
        <v>63.663550044210325</v>
      </c>
      <c r="AY38" s="75"/>
      <c r="AZ38" s="131"/>
      <c r="BA38" s="131">
        <v>2</v>
      </c>
      <c r="BB38" s="131"/>
      <c r="BC38" s="131">
        <v>2</v>
      </c>
    </row>
    <row r="39" spans="1:70" x14ac:dyDescent="0.3">
      <c r="A39" s="123">
        <f t="shared" si="0"/>
        <v>32</v>
      </c>
      <c r="B39" s="19">
        <v>43134</v>
      </c>
      <c r="C39" s="24" t="s">
        <v>106</v>
      </c>
      <c r="D39" s="81" t="s">
        <v>18</v>
      </c>
      <c r="E39" s="82"/>
      <c r="F39" s="83"/>
      <c r="G39" s="81"/>
      <c r="H39" s="82"/>
      <c r="I39" s="83"/>
      <c r="J39" s="81" t="s">
        <v>18</v>
      </c>
      <c r="K39" s="82" t="s">
        <v>18</v>
      </c>
      <c r="L39" s="83"/>
      <c r="M39" s="81" t="s">
        <v>27</v>
      </c>
      <c r="N39" s="82" t="s">
        <v>23</v>
      </c>
      <c r="O39" s="83"/>
      <c r="P39" s="81" t="s">
        <v>23</v>
      </c>
      <c r="Q39" s="82"/>
      <c r="R39" s="83"/>
      <c r="S39" s="81"/>
      <c r="T39" s="82"/>
      <c r="U39" s="83"/>
      <c r="V39" s="81" t="s">
        <v>23</v>
      </c>
      <c r="W39" s="82"/>
      <c r="X39" s="83"/>
      <c r="Y39" s="81"/>
      <c r="Z39" s="82"/>
      <c r="AA39" s="83"/>
      <c r="AB39" s="81"/>
      <c r="AC39" s="82"/>
      <c r="AD39" s="83"/>
      <c r="AE39" s="81"/>
      <c r="AF39" s="82"/>
      <c r="AG39" s="83"/>
      <c r="AH39" s="81"/>
      <c r="AI39" s="82"/>
      <c r="AJ39" s="83"/>
      <c r="AK39" s="81"/>
      <c r="AL39" s="82"/>
      <c r="AM39" s="83"/>
      <c r="AN39" s="81"/>
      <c r="AO39" s="82"/>
      <c r="AP39" s="83"/>
      <c r="AQ39" s="81"/>
      <c r="AR39" s="82"/>
      <c r="AS39" s="83"/>
      <c r="AT39" s="81"/>
      <c r="AU39" s="82"/>
      <c r="AV39" s="83"/>
      <c r="AW39" s="66">
        <f ca="1">'RC Template'!AW39</f>
        <v>51.380622871200011</v>
      </c>
      <c r="AX39" s="66">
        <f ca="1">'RC Template'!BC39</f>
        <v>59.264649060221636</v>
      </c>
      <c r="AY39" s="75"/>
      <c r="AZ39" s="131"/>
      <c r="BA39" s="131">
        <f>1+(0.0759/2)</f>
        <v>1.0379499999999999</v>
      </c>
      <c r="BB39" s="131"/>
      <c r="BC39" s="131">
        <f>1+(0.0533/2)</f>
        <v>1.0266500000000001</v>
      </c>
    </row>
    <row r="40" spans="1:70" x14ac:dyDescent="0.3">
      <c r="A40" s="123">
        <f t="shared" si="0"/>
        <v>33</v>
      </c>
      <c r="B40" s="19">
        <v>43137</v>
      </c>
      <c r="C40" s="24" t="s">
        <v>16</v>
      </c>
      <c r="D40" s="81"/>
      <c r="E40" s="82"/>
      <c r="F40" s="83"/>
      <c r="G40" s="81"/>
      <c r="H40" s="82"/>
      <c r="I40" s="83"/>
      <c r="J40" s="81"/>
      <c r="K40" s="82"/>
      <c r="L40" s="83"/>
      <c r="M40" s="81"/>
      <c r="N40" s="82"/>
      <c r="O40" s="83"/>
      <c r="P40" s="81"/>
      <c r="Q40" s="82"/>
      <c r="R40" s="83"/>
      <c r="S40" s="81"/>
      <c r="T40" s="82"/>
      <c r="U40" s="83"/>
      <c r="V40" s="81" t="s">
        <v>18</v>
      </c>
      <c r="W40" s="82"/>
      <c r="X40" s="83"/>
      <c r="Y40" s="81"/>
      <c r="Z40" s="82"/>
      <c r="AA40" s="83"/>
      <c r="AB40" s="81"/>
      <c r="AC40" s="82"/>
      <c r="AD40" s="83"/>
      <c r="AE40" s="81" t="s">
        <v>18</v>
      </c>
      <c r="AF40" s="82" t="s">
        <v>18</v>
      </c>
      <c r="AG40" s="83"/>
      <c r="AH40" s="81"/>
      <c r="AI40" s="82"/>
      <c r="AJ40" s="83"/>
      <c r="AK40" s="81" t="s">
        <v>18</v>
      </c>
      <c r="AL40" s="82"/>
      <c r="AM40" s="83"/>
      <c r="AN40" s="81"/>
      <c r="AO40" s="82"/>
      <c r="AP40" s="83"/>
      <c r="AQ40" s="81" t="s">
        <v>23</v>
      </c>
      <c r="AR40" s="82"/>
      <c r="AS40" s="83"/>
      <c r="AT40" s="81"/>
      <c r="AU40" s="82"/>
      <c r="AV40" s="83"/>
      <c r="AW40" s="66">
        <f ca="1">'RC Template'!AW40</f>
        <v>270.80985493705032</v>
      </c>
      <c r="AX40" s="66">
        <f ca="1">'RC Template'!BC40</f>
        <v>81.950392008412209</v>
      </c>
      <c r="AY40" s="76" t="s">
        <v>163</v>
      </c>
      <c r="AZ40" s="131"/>
      <c r="BA40" s="131"/>
      <c r="BB40" s="131"/>
      <c r="BC40" s="131"/>
    </row>
    <row r="41" spans="1:70" x14ac:dyDescent="0.3">
      <c r="A41" s="123">
        <f>+A40+1</f>
        <v>34</v>
      </c>
      <c r="B41" s="19">
        <v>43137</v>
      </c>
      <c r="C41" s="24" t="s">
        <v>106</v>
      </c>
      <c r="D41" s="81" t="s">
        <v>18</v>
      </c>
      <c r="E41" s="82" t="s">
        <v>18</v>
      </c>
      <c r="F41" s="83"/>
      <c r="G41" s="81" t="s">
        <v>18</v>
      </c>
      <c r="H41" s="82"/>
      <c r="I41" s="83"/>
      <c r="J41" s="81" t="s">
        <v>18</v>
      </c>
      <c r="K41" s="82"/>
      <c r="L41" s="83"/>
      <c r="M41" s="81" t="s">
        <v>27</v>
      </c>
      <c r="N41" s="82"/>
      <c r="O41" s="83"/>
      <c r="P41" s="81"/>
      <c r="Q41" s="82"/>
      <c r="R41" s="83"/>
      <c r="S41" s="81"/>
      <c r="T41" s="82"/>
      <c r="U41" s="83"/>
      <c r="V41" s="81" t="s">
        <v>29</v>
      </c>
      <c r="W41" s="82"/>
      <c r="X41" s="83"/>
      <c r="Y41" s="81"/>
      <c r="Z41" s="82"/>
      <c r="AA41" s="83"/>
      <c r="AB41" s="81"/>
      <c r="AC41" s="82"/>
      <c r="AD41" s="83"/>
      <c r="AE41" s="81"/>
      <c r="AF41" s="82"/>
      <c r="AG41" s="83"/>
      <c r="AH41" s="81"/>
      <c r="AI41" s="82"/>
      <c r="AJ41" s="83"/>
      <c r="AK41" s="81"/>
      <c r="AL41" s="82"/>
      <c r="AM41" s="83"/>
      <c r="AN41" s="81"/>
      <c r="AO41" s="82"/>
      <c r="AP41" s="83"/>
      <c r="AQ41" s="81"/>
      <c r="AR41" s="82"/>
      <c r="AS41" s="83"/>
      <c r="AT41" s="81"/>
      <c r="AU41" s="82"/>
      <c r="AV41" s="83"/>
      <c r="AW41" s="66">
        <f ca="1">'RC Template'!AW41</f>
        <v>56.884200881588654</v>
      </c>
      <c r="AX41" s="66">
        <f ca="1">'RC Template'!BC41</f>
        <v>65.612715726888311</v>
      </c>
      <c r="AY41" s="76" t="s">
        <v>164</v>
      </c>
      <c r="AZ41" s="131"/>
      <c r="BA41" s="131">
        <f>(BA37+BA38)/BA39</f>
        <v>98.270629606435776</v>
      </c>
      <c r="BB41" s="131"/>
      <c r="BC41" s="131">
        <f>(BC37+BC38)/BC39</f>
        <v>99.352262212048885</v>
      </c>
    </row>
    <row r="42" spans="1:70" x14ac:dyDescent="0.3">
      <c r="A42" s="123">
        <f t="shared" ref="A42:A105" si="1">+A41+1</f>
        <v>35</v>
      </c>
      <c r="B42" s="19">
        <v>43137</v>
      </c>
      <c r="C42" s="24" t="s">
        <v>43</v>
      </c>
      <c r="D42" s="81"/>
      <c r="E42" s="82"/>
      <c r="F42" s="83"/>
      <c r="G42" s="81"/>
      <c r="H42" s="82"/>
      <c r="I42" s="83"/>
      <c r="J42" s="81"/>
      <c r="K42" s="82"/>
      <c r="L42" s="83"/>
      <c r="M42" s="81"/>
      <c r="N42" s="82"/>
      <c r="O42" s="83"/>
      <c r="P42" s="81"/>
      <c r="Q42" s="82"/>
      <c r="R42" s="83"/>
      <c r="S42" s="81"/>
      <c r="T42" s="82"/>
      <c r="U42" s="83"/>
      <c r="V42" s="81" t="s">
        <v>18</v>
      </c>
      <c r="W42" s="82" t="s">
        <v>18</v>
      </c>
      <c r="X42" s="83"/>
      <c r="Y42" s="81"/>
      <c r="Z42" s="82"/>
      <c r="AA42" s="83"/>
      <c r="AB42" s="81"/>
      <c r="AC42" s="82"/>
      <c r="AD42" s="83"/>
      <c r="AE42" s="81" t="s">
        <v>18</v>
      </c>
      <c r="AF42" s="82"/>
      <c r="AG42" s="83"/>
      <c r="AH42" s="81"/>
      <c r="AI42" s="82"/>
      <c r="AJ42" s="83"/>
      <c r="AK42" s="81"/>
      <c r="AL42" s="82"/>
      <c r="AM42" s="83"/>
      <c r="AN42" s="81"/>
      <c r="AO42" s="82"/>
      <c r="AP42" s="83"/>
      <c r="AQ42" s="81"/>
      <c r="AR42" s="82"/>
      <c r="AS42" s="83"/>
      <c r="AT42" s="81"/>
      <c r="AU42" s="82"/>
      <c r="AV42" s="83"/>
      <c r="AW42" s="66">
        <f ca="1">'RC Template'!AW42</f>
        <v>138.38116333173295</v>
      </c>
      <c r="AX42" s="66">
        <f ca="1">'RC Template'!BC42</f>
        <v>67.966165905830437</v>
      </c>
      <c r="AY42" s="76" t="s">
        <v>165</v>
      </c>
      <c r="AZ42" s="131"/>
      <c r="BA42" s="131"/>
      <c r="BB42" s="131"/>
      <c r="BC42" s="131"/>
    </row>
    <row r="43" spans="1:70" x14ac:dyDescent="0.3">
      <c r="A43" s="123">
        <f t="shared" si="1"/>
        <v>36</v>
      </c>
      <c r="B43" s="19">
        <v>43137</v>
      </c>
      <c r="C43" s="24" t="s">
        <v>25</v>
      </c>
      <c r="D43" s="81" t="s">
        <v>18</v>
      </c>
      <c r="E43" s="82"/>
      <c r="F43" s="83"/>
      <c r="G43" s="81"/>
      <c r="H43" s="82"/>
      <c r="I43" s="83"/>
      <c r="J43" s="81"/>
      <c r="K43" s="82"/>
      <c r="L43" s="83"/>
      <c r="M43" s="81" t="s">
        <v>18</v>
      </c>
      <c r="N43" s="82"/>
      <c r="O43" s="83"/>
      <c r="P43" s="81"/>
      <c r="Q43" s="82"/>
      <c r="R43" s="83"/>
      <c r="S43" s="81"/>
      <c r="T43" s="82"/>
      <c r="U43" s="83"/>
      <c r="V43" s="81" t="s">
        <v>18</v>
      </c>
      <c r="W43" s="82"/>
      <c r="X43" s="83"/>
      <c r="Y43" s="81"/>
      <c r="Z43" s="82"/>
      <c r="AA43" s="83"/>
      <c r="AB43" s="81" t="s">
        <v>28</v>
      </c>
      <c r="AC43" s="82"/>
      <c r="AD43" s="83"/>
      <c r="AE43" s="81"/>
      <c r="AF43" s="82"/>
      <c r="AG43" s="83"/>
      <c r="AH43" s="81"/>
      <c r="AI43" s="82"/>
      <c r="AJ43" s="83"/>
      <c r="AK43" s="81"/>
      <c r="AL43" s="82"/>
      <c r="AM43" s="83"/>
      <c r="AN43" s="81"/>
      <c r="AO43" s="82"/>
      <c r="AP43" s="83"/>
      <c r="AQ43" s="81"/>
      <c r="AR43" s="82"/>
      <c r="AS43" s="83"/>
      <c r="AT43" s="81"/>
      <c r="AU43" s="82"/>
      <c r="AV43" s="83"/>
      <c r="AW43" s="66">
        <f ca="1">'RC Template'!AW43</f>
        <v>99.027409911202284</v>
      </c>
      <c r="AX43" s="66">
        <f ca="1">'RC Template'!BC43</f>
        <v>75.994337602770969</v>
      </c>
      <c r="AY43" s="76" t="s">
        <v>165</v>
      </c>
      <c r="BA43" s="131">
        <f>MAX(BA41,$BD$37)</f>
        <v>98.270629606435776</v>
      </c>
      <c r="BB43" s="131"/>
      <c r="BC43" s="131">
        <f>MAX(BC41,$BD$37)</f>
        <v>99.352262212048885</v>
      </c>
    </row>
    <row r="44" spans="1:70" x14ac:dyDescent="0.3">
      <c r="A44" s="123">
        <f t="shared" si="1"/>
        <v>37</v>
      </c>
      <c r="B44" s="19">
        <v>43137</v>
      </c>
      <c r="C44" s="24" t="s">
        <v>160</v>
      </c>
      <c r="D44" s="81" t="s">
        <v>18</v>
      </c>
      <c r="E44" s="82" t="s">
        <v>23</v>
      </c>
      <c r="F44" s="83" t="s">
        <v>23</v>
      </c>
      <c r="G44" s="81" t="s">
        <v>23</v>
      </c>
      <c r="H44" s="82" t="s">
        <v>23</v>
      </c>
      <c r="I44" s="83"/>
      <c r="J44" s="81"/>
      <c r="K44" s="82"/>
      <c r="L44" s="83"/>
      <c r="M44" s="81" t="s">
        <v>23</v>
      </c>
      <c r="N44" s="82" t="s">
        <v>23</v>
      </c>
      <c r="O44" s="83"/>
      <c r="P44" s="81"/>
      <c r="Q44" s="82"/>
      <c r="R44" s="83"/>
      <c r="S44" s="81"/>
      <c r="T44" s="82"/>
      <c r="U44" s="83"/>
      <c r="V44" s="81"/>
      <c r="W44" s="82"/>
      <c r="X44" s="83"/>
      <c r="Y44" s="81"/>
      <c r="Z44" s="82"/>
      <c r="AA44" s="83"/>
      <c r="AB44" s="81"/>
      <c r="AC44" s="82"/>
      <c r="AD44" s="83"/>
      <c r="AE44" s="81"/>
      <c r="AF44" s="82"/>
      <c r="AG44" s="83"/>
      <c r="AH44" s="81"/>
      <c r="AI44" s="82"/>
      <c r="AJ44" s="83"/>
      <c r="AK44" s="81"/>
      <c r="AL44" s="82"/>
      <c r="AM44" s="83"/>
      <c r="AN44" s="81"/>
      <c r="AO44" s="82"/>
      <c r="AP44" s="83"/>
      <c r="AQ44" s="81"/>
      <c r="AR44" s="82"/>
      <c r="AS44" s="83"/>
      <c r="AT44" s="81"/>
      <c r="AU44" s="82"/>
      <c r="AV44" s="83"/>
      <c r="AW44" s="66">
        <f ca="1">'RC Template'!AW44</f>
        <v>30.002500000000001</v>
      </c>
      <c r="AX44" s="66">
        <f ca="1">'RC Template'!BC44</f>
        <v>49.997916927050781</v>
      </c>
      <c r="AY44" s="76" t="s">
        <v>164</v>
      </c>
      <c r="BA44" s="131">
        <v>2</v>
      </c>
      <c r="BB44" s="131"/>
      <c r="BC44" s="131">
        <v>2</v>
      </c>
    </row>
    <row r="45" spans="1:70" x14ac:dyDescent="0.3">
      <c r="A45" s="123">
        <f t="shared" si="1"/>
        <v>38</v>
      </c>
      <c r="B45" s="19">
        <v>43139</v>
      </c>
      <c r="C45" s="24" t="s">
        <v>16</v>
      </c>
      <c r="D45" s="81"/>
      <c r="E45" s="82"/>
      <c r="F45" s="83"/>
      <c r="G45" s="81"/>
      <c r="H45" s="82"/>
      <c r="I45" s="83"/>
      <c r="J45" s="81"/>
      <c r="K45" s="82"/>
      <c r="L45" s="83"/>
      <c r="M45" s="81" t="s">
        <v>18</v>
      </c>
      <c r="N45" s="82"/>
      <c r="O45" s="83"/>
      <c r="P45" s="81"/>
      <c r="Q45" s="82"/>
      <c r="R45" s="83"/>
      <c r="S45" s="81"/>
      <c r="T45" s="82"/>
      <c r="U45" s="83"/>
      <c r="V45" s="81"/>
      <c r="W45" s="82"/>
      <c r="X45" s="83"/>
      <c r="Y45" s="81"/>
      <c r="Z45" s="82"/>
      <c r="AA45" s="83"/>
      <c r="AB45" s="81"/>
      <c r="AC45" s="82"/>
      <c r="AD45" s="83"/>
      <c r="AE45" s="81" t="s">
        <v>18</v>
      </c>
      <c r="AF45" s="82"/>
      <c r="AG45" s="83"/>
      <c r="AH45" s="81"/>
      <c r="AI45" s="82"/>
      <c r="AJ45" s="83"/>
      <c r="AK45" s="81" t="s">
        <v>18</v>
      </c>
      <c r="AL45" s="82"/>
      <c r="AM45" s="83"/>
      <c r="AN45" s="81" t="s">
        <v>26</v>
      </c>
      <c r="AO45" s="82"/>
      <c r="AP45" s="83"/>
      <c r="AQ45" s="81" t="s">
        <v>23</v>
      </c>
      <c r="AR45" s="82"/>
      <c r="AS45" s="83"/>
      <c r="AT45" s="81"/>
      <c r="AU45" s="82"/>
      <c r="AV45" s="83"/>
      <c r="AW45" s="66">
        <f ca="1">'RC Template'!AW45</f>
        <v>306.69077627303841</v>
      </c>
      <c r="AX45" s="66">
        <f ca="1">'RC Template'!BC45</f>
        <v>92.80840000000002</v>
      </c>
      <c r="AY45" s="76" t="s">
        <v>124</v>
      </c>
      <c r="BA45" s="131">
        <f>1+(0.0635/2)</f>
        <v>1.0317499999999999</v>
      </c>
      <c r="BB45" s="131">
        <v>1.0634999999999999</v>
      </c>
      <c r="BC45" s="131">
        <f>1+(0.0635/2)</f>
        <v>1.0317499999999999</v>
      </c>
    </row>
    <row r="46" spans="1:70" x14ac:dyDescent="0.3">
      <c r="A46" s="123">
        <f t="shared" si="1"/>
        <v>39</v>
      </c>
      <c r="B46" s="19">
        <v>43139</v>
      </c>
      <c r="C46" s="24" t="s">
        <v>24</v>
      </c>
      <c r="D46" s="81"/>
      <c r="E46" s="82"/>
      <c r="F46" s="83"/>
      <c r="G46" s="81" t="s">
        <v>18</v>
      </c>
      <c r="H46" s="82"/>
      <c r="I46" s="83"/>
      <c r="J46" s="81" t="s">
        <v>18</v>
      </c>
      <c r="K46" s="82"/>
      <c r="L46" s="83"/>
      <c r="M46" s="81" t="s">
        <v>18</v>
      </c>
      <c r="N46" s="82"/>
      <c r="O46" s="83"/>
      <c r="P46" s="81"/>
      <c r="Q46" s="82"/>
      <c r="R46" s="83"/>
      <c r="S46" s="81"/>
      <c r="T46" s="82"/>
      <c r="U46" s="83"/>
      <c r="V46" s="81"/>
      <c r="W46" s="82"/>
      <c r="X46" s="83"/>
      <c r="Y46" s="81"/>
      <c r="Z46" s="82"/>
      <c r="AA46" s="83"/>
      <c r="AB46" s="81"/>
      <c r="AC46" s="82"/>
      <c r="AD46" s="83"/>
      <c r="AE46" s="81"/>
      <c r="AF46" s="82"/>
      <c r="AG46" s="83"/>
      <c r="AH46" s="81"/>
      <c r="AI46" s="82"/>
      <c r="AJ46" s="83"/>
      <c r="AK46" s="81"/>
      <c r="AL46" s="82"/>
      <c r="AM46" s="83"/>
      <c r="AN46" s="81"/>
      <c r="AO46" s="82"/>
      <c r="AP46" s="83"/>
      <c r="AQ46" s="81"/>
      <c r="AR46" s="82"/>
      <c r="AS46" s="83"/>
      <c r="AT46" s="81"/>
      <c r="AU46" s="82"/>
      <c r="AV46" s="83"/>
      <c r="AW46" s="66">
        <f ca="1">'RC Template'!AW46</f>
        <v>48.252499999999998</v>
      </c>
      <c r="AX46" s="66">
        <f ca="1">'RC Template'!BC46</f>
        <v>37.029311162089613</v>
      </c>
      <c r="AY46" s="76" t="s">
        <v>124</v>
      </c>
      <c r="BA46" s="131"/>
      <c r="BB46" s="131"/>
      <c r="BC46" s="131"/>
    </row>
    <row r="47" spans="1:70" x14ac:dyDescent="0.3">
      <c r="A47" s="123">
        <f t="shared" si="1"/>
        <v>40</v>
      </c>
      <c r="B47" s="19">
        <v>43142</v>
      </c>
      <c r="C47" s="24" t="s">
        <v>24</v>
      </c>
      <c r="D47" s="81"/>
      <c r="E47" s="82"/>
      <c r="F47" s="83"/>
      <c r="G47" s="81"/>
      <c r="H47" s="82"/>
      <c r="I47" s="83"/>
      <c r="J47" s="81" t="s">
        <v>18</v>
      </c>
      <c r="K47" s="82"/>
      <c r="L47" s="83"/>
      <c r="M47" s="81" t="s">
        <v>27</v>
      </c>
      <c r="N47" s="82" t="s">
        <v>18</v>
      </c>
      <c r="O47" s="83"/>
      <c r="P47" s="81"/>
      <c r="Q47" s="82"/>
      <c r="R47" s="83"/>
      <c r="S47" s="81"/>
      <c r="T47" s="82"/>
      <c r="U47" s="83"/>
      <c r="V47" s="81"/>
      <c r="W47" s="82"/>
      <c r="X47" s="83"/>
      <c r="Y47" s="81"/>
      <c r="Z47" s="82"/>
      <c r="AA47" s="83"/>
      <c r="AB47" s="81"/>
      <c r="AC47" s="82"/>
      <c r="AD47" s="83"/>
      <c r="AE47" s="81"/>
      <c r="AF47" s="82"/>
      <c r="AG47" s="83"/>
      <c r="AH47" s="81"/>
      <c r="AI47" s="82"/>
      <c r="AJ47" s="83"/>
      <c r="AK47" s="81"/>
      <c r="AL47" s="82"/>
      <c r="AM47" s="83"/>
      <c r="AN47" s="81"/>
      <c r="AO47" s="82"/>
      <c r="AP47" s="83"/>
      <c r="AQ47" s="81"/>
      <c r="AR47" s="82"/>
      <c r="AS47" s="83"/>
      <c r="AT47" s="81"/>
      <c r="AU47" s="82"/>
      <c r="AV47" s="83"/>
      <c r="AW47" s="66">
        <f ca="1">'RC Template'!AW47</f>
        <v>53.754750000000001</v>
      </c>
      <c r="AX47" s="66">
        <f ca="1">'RC Template'!BC47</f>
        <v>41.251776885971438</v>
      </c>
      <c r="AY47" s="75"/>
      <c r="BA47" s="131">
        <f>(BA43+BA44)/BA45</f>
        <v>97.185005676215923</v>
      </c>
      <c r="BB47" s="131"/>
      <c r="BC47" s="131">
        <f>(BC43+BC44)/BC45</f>
        <v>98.233353246473357</v>
      </c>
    </row>
    <row r="48" spans="1:70" x14ac:dyDescent="0.3">
      <c r="A48" s="123">
        <f t="shared" si="1"/>
        <v>41</v>
      </c>
      <c r="B48" s="19">
        <v>43146</v>
      </c>
      <c r="C48" s="24" t="s">
        <v>16</v>
      </c>
      <c r="D48" s="81"/>
      <c r="E48" s="82"/>
      <c r="F48" s="83"/>
      <c r="G48" s="81" t="s">
        <v>18</v>
      </c>
      <c r="H48" s="82"/>
      <c r="I48" s="83"/>
      <c r="J48" s="81"/>
      <c r="K48" s="82"/>
      <c r="L48" s="83"/>
      <c r="M48" s="81"/>
      <c r="N48" s="82"/>
      <c r="O48" s="83"/>
      <c r="P48" s="81"/>
      <c r="Q48" s="82"/>
      <c r="R48" s="83"/>
      <c r="S48" s="81"/>
      <c r="T48" s="82"/>
      <c r="U48" s="83"/>
      <c r="V48" s="81" t="s">
        <v>18</v>
      </c>
      <c r="W48" s="82" t="s">
        <v>18</v>
      </c>
      <c r="X48" s="83" t="s">
        <v>18</v>
      </c>
      <c r="Y48" s="81"/>
      <c r="Z48" s="82"/>
      <c r="AA48" s="83"/>
      <c r="AB48" s="81"/>
      <c r="AC48" s="82"/>
      <c r="AD48" s="83"/>
      <c r="AE48" s="81"/>
      <c r="AF48" s="82"/>
      <c r="AG48" s="83"/>
      <c r="AH48" s="81"/>
      <c r="AI48" s="82"/>
      <c r="AJ48" s="83"/>
      <c r="AK48" s="81"/>
      <c r="AL48" s="82"/>
      <c r="AM48" s="83"/>
      <c r="AN48" s="81"/>
      <c r="AO48" s="82"/>
      <c r="AP48" s="83"/>
      <c r="AQ48" s="81"/>
      <c r="AR48" s="82"/>
      <c r="AS48" s="83"/>
      <c r="AT48" s="81"/>
      <c r="AU48" s="82"/>
      <c r="AV48" s="83"/>
      <c r="AW48" s="66">
        <f ca="1">'RC Template'!AW48</f>
        <v>105.77023722720006</v>
      </c>
      <c r="AX48" s="66">
        <f ca="1">'RC Template'!BC48</f>
        <v>32.007374346131726</v>
      </c>
      <c r="AY48" s="76" t="s">
        <v>166</v>
      </c>
      <c r="BA48" s="131"/>
      <c r="BB48" s="131"/>
      <c r="BC48" s="131"/>
    </row>
    <row r="49" spans="1:56" x14ac:dyDescent="0.3">
      <c r="A49" s="123">
        <f t="shared" si="1"/>
        <v>42</v>
      </c>
      <c r="B49" s="19">
        <v>43146</v>
      </c>
      <c r="C49" s="24" t="s">
        <v>24</v>
      </c>
      <c r="D49" s="81"/>
      <c r="E49" s="82"/>
      <c r="F49" s="83"/>
      <c r="G49" s="81" t="s">
        <v>18</v>
      </c>
      <c r="H49" s="82"/>
      <c r="I49" s="83"/>
      <c r="J49" s="81"/>
      <c r="K49" s="82"/>
      <c r="L49" s="83"/>
      <c r="M49" s="81" t="s">
        <v>18</v>
      </c>
      <c r="N49" s="82"/>
      <c r="O49" s="83"/>
      <c r="P49" s="81"/>
      <c r="Q49" s="82"/>
      <c r="R49" s="83"/>
      <c r="S49" s="81" t="s">
        <v>28</v>
      </c>
      <c r="T49" s="82"/>
      <c r="U49" s="83"/>
      <c r="V49" s="81" t="s">
        <v>18</v>
      </c>
      <c r="W49" s="82" t="s">
        <v>18</v>
      </c>
      <c r="X49" s="83" t="s">
        <v>29</v>
      </c>
      <c r="Y49" s="81"/>
      <c r="Z49" s="82"/>
      <c r="AA49" s="83"/>
      <c r="AB49" s="81"/>
      <c r="AC49" s="82"/>
      <c r="AD49" s="83"/>
      <c r="AE49" s="81"/>
      <c r="AF49" s="82"/>
      <c r="AG49" s="83"/>
      <c r="AH49" s="81"/>
      <c r="AI49" s="82"/>
      <c r="AJ49" s="83"/>
      <c r="AK49" s="81"/>
      <c r="AL49" s="82"/>
      <c r="AM49" s="83"/>
      <c r="AN49" s="81"/>
      <c r="AO49" s="82"/>
      <c r="AP49" s="83"/>
      <c r="AQ49" s="81"/>
      <c r="AR49" s="82"/>
      <c r="AS49" s="83"/>
      <c r="AT49" s="81"/>
      <c r="AU49" s="82"/>
      <c r="AV49" s="83"/>
      <c r="AW49" s="66">
        <f ca="1">'RC Template'!AW49</f>
        <v>93.921658740000055</v>
      </c>
      <c r="AX49" s="66">
        <f ca="1">'RC Template'!BC49</f>
        <v>72.076147895820014</v>
      </c>
      <c r="AY49" s="75"/>
      <c r="BA49" s="131"/>
      <c r="BB49" s="131"/>
      <c r="BC49" s="131"/>
      <c r="BD49" s="131">
        <f>MAX(AVERAGE(BC47,BA47),BD37)</f>
        <v>98</v>
      </c>
    </row>
    <row r="50" spans="1:56" x14ac:dyDescent="0.3">
      <c r="A50" s="123">
        <f t="shared" si="1"/>
        <v>43</v>
      </c>
      <c r="B50" s="19">
        <v>43149</v>
      </c>
      <c r="C50" s="24" t="s">
        <v>24</v>
      </c>
      <c r="D50" s="81"/>
      <c r="E50" s="82"/>
      <c r="F50" s="83"/>
      <c r="G50" s="81"/>
      <c r="H50" s="82"/>
      <c r="I50" s="83"/>
      <c r="J50" s="81" t="s">
        <v>18</v>
      </c>
      <c r="K50" s="82"/>
      <c r="L50" s="83"/>
      <c r="M50" s="81"/>
      <c r="N50" s="82"/>
      <c r="O50" s="83"/>
      <c r="P50" s="81"/>
      <c r="Q50" s="82"/>
      <c r="R50" s="83"/>
      <c r="S50" s="81"/>
      <c r="T50" s="82"/>
      <c r="U50" s="83"/>
      <c r="V50" s="81" t="s">
        <v>18</v>
      </c>
      <c r="W50" s="82" t="s">
        <v>18</v>
      </c>
      <c r="X50" s="83"/>
      <c r="Y50" s="81"/>
      <c r="Z50" s="82"/>
      <c r="AA50" s="83"/>
      <c r="AB50" s="81"/>
      <c r="AC50" s="82"/>
      <c r="AD50" s="83"/>
      <c r="AE50" s="81"/>
      <c r="AF50" s="82"/>
      <c r="AG50" s="83"/>
      <c r="AH50" s="81"/>
      <c r="AI50" s="82"/>
      <c r="AJ50" s="83"/>
      <c r="AK50" s="81"/>
      <c r="AL50" s="82"/>
      <c r="AM50" s="83"/>
      <c r="AN50" s="81"/>
      <c r="AO50" s="82"/>
      <c r="AP50" s="83"/>
      <c r="AQ50" s="81"/>
      <c r="AR50" s="82"/>
      <c r="AS50" s="83"/>
      <c r="AT50" s="81"/>
      <c r="AU50" s="82"/>
      <c r="AV50" s="83"/>
      <c r="AW50" s="66">
        <f ca="1">'RC Template'!AW50</f>
        <v>86.263491484800042</v>
      </c>
      <c r="AX50" s="66">
        <f ca="1">'RC Template'!BC50</f>
        <v>66.199215960187104</v>
      </c>
      <c r="AY50" s="75"/>
    </row>
    <row r="51" spans="1:56" x14ac:dyDescent="0.3">
      <c r="A51" s="123">
        <f t="shared" si="1"/>
        <v>44</v>
      </c>
      <c r="B51" s="19">
        <v>43149</v>
      </c>
      <c r="C51" s="24" t="s">
        <v>16</v>
      </c>
      <c r="D51" s="81"/>
      <c r="E51" s="82"/>
      <c r="F51" s="83"/>
      <c r="G51" s="81"/>
      <c r="H51" s="82"/>
      <c r="I51" s="83"/>
      <c r="J51" s="81"/>
      <c r="K51" s="82"/>
      <c r="L51" s="83"/>
      <c r="M51" s="81" t="s">
        <v>18</v>
      </c>
      <c r="N51" s="82"/>
      <c r="O51" s="83"/>
      <c r="P51" s="81"/>
      <c r="Q51" s="82"/>
      <c r="R51" s="83"/>
      <c r="S51" s="81"/>
      <c r="T51" s="82"/>
      <c r="U51" s="83"/>
      <c r="V51" s="81"/>
      <c r="W51" s="82"/>
      <c r="X51" s="83"/>
      <c r="Y51" s="81"/>
      <c r="Z51" s="82"/>
      <c r="AA51" s="83"/>
      <c r="AB51" s="81" t="s">
        <v>18</v>
      </c>
      <c r="AC51" s="82"/>
      <c r="AD51" s="83"/>
      <c r="AE51" s="81" t="s">
        <v>18</v>
      </c>
      <c r="AF51" s="82" t="s">
        <v>18</v>
      </c>
      <c r="AG51" s="83"/>
      <c r="AH51" s="81" t="s">
        <v>18</v>
      </c>
      <c r="AI51" s="82"/>
      <c r="AJ51" s="83"/>
      <c r="AK51" s="81"/>
      <c r="AL51" s="82"/>
      <c r="AM51" s="83"/>
      <c r="AN51" s="81"/>
      <c r="AO51" s="82"/>
      <c r="AP51" s="83"/>
      <c r="AQ51" s="81"/>
      <c r="AR51" s="82"/>
      <c r="AS51" s="83"/>
      <c r="AT51" s="81"/>
      <c r="AU51" s="82"/>
      <c r="AV51" s="83"/>
      <c r="AW51" s="66">
        <f ca="1">'RC Template'!AW51</f>
        <v>221.7915515957767</v>
      </c>
      <c r="AX51" s="66">
        <f ca="1">'RC Template'!BC51</f>
        <v>67.116850683491066</v>
      </c>
      <c r="AY51" s="75"/>
    </row>
    <row r="52" spans="1:56" x14ac:dyDescent="0.3">
      <c r="A52" s="123">
        <f t="shared" si="1"/>
        <v>45</v>
      </c>
      <c r="B52" s="48">
        <v>43149</v>
      </c>
      <c r="C52" s="24" t="s">
        <v>25</v>
      </c>
      <c r="D52" s="81"/>
      <c r="E52" s="82"/>
      <c r="F52" s="83"/>
      <c r="G52" s="81"/>
      <c r="H52" s="82"/>
      <c r="I52" s="83"/>
      <c r="J52" s="81"/>
      <c r="K52" s="82"/>
      <c r="L52" s="83"/>
      <c r="M52" s="81" t="s">
        <v>18</v>
      </c>
      <c r="N52" s="82"/>
      <c r="O52" s="83"/>
      <c r="P52" s="81"/>
      <c r="Q52" s="82"/>
      <c r="R52" s="83"/>
      <c r="S52" s="81"/>
      <c r="T52" s="82"/>
      <c r="U52" s="83"/>
      <c r="V52" s="81" t="s">
        <v>18</v>
      </c>
      <c r="W52" s="82" t="s">
        <v>18</v>
      </c>
      <c r="X52" s="83"/>
      <c r="Y52" s="81"/>
      <c r="Z52" s="82"/>
      <c r="AA52" s="83"/>
      <c r="AB52" s="81"/>
      <c r="AC52" s="82"/>
      <c r="AD52" s="83"/>
      <c r="AE52" s="81"/>
      <c r="AF52" s="82"/>
      <c r="AG52" s="83"/>
      <c r="AH52" s="81"/>
      <c r="AI52" s="82"/>
      <c r="AJ52" s="83"/>
      <c r="AK52" s="81"/>
      <c r="AL52" s="82"/>
      <c r="AM52" s="83"/>
      <c r="AN52" s="81"/>
      <c r="AO52" s="82"/>
      <c r="AP52" s="83"/>
      <c r="AQ52" s="81"/>
      <c r="AR52" s="82"/>
      <c r="AS52" s="83"/>
      <c r="AT52" s="81"/>
      <c r="AU52" s="82"/>
      <c r="AV52" s="83"/>
      <c r="AW52" s="66">
        <f ca="1">'RC Template'!AW52</f>
        <v>90.51599148480004</v>
      </c>
      <c r="AX52" s="66">
        <f ca="1">'RC Template'!BC52</f>
        <v>69.462614659048015</v>
      </c>
      <c r="AY52" s="75"/>
    </row>
    <row r="53" spans="1:56" x14ac:dyDescent="0.3">
      <c r="A53" s="123">
        <f t="shared" si="1"/>
        <v>46</v>
      </c>
      <c r="B53" s="19">
        <v>43149</v>
      </c>
      <c r="C53" s="24" t="s">
        <v>43</v>
      </c>
      <c r="D53" s="81"/>
      <c r="E53" s="82"/>
      <c r="F53" s="83"/>
      <c r="G53" s="81"/>
      <c r="H53" s="82"/>
      <c r="I53" s="83"/>
      <c r="J53" s="81"/>
      <c r="K53" s="82"/>
      <c r="L53" s="83"/>
      <c r="M53" s="81"/>
      <c r="N53" s="82"/>
      <c r="O53" s="83"/>
      <c r="P53" s="81"/>
      <c r="Q53" s="82"/>
      <c r="R53" s="83"/>
      <c r="S53" s="81" t="s">
        <v>18</v>
      </c>
      <c r="T53" s="82"/>
      <c r="U53" s="83"/>
      <c r="V53" s="81" t="s">
        <v>18</v>
      </c>
      <c r="W53" s="82"/>
      <c r="X53" s="83"/>
      <c r="Y53" s="81"/>
      <c r="Z53" s="82"/>
      <c r="AA53" s="83"/>
      <c r="AB53" s="81" t="s">
        <v>18</v>
      </c>
      <c r="AC53" s="82"/>
      <c r="AD53" s="83"/>
      <c r="AE53" s="81"/>
      <c r="AF53" s="82"/>
      <c r="AG53" s="83"/>
      <c r="AH53" s="81"/>
      <c r="AI53" s="82"/>
      <c r="AJ53" s="83"/>
      <c r="AK53" s="81"/>
      <c r="AL53" s="82"/>
      <c r="AM53" s="83"/>
      <c r="AN53" s="81"/>
      <c r="AO53" s="82"/>
      <c r="AP53" s="83"/>
      <c r="AQ53" s="81"/>
      <c r="AR53" s="82"/>
      <c r="AS53" s="83"/>
      <c r="AT53" s="81"/>
      <c r="AU53" s="82"/>
      <c r="AV53" s="83"/>
      <c r="AW53" s="66">
        <f ca="1">'RC Template'!AW53</f>
        <v>118.19048824116825</v>
      </c>
      <c r="AX53" s="66">
        <f ca="1">'RC Template'!BC53</f>
        <v>58.049478259070689</v>
      </c>
      <c r="AY53" s="75"/>
    </row>
    <row r="54" spans="1:56" x14ac:dyDescent="0.3">
      <c r="A54" s="123">
        <f t="shared" si="1"/>
        <v>47</v>
      </c>
      <c r="B54" s="19">
        <v>43149</v>
      </c>
      <c r="C54" s="24" t="s">
        <v>106</v>
      </c>
      <c r="D54" s="81"/>
      <c r="E54" s="82"/>
      <c r="F54" s="83"/>
      <c r="G54" s="81"/>
      <c r="H54" s="82"/>
      <c r="I54" s="83"/>
      <c r="J54" s="81" t="s">
        <v>18</v>
      </c>
      <c r="K54" s="82" t="s">
        <v>18</v>
      </c>
      <c r="L54" s="83"/>
      <c r="M54" s="81" t="s">
        <v>18</v>
      </c>
      <c r="N54" s="82"/>
      <c r="O54" s="83"/>
      <c r="P54" s="81"/>
      <c r="Q54" s="82"/>
      <c r="R54" s="83"/>
      <c r="S54" s="81"/>
      <c r="T54" s="82"/>
      <c r="U54" s="83"/>
      <c r="V54" s="81" t="s">
        <v>23</v>
      </c>
      <c r="W54" s="82"/>
      <c r="X54" s="83"/>
      <c r="Y54" s="81"/>
      <c r="Z54" s="82"/>
      <c r="AA54" s="83"/>
      <c r="AB54" s="81"/>
      <c r="AC54" s="82"/>
      <c r="AD54" s="83"/>
      <c r="AE54" s="81"/>
      <c r="AF54" s="82"/>
      <c r="AG54" s="83"/>
      <c r="AH54" s="81"/>
      <c r="AI54" s="82"/>
      <c r="AJ54" s="83"/>
      <c r="AK54" s="81"/>
      <c r="AL54" s="82"/>
      <c r="AM54" s="83"/>
      <c r="AN54" s="81"/>
      <c r="AO54" s="82"/>
      <c r="AP54" s="83"/>
      <c r="AQ54" s="81"/>
      <c r="AR54" s="82"/>
      <c r="AS54" s="83"/>
      <c r="AT54" s="81"/>
      <c r="AU54" s="82"/>
      <c r="AV54" s="83"/>
      <c r="AW54" s="66">
        <f ca="1">'RC Template'!AW54</f>
        <v>53.380872871200012</v>
      </c>
      <c r="AX54" s="66">
        <f ca="1">'RC Template'!BC54</f>
        <v>61.571824560601861</v>
      </c>
      <c r="AY54" s="75"/>
      <c r="BC54" s="131">
        <f>0.4*0.1675</f>
        <v>6.7000000000000004E-2</v>
      </c>
    </row>
    <row r="55" spans="1:56" x14ac:dyDescent="0.3">
      <c r="A55" s="123">
        <f t="shared" si="1"/>
        <v>48</v>
      </c>
      <c r="B55" s="19">
        <v>43149</v>
      </c>
      <c r="C55" s="24" t="s">
        <v>174</v>
      </c>
      <c r="D55" s="81" t="s">
        <v>18</v>
      </c>
      <c r="E55" s="82"/>
      <c r="F55" s="83"/>
      <c r="G55" s="81" t="s">
        <v>18</v>
      </c>
      <c r="H55" s="82"/>
      <c r="I55" s="83"/>
      <c r="J55" s="81" t="s">
        <v>18</v>
      </c>
      <c r="K55" s="82"/>
      <c r="L55" s="83"/>
      <c r="M55" s="81"/>
      <c r="N55" s="82"/>
      <c r="O55" s="83"/>
      <c r="P55" s="81"/>
      <c r="Q55" s="82"/>
      <c r="R55" s="83"/>
      <c r="S55" s="81"/>
      <c r="T55" s="82"/>
      <c r="U55" s="83"/>
      <c r="V55" s="81"/>
      <c r="W55" s="82"/>
      <c r="X55" s="83"/>
      <c r="Y55" s="81"/>
      <c r="Z55" s="82"/>
      <c r="AA55" s="83"/>
      <c r="AB55" s="81"/>
      <c r="AC55" s="82"/>
      <c r="AD55" s="83"/>
      <c r="AE55" s="81"/>
      <c r="AF55" s="82"/>
      <c r="AG55" s="83"/>
      <c r="AH55" s="81"/>
      <c r="AI55" s="82"/>
      <c r="AJ55" s="83"/>
      <c r="AK55" s="81"/>
      <c r="AL55" s="82"/>
      <c r="AM55" s="83"/>
      <c r="AN55" s="81"/>
      <c r="AO55" s="82"/>
      <c r="AP55" s="83"/>
      <c r="AQ55" s="81"/>
      <c r="AR55" s="82"/>
      <c r="AS55" s="83"/>
      <c r="AT55" s="81"/>
      <c r="AU55" s="82"/>
      <c r="AV55" s="83"/>
      <c r="AW55" s="66">
        <f ca="1">'RC Template'!AW55</f>
        <v>38.25</v>
      </c>
      <c r="AX55" s="66">
        <f ca="1">'RC Template'!BC55</f>
        <v>63.742032245969249</v>
      </c>
      <c r="AY55" s="75"/>
    </row>
    <row r="56" spans="1:56" x14ac:dyDescent="0.3">
      <c r="A56" s="123">
        <f t="shared" si="1"/>
        <v>49</v>
      </c>
      <c r="B56" s="19">
        <v>43153</v>
      </c>
      <c r="C56" s="24" t="s">
        <v>16</v>
      </c>
      <c r="D56" s="81"/>
      <c r="E56" s="82"/>
      <c r="F56" s="83"/>
      <c r="G56" s="81"/>
      <c r="H56" s="82"/>
      <c r="I56" s="83"/>
      <c r="J56" s="81"/>
      <c r="K56" s="82"/>
      <c r="L56" s="83"/>
      <c r="M56" s="81" t="s">
        <v>18</v>
      </c>
      <c r="N56" s="82"/>
      <c r="O56" s="83"/>
      <c r="P56" s="81" t="s">
        <v>18</v>
      </c>
      <c r="Q56" s="82"/>
      <c r="R56" s="83"/>
      <c r="S56" s="81"/>
      <c r="T56" s="82"/>
      <c r="U56" s="83"/>
      <c r="V56" s="81"/>
      <c r="W56" s="82"/>
      <c r="X56" s="83"/>
      <c r="Y56" s="81"/>
      <c r="Z56" s="82"/>
      <c r="AA56" s="83"/>
      <c r="AB56" s="81"/>
      <c r="AC56" s="82"/>
      <c r="AD56" s="83"/>
      <c r="AE56" s="81" t="s">
        <v>18</v>
      </c>
      <c r="AF56" s="82" t="s">
        <v>18</v>
      </c>
      <c r="AG56" s="83" t="s">
        <v>18</v>
      </c>
      <c r="AH56" s="81"/>
      <c r="AI56" s="82"/>
      <c r="AJ56" s="83"/>
      <c r="AK56" s="81"/>
      <c r="AL56" s="82"/>
      <c r="AM56" s="83"/>
      <c r="AN56" s="81"/>
      <c r="AO56" s="82"/>
      <c r="AP56" s="83"/>
      <c r="AQ56" s="81"/>
      <c r="AR56" s="82"/>
      <c r="AS56" s="83"/>
      <c r="AT56" s="81"/>
      <c r="AU56" s="82"/>
      <c r="AV56" s="83"/>
      <c r="AW56" s="66">
        <f ca="1">'RC Template'!AW56</f>
        <v>203.60301554079868</v>
      </c>
      <c r="AX56" s="66">
        <f ca="1">'RC Template'!BC56</f>
        <v>61.612776025236599</v>
      </c>
      <c r="AY56" s="75"/>
      <c r="BC56" s="131">
        <f>0.1675-BC54</f>
        <v>0.10050000000000001</v>
      </c>
    </row>
    <row r="57" spans="1:56" x14ac:dyDescent="0.3">
      <c r="A57" s="123">
        <f t="shared" si="1"/>
        <v>50</v>
      </c>
      <c r="B57" s="19">
        <v>43153</v>
      </c>
      <c r="C57" s="24" t="s">
        <v>24</v>
      </c>
      <c r="D57" s="81"/>
      <c r="E57" s="82"/>
      <c r="F57" s="83"/>
      <c r="G57" s="81"/>
      <c r="H57" s="82"/>
      <c r="I57" s="83"/>
      <c r="J57" s="81" t="s">
        <v>18</v>
      </c>
      <c r="K57" s="82"/>
      <c r="L57" s="83"/>
      <c r="M57" s="81" t="s">
        <v>18</v>
      </c>
      <c r="N57" s="82"/>
      <c r="O57" s="83"/>
      <c r="P57" s="81"/>
      <c r="Q57" s="82"/>
      <c r="R57" s="83"/>
      <c r="S57" s="81"/>
      <c r="T57" s="82"/>
      <c r="U57" s="83"/>
      <c r="V57" s="81" t="s">
        <v>18</v>
      </c>
      <c r="W57" s="82" t="s">
        <v>18</v>
      </c>
      <c r="X57" s="83"/>
      <c r="Y57" s="81"/>
      <c r="Z57" s="82"/>
      <c r="AA57" s="83"/>
      <c r="AB57" s="81"/>
      <c r="AC57" s="82"/>
      <c r="AD57" s="83"/>
      <c r="AE57" s="81"/>
      <c r="AF57" s="82"/>
      <c r="AG57" s="83"/>
      <c r="AH57" s="81"/>
      <c r="AI57" s="82"/>
      <c r="AJ57" s="83"/>
      <c r="AK57" s="81"/>
      <c r="AL57" s="82"/>
      <c r="AM57" s="83"/>
      <c r="AN57" s="81"/>
      <c r="AO57" s="82"/>
      <c r="AP57" s="83"/>
      <c r="AQ57" s="81"/>
      <c r="AR57" s="82"/>
      <c r="AS57" s="83"/>
      <c r="AT57" s="81"/>
      <c r="AU57" s="82"/>
      <c r="AV57" s="83"/>
      <c r="AW57" s="66">
        <f ca="1">'RC Template'!AW57</f>
        <v>90.51599148480004</v>
      </c>
      <c r="AX57" s="66">
        <f ca="1">'RC Template'!BC57</f>
        <v>69.462614659048015</v>
      </c>
      <c r="AY57" s="75"/>
      <c r="BC57" s="131"/>
    </row>
    <row r="58" spans="1:56" x14ac:dyDescent="0.3">
      <c r="A58" s="123">
        <f t="shared" si="1"/>
        <v>51</v>
      </c>
      <c r="B58" s="19">
        <v>43153</v>
      </c>
      <c r="C58" s="24" t="s">
        <v>106</v>
      </c>
      <c r="D58" s="81"/>
      <c r="E58" s="82"/>
      <c r="F58" s="83"/>
      <c r="G58" s="81"/>
      <c r="H58" s="82"/>
      <c r="I58" s="83"/>
      <c r="J58" s="81" t="s">
        <v>18</v>
      </c>
      <c r="K58" s="82" t="s">
        <v>18</v>
      </c>
      <c r="L58" s="83"/>
      <c r="M58" s="81" t="s">
        <v>18</v>
      </c>
      <c r="N58" s="82" t="s">
        <v>18</v>
      </c>
      <c r="O58" s="83"/>
      <c r="P58" s="81"/>
      <c r="Q58" s="82"/>
      <c r="R58" s="83"/>
      <c r="S58" s="81"/>
      <c r="T58" s="82"/>
      <c r="U58" s="83"/>
      <c r="V58" s="81" t="s">
        <v>18</v>
      </c>
      <c r="W58" s="82" t="s">
        <v>23</v>
      </c>
      <c r="X58" s="83"/>
      <c r="Y58" s="81"/>
      <c r="Z58" s="82"/>
      <c r="AA58" s="83"/>
      <c r="AB58" s="81"/>
      <c r="AC58" s="82"/>
      <c r="AD58" s="83"/>
      <c r="AE58" s="81"/>
      <c r="AF58" s="82"/>
      <c r="AG58" s="83"/>
      <c r="AH58" s="81"/>
      <c r="AI58" s="82"/>
      <c r="AJ58" s="83"/>
      <c r="AK58" s="81"/>
      <c r="AL58" s="82"/>
      <c r="AM58" s="83"/>
      <c r="AN58" s="81"/>
      <c r="AO58" s="82"/>
      <c r="AP58" s="83"/>
      <c r="AQ58" s="81"/>
      <c r="AR58" s="82"/>
      <c r="AS58" s="83"/>
      <c r="AT58" s="81"/>
      <c r="AU58" s="82"/>
      <c r="AV58" s="83"/>
      <c r="AW58" s="66">
        <f ca="1">'RC Template'!AW58</f>
        <v>75.261745742400024</v>
      </c>
      <c r="AX58" s="66">
        <f ca="1">'RC Template'!BC58</f>
        <v>86.810176674271105</v>
      </c>
      <c r="AY58" s="75"/>
      <c r="BC58" s="131">
        <f>0.125-BC54</f>
        <v>5.7999999999999996E-2</v>
      </c>
    </row>
    <row r="59" spans="1:56" x14ac:dyDescent="0.3">
      <c r="A59" s="123">
        <f t="shared" si="1"/>
        <v>52</v>
      </c>
      <c r="B59" s="19">
        <v>43156</v>
      </c>
      <c r="C59" s="24" t="s">
        <v>175</v>
      </c>
      <c r="D59" s="81"/>
      <c r="E59" s="82"/>
      <c r="F59" s="83"/>
      <c r="G59" s="81"/>
      <c r="H59" s="82"/>
      <c r="I59" s="83"/>
      <c r="J59" s="81" t="s">
        <v>18</v>
      </c>
      <c r="K59" s="82"/>
      <c r="L59" s="83"/>
      <c r="M59" s="81"/>
      <c r="N59" s="82"/>
      <c r="O59" s="83"/>
      <c r="P59" s="81"/>
      <c r="Q59" s="82"/>
      <c r="R59" s="83"/>
      <c r="S59" s="81"/>
      <c r="T59" s="82"/>
      <c r="U59" s="83"/>
      <c r="V59" s="81" t="s">
        <v>18</v>
      </c>
      <c r="W59" s="82" t="s">
        <v>18</v>
      </c>
      <c r="X59" s="83"/>
      <c r="Y59" s="81"/>
      <c r="Z59" s="82"/>
      <c r="AA59" s="83"/>
      <c r="AB59" s="81" t="s">
        <v>18</v>
      </c>
      <c r="AC59" s="82" t="s">
        <v>23</v>
      </c>
      <c r="AD59" s="83"/>
      <c r="AE59" s="81"/>
      <c r="AF59" s="82"/>
      <c r="AG59" s="83"/>
      <c r="AH59" s="81"/>
      <c r="AI59" s="82"/>
      <c r="AJ59" s="83"/>
      <c r="AK59" s="81"/>
      <c r="AL59" s="82"/>
      <c r="AM59" s="83"/>
      <c r="AN59" s="81"/>
      <c r="AO59" s="82"/>
      <c r="AP59" s="83"/>
      <c r="AQ59" s="81"/>
      <c r="AR59" s="82"/>
      <c r="AS59" s="83"/>
      <c r="AT59" s="81"/>
      <c r="AU59" s="82"/>
      <c r="AV59" s="83"/>
      <c r="AW59" s="66">
        <f ca="1">'RC Template'!AW59</f>
        <v>124.54826206356827</v>
      </c>
      <c r="AX59" s="66">
        <f ca="1">'RC Template'!BC59</f>
        <v>61.17211070413191</v>
      </c>
      <c r="AY59" s="75"/>
      <c r="BC59" s="131"/>
    </row>
    <row r="60" spans="1:56" x14ac:dyDescent="0.3">
      <c r="A60" s="123">
        <f t="shared" si="1"/>
        <v>53</v>
      </c>
      <c r="B60" s="19">
        <v>43156</v>
      </c>
      <c r="C60" s="24" t="s">
        <v>106</v>
      </c>
      <c r="D60" s="81"/>
      <c r="E60" s="82"/>
      <c r="F60" s="83"/>
      <c r="G60" s="81"/>
      <c r="H60" s="82"/>
      <c r="I60" s="83"/>
      <c r="J60" s="81" t="s">
        <v>18</v>
      </c>
      <c r="K60" s="82"/>
      <c r="L60" s="83"/>
      <c r="M60" s="81" t="s">
        <v>18</v>
      </c>
      <c r="N60" s="82"/>
      <c r="O60" s="83"/>
      <c r="P60" s="81"/>
      <c r="Q60" s="82"/>
      <c r="R60" s="83"/>
      <c r="S60" s="81"/>
      <c r="T60" s="82"/>
      <c r="U60" s="83"/>
      <c r="V60" s="81" t="s">
        <v>18</v>
      </c>
      <c r="W60" s="82"/>
      <c r="X60" s="83"/>
      <c r="Y60" s="81"/>
      <c r="Z60" s="82"/>
      <c r="AA60" s="83"/>
      <c r="AB60" s="81"/>
      <c r="AC60" s="82"/>
      <c r="AD60" s="83"/>
      <c r="AE60" s="81"/>
      <c r="AF60" s="82"/>
      <c r="AG60" s="83"/>
      <c r="AH60" s="81"/>
      <c r="AI60" s="82"/>
      <c r="AJ60" s="83"/>
      <c r="AK60" s="81"/>
      <c r="AL60" s="82"/>
      <c r="AM60" s="83"/>
      <c r="AN60" s="81"/>
      <c r="AO60" s="82"/>
      <c r="AP60" s="83"/>
      <c r="AQ60" s="81"/>
      <c r="AR60" s="82"/>
      <c r="AS60" s="83"/>
      <c r="AT60" s="81"/>
      <c r="AU60" s="82"/>
      <c r="AV60" s="83"/>
      <c r="AW60" s="66">
        <f ca="1">'RC Template'!AW60</f>
        <v>71.009245742400026</v>
      </c>
      <c r="AX60" s="66">
        <f ca="1">'RC Template'!BC60</f>
        <v>81.905157893935197</v>
      </c>
      <c r="AY60" s="75"/>
      <c r="BC60" s="131">
        <f>BC56/BC58</f>
        <v>1.7327586206896555</v>
      </c>
    </row>
    <row r="61" spans="1:56" x14ac:dyDescent="0.3">
      <c r="A61" s="123">
        <f t="shared" si="1"/>
        <v>54</v>
      </c>
      <c r="B61" s="19">
        <v>43156</v>
      </c>
      <c r="C61" s="24" t="s">
        <v>174</v>
      </c>
      <c r="D61" s="81" t="s">
        <v>18</v>
      </c>
      <c r="E61" s="82"/>
      <c r="F61" s="83"/>
      <c r="G61" s="81" t="s">
        <v>18</v>
      </c>
      <c r="H61" s="82"/>
      <c r="I61" s="83"/>
      <c r="J61" s="81" t="s">
        <v>18</v>
      </c>
      <c r="K61" s="82"/>
      <c r="L61" s="83"/>
      <c r="M61" s="81"/>
      <c r="N61" s="82"/>
      <c r="O61" s="83"/>
      <c r="P61" s="81"/>
      <c r="Q61" s="82"/>
      <c r="R61" s="83"/>
      <c r="S61" s="81"/>
      <c r="T61" s="82"/>
      <c r="U61" s="83"/>
      <c r="V61" s="81"/>
      <c r="W61" s="82"/>
      <c r="X61" s="83"/>
      <c r="Y61" s="81"/>
      <c r="Z61" s="82"/>
      <c r="AA61" s="83"/>
      <c r="AB61" s="81"/>
      <c r="AC61" s="82"/>
      <c r="AD61" s="83"/>
      <c r="AE61" s="81"/>
      <c r="AF61" s="82"/>
      <c r="AG61" s="83"/>
      <c r="AH61" s="81"/>
      <c r="AI61" s="82"/>
      <c r="AJ61" s="83"/>
      <c r="AK61" s="81"/>
      <c r="AL61" s="82"/>
      <c r="AM61" s="83"/>
      <c r="AN61" s="81"/>
      <c r="AO61" s="82"/>
      <c r="AP61" s="83"/>
      <c r="AQ61" s="81"/>
      <c r="AR61" s="82"/>
      <c r="AS61" s="83"/>
      <c r="AT61" s="81"/>
      <c r="AU61" s="82"/>
      <c r="AV61" s="83"/>
      <c r="AW61" s="66">
        <f ca="1">'RC Template'!AW61</f>
        <v>38.25</v>
      </c>
      <c r="AX61" s="66">
        <f ca="1">'RC Template'!BC61</f>
        <v>63.742032245969249</v>
      </c>
      <c r="AY61" s="75"/>
      <c r="BC61" s="131"/>
    </row>
    <row r="62" spans="1:56" x14ac:dyDescent="0.3">
      <c r="A62" s="123">
        <f t="shared" si="1"/>
        <v>55</v>
      </c>
      <c r="B62" s="19">
        <v>43156</v>
      </c>
      <c r="C62" s="24" t="s">
        <v>25</v>
      </c>
      <c r="D62" s="81"/>
      <c r="E62" s="82"/>
      <c r="F62" s="83"/>
      <c r="G62" s="81"/>
      <c r="H62" s="82"/>
      <c r="I62" s="83"/>
      <c r="J62" s="81"/>
      <c r="K62" s="82"/>
      <c r="L62" s="83"/>
      <c r="M62" s="81" t="s">
        <v>18</v>
      </c>
      <c r="N62" s="82"/>
      <c r="O62" s="83"/>
      <c r="P62" s="81"/>
      <c r="Q62" s="82"/>
      <c r="R62" s="83"/>
      <c r="S62" s="81"/>
      <c r="T62" s="82"/>
      <c r="U62" s="83"/>
      <c r="V62" s="81" t="s">
        <v>18</v>
      </c>
      <c r="W62" s="82" t="s">
        <v>18</v>
      </c>
      <c r="X62" s="83"/>
      <c r="Y62" s="81"/>
      <c r="Z62" s="82"/>
      <c r="AA62" s="83"/>
      <c r="AB62" s="81"/>
      <c r="AC62" s="82"/>
      <c r="AD62" s="83"/>
      <c r="AE62" s="81" t="s">
        <v>23</v>
      </c>
      <c r="AF62" s="82"/>
      <c r="AG62" s="83"/>
      <c r="AH62" s="81"/>
      <c r="AI62" s="82"/>
      <c r="AJ62" s="83"/>
      <c r="AK62" s="81"/>
      <c r="AL62" s="82"/>
      <c r="AM62" s="83"/>
      <c r="AN62" s="81"/>
      <c r="AO62" s="82"/>
      <c r="AP62" s="83"/>
      <c r="AQ62" s="81"/>
      <c r="AR62" s="82"/>
      <c r="AS62" s="83"/>
      <c r="AT62" s="81"/>
      <c r="AU62" s="82"/>
      <c r="AV62" s="83"/>
      <c r="AW62" s="66">
        <f ca="1">'RC Template'!AW62</f>
        <v>104.44732740826649</v>
      </c>
      <c r="AX62" s="66">
        <f ca="1">'RC Template'!BC62</f>
        <v>80.153620779220773</v>
      </c>
      <c r="AY62" s="75"/>
      <c r="BC62" s="131"/>
    </row>
    <row r="63" spans="1:56" x14ac:dyDescent="0.3">
      <c r="A63" s="123">
        <f t="shared" si="1"/>
        <v>56</v>
      </c>
      <c r="B63" s="19">
        <v>43156</v>
      </c>
      <c r="C63" s="24" t="s">
        <v>16</v>
      </c>
      <c r="D63" s="81"/>
      <c r="E63" s="82"/>
      <c r="F63" s="83"/>
      <c r="G63" s="81"/>
      <c r="H63" s="82"/>
      <c r="I63" s="83"/>
      <c r="J63" s="81"/>
      <c r="K63" s="82"/>
      <c r="L63" s="83"/>
      <c r="M63" s="81"/>
      <c r="N63" s="82"/>
      <c r="O63" s="83"/>
      <c r="P63" s="81"/>
      <c r="Q63" s="82"/>
      <c r="R63" s="83"/>
      <c r="S63" s="81"/>
      <c r="T63" s="82"/>
      <c r="U63" s="83"/>
      <c r="V63" s="81" t="s">
        <v>18</v>
      </c>
      <c r="W63" s="82"/>
      <c r="X63" s="83"/>
      <c r="Y63" s="81"/>
      <c r="Z63" s="82"/>
      <c r="AA63" s="83"/>
      <c r="AB63" s="81"/>
      <c r="AC63" s="82"/>
      <c r="AD63" s="83"/>
      <c r="AE63" s="81" t="s">
        <v>18</v>
      </c>
      <c r="AF63" s="82" t="s">
        <v>18</v>
      </c>
      <c r="AG63" s="83"/>
      <c r="AH63" s="81"/>
      <c r="AI63" s="82"/>
      <c r="AJ63" s="83"/>
      <c r="AK63" s="81"/>
      <c r="AL63" s="82"/>
      <c r="AM63" s="83"/>
      <c r="AN63" s="81" t="s">
        <v>29</v>
      </c>
      <c r="AO63" s="82"/>
      <c r="AP63" s="83"/>
      <c r="AQ63" s="81"/>
      <c r="AR63" s="82"/>
      <c r="AS63" s="83"/>
      <c r="AT63" s="81"/>
      <c r="AU63" s="82"/>
      <c r="AV63" s="83"/>
      <c r="AW63" s="66">
        <f ca="1">'RC Template'!AW63</f>
        <v>229.1090775584947</v>
      </c>
      <c r="AX63" s="66">
        <f ca="1">'RC Template'!BC63</f>
        <v>69.331224016824407</v>
      </c>
      <c r="AY63" s="75"/>
      <c r="BC63" t="s">
        <v>216</v>
      </c>
      <c r="BD63" s="131" t="s">
        <v>217</v>
      </c>
    </row>
    <row r="64" spans="1:56" x14ac:dyDescent="0.3">
      <c r="A64" s="123">
        <f t="shared" si="1"/>
        <v>57</v>
      </c>
      <c r="B64" s="19">
        <v>43156</v>
      </c>
      <c r="C64" s="24" t="s">
        <v>43</v>
      </c>
      <c r="D64" s="81"/>
      <c r="E64" s="82"/>
      <c r="F64" s="83"/>
      <c r="G64" s="81"/>
      <c r="H64" s="82"/>
      <c r="I64" s="83"/>
      <c r="J64" s="81"/>
      <c r="K64" s="82"/>
      <c r="L64" s="83"/>
      <c r="M64" s="81" t="s">
        <v>18</v>
      </c>
      <c r="N64" s="82"/>
      <c r="O64" s="83"/>
      <c r="P64" s="81"/>
      <c r="Q64" s="82"/>
      <c r="R64" s="83"/>
      <c r="S64" s="81"/>
      <c r="T64" s="82"/>
      <c r="U64" s="83"/>
      <c r="V64" s="81" t="s">
        <v>23</v>
      </c>
      <c r="W64" s="82" t="s">
        <v>18</v>
      </c>
      <c r="X64" s="83" t="s">
        <v>18</v>
      </c>
      <c r="Y64" s="81"/>
      <c r="Z64" s="82"/>
      <c r="AA64" s="83"/>
      <c r="AB64" s="81"/>
      <c r="AC64" s="82"/>
      <c r="AD64" s="83"/>
      <c r="AE64" s="81" t="s">
        <v>18</v>
      </c>
      <c r="AF64" s="82"/>
      <c r="AG64" s="83"/>
      <c r="AH64" s="81"/>
      <c r="AI64" s="82"/>
      <c r="AJ64" s="83"/>
      <c r="AK64" s="81"/>
      <c r="AL64" s="82"/>
      <c r="AM64" s="83"/>
      <c r="AN64" s="81"/>
      <c r="AO64" s="82"/>
      <c r="AP64" s="83"/>
      <c r="AQ64" s="81"/>
      <c r="AR64" s="82"/>
      <c r="AS64" s="83"/>
      <c r="AT64" s="81"/>
      <c r="AU64" s="82"/>
      <c r="AV64" s="83"/>
      <c r="AW64" s="66">
        <f ca="1">'RC Template'!AW64</f>
        <v>138.38116333173295</v>
      </c>
      <c r="AX64" s="66">
        <f ca="1">'RC Template'!BC64</f>
        <v>67.966165905830437</v>
      </c>
      <c r="AY64" s="75"/>
      <c r="BD64" s="131" t="s">
        <v>218</v>
      </c>
    </row>
    <row r="65" spans="1:56" x14ac:dyDescent="0.3">
      <c r="A65" s="123">
        <f t="shared" si="1"/>
        <v>58</v>
      </c>
      <c r="B65" s="19">
        <v>43158</v>
      </c>
      <c r="C65" s="24" t="s">
        <v>106</v>
      </c>
      <c r="D65" s="81"/>
      <c r="E65" s="82"/>
      <c r="F65" s="83"/>
      <c r="G65" s="81"/>
      <c r="H65" s="82"/>
      <c r="I65" s="83"/>
      <c r="J65" s="81" t="s">
        <v>18</v>
      </c>
      <c r="K65" s="82" t="s">
        <v>18</v>
      </c>
      <c r="L65" s="83"/>
      <c r="M65" s="81" t="s">
        <v>18</v>
      </c>
      <c r="N65" s="82" t="s">
        <v>18</v>
      </c>
      <c r="O65" s="83"/>
      <c r="P65" s="81"/>
      <c r="Q65" s="82"/>
      <c r="R65" s="83"/>
      <c r="S65" s="81"/>
      <c r="T65" s="82"/>
      <c r="U65" s="83"/>
      <c r="V65" s="81" t="s">
        <v>23</v>
      </c>
      <c r="W65" s="82" t="s">
        <v>18</v>
      </c>
      <c r="X65" s="83"/>
      <c r="Y65" s="81"/>
      <c r="Z65" s="82"/>
      <c r="AA65" s="83"/>
      <c r="AB65" s="81"/>
      <c r="AC65" s="82"/>
      <c r="AD65" s="83"/>
      <c r="AE65" s="81"/>
      <c r="AF65" s="82"/>
      <c r="AG65" s="83"/>
      <c r="AH65" s="81"/>
      <c r="AI65" s="82"/>
      <c r="AJ65" s="83"/>
      <c r="AK65" s="81"/>
      <c r="AL65" s="82"/>
      <c r="AM65" s="83"/>
      <c r="AN65" s="81"/>
      <c r="AO65" s="82"/>
      <c r="AP65" s="83"/>
      <c r="AQ65" s="81"/>
      <c r="AR65" s="82"/>
      <c r="AS65" s="83"/>
      <c r="AT65" s="81"/>
      <c r="AU65" s="82"/>
      <c r="AV65" s="83"/>
      <c r="AW65" s="66">
        <f ca="1">'RC Template'!AW65</f>
        <v>75.261745742400024</v>
      </c>
      <c r="AX65" s="66">
        <f ca="1">'RC Template'!BC65</f>
        <v>86.810176674271105</v>
      </c>
      <c r="AY65" s="75"/>
    </row>
    <row r="66" spans="1:56" x14ac:dyDescent="0.3">
      <c r="A66" s="123">
        <f t="shared" si="1"/>
        <v>59</v>
      </c>
      <c r="B66" s="19">
        <v>43159</v>
      </c>
      <c r="C66" s="24" t="s">
        <v>24</v>
      </c>
      <c r="D66" s="81"/>
      <c r="E66" s="82"/>
      <c r="F66" s="83"/>
      <c r="G66" s="81" t="s">
        <v>18</v>
      </c>
      <c r="H66" s="82"/>
      <c r="I66" s="83"/>
      <c r="J66" s="81" t="s">
        <v>18</v>
      </c>
      <c r="K66" s="82"/>
      <c r="L66" s="83"/>
      <c r="M66" s="81" t="s">
        <v>18</v>
      </c>
      <c r="N66" s="82"/>
      <c r="O66" s="83"/>
      <c r="P66" s="81"/>
      <c r="Q66" s="82"/>
      <c r="R66" s="83"/>
      <c r="S66" s="81"/>
      <c r="T66" s="82"/>
      <c r="U66" s="83"/>
      <c r="V66" s="81" t="s">
        <v>27</v>
      </c>
      <c r="W66" s="82" t="s">
        <v>18</v>
      </c>
      <c r="X66" s="83"/>
      <c r="Y66" s="81"/>
      <c r="Z66" s="82"/>
      <c r="AA66" s="83"/>
      <c r="AB66" s="81"/>
      <c r="AC66" s="82"/>
      <c r="AD66" s="83"/>
      <c r="AE66" s="81" t="s">
        <v>23</v>
      </c>
      <c r="AF66" s="82"/>
      <c r="AG66" s="83"/>
      <c r="AH66" s="81"/>
      <c r="AI66" s="82"/>
      <c r="AJ66" s="83"/>
      <c r="AK66" s="81"/>
      <c r="AL66" s="82"/>
      <c r="AM66" s="83"/>
      <c r="AN66" s="81"/>
      <c r="AO66" s="82"/>
      <c r="AP66" s="83"/>
      <c r="AQ66" s="81"/>
      <c r="AR66" s="82"/>
      <c r="AS66" s="83"/>
      <c r="AT66" s="81"/>
      <c r="AU66" s="82"/>
      <c r="AV66" s="83"/>
      <c r="AW66" s="66">
        <f ca="1">'RC Template'!AW66</f>
        <v>100.92165283402647</v>
      </c>
      <c r="AX66" s="66">
        <f ca="1">'RC Template'!BC66</f>
        <v>77.447993073593068</v>
      </c>
      <c r="AY66" s="75"/>
      <c r="BD66" s="131">
        <f>0.4/(0.12-0.055)</f>
        <v>6.1538461538461542</v>
      </c>
    </row>
    <row r="67" spans="1:56" x14ac:dyDescent="0.3">
      <c r="A67" s="123">
        <f t="shared" si="1"/>
        <v>60</v>
      </c>
      <c r="B67" s="19">
        <v>43159</v>
      </c>
      <c r="C67" s="24" t="s">
        <v>16</v>
      </c>
      <c r="D67" s="81"/>
      <c r="E67" s="82"/>
      <c r="F67" s="83"/>
      <c r="G67" s="81"/>
      <c r="H67" s="82"/>
      <c r="I67" s="83"/>
      <c r="J67" s="81"/>
      <c r="K67" s="82"/>
      <c r="L67" s="83"/>
      <c r="M67" s="81" t="s">
        <v>18</v>
      </c>
      <c r="N67" s="82"/>
      <c r="O67" s="83"/>
      <c r="P67" s="81"/>
      <c r="Q67" s="82"/>
      <c r="R67" s="83"/>
      <c r="S67" s="81"/>
      <c r="T67" s="82"/>
      <c r="U67" s="83"/>
      <c r="V67" s="81"/>
      <c r="W67" s="82"/>
      <c r="X67" s="83"/>
      <c r="Y67" s="81"/>
      <c r="Z67" s="82"/>
      <c r="AA67" s="83"/>
      <c r="AB67" s="81"/>
      <c r="AC67" s="82"/>
      <c r="AD67" s="83"/>
      <c r="AE67" s="81" t="s">
        <v>18</v>
      </c>
      <c r="AF67" s="82"/>
      <c r="AG67" s="83"/>
      <c r="AH67" s="81"/>
      <c r="AI67" s="82"/>
      <c r="AJ67" s="83"/>
      <c r="AK67" s="81" t="s">
        <v>18</v>
      </c>
      <c r="AL67" s="82"/>
      <c r="AM67" s="83"/>
      <c r="AN67" s="81" t="s">
        <v>28</v>
      </c>
      <c r="AO67" s="82"/>
      <c r="AP67" s="83"/>
      <c r="AQ67" s="81"/>
      <c r="AR67" s="82"/>
      <c r="AS67" s="83"/>
      <c r="AT67" s="81"/>
      <c r="AU67" s="82"/>
      <c r="AV67" s="83"/>
      <c r="AW67" s="66">
        <f ca="1">'RC Template'!AW67</f>
        <v>293.29583260906884</v>
      </c>
      <c r="AX67" s="66">
        <f ca="1">'RC Template'!BC67</f>
        <v>88.754925341745547</v>
      </c>
      <c r="AY67" s="75"/>
    </row>
    <row r="68" spans="1:56" x14ac:dyDescent="0.3">
      <c r="A68" s="123">
        <f t="shared" si="1"/>
        <v>61</v>
      </c>
      <c r="B68" s="19">
        <v>43161</v>
      </c>
      <c r="C68" s="24" t="s">
        <v>175</v>
      </c>
      <c r="D68" s="81"/>
      <c r="E68" s="82"/>
      <c r="F68" s="83"/>
      <c r="G68" s="81"/>
      <c r="H68" s="82"/>
      <c r="I68" s="83"/>
      <c r="J68" s="81" t="s">
        <v>18</v>
      </c>
      <c r="K68" s="82"/>
      <c r="L68" s="83"/>
      <c r="M68" s="81" t="s">
        <v>23</v>
      </c>
      <c r="N68" s="82"/>
      <c r="O68" s="83"/>
      <c r="P68" s="81"/>
      <c r="Q68" s="82"/>
      <c r="R68" s="83"/>
      <c r="S68" s="81" t="s">
        <v>23</v>
      </c>
      <c r="T68" s="82"/>
      <c r="U68" s="83"/>
      <c r="V68" s="81" t="s">
        <v>27</v>
      </c>
      <c r="W68" s="82" t="s">
        <v>18</v>
      </c>
      <c r="X68" s="83" t="s">
        <v>23</v>
      </c>
      <c r="Y68" s="81"/>
      <c r="Z68" s="82"/>
      <c r="AA68" s="83"/>
      <c r="AB68" s="81"/>
      <c r="AC68" s="82"/>
      <c r="AD68" s="83"/>
      <c r="AE68" s="81" t="s">
        <v>28</v>
      </c>
      <c r="AF68" s="82" t="s">
        <v>23</v>
      </c>
      <c r="AG68" s="83"/>
      <c r="AH68" s="81"/>
      <c r="AI68" s="82"/>
      <c r="AJ68" s="83"/>
      <c r="AK68" s="81"/>
      <c r="AL68" s="82"/>
      <c r="AM68" s="83"/>
      <c r="AN68" s="81"/>
      <c r="AO68" s="82"/>
      <c r="AP68" s="83"/>
      <c r="AQ68" s="81"/>
      <c r="AR68" s="82"/>
      <c r="AS68" s="83"/>
      <c r="AT68" s="81"/>
      <c r="AU68" s="82"/>
      <c r="AV68" s="83"/>
      <c r="AW68" s="66">
        <f ca="1">'RC Template'!AW68</f>
        <v>124.16339586188211</v>
      </c>
      <c r="AX68" s="66">
        <f ca="1">'RC Template'!BC68</f>
        <v>60.983082952915211</v>
      </c>
      <c r="AY68" s="75"/>
      <c r="BC68" t="s">
        <v>219</v>
      </c>
    </row>
    <row r="69" spans="1:56" x14ac:dyDescent="0.3">
      <c r="A69" s="123">
        <f t="shared" si="1"/>
        <v>62</v>
      </c>
      <c r="B69" s="19">
        <v>43161</v>
      </c>
      <c r="C69" s="24" t="s">
        <v>174</v>
      </c>
      <c r="D69" s="81"/>
      <c r="E69" s="82"/>
      <c r="F69" s="83"/>
      <c r="G69" s="81"/>
      <c r="H69" s="82"/>
      <c r="I69" s="83"/>
      <c r="J69" s="81" t="s">
        <v>18</v>
      </c>
      <c r="K69" s="82" t="s">
        <v>18</v>
      </c>
      <c r="L69" s="83"/>
      <c r="M69" s="81" t="s">
        <v>18</v>
      </c>
      <c r="N69" s="82"/>
      <c r="O69" s="83"/>
      <c r="P69" s="81"/>
      <c r="Q69" s="82"/>
      <c r="R69" s="83"/>
      <c r="S69" s="81"/>
      <c r="T69" s="82"/>
      <c r="U69" s="83"/>
      <c r="V69" s="81" t="s">
        <v>23</v>
      </c>
      <c r="W69" s="82" t="s">
        <v>23</v>
      </c>
      <c r="X69" s="83"/>
      <c r="Y69" s="81"/>
      <c r="Z69" s="82"/>
      <c r="AA69" s="83"/>
      <c r="AB69" s="81"/>
      <c r="AC69" s="82"/>
      <c r="AD69" s="83"/>
      <c r="AE69" s="81"/>
      <c r="AF69" s="82"/>
      <c r="AG69" s="83"/>
      <c r="AH69" s="81"/>
      <c r="AI69" s="82"/>
      <c r="AJ69" s="83"/>
      <c r="AK69" s="81"/>
      <c r="AL69" s="82"/>
      <c r="AM69" s="83"/>
      <c r="AN69" s="81"/>
      <c r="AO69" s="82"/>
      <c r="AP69" s="83"/>
      <c r="AQ69" s="81"/>
      <c r="AR69" s="82"/>
      <c r="AS69" s="83"/>
      <c r="AT69" s="81"/>
      <c r="AU69" s="82"/>
      <c r="AV69" s="83"/>
      <c r="AW69" s="66">
        <f ca="1">'RC Template'!AW69</f>
        <v>55.259245742400026</v>
      </c>
      <c r="AX69" s="66">
        <f ca="1">'RC Template'!BC69</f>
        <v>92.087232000000029</v>
      </c>
      <c r="AY69" s="75"/>
    </row>
    <row r="70" spans="1:56" x14ac:dyDescent="0.3">
      <c r="A70" s="123">
        <f t="shared" si="1"/>
        <v>63</v>
      </c>
      <c r="B70" s="19">
        <v>43161</v>
      </c>
      <c r="C70" s="24" t="s">
        <v>25</v>
      </c>
      <c r="D70" s="81"/>
      <c r="E70" s="82"/>
      <c r="F70" s="83"/>
      <c r="G70" s="81"/>
      <c r="H70" s="82"/>
      <c r="I70" s="83"/>
      <c r="J70" s="81"/>
      <c r="K70" s="82"/>
      <c r="L70" s="83"/>
      <c r="M70" s="81" t="s">
        <v>18</v>
      </c>
      <c r="N70" s="82"/>
      <c r="O70" s="83"/>
      <c r="P70" s="81" t="s">
        <v>18</v>
      </c>
      <c r="Q70" s="82"/>
      <c r="R70" s="83"/>
      <c r="S70" s="81"/>
      <c r="T70" s="82"/>
      <c r="U70" s="83"/>
      <c r="V70" s="81" t="s">
        <v>18</v>
      </c>
      <c r="W70" s="82"/>
      <c r="X70" s="83"/>
      <c r="Y70" s="81"/>
      <c r="Z70" s="82"/>
      <c r="AA70" s="83"/>
      <c r="AB70" s="81"/>
      <c r="AC70" s="82"/>
      <c r="AD70" s="83"/>
      <c r="AE70" s="81" t="s">
        <v>23</v>
      </c>
      <c r="AF70" s="82" t="s">
        <v>23</v>
      </c>
      <c r="AG70" s="83"/>
      <c r="AH70" s="81"/>
      <c r="AI70" s="82"/>
      <c r="AJ70" s="83"/>
      <c r="AK70" s="81"/>
      <c r="AL70" s="82"/>
      <c r="AM70" s="83"/>
      <c r="AN70" s="81"/>
      <c r="AO70" s="82"/>
      <c r="AP70" s="83"/>
      <c r="AQ70" s="81"/>
      <c r="AR70" s="82"/>
      <c r="AS70" s="83"/>
      <c r="AT70" s="81"/>
      <c r="AU70" s="82"/>
      <c r="AV70" s="83"/>
      <c r="AW70" s="66">
        <f ca="1">'RC Template'!AW70</f>
        <v>103.12441758933291</v>
      </c>
      <c r="AX70" s="66">
        <f ca="1">'RC Template'!BC70</f>
        <v>79.138410389610385</v>
      </c>
      <c r="AY70" s="75"/>
    </row>
    <row r="71" spans="1:56" x14ac:dyDescent="0.3">
      <c r="A71" s="123">
        <f t="shared" si="1"/>
        <v>64</v>
      </c>
      <c r="B71" s="19">
        <v>43161</v>
      </c>
      <c r="C71" s="24" t="s">
        <v>106</v>
      </c>
      <c r="D71" s="81"/>
      <c r="E71" s="82"/>
      <c r="F71" s="83"/>
      <c r="G71" s="81"/>
      <c r="H71" s="82"/>
      <c r="I71" s="83"/>
      <c r="J71" s="81" t="s">
        <v>18</v>
      </c>
      <c r="K71" s="82" t="s">
        <v>18</v>
      </c>
      <c r="L71" s="83"/>
      <c r="M71" s="81" t="s">
        <v>18</v>
      </c>
      <c r="N71" s="82" t="s">
        <v>23</v>
      </c>
      <c r="O71" s="83"/>
      <c r="P71" s="81" t="s">
        <v>23</v>
      </c>
      <c r="Q71" s="82"/>
      <c r="R71" s="83"/>
      <c r="S71" s="81"/>
      <c r="T71" s="82"/>
      <c r="U71" s="83"/>
      <c r="V71" s="81" t="s">
        <v>23</v>
      </c>
      <c r="W71" s="82" t="s">
        <v>23</v>
      </c>
      <c r="X71" s="83"/>
      <c r="Y71" s="81"/>
      <c r="Z71" s="82"/>
      <c r="AA71" s="83"/>
      <c r="AB71" s="81"/>
      <c r="AC71" s="82"/>
      <c r="AD71" s="83"/>
      <c r="AE71" s="81"/>
      <c r="AF71" s="82"/>
      <c r="AG71" s="83"/>
      <c r="AH71" s="81"/>
      <c r="AI71" s="82"/>
      <c r="AJ71" s="83"/>
      <c r="AK71" s="81"/>
      <c r="AL71" s="82"/>
      <c r="AM71" s="83"/>
      <c r="AN71" s="81"/>
      <c r="AO71" s="82"/>
      <c r="AP71" s="83"/>
      <c r="AQ71" s="81"/>
      <c r="AR71" s="82"/>
      <c r="AS71" s="83"/>
      <c r="AT71" s="81"/>
      <c r="AU71" s="82"/>
      <c r="AV71" s="83"/>
      <c r="AW71" s="66">
        <f ca="1">'RC Template'!AW71</f>
        <v>55.259245742400026</v>
      </c>
      <c r="AX71" s="66">
        <f ca="1">'RC Template'!BC71</f>
        <v>63.738421670468888</v>
      </c>
      <c r="AY71" s="75"/>
    </row>
    <row r="72" spans="1:56" x14ac:dyDescent="0.3">
      <c r="A72" s="123">
        <f t="shared" si="1"/>
        <v>65</v>
      </c>
      <c r="B72" s="19">
        <v>43163</v>
      </c>
      <c r="C72" s="24" t="s">
        <v>174</v>
      </c>
      <c r="D72" s="81"/>
      <c r="E72" s="82"/>
      <c r="F72" s="83"/>
      <c r="G72" s="81"/>
      <c r="H72" s="82"/>
      <c r="I72" s="83"/>
      <c r="J72" s="81"/>
      <c r="K72" s="82"/>
      <c r="L72" s="83"/>
      <c r="M72" s="81" t="s">
        <v>18</v>
      </c>
      <c r="N72" s="82" t="s">
        <v>18</v>
      </c>
      <c r="O72" s="83"/>
      <c r="P72" s="81"/>
      <c r="Q72" s="82"/>
      <c r="R72" s="83"/>
      <c r="S72" s="81"/>
      <c r="T72" s="82"/>
      <c r="U72" s="83"/>
      <c r="V72" s="81" t="s">
        <v>26</v>
      </c>
      <c r="W72" s="82" t="s">
        <v>26</v>
      </c>
      <c r="X72" s="83" t="s">
        <v>26</v>
      </c>
      <c r="Y72" s="81"/>
      <c r="Z72" s="82"/>
      <c r="AA72" s="83"/>
      <c r="AB72" s="81"/>
      <c r="AC72" s="82"/>
      <c r="AD72" s="83"/>
      <c r="AE72" s="81"/>
      <c r="AF72" s="82"/>
      <c r="AG72" s="83"/>
      <c r="AH72" s="81"/>
      <c r="AI72" s="82"/>
      <c r="AJ72" s="83"/>
      <c r="AK72" s="81"/>
      <c r="AL72" s="82"/>
      <c r="AM72" s="83"/>
      <c r="AN72" s="81"/>
      <c r="AO72" s="82"/>
      <c r="AP72" s="83"/>
      <c r="AQ72" s="81"/>
      <c r="AR72" s="82"/>
      <c r="AS72" s="83"/>
      <c r="AT72" s="81"/>
      <c r="AU72" s="82"/>
      <c r="AV72" s="83"/>
      <c r="AW72" s="66">
        <f ca="1">'RC Template'!AW72</f>
        <v>77.106502938628864</v>
      </c>
      <c r="AX72" s="66">
        <f ca="1">'RC Template'!BC72</f>
        <v>128.49477638400009</v>
      </c>
      <c r="AY72" s="75"/>
    </row>
    <row r="73" spans="1:56" x14ac:dyDescent="0.3">
      <c r="A73" s="123">
        <f t="shared" si="1"/>
        <v>66</v>
      </c>
      <c r="B73" s="19">
        <v>43163</v>
      </c>
      <c r="C73" s="24" t="s">
        <v>106</v>
      </c>
      <c r="D73" s="81"/>
      <c r="E73" s="82"/>
      <c r="F73" s="83"/>
      <c r="G73" s="81"/>
      <c r="H73" s="82"/>
      <c r="I73" s="83"/>
      <c r="J73" s="81" t="s">
        <v>18</v>
      </c>
      <c r="K73" s="82"/>
      <c r="L73" s="83"/>
      <c r="M73" s="81" t="s">
        <v>23</v>
      </c>
      <c r="N73" s="82" t="s">
        <v>23</v>
      </c>
      <c r="O73" s="83"/>
      <c r="P73" s="81" t="s">
        <v>18</v>
      </c>
      <c r="Q73" s="82"/>
      <c r="R73" s="83"/>
      <c r="S73" s="81"/>
      <c r="T73" s="82"/>
      <c r="U73" s="83"/>
      <c r="V73" s="81" t="s">
        <v>18</v>
      </c>
      <c r="W73" s="82"/>
      <c r="X73" s="83"/>
      <c r="Y73" s="81"/>
      <c r="Z73" s="82"/>
      <c r="AA73" s="83"/>
      <c r="AB73" s="81" t="s">
        <v>23</v>
      </c>
      <c r="AC73" s="82" t="s">
        <v>23</v>
      </c>
      <c r="AD73" s="83"/>
      <c r="AE73" s="81"/>
      <c r="AF73" s="82"/>
      <c r="AG73" s="83"/>
      <c r="AH73" s="81"/>
      <c r="AI73" s="82"/>
      <c r="AJ73" s="83"/>
      <c r="AK73" s="81"/>
      <c r="AL73" s="82"/>
      <c r="AM73" s="83"/>
      <c r="AN73" s="81"/>
      <c r="AO73" s="82"/>
      <c r="AP73" s="83"/>
      <c r="AQ73" s="81"/>
      <c r="AR73" s="82"/>
      <c r="AS73" s="83"/>
      <c r="AT73" s="81"/>
      <c r="AU73" s="82"/>
      <c r="AV73" s="83"/>
      <c r="AW73" s="66">
        <f ca="1">'RC Template'!AW73</f>
        <v>89.291516321168245</v>
      </c>
      <c r="AX73" s="66">
        <f ca="1">'RC Template'!BC73</f>
        <v>102.99272533333335</v>
      </c>
      <c r="AY73" s="76" t="s">
        <v>208</v>
      </c>
    </row>
    <row r="74" spans="1:56" x14ac:dyDescent="0.3">
      <c r="A74" s="123">
        <f t="shared" si="1"/>
        <v>67</v>
      </c>
      <c r="B74" s="19">
        <v>43165</v>
      </c>
      <c r="C74" s="24" t="s">
        <v>174</v>
      </c>
      <c r="D74" s="81"/>
      <c r="E74" s="82"/>
      <c r="F74" s="83"/>
      <c r="G74" s="81"/>
      <c r="H74" s="82"/>
      <c r="I74" s="83"/>
      <c r="J74" s="81"/>
      <c r="K74" s="82"/>
      <c r="L74" s="83"/>
      <c r="M74" s="81" t="s">
        <v>18</v>
      </c>
      <c r="N74" s="82"/>
      <c r="O74" s="83"/>
      <c r="P74" s="81"/>
      <c r="Q74" s="82"/>
      <c r="R74" s="83"/>
      <c r="S74" s="81"/>
      <c r="T74" s="82"/>
      <c r="U74" s="83"/>
      <c r="V74" s="81" t="s">
        <v>29</v>
      </c>
      <c r="W74" s="82" t="s">
        <v>27</v>
      </c>
      <c r="X74" s="83" t="s">
        <v>26</v>
      </c>
      <c r="Y74" s="81"/>
      <c r="Z74" s="82"/>
      <c r="AA74" s="83"/>
      <c r="AB74" s="81"/>
      <c r="AC74" s="82"/>
      <c r="AD74" s="83"/>
      <c r="AE74" s="81"/>
      <c r="AF74" s="82"/>
      <c r="AG74" s="83"/>
      <c r="AH74" s="81"/>
      <c r="AI74" s="82"/>
      <c r="AJ74" s="83"/>
      <c r="AK74" s="81"/>
      <c r="AL74" s="82"/>
      <c r="AM74" s="83"/>
      <c r="AN74" s="81"/>
      <c r="AO74" s="82"/>
      <c r="AP74" s="83"/>
      <c r="AQ74" s="81"/>
      <c r="AR74" s="82"/>
      <c r="AS74" s="83"/>
      <c r="AT74" s="81"/>
      <c r="AU74" s="82"/>
      <c r="AV74" s="83"/>
      <c r="AW74" s="66">
        <f ca="1">'RC Template'!AW74</f>
        <v>80.56518969595831</v>
      </c>
      <c r="AX74" s="66">
        <f ca="1">'RC Template'!BC74</f>
        <v>134.2585338432001</v>
      </c>
      <c r="AY74" s="75"/>
    </row>
    <row r="75" spans="1:56" x14ac:dyDescent="0.3">
      <c r="A75" s="123">
        <f t="shared" si="1"/>
        <v>68</v>
      </c>
      <c r="B75" s="48">
        <v>43165</v>
      </c>
      <c r="C75" s="24" t="s">
        <v>175</v>
      </c>
      <c r="D75" s="81"/>
      <c r="E75" s="82"/>
      <c r="F75" s="83"/>
      <c r="G75" s="81"/>
      <c r="H75" s="82"/>
      <c r="I75" s="83"/>
      <c r="J75" s="81"/>
      <c r="K75" s="82"/>
      <c r="L75" s="83"/>
      <c r="M75" s="81"/>
      <c r="N75" s="82"/>
      <c r="O75" s="83"/>
      <c r="P75" s="81"/>
      <c r="Q75" s="82"/>
      <c r="R75" s="83"/>
      <c r="S75" s="81"/>
      <c r="T75" s="82"/>
      <c r="U75" s="83"/>
      <c r="V75" s="81" t="s">
        <v>23</v>
      </c>
      <c r="W75" s="82"/>
      <c r="X75" s="83"/>
      <c r="Y75" s="81"/>
      <c r="Z75" s="82"/>
      <c r="AA75" s="83"/>
      <c r="AB75" s="81" t="s">
        <v>27</v>
      </c>
      <c r="AC75" s="82"/>
      <c r="AD75" s="83"/>
      <c r="AE75" s="81" t="s">
        <v>23</v>
      </c>
      <c r="AF75" s="82" t="s">
        <v>23</v>
      </c>
      <c r="AG75" s="83"/>
      <c r="AH75" s="81"/>
      <c r="AI75" s="82"/>
      <c r="AJ75" s="83"/>
      <c r="AK75" s="81" t="s">
        <v>23</v>
      </c>
      <c r="AL75" s="82"/>
      <c r="AM75" s="83"/>
      <c r="AN75" s="81"/>
      <c r="AO75" s="82"/>
      <c r="AP75" s="83"/>
      <c r="AQ75" s="81"/>
      <c r="AR75" s="82"/>
      <c r="AS75" s="83"/>
      <c r="AT75" s="81"/>
      <c r="AU75" s="82"/>
      <c r="AV75" s="83"/>
      <c r="AW75" s="66">
        <f ca="1">'RC Template'!AW75</f>
        <v>137.64110250158083</v>
      </c>
      <c r="AX75" s="66">
        <f ca="1">'RC Template'!BC75</f>
        <v>67.602683651804668</v>
      </c>
      <c r="AY75" s="75"/>
    </row>
    <row r="76" spans="1:56" x14ac:dyDescent="0.3">
      <c r="A76" s="123">
        <f t="shared" si="1"/>
        <v>69</v>
      </c>
      <c r="B76" s="19">
        <v>43165</v>
      </c>
      <c r="C76" s="24" t="s">
        <v>25</v>
      </c>
      <c r="D76" s="81"/>
      <c r="E76" s="82"/>
      <c r="F76" s="83"/>
      <c r="G76" s="81"/>
      <c r="H76" s="82"/>
      <c r="I76" s="83"/>
      <c r="J76" s="81"/>
      <c r="K76" s="82"/>
      <c r="L76" s="83"/>
      <c r="M76" s="81"/>
      <c r="N76" s="82"/>
      <c r="O76" s="83"/>
      <c r="P76" s="81"/>
      <c r="Q76" s="82"/>
      <c r="R76" s="83"/>
      <c r="S76" s="81"/>
      <c r="T76" s="82"/>
      <c r="U76" s="83"/>
      <c r="V76" s="81" t="s">
        <v>18</v>
      </c>
      <c r="W76" s="82"/>
      <c r="X76" s="83"/>
      <c r="Y76" s="81"/>
      <c r="Z76" s="82"/>
      <c r="AA76" s="83"/>
      <c r="AB76" s="81"/>
      <c r="AC76" s="82"/>
      <c r="AD76" s="83"/>
      <c r="AE76" s="81" t="s">
        <v>23</v>
      </c>
      <c r="AF76" s="82" t="s">
        <v>23</v>
      </c>
      <c r="AG76" s="83"/>
      <c r="AH76" s="81"/>
      <c r="AI76" s="82"/>
      <c r="AJ76" s="83"/>
      <c r="AK76" s="81"/>
      <c r="AL76" s="82"/>
      <c r="AM76" s="83"/>
      <c r="AN76" s="81"/>
      <c r="AO76" s="82"/>
      <c r="AP76" s="83"/>
      <c r="AQ76" s="81"/>
      <c r="AR76" s="82"/>
      <c r="AS76" s="83"/>
      <c r="AT76" s="81"/>
      <c r="AU76" s="82"/>
      <c r="AV76" s="83"/>
      <c r="AW76" s="66">
        <f ca="1">'RC Template'!AW76</f>
        <v>103.12441758933291</v>
      </c>
      <c r="AX76" s="66">
        <f ca="1">'RC Template'!BC76</f>
        <v>79.138410389610385</v>
      </c>
      <c r="AY76" s="75"/>
    </row>
    <row r="77" spans="1:56" x14ac:dyDescent="0.3">
      <c r="A77" s="123">
        <f t="shared" si="1"/>
        <v>70</v>
      </c>
      <c r="B77" s="19">
        <v>43166</v>
      </c>
      <c r="C77" s="24" t="s">
        <v>16</v>
      </c>
      <c r="D77" s="81"/>
      <c r="E77" s="82"/>
      <c r="F77" s="83"/>
      <c r="G77" s="81"/>
      <c r="H77" s="82"/>
      <c r="I77" s="83"/>
      <c r="J77" s="81"/>
      <c r="K77" s="82"/>
      <c r="L77" s="83"/>
      <c r="M77" s="81"/>
      <c r="N77" s="82"/>
      <c r="O77" s="83"/>
      <c r="P77" s="81"/>
      <c r="Q77" s="82"/>
      <c r="R77" s="83"/>
      <c r="S77" s="81"/>
      <c r="T77" s="82"/>
      <c r="U77" s="83"/>
      <c r="V77" s="81" t="s">
        <v>18</v>
      </c>
      <c r="W77" s="82"/>
      <c r="X77" s="83"/>
      <c r="Y77" s="81"/>
      <c r="Z77" s="82"/>
      <c r="AA77" s="83"/>
      <c r="AB77" s="81" t="s">
        <v>18</v>
      </c>
      <c r="AC77" s="82"/>
      <c r="AD77" s="83"/>
      <c r="AE77" s="81"/>
      <c r="AF77" s="82"/>
      <c r="AG77" s="83"/>
      <c r="AH77" s="81" t="s">
        <v>18</v>
      </c>
      <c r="AI77" s="82" t="s">
        <v>18</v>
      </c>
      <c r="AJ77" s="83"/>
      <c r="AK77" s="81" t="s">
        <v>23</v>
      </c>
      <c r="AL77" s="82"/>
      <c r="AM77" s="83"/>
      <c r="AN77" s="81" t="s">
        <v>23</v>
      </c>
      <c r="AO77" s="82" t="s">
        <v>23</v>
      </c>
      <c r="AP77" s="83"/>
      <c r="AQ77" s="81"/>
      <c r="AR77" s="82"/>
      <c r="AS77" s="83"/>
      <c r="AT77" s="81"/>
      <c r="AU77" s="82"/>
      <c r="AV77" s="83"/>
      <c r="AW77" s="66">
        <f ca="1">'RC Template'!AW77</f>
        <v>243.27057299375392</v>
      </c>
      <c r="AX77" s="66">
        <f ca="1">'RC Template'!BC77</f>
        <v>73.616666666666674</v>
      </c>
      <c r="AY77" s="76" t="s">
        <v>209</v>
      </c>
    </row>
    <row r="78" spans="1:56" x14ac:dyDescent="0.3">
      <c r="A78" s="123">
        <f t="shared" si="1"/>
        <v>71</v>
      </c>
      <c r="B78" s="19">
        <v>43166</v>
      </c>
      <c r="C78" s="24" t="s">
        <v>210</v>
      </c>
      <c r="D78" s="81"/>
      <c r="E78" s="82"/>
      <c r="F78" s="83"/>
      <c r="G78" s="81" t="s">
        <v>18</v>
      </c>
      <c r="H78" s="82"/>
      <c r="I78" s="83"/>
      <c r="J78" s="81"/>
      <c r="K78" s="82"/>
      <c r="L78" s="83"/>
      <c r="M78" s="81"/>
      <c r="N78" s="82"/>
      <c r="O78" s="83"/>
      <c r="P78" s="81" t="s">
        <v>23</v>
      </c>
      <c r="Q78" s="82" t="s">
        <v>23</v>
      </c>
      <c r="R78" s="83" t="s">
        <v>23</v>
      </c>
      <c r="S78" s="81"/>
      <c r="T78" s="82"/>
      <c r="U78" s="83"/>
      <c r="V78" s="81"/>
      <c r="W78" s="82"/>
      <c r="X78" s="83"/>
      <c r="Y78" s="81"/>
      <c r="Z78" s="82"/>
      <c r="AA78" s="83"/>
      <c r="AB78" s="81"/>
      <c r="AC78" s="82"/>
      <c r="AD78" s="83"/>
      <c r="AE78" s="81"/>
      <c r="AF78" s="82"/>
      <c r="AG78" s="83"/>
      <c r="AH78" s="81"/>
      <c r="AI78" s="82"/>
      <c r="AJ78" s="83"/>
      <c r="AK78" s="81"/>
      <c r="AL78" s="82"/>
      <c r="AM78" s="83"/>
      <c r="AN78" s="81"/>
      <c r="AO78" s="82"/>
      <c r="AP78" s="83"/>
      <c r="AQ78" s="81"/>
      <c r="AR78" s="82"/>
      <c r="AS78" s="83"/>
      <c r="AT78" s="81"/>
      <c r="AU78" s="82"/>
      <c r="AV78" s="83"/>
      <c r="AW78" s="66">
        <f ca="1">'RC Template'!AW78</f>
        <v>36.422990000000006</v>
      </c>
      <c r="AX78" s="66">
        <f ca="1">'RC Template'!BC78</f>
        <v>42.011863606346111</v>
      </c>
      <c r="AY78" s="75"/>
    </row>
    <row r="79" spans="1:56" x14ac:dyDescent="0.3">
      <c r="A79" s="123">
        <f t="shared" si="1"/>
        <v>72</v>
      </c>
      <c r="B79" s="19">
        <v>43168</v>
      </c>
      <c r="C79" s="24" t="s">
        <v>25</v>
      </c>
      <c r="D79" s="81"/>
      <c r="E79" s="82"/>
      <c r="F79" s="83"/>
      <c r="G79" s="81"/>
      <c r="H79" s="82"/>
      <c r="I79" s="83"/>
      <c r="J79" s="81"/>
      <c r="K79" s="82"/>
      <c r="L79" s="83"/>
      <c r="M79" s="81" t="s">
        <v>18</v>
      </c>
      <c r="N79" s="82"/>
      <c r="O79" s="83"/>
      <c r="P79" s="81"/>
      <c r="Q79" s="82"/>
      <c r="R79" s="83"/>
      <c r="S79" s="81"/>
      <c r="T79" s="82"/>
      <c r="U79" s="83"/>
      <c r="V79" s="81" t="s">
        <v>18</v>
      </c>
      <c r="W79" s="82" t="s">
        <v>18</v>
      </c>
      <c r="X79" s="83"/>
      <c r="Y79" s="81"/>
      <c r="Z79" s="82"/>
      <c r="AA79" s="83"/>
      <c r="AB79" s="81"/>
      <c r="AC79" s="82"/>
      <c r="AD79" s="83"/>
      <c r="AE79" s="81"/>
      <c r="AF79" s="82"/>
      <c r="AG79" s="83"/>
      <c r="AH79" s="81"/>
      <c r="AI79" s="82"/>
      <c r="AJ79" s="83"/>
      <c r="AK79" s="81"/>
      <c r="AL79" s="82"/>
      <c r="AM79" s="83"/>
      <c r="AN79" s="81"/>
      <c r="AO79" s="82"/>
      <c r="AP79" s="83"/>
      <c r="AQ79" s="81"/>
      <c r="AR79" s="82"/>
      <c r="AS79" s="83"/>
      <c r="AT79" s="81"/>
      <c r="AU79" s="82"/>
      <c r="AV79" s="83"/>
      <c r="AW79" s="66">
        <f ca="1">'RC Template'!AW79</f>
        <v>90.51599148480004</v>
      </c>
      <c r="AX79" s="66">
        <f ca="1">'RC Template'!BC79</f>
        <v>69.462614659048015</v>
      </c>
      <c r="AY79" s="75"/>
    </row>
    <row r="80" spans="1:56" x14ac:dyDescent="0.3">
      <c r="A80" s="123">
        <f t="shared" si="1"/>
        <v>73</v>
      </c>
      <c r="B80" s="19">
        <v>43168</v>
      </c>
      <c r="C80" s="24" t="s">
        <v>175</v>
      </c>
      <c r="D80" s="81"/>
      <c r="E80" s="82"/>
      <c r="F80" s="83"/>
      <c r="G80" s="81"/>
      <c r="H80" s="82"/>
      <c r="I80" s="83"/>
      <c r="J80" s="81"/>
      <c r="K80" s="82"/>
      <c r="L80" s="83"/>
      <c r="M80" s="81"/>
      <c r="N80" s="82"/>
      <c r="O80" s="83"/>
      <c r="P80" s="81"/>
      <c r="Q80" s="82"/>
      <c r="R80" s="83"/>
      <c r="S80" s="81"/>
      <c r="T80" s="82"/>
      <c r="U80" s="83"/>
      <c r="V80" s="81" t="s">
        <v>18</v>
      </c>
      <c r="W80" s="82" t="s">
        <v>18</v>
      </c>
      <c r="X80" s="83"/>
      <c r="Y80" s="81"/>
      <c r="Z80" s="82"/>
      <c r="AA80" s="83"/>
      <c r="AB80" s="81"/>
      <c r="AC80" s="82"/>
      <c r="AD80" s="83"/>
      <c r="AE80" s="81" t="s">
        <v>18</v>
      </c>
      <c r="AF80" s="82"/>
      <c r="AG80" s="83"/>
      <c r="AH80" s="81"/>
      <c r="AI80" s="82"/>
      <c r="AJ80" s="83"/>
      <c r="AK80" s="81"/>
      <c r="AL80" s="82"/>
      <c r="AM80" s="83"/>
      <c r="AN80" s="81"/>
      <c r="AO80" s="82"/>
      <c r="AP80" s="83"/>
      <c r="AQ80" s="81"/>
      <c r="AR80" s="82"/>
      <c r="AS80" s="83"/>
      <c r="AT80" s="81"/>
      <c r="AU80" s="82"/>
      <c r="AV80" s="83"/>
      <c r="AW80" s="66">
        <f ca="1">'RC Template'!AW80</f>
        <v>138.38116333173295</v>
      </c>
      <c r="AX80" s="66">
        <f ca="1">'RC Template'!BC80</f>
        <v>67.966165905830437</v>
      </c>
      <c r="AY80" s="75"/>
    </row>
    <row r="81" spans="1:58" x14ac:dyDescent="0.3">
      <c r="A81" s="123">
        <f t="shared" si="1"/>
        <v>74</v>
      </c>
      <c r="B81" s="19">
        <v>43168</v>
      </c>
      <c r="C81" s="20"/>
      <c r="D81" s="81"/>
      <c r="E81" s="82"/>
      <c r="F81" s="83"/>
      <c r="G81" s="81"/>
      <c r="H81" s="82"/>
      <c r="I81" s="83"/>
      <c r="J81" s="81"/>
      <c r="K81" s="82"/>
      <c r="L81" s="83"/>
      <c r="M81" s="81"/>
      <c r="N81" s="82"/>
      <c r="O81" s="83"/>
      <c r="P81" s="81"/>
      <c r="Q81" s="82"/>
      <c r="R81" s="83"/>
      <c r="S81" s="81"/>
      <c r="T81" s="82"/>
      <c r="U81" s="83"/>
      <c r="V81" s="81"/>
      <c r="W81" s="82"/>
      <c r="X81" s="83"/>
      <c r="Y81" s="81"/>
      <c r="Z81" s="82"/>
      <c r="AA81" s="83"/>
      <c r="AB81" s="81"/>
      <c r="AC81" s="82"/>
      <c r="AD81" s="83"/>
      <c r="AE81" s="81"/>
      <c r="AF81" s="82"/>
      <c r="AG81" s="83"/>
      <c r="AH81" s="81"/>
      <c r="AI81" s="82"/>
      <c r="AJ81" s="83"/>
      <c r="AK81" s="81"/>
      <c r="AL81" s="82"/>
      <c r="AM81" s="83"/>
      <c r="AN81" s="81"/>
      <c r="AO81" s="82"/>
      <c r="AP81" s="83"/>
      <c r="AQ81" s="81"/>
      <c r="AR81" s="82"/>
      <c r="AS81" s="83"/>
      <c r="AT81" s="81"/>
      <c r="AU81" s="82"/>
      <c r="AV81" s="83"/>
      <c r="AW81" s="66">
        <f ca="1">'RC Template'!AW81</f>
        <v>0</v>
      </c>
      <c r="AX81" s="66">
        <f ca="1">'RC Template'!BC81</f>
        <v>0</v>
      </c>
      <c r="AY81" s="75"/>
    </row>
    <row r="82" spans="1:58" x14ac:dyDescent="0.3">
      <c r="A82" s="123">
        <f t="shared" si="1"/>
        <v>75</v>
      </c>
      <c r="B82" s="19">
        <v>43170</v>
      </c>
      <c r="C82" s="24" t="s">
        <v>16</v>
      </c>
      <c r="D82" s="81"/>
      <c r="E82" s="82"/>
      <c r="F82" s="83"/>
      <c r="G82" s="81"/>
      <c r="H82" s="82"/>
      <c r="I82" s="83"/>
      <c r="J82" s="81"/>
      <c r="K82" s="82"/>
      <c r="L82" s="83"/>
      <c r="M82" s="81" t="s">
        <v>18</v>
      </c>
      <c r="N82" s="82"/>
      <c r="O82" s="83"/>
      <c r="P82" s="81"/>
      <c r="Q82" s="82"/>
      <c r="R82" s="83"/>
      <c r="S82" s="81"/>
      <c r="T82" s="82"/>
      <c r="U82" s="83"/>
      <c r="V82" s="81"/>
      <c r="W82" s="82"/>
      <c r="X82" s="83"/>
      <c r="Y82" s="81"/>
      <c r="Z82" s="82"/>
      <c r="AA82" s="83"/>
      <c r="AB82" s="81"/>
      <c r="AC82" s="82"/>
      <c r="AD82" s="83"/>
      <c r="AE82" s="81"/>
      <c r="AF82" s="82"/>
      <c r="AG82" s="83"/>
      <c r="AH82" s="81"/>
      <c r="AI82" s="82"/>
      <c r="AJ82" s="83"/>
      <c r="AK82" s="81" t="s">
        <v>18</v>
      </c>
      <c r="AL82" s="82"/>
      <c r="AM82" s="83"/>
      <c r="AN82" s="81" t="s">
        <v>29</v>
      </c>
      <c r="AO82" s="82"/>
      <c r="AP82" s="83"/>
      <c r="AQ82" s="81"/>
      <c r="AR82" s="82"/>
      <c r="AS82" s="83"/>
      <c r="AT82" s="81"/>
      <c r="AU82" s="82"/>
      <c r="AV82" s="83"/>
      <c r="AW82" s="66">
        <f ca="1">'RC Template'!AW82</f>
        <v>223.52817997907488</v>
      </c>
      <c r="AX82" s="66">
        <f ca="1">'RC Template'!BC82</f>
        <v>67.642375786029532</v>
      </c>
      <c r="AY82" s="75"/>
    </row>
    <row r="83" spans="1:58" x14ac:dyDescent="0.3">
      <c r="A83" s="123">
        <f t="shared" si="1"/>
        <v>76</v>
      </c>
      <c r="B83" s="19">
        <v>43170</v>
      </c>
      <c r="C83" s="24" t="s">
        <v>25</v>
      </c>
      <c r="D83" s="81"/>
      <c r="E83" s="82"/>
      <c r="F83" s="83"/>
      <c r="G83" s="81"/>
      <c r="H83" s="82"/>
      <c r="I83" s="83"/>
      <c r="J83" s="81"/>
      <c r="K83" s="82"/>
      <c r="L83" s="83"/>
      <c r="M83" s="81" t="s">
        <v>18</v>
      </c>
      <c r="N83" s="82"/>
      <c r="O83" s="83"/>
      <c r="P83" s="81"/>
      <c r="Q83" s="82"/>
      <c r="R83" s="83"/>
      <c r="S83" s="81"/>
      <c r="T83" s="82"/>
      <c r="U83" s="83"/>
      <c r="V83" s="81" t="s">
        <v>27</v>
      </c>
      <c r="W83" s="82" t="s">
        <v>23</v>
      </c>
      <c r="X83" s="83"/>
      <c r="Y83" s="81"/>
      <c r="Z83" s="82"/>
      <c r="AA83" s="83"/>
      <c r="AB83" s="81"/>
      <c r="AC83" s="82"/>
      <c r="AD83" s="83"/>
      <c r="AE83" s="81"/>
      <c r="AF83" s="82"/>
      <c r="AG83" s="83"/>
      <c r="AH83" s="81" t="s">
        <v>23</v>
      </c>
      <c r="AI83" s="82"/>
      <c r="AJ83" s="83"/>
      <c r="AK83" s="81"/>
      <c r="AL83" s="82"/>
      <c r="AM83" s="83"/>
      <c r="AN83" s="81"/>
      <c r="AO83" s="82"/>
      <c r="AP83" s="83"/>
      <c r="AQ83" s="81"/>
      <c r="AR83" s="82"/>
      <c r="AS83" s="83"/>
      <c r="AT83" s="81"/>
      <c r="AU83" s="82"/>
      <c r="AV83" s="83"/>
      <c r="AW83" s="66">
        <f ca="1">'RC Template'!AW83</f>
        <v>94.761675119115466</v>
      </c>
      <c r="AX83" s="66">
        <f ca="1">'RC Template'!BC83</f>
        <v>72.720782430476589</v>
      </c>
      <c r="AY83" s="75"/>
    </row>
    <row r="84" spans="1:58" x14ac:dyDescent="0.3">
      <c r="A84" s="123">
        <f t="shared" si="1"/>
        <v>77</v>
      </c>
      <c r="B84" s="19">
        <v>43173</v>
      </c>
      <c r="C84" s="24" t="s">
        <v>16</v>
      </c>
      <c r="D84" s="81"/>
      <c r="E84" s="82"/>
      <c r="F84" s="83"/>
      <c r="G84" s="81"/>
      <c r="H84" s="82"/>
      <c r="I84" s="83"/>
      <c r="J84" s="81"/>
      <c r="K84" s="82"/>
      <c r="L84" s="83"/>
      <c r="M84" s="81"/>
      <c r="N84" s="82"/>
      <c r="O84" s="83"/>
      <c r="P84" s="81"/>
      <c r="Q84" s="82"/>
      <c r="R84" s="83"/>
      <c r="S84" s="81"/>
      <c r="T84" s="82"/>
      <c r="U84" s="83"/>
      <c r="V84" s="81"/>
      <c r="W84" s="82"/>
      <c r="X84" s="83"/>
      <c r="Y84" s="81"/>
      <c r="Z84" s="82"/>
      <c r="AA84" s="83"/>
      <c r="AB84" s="81"/>
      <c r="AC84" s="82"/>
      <c r="AD84" s="83"/>
      <c r="AE84" s="81" t="s">
        <v>18</v>
      </c>
      <c r="AF84" s="82" t="s">
        <v>18</v>
      </c>
      <c r="AG84" s="83"/>
      <c r="AH84" s="81" t="s">
        <v>18</v>
      </c>
      <c r="AI84" s="82"/>
      <c r="AJ84" s="83"/>
      <c r="AK84" s="81"/>
      <c r="AL84" s="82"/>
      <c r="AM84" s="83"/>
      <c r="AN84" s="81" t="s">
        <v>23</v>
      </c>
      <c r="AO84" s="82"/>
      <c r="AP84" s="83"/>
      <c r="AQ84" s="81"/>
      <c r="AR84" s="82"/>
      <c r="AS84" s="83"/>
      <c r="AT84" s="81"/>
      <c r="AU84" s="82"/>
      <c r="AV84" s="83"/>
      <c r="AW84" s="66">
        <f ca="1">'RC Template'!AW84</f>
        <v>225.0820369387759</v>
      </c>
      <c r="AX84" s="66">
        <f ca="1">'RC Template'!BC84</f>
        <v>68.112592008412207</v>
      </c>
      <c r="AY84" s="75"/>
    </row>
    <row r="85" spans="1:58" x14ac:dyDescent="0.3">
      <c r="A85" s="123">
        <f t="shared" si="1"/>
        <v>78</v>
      </c>
      <c r="B85" s="19">
        <v>43173</v>
      </c>
      <c r="C85" s="24" t="s">
        <v>174</v>
      </c>
      <c r="D85" s="81"/>
      <c r="E85" s="82"/>
      <c r="F85" s="83"/>
      <c r="G85" s="81"/>
      <c r="H85" s="82"/>
      <c r="I85" s="83"/>
      <c r="J85" s="81"/>
      <c r="K85" s="82"/>
      <c r="L85" s="83"/>
      <c r="M85" s="81" t="s">
        <v>18</v>
      </c>
      <c r="N85" s="82" t="s">
        <v>18</v>
      </c>
      <c r="O85" s="83"/>
      <c r="P85" s="81"/>
      <c r="Q85" s="82"/>
      <c r="R85" s="83"/>
      <c r="S85" s="81"/>
      <c r="T85" s="82"/>
      <c r="U85" s="83"/>
      <c r="V85" s="81" t="s">
        <v>18</v>
      </c>
      <c r="W85" s="82" t="s">
        <v>18</v>
      </c>
      <c r="X85" s="83" t="s">
        <v>23</v>
      </c>
      <c r="Y85" s="81"/>
      <c r="Z85" s="82"/>
      <c r="AA85" s="83"/>
      <c r="AB85" s="81"/>
      <c r="AC85" s="82"/>
      <c r="AD85" s="83"/>
      <c r="AE85" s="81"/>
      <c r="AF85" s="82"/>
      <c r="AG85" s="83"/>
      <c r="AH85" s="81"/>
      <c r="AI85" s="82"/>
      <c r="AJ85" s="83"/>
      <c r="AK85" s="81"/>
      <c r="AL85" s="82"/>
      <c r="AM85" s="83"/>
      <c r="AN85" s="81"/>
      <c r="AO85" s="82"/>
      <c r="AP85" s="83"/>
      <c r="AQ85" s="81"/>
      <c r="AR85" s="82"/>
      <c r="AS85" s="83"/>
      <c r="AT85" s="81"/>
      <c r="AU85" s="82"/>
      <c r="AV85" s="83"/>
      <c r="AW85" s="66">
        <f ca="1">'RC Template'!AW85</f>
        <v>90.51599148480004</v>
      </c>
      <c r="AX85" s="66">
        <f ca="1">'RC Template'!BC85</f>
        <v>150.84113066666671</v>
      </c>
      <c r="AY85" s="75"/>
    </row>
    <row r="86" spans="1:58" x14ac:dyDescent="0.3">
      <c r="A86" s="123">
        <f t="shared" si="1"/>
        <v>79</v>
      </c>
      <c r="B86" s="19">
        <v>43173</v>
      </c>
      <c r="C86" s="24" t="s">
        <v>25</v>
      </c>
      <c r="D86" s="81"/>
      <c r="E86" s="82"/>
      <c r="F86" s="83"/>
      <c r="G86" s="81"/>
      <c r="H86" s="82"/>
      <c r="I86" s="83"/>
      <c r="J86" s="81"/>
      <c r="K86" s="82"/>
      <c r="L86" s="83"/>
      <c r="M86" s="81"/>
      <c r="N86" s="82"/>
      <c r="O86" s="83"/>
      <c r="P86" s="81"/>
      <c r="Q86" s="82"/>
      <c r="R86" s="83"/>
      <c r="S86" s="81"/>
      <c r="T86" s="82"/>
      <c r="U86" s="83"/>
      <c r="V86" s="81" t="s">
        <v>18</v>
      </c>
      <c r="W86" s="82" t="s">
        <v>18</v>
      </c>
      <c r="X86" s="83" t="s">
        <v>23</v>
      </c>
      <c r="Y86" s="81"/>
      <c r="Z86" s="82"/>
      <c r="AA86" s="83"/>
      <c r="AB86" s="81" t="s">
        <v>23</v>
      </c>
      <c r="AC86" s="82"/>
      <c r="AD86" s="83"/>
      <c r="AE86" s="81"/>
      <c r="AF86" s="82"/>
      <c r="AG86" s="83"/>
      <c r="AH86" s="81"/>
      <c r="AI86" s="82"/>
      <c r="AJ86" s="83"/>
      <c r="AK86" s="81"/>
      <c r="AL86" s="82"/>
      <c r="AM86" s="83"/>
      <c r="AN86" s="81"/>
      <c r="AO86" s="82"/>
      <c r="AP86" s="83"/>
      <c r="AQ86" s="81"/>
      <c r="AR86" s="82"/>
      <c r="AS86" s="83"/>
      <c r="AT86" s="81"/>
      <c r="AU86" s="82"/>
      <c r="AV86" s="83"/>
      <c r="AW86" s="66">
        <f ca="1">'RC Template'!AW86</f>
        <v>97.530876774184151</v>
      </c>
      <c r="AX86" s="66">
        <f ca="1">'RC Template'!BC86</f>
        <v>74.845887445887442</v>
      </c>
      <c r="AY86" s="75"/>
    </row>
    <row r="87" spans="1:58" x14ac:dyDescent="0.3">
      <c r="A87" s="123">
        <f t="shared" si="1"/>
        <v>80</v>
      </c>
      <c r="B87" s="19">
        <v>43173</v>
      </c>
      <c r="C87" s="24" t="s">
        <v>106</v>
      </c>
      <c r="D87" s="81"/>
      <c r="E87" s="82"/>
      <c r="F87" s="83"/>
      <c r="G87" s="81"/>
      <c r="H87" s="82"/>
      <c r="I87" s="83"/>
      <c r="J87" s="81" t="s">
        <v>18</v>
      </c>
      <c r="K87" s="82"/>
      <c r="L87" s="83"/>
      <c r="M87" s="81" t="s">
        <v>18</v>
      </c>
      <c r="N87" s="82" t="s">
        <v>18</v>
      </c>
      <c r="O87" s="83" t="s">
        <v>18</v>
      </c>
      <c r="P87" s="81"/>
      <c r="Q87" s="82"/>
      <c r="R87" s="83"/>
      <c r="S87" s="81"/>
      <c r="T87" s="82"/>
      <c r="U87" s="83"/>
      <c r="V87" s="81" t="s">
        <v>23</v>
      </c>
      <c r="W87" s="82"/>
      <c r="X87" s="83"/>
      <c r="Y87" s="81"/>
      <c r="Z87" s="82"/>
      <c r="AA87" s="83"/>
      <c r="AB87" s="81"/>
      <c r="AC87" s="82"/>
      <c r="AD87" s="83"/>
      <c r="AE87" s="81"/>
      <c r="AF87" s="82"/>
      <c r="AG87" s="83"/>
      <c r="AH87" s="81"/>
      <c r="AI87" s="82"/>
      <c r="AJ87" s="83"/>
      <c r="AK87" s="81"/>
      <c r="AL87" s="82"/>
      <c r="AM87" s="83"/>
      <c r="AN87" s="81"/>
      <c r="AO87" s="82"/>
      <c r="AP87" s="83"/>
      <c r="AQ87" s="81"/>
      <c r="AR87" s="82"/>
      <c r="AS87" s="83"/>
      <c r="AT87" s="81"/>
      <c r="AU87" s="82"/>
      <c r="AV87" s="83"/>
      <c r="AW87" s="66">
        <f ca="1">'RC Template'!AW87</f>
        <v>60.007500000000007</v>
      </c>
      <c r="AX87" s="66">
        <f ca="1">'RC Template'!BC87</f>
        <v>69.215265011406657</v>
      </c>
      <c r="AY87" s="75"/>
    </row>
    <row r="88" spans="1:58" x14ac:dyDescent="0.3">
      <c r="A88" s="123">
        <f t="shared" si="1"/>
        <v>81</v>
      </c>
      <c r="B88" s="19">
        <v>43176</v>
      </c>
      <c r="C88" s="24" t="s">
        <v>174</v>
      </c>
      <c r="D88" s="81"/>
      <c r="E88" s="82"/>
      <c r="F88" s="83"/>
      <c r="G88" s="81"/>
      <c r="H88" s="82"/>
      <c r="I88" s="83"/>
      <c r="J88" s="81" t="s">
        <v>18</v>
      </c>
      <c r="K88" s="82"/>
      <c r="L88" s="83"/>
      <c r="M88" s="81" t="s">
        <v>18</v>
      </c>
      <c r="N88" s="82"/>
      <c r="O88" s="83"/>
      <c r="P88" s="81"/>
      <c r="Q88" s="82"/>
      <c r="R88" s="83"/>
      <c r="S88" s="81"/>
      <c r="T88" s="82"/>
      <c r="U88" s="83"/>
      <c r="V88" s="81" t="s">
        <v>18</v>
      </c>
      <c r="W88" s="82" t="s">
        <v>18</v>
      </c>
      <c r="X88" s="83"/>
      <c r="Y88" s="81"/>
      <c r="Z88" s="82"/>
      <c r="AA88" s="83"/>
      <c r="AB88" s="81" t="s">
        <v>18</v>
      </c>
      <c r="AC88" s="82"/>
      <c r="AD88" s="83"/>
      <c r="AE88" s="81" t="s">
        <v>23</v>
      </c>
      <c r="AF88" s="82"/>
      <c r="AG88" s="83"/>
      <c r="AH88" s="81"/>
      <c r="AI88" s="82"/>
      <c r="AJ88" s="83"/>
      <c r="AK88" s="81"/>
      <c r="AL88" s="82"/>
      <c r="AM88" s="83"/>
      <c r="AN88" s="81"/>
      <c r="AO88" s="82"/>
      <c r="AP88" s="83"/>
      <c r="AQ88" s="81"/>
      <c r="AR88" s="82"/>
      <c r="AS88" s="83"/>
      <c r="AT88" s="81"/>
      <c r="AU88" s="82"/>
      <c r="AV88" s="83"/>
      <c r="AW88" s="66">
        <f ca="1">'RC Template'!AW88</f>
        <v>124.54826206356827</v>
      </c>
      <c r="AX88" s="66">
        <f ca="1">'RC Template'!BC88</f>
        <v>207.55449246105613</v>
      </c>
      <c r="AY88" s="75"/>
    </row>
    <row r="89" spans="1:58" x14ac:dyDescent="0.3">
      <c r="A89" s="123">
        <f t="shared" si="1"/>
        <v>82</v>
      </c>
      <c r="B89" s="19">
        <v>43176</v>
      </c>
      <c r="C89" s="24" t="s">
        <v>106</v>
      </c>
      <c r="D89" s="81"/>
      <c r="E89" s="82"/>
      <c r="F89" s="83"/>
      <c r="G89" s="81"/>
      <c r="H89" s="82"/>
      <c r="I89" s="83"/>
      <c r="J89" s="81" t="s">
        <v>18</v>
      </c>
      <c r="K89" s="82" t="s">
        <v>18</v>
      </c>
      <c r="L89" s="83" t="s">
        <v>18</v>
      </c>
      <c r="M89" s="81" t="s">
        <v>18</v>
      </c>
      <c r="N89" s="82" t="s">
        <v>18</v>
      </c>
      <c r="O89" s="83"/>
      <c r="P89" s="81"/>
      <c r="Q89" s="82"/>
      <c r="R89" s="83"/>
      <c r="S89" s="81"/>
      <c r="T89" s="82"/>
      <c r="U89" s="83"/>
      <c r="V89" s="81" t="s">
        <v>18</v>
      </c>
      <c r="W89" s="82"/>
      <c r="X89" s="83"/>
      <c r="Y89" s="81"/>
      <c r="Z89" s="82"/>
      <c r="AA89" s="83"/>
      <c r="AB89" s="81"/>
      <c r="AC89" s="82"/>
      <c r="AD89" s="83"/>
      <c r="AE89" s="81" t="s">
        <v>23</v>
      </c>
      <c r="AF89" s="82"/>
      <c r="AG89" s="83"/>
      <c r="AH89" s="81"/>
      <c r="AI89" s="82"/>
      <c r="AJ89" s="83"/>
      <c r="AK89" s="81"/>
      <c r="AL89" s="82"/>
      <c r="AM89" s="83"/>
      <c r="AN89" s="81"/>
      <c r="AO89" s="82"/>
      <c r="AP89" s="83"/>
      <c r="AQ89" s="81"/>
      <c r="AR89" s="82"/>
      <c r="AS89" s="83"/>
      <c r="AT89" s="81"/>
      <c r="AU89" s="82"/>
      <c r="AV89" s="83"/>
      <c r="AW89" s="66">
        <f ca="1">'RC Template'!AW89</f>
        <v>89.193081665866458</v>
      </c>
      <c r="AX89" s="66">
        <f ca="1">'RC Template'!BC89</f>
        <v>102.87918651313555</v>
      </c>
      <c r="AY89" s="75"/>
    </row>
    <row r="90" spans="1:58" x14ac:dyDescent="0.3">
      <c r="A90" s="123">
        <f t="shared" si="1"/>
        <v>83</v>
      </c>
      <c r="B90" s="19">
        <v>43176</v>
      </c>
      <c r="C90" s="24" t="s">
        <v>25</v>
      </c>
      <c r="D90" s="81"/>
      <c r="E90" s="82"/>
      <c r="F90" s="83"/>
      <c r="G90" s="81"/>
      <c r="H90" s="82"/>
      <c r="I90" s="83"/>
      <c r="J90" s="81"/>
      <c r="K90" s="82"/>
      <c r="L90" s="83"/>
      <c r="M90" s="81"/>
      <c r="N90" s="82"/>
      <c r="O90" s="83"/>
      <c r="P90" s="81"/>
      <c r="Q90" s="82"/>
      <c r="R90" s="83"/>
      <c r="S90" s="81"/>
      <c r="T90" s="82"/>
      <c r="U90" s="83"/>
      <c r="V90" s="81"/>
      <c r="W90" s="82"/>
      <c r="X90" s="83"/>
      <c r="Y90" s="81"/>
      <c r="Z90" s="82"/>
      <c r="AA90" s="83"/>
      <c r="AB90" s="81"/>
      <c r="AC90" s="82"/>
      <c r="AD90" s="83"/>
      <c r="AE90" s="81"/>
      <c r="AF90" s="82"/>
      <c r="AG90" s="83"/>
      <c r="AH90" s="81"/>
      <c r="AI90" s="82"/>
      <c r="AJ90" s="83"/>
      <c r="AK90" s="81"/>
      <c r="AL90" s="82"/>
      <c r="AM90" s="83"/>
      <c r="AN90" s="81" t="s">
        <v>27</v>
      </c>
      <c r="AO90" s="82"/>
      <c r="AP90" s="83"/>
      <c r="AQ90" s="81"/>
      <c r="AR90" s="82"/>
      <c r="AS90" s="83"/>
      <c r="AT90" s="81"/>
      <c r="AU90" s="82"/>
      <c r="AV90" s="83"/>
      <c r="AW90" s="66">
        <f ca="1">'RC Template'!AW90</f>
        <v>128.08468294187779</v>
      </c>
      <c r="AX90" s="66">
        <f ca="1">'RC Template'!BC90</f>
        <v>98.293095274905639</v>
      </c>
      <c r="AY90" s="75"/>
    </row>
    <row r="91" spans="1:58" x14ac:dyDescent="0.3">
      <c r="A91" s="123">
        <f t="shared" si="1"/>
        <v>84</v>
      </c>
      <c r="B91" s="19">
        <v>43178</v>
      </c>
      <c r="C91" s="24" t="s">
        <v>16</v>
      </c>
      <c r="D91" s="81"/>
      <c r="E91" s="82"/>
      <c r="F91" s="83"/>
      <c r="G91" s="81"/>
      <c r="H91" s="82"/>
      <c r="I91" s="83"/>
      <c r="J91" s="81"/>
      <c r="K91" s="82"/>
      <c r="L91" s="83"/>
      <c r="M91" s="81" t="s">
        <v>18</v>
      </c>
      <c r="N91" s="82"/>
      <c r="O91" s="83"/>
      <c r="P91" s="81"/>
      <c r="Q91" s="82"/>
      <c r="R91" s="83"/>
      <c r="S91" s="81"/>
      <c r="T91" s="82"/>
      <c r="U91" s="83"/>
      <c r="V91" s="81"/>
      <c r="W91" s="82"/>
      <c r="X91" s="83"/>
      <c r="Y91" s="81"/>
      <c r="Z91" s="82"/>
      <c r="AA91" s="83"/>
      <c r="AB91" s="81"/>
      <c r="AC91" s="82"/>
      <c r="AD91" s="83"/>
      <c r="AE91" s="81" t="s">
        <v>18</v>
      </c>
      <c r="AF91" s="82"/>
      <c r="AG91" s="83"/>
      <c r="AH91" s="81" t="s">
        <v>18</v>
      </c>
      <c r="AI91" s="82"/>
      <c r="AJ91" s="83"/>
      <c r="AK91" s="81"/>
      <c r="AL91" s="82"/>
      <c r="AM91" s="83"/>
      <c r="AN91" s="81" t="s">
        <v>23</v>
      </c>
      <c r="AO91" s="82"/>
      <c r="AP91" s="83"/>
      <c r="AQ91" s="81" t="s">
        <v>23</v>
      </c>
      <c r="AR91" s="82"/>
      <c r="AS91" s="83"/>
      <c r="AT91" s="81"/>
      <c r="AU91" s="82"/>
      <c r="AV91" s="83"/>
      <c r="AW91" s="66">
        <f ca="1">'RC Template'!AW91</f>
        <v>250.00460206751447</v>
      </c>
      <c r="AX91" s="66">
        <f ca="1">'RC Template'!BC91</f>
        <v>75.654466666666679</v>
      </c>
      <c r="AY91" s="75"/>
    </row>
    <row r="92" spans="1:58" x14ac:dyDescent="0.3">
      <c r="A92" s="123">
        <f t="shared" si="1"/>
        <v>85</v>
      </c>
      <c r="B92" s="19">
        <v>43178</v>
      </c>
      <c r="C92" s="24" t="s">
        <v>25</v>
      </c>
      <c r="D92" s="81"/>
      <c r="E92" s="82"/>
      <c r="F92" s="83"/>
      <c r="G92" s="81"/>
      <c r="H92" s="82"/>
      <c r="I92" s="83"/>
      <c r="J92" s="81"/>
      <c r="K92" s="82"/>
      <c r="L92" s="83"/>
      <c r="M92" s="81"/>
      <c r="N92" s="82"/>
      <c r="O92" s="83"/>
      <c r="P92" s="81"/>
      <c r="Q92" s="82"/>
      <c r="R92" s="83"/>
      <c r="S92" s="81"/>
      <c r="T92" s="82"/>
      <c r="U92" s="83"/>
      <c r="V92" s="81" t="s">
        <v>18</v>
      </c>
      <c r="W92" s="82" t="s">
        <v>18</v>
      </c>
      <c r="X92" s="83" t="s">
        <v>18</v>
      </c>
      <c r="Y92" s="81"/>
      <c r="Z92" s="82"/>
      <c r="AA92" s="83"/>
      <c r="AB92" s="81"/>
      <c r="AC92" s="82"/>
      <c r="AD92" s="83"/>
      <c r="AE92" s="81" t="s">
        <v>23</v>
      </c>
      <c r="AF92" s="82"/>
      <c r="AG92" s="83"/>
      <c r="AH92" s="81" t="s">
        <v>23</v>
      </c>
      <c r="AI92" s="82"/>
      <c r="AJ92" s="83"/>
      <c r="AK92" s="81"/>
      <c r="AL92" s="82"/>
      <c r="AM92" s="83"/>
      <c r="AN92" s="81"/>
      <c r="AO92" s="82"/>
      <c r="AP92" s="83"/>
      <c r="AQ92" s="81"/>
      <c r="AR92" s="82"/>
      <c r="AS92" s="83"/>
      <c r="AT92" s="81"/>
      <c r="AU92" s="82"/>
      <c r="AV92" s="83"/>
      <c r="AW92" s="66">
        <f ca="1">'RC Template'!AW92</f>
        <v>113.54159543575551</v>
      </c>
      <c r="AX92" s="66">
        <f ca="1">'RC Template'!BC92</f>
        <v>87.132626645887456</v>
      </c>
      <c r="AY92" s="75"/>
    </row>
    <row r="93" spans="1:58" x14ac:dyDescent="0.3">
      <c r="A93" s="123">
        <f t="shared" si="1"/>
        <v>86</v>
      </c>
      <c r="B93" s="19">
        <v>43178</v>
      </c>
      <c r="C93" s="24" t="s">
        <v>174</v>
      </c>
      <c r="D93" s="81"/>
      <c r="E93" s="82"/>
      <c r="F93" s="83"/>
      <c r="G93" s="81"/>
      <c r="H93" s="82"/>
      <c r="I93" s="83"/>
      <c r="J93" s="81"/>
      <c r="K93" s="82"/>
      <c r="L93" s="83"/>
      <c r="M93" s="81"/>
      <c r="N93" s="82"/>
      <c r="O93" s="83"/>
      <c r="P93" s="81"/>
      <c r="Q93" s="82"/>
      <c r="R93" s="83"/>
      <c r="S93" s="81"/>
      <c r="T93" s="82"/>
      <c r="U93" s="83"/>
      <c r="V93" s="81" t="s">
        <v>18</v>
      </c>
      <c r="W93" s="82" t="s">
        <v>18</v>
      </c>
      <c r="X93" s="83"/>
      <c r="Y93" s="81"/>
      <c r="Z93" s="82"/>
      <c r="AA93" s="83"/>
      <c r="AB93" s="81" t="s">
        <v>23</v>
      </c>
      <c r="AC93" s="82"/>
      <c r="AD93" s="83"/>
      <c r="AE93" s="81" t="s">
        <v>29</v>
      </c>
      <c r="AF93" s="82"/>
      <c r="AG93" s="83"/>
      <c r="AH93" s="81"/>
      <c r="AI93" s="82"/>
      <c r="AJ93" s="83"/>
      <c r="AK93" s="81"/>
      <c r="AL93" s="82"/>
      <c r="AM93" s="83"/>
      <c r="AN93" s="81"/>
      <c r="AO93" s="82"/>
      <c r="AP93" s="83"/>
      <c r="AQ93" s="81"/>
      <c r="AR93" s="82"/>
      <c r="AS93" s="83"/>
      <c r="AT93" s="81"/>
      <c r="AU93" s="82"/>
      <c r="AV93" s="83"/>
      <c r="AW93" s="66">
        <f ca="1">'RC Template'!AW93</f>
        <v>115.04147098357274</v>
      </c>
      <c r="AX93" s="66">
        <f ca="1">'RC Template'!BC93</f>
        <v>191.71182099499683</v>
      </c>
      <c r="AY93" s="75"/>
    </row>
    <row r="94" spans="1:58" x14ac:dyDescent="0.3">
      <c r="A94" s="123">
        <f t="shared" si="1"/>
        <v>87</v>
      </c>
      <c r="B94" s="19">
        <v>43178</v>
      </c>
      <c r="C94" s="24" t="s">
        <v>106</v>
      </c>
      <c r="D94" s="81"/>
      <c r="E94" s="82"/>
      <c r="F94" s="83"/>
      <c r="G94" s="81"/>
      <c r="H94" s="82"/>
      <c r="I94" s="83"/>
      <c r="J94" s="81"/>
      <c r="K94" s="82"/>
      <c r="L94" s="83"/>
      <c r="M94" s="81" t="s">
        <v>18</v>
      </c>
      <c r="N94" s="82" t="s">
        <v>18</v>
      </c>
      <c r="O94" s="83"/>
      <c r="P94" s="81"/>
      <c r="Q94" s="82"/>
      <c r="R94" s="83"/>
      <c r="S94" s="81"/>
      <c r="T94" s="82"/>
      <c r="U94" s="83"/>
      <c r="V94" s="81" t="s">
        <v>18</v>
      </c>
      <c r="W94" s="82" t="s">
        <v>18</v>
      </c>
      <c r="X94" s="83"/>
      <c r="Y94" s="81"/>
      <c r="Z94" s="82"/>
      <c r="AA94" s="83"/>
      <c r="AB94" s="81" t="s">
        <v>23</v>
      </c>
      <c r="AC94" s="82"/>
      <c r="AD94" s="83"/>
      <c r="AE94" s="81"/>
      <c r="AF94" s="82"/>
      <c r="AG94" s="83"/>
      <c r="AH94" s="81"/>
      <c r="AI94" s="82"/>
      <c r="AJ94" s="83"/>
      <c r="AK94" s="81"/>
      <c r="AL94" s="82"/>
      <c r="AM94" s="83"/>
      <c r="AN94" s="81"/>
      <c r="AO94" s="82"/>
      <c r="AP94" s="83"/>
      <c r="AQ94" s="81"/>
      <c r="AR94" s="82"/>
      <c r="AS94" s="83"/>
      <c r="AT94" s="81"/>
      <c r="AU94" s="82"/>
      <c r="AV94" s="83"/>
      <c r="AW94" s="66">
        <f ca="1">'RC Template'!AW94</f>
        <v>97.530876774184151</v>
      </c>
      <c r="AX94" s="66">
        <f ca="1">'RC Template'!BC94</f>
        <v>112.49636266666668</v>
      </c>
      <c r="AY94" s="75"/>
      <c r="BC94" t="s">
        <v>214</v>
      </c>
      <c r="BD94" s="131">
        <v>1930</v>
      </c>
      <c r="BE94" t="s">
        <v>215</v>
      </c>
      <c r="BF94" t="str">
        <f>CONCATENATE(BC94,BD94,BE94)</f>
        <v>&lt;option&gt;1930&lt;/option&gt;</v>
      </c>
    </row>
    <row r="95" spans="1:58" x14ac:dyDescent="0.3">
      <c r="A95" s="123">
        <f t="shared" si="1"/>
        <v>88</v>
      </c>
      <c r="B95" s="19">
        <v>43182</v>
      </c>
      <c r="C95" s="24" t="s">
        <v>174</v>
      </c>
      <c r="D95" s="81"/>
      <c r="E95" s="82"/>
      <c r="F95" s="83"/>
      <c r="G95" s="81"/>
      <c r="H95" s="82"/>
      <c r="I95" s="83"/>
      <c r="J95" s="81"/>
      <c r="K95" s="82"/>
      <c r="L95" s="83"/>
      <c r="M95" s="81"/>
      <c r="N95" s="82"/>
      <c r="O95" s="83"/>
      <c r="P95" s="81"/>
      <c r="Q95" s="82"/>
      <c r="R95" s="83"/>
      <c r="S95" s="81"/>
      <c r="T95" s="82"/>
      <c r="U95" s="83"/>
      <c r="V95" s="81" t="s">
        <v>18</v>
      </c>
      <c r="W95" s="82" t="s">
        <v>18</v>
      </c>
      <c r="X95" s="83" t="s">
        <v>18</v>
      </c>
      <c r="Y95" s="81"/>
      <c r="Z95" s="82"/>
      <c r="AA95" s="83"/>
      <c r="AB95" s="81"/>
      <c r="AC95" s="82"/>
      <c r="AD95" s="83"/>
      <c r="AE95" s="81"/>
      <c r="AF95" s="82"/>
      <c r="AG95" s="83"/>
      <c r="AH95" s="81"/>
      <c r="AI95" s="82"/>
      <c r="AJ95" s="83"/>
      <c r="AK95" s="81"/>
      <c r="AL95" s="82"/>
      <c r="AM95" s="83"/>
      <c r="AN95" s="81"/>
      <c r="AO95" s="82"/>
      <c r="AP95" s="83"/>
      <c r="AQ95" s="81"/>
      <c r="AR95" s="82"/>
      <c r="AS95" s="83"/>
      <c r="AT95" s="81"/>
      <c r="AU95" s="82"/>
      <c r="AV95" s="83"/>
      <c r="AW95" s="66">
        <f ca="1">'RC Template'!AW95</f>
        <v>105.77023722720006</v>
      </c>
      <c r="AX95" s="66">
        <f ca="1">'RC Template'!BC95</f>
        <v>176.26169600000009</v>
      </c>
      <c r="AY95" s="75"/>
      <c r="BC95" t="s">
        <v>214</v>
      </c>
      <c r="BD95" s="131">
        <f>BD94+1</f>
        <v>1931</v>
      </c>
      <c r="BE95" t="s">
        <v>215</v>
      </c>
      <c r="BF95" t="str">
        <f t="shared" ref="BF95:BF124" si="2">CONCATENATE(BC95,BD95,BE95)</f>
        <v>&lt;option&gt;1931&lt;/option&gt;</v>
      </c>
    </row>
    <row r="96" spans="1:58" x14ac:dyDescent="0.3">
      <c r="A96" s="123">
        <f t="shared" si="1"/>
        <v>89</v>
      </c>
      <c r="B96" s="19">
        <v>43182</v>
      </c>
      <c r="C96" s="24" t="s">
        <v>25</v>
      </c>
      <c r="D96" s="81"/>
      <c r="E96" s="82"/>
      <c r="F96" s="83"/>
      <c r="G96" s="81"/>
      <c r="H96" s="82"/>
      <c r="I96" s="83"/>
      <c r="J96" s="81"/>
      <c r="K96" s="82"/>
      <c r="L96" s="83"/>
      <c r="M96" s="81"/>
      <c r="N96" s="82"/>
      <c r="O96" s="83"/>
      <c r="P96" s="81"/>
      <c r="Q96" s="82"/>
      <c r="R96" s="83"/>
      <c r="S96" s="81"/>
      <c r="T96" s="82"/>
      <c r="U96" s="83"/>
      <c r="V96" s="81" t="s">
        <v>18</v>
      </c>
      <c r="W96" s="82" t="s">
        <v>18</v>
      </c>
      <c r="X96" s="83" t="s">
        <v>18</v>
      </c>
      <c r="Y96" s="81"/>
      <c r="Z96" s="82"/>
      <c r="AA96" s="83"/>
      <c r="AB96" s="81"/>
      <c r="AC96" s="82"/>
      <c r="AD96" s="83"/>
      <c r="AE96" s="81"/>
      <c r="AF96" s="82"/>
      <c r="AG96" s="83"/>
      <c r="AH96" s="81"/>
      <c r="AI96" s="82"/>
      <c r="AJ96" s="83"/>
      <c r="AK96" s="81"/>
      <c r="AL96" s="82"/>
      <c r="AM96" s="83"/>
      <c r="AN96" s="81"/>
      <c r="AO96" s="82"/>
      <c r="AP96" s="83"/>
      <c r="AQ96" s="81"/>
      <c r="AR96" s="82"/>
      <c r="AS96" s="83"/>
      <c r="AT96" s="81"/>
      <c r="AU96" s="82"/>
      <c r="AV96" s="83"/>
      <c r="AW96" s="66">
        <f ca="1">'RC Template'!AW96</f>
        <v>105.77023722720006</v>
      </c>
      <c r="AX96" s="66">
        <f ca="1">'RC Template'!BC96</f>
        <v>81.168831168831161</v>
      </c>
      <c r="AY96" s="75"/>
      <c r="BC96" t="s">
        <v>214</v>
      </c>
      <c r="BD96" s="131">
        <f t="shared" ref="BD96:BD124" si="3">BD95+1</f>
        <v>1932</v>
      </c>
      <c r="BE96" t="s">
        <v>215</v>
      </c>
      <c r="BF96" t="str">
        <f t="shared" si="2"/>
        <v>&lt;option&gt;1932&lt;/option&gt;</v>
      </c>
    </row>
    <row r="97" spans="1:58" x14ac:dyDescent="0.3">
      <c r="A97" s="123">
        <f t="shared" si="1"/>
        <v>90</v>
      </c>
      <c r="B97" s="19">
        <v>43185</v>
      </c>
      <c r="C97" s="24" t="s">
        <v>106</v>
      </c>
      <c r="D97" s="81"/>
      <c r="E97" s="82"/>
      <c r="F97" s="83"/>
      <c r="G97" s="81"/>
      <c r="H97" s="82"/>
      <c r="I97" s="83"/>
      <c r="J97" s="81" t="s">
        <v>18</v>
      </c>
      <c r="K97" s="82" t="s">
        <v>18</v>
      </c>
      <c r="L97" s="83"/>
      <c r="M97" s="81" t="s">
        <v>18</v>
      </c>
      <c r="N97" s="82" t="s">
        <v>23</v>
      </c>
      <c r="O97" s="83"/>
      <c r="P97" s="81"/>
      <c r="Q97" s="82"/>
      <c r="R97" s="83"/>
      <c r="S97" s="81"/>
      <c r="T97" s="82"/>
      <c r="U97" s="83"/>
      <c r="V97" s="81"/>
      <c r="W97" s="82"/>
      <c r="X97" s="83"/>
      <c r="Y97" s="81"/>
      <c r="Z97" s="82"/>
      <c r="AA97" s="83"/>
      <c r="AB97" s="81"/>
      <c r="AC97" s="82"/>
      <c r="AD97" s="83"/>
      <c r="AE97" s="81"/>
      <c r="AF97" s="82"/>
      <c r="AG97" s="83"/>
      <c r="AH97" s="81"/>
      <c r="AI97" s="82"/>
      <c r="AJ97" s="83"/>
      <c r="AK97" s="81"/>
      <c r="AL97" s="82"/>
      <c r="AM97" s="83"/>
      <c r="AN97" s="81"/>
      <c r="AO97" s="82"/>
      <c r="AP97" s="83"/>
      <c r="AQ97" s="81"/>
      <c r="AR97" s="82"/>
      <c r="AS97" s="83"/>
      <c r="AT97" s="81"/>
      <c r="AU97" s="82"/>
      <c r="AV97" s="83"/>
      <c r="AW97" s="66">
        <f ca="1">'RC Template'!AW97</f>
        <v>51.502499999999998</v>
      </c>
      <c r="AX97" s="66">
        <f ca="1">'RC Template'!BC97</f>
        <v>59.405227450734834</v>
      </c>
      <c r="AY97" s="75"/>
      <c r="BC97" t="s">
        <v>214</v>
      </c>
      <c r="BD97" s="131">
        <f t="shared" si="3"/>
        <v>1933</v>
      </c>
      <c r="BE97" t="s">
        <v>215</v>
      </c>
      <c r="BF97" t="str">
        <f t="shared" si="2"/>
        <v>&lt;option&gt;1933&lt;/option&gt;</v>
      </c>
    </row>
    <row r="98" spans="1:58" x14ac:dyDescent="0.3">
      <c r="A98" s="123">
        <f t="shared" si="1"/>
        <v>91</v>
      </c>
      <c r="B98" s="19">
        <v>43187</v>
      </c>
      <c r="C98" s="24" t="s">
        <v>174</v>
      </c>
      <c r="D98" s="81"/>
      <c r="E98" s="82"/>
      <c r="F98" s="83"/>
      <c r="G98" s="81"/>
      <c r="H98" s="82"/>
      <c r="I98" s="83"/>
      <c r="J98" s="81"/>
      <c r="K98" s="82"/>
      <c r="L98" s="83"/>
      <c r="M98" s="81" t="s">
        <v>18</v>
      </c>
      <c r="N98" s="82"/>
      <c r="O98" s="83"/>
      <c r="P98" s="81"/>
      <c r="Q98" s="82"/>
      <c r="R98" s="83"/>
      <c r="S98" s="81"/>
      <c r="T98" s="82"/>
      <c r="U98" s="83"/>
      <c r="V98" s="81" t="s">
        <v>18</v>
      </c>
      <c r="W98" s="82"/>
      <c r="X98" s="83"/>
      <c r="Y98" s="81"/>
      <c r="Z98" s="82"/>
      <c r="AA98" s="83"/>
      <c r="AB98" s="81"/>
      <c r="AC98" s="82"/>
      <c r="AD98" s="83"/>
      <c r="AE98" s="81" t="s">
        <v>23</v>
      </c>
      <c r="AF98" s="82"/>
      <c r="AG98" s="83"/>
      <c r="AH98" s="81" t="s">
        <v>26</v>
      </c>
      <c r="AI98" s="82"/>
      <c r="AJ98" s="83"/>
      <c r="AK98" s="81"/>
      <c r="AL98" s="82"/>
      <c r="AM98" s="83"/>
      <c r="AN98" s="81"/>
      <c r="AO98" s="82"/>
      <c r="AP98" s="83"/>
      <c r="AQ98" s="81"/>
      <c r="AR98" s="82"/>
      <c r="AS98" s="83"/>
      <c r="AT98" s="81"/>
      <c r="AU98" s="82"/>
      <c r="AV98" s="83"/>
      <c r="AW98" s="66">
        <f ca="1">'RC Template'!AW98</f>
        <v>131.92555722635953</v>
      </c>
      <c r="AX98" s="66">
        <f ca="1">'RC Template'!BC98</f>
        <v>219.84844765464237</v>
      </c>
      <c r="AY98" s="75"/>
      <c r="BC98" t="s">
        <v>214</v>
      </c>
      <c r="BD98" s="131">
        <f t="shared" si="3"/>
        <v>1934</v>
      </c>
      <c r="BE98" t="s">
        <v>215</v>
      </c>
      <c r="BF98" t="str">
        <f t="shared" si="2"/>
        <v>&lt;option&gt;1934&lt;/option&gt;</v>
      </c>
    </row>
    <row r="99" spans="1:58" x14ac:dyDescent="0.3">
      <c r="A99" s="123">
        <f t="shared" si="1"/>
        <v>92</v>
      </c>
      <c r="B99" s="19">
        <v>43187</v>
      </c>
      <c r="C99" s="24" t="s">
        <v>16</v>
      </c>
      <c r="D99" s="81"/>
      <c r="E99" s="82"/>
      <c r="F99" s="83"/>
      <c r="G99" s="81"/>
      <c r="H99" s="82"/>
      <c r="I99" s="83"/>
      <c r="J99" s="81"/>
      <c r="K99" s="82"/>
      <c r="L99" s="83"/>
      <c r="M99" s="81"/>
      <c r="N99" s="82"/>
      <c r="O99" s="83"/>
      <c r="P99" s="81"/>
      <c r="Q99" s="82"/>
      <c r="R99" s="83"/>
      <c r="S99" s="81"/>
      <c r="T99" s="82"/>
      <c r="U99" s="83"/>
      <c r="V99" s="81" t="s">
        <v>18</v>
      </c>
      <c r="W99" s="82"/>
      <c r="X99" s="83"/>
      <c r="Y99" s="81"/>
      <c r="Z99" s="82"/>
      <c r="AA99" s="83"/>
      <c r="AB99" s="81"/>
      <c r="AC99" s="82"/>
      <c r="AD99" s="83"/>
      <c r="AE99" s="81" t="s">
        <v>18</v>
      </c>
      <c r="AF99" s="82"/>
      <c r="AG99" s="83"/>
      <c r="AH99" s="81"/>
      <c r="AI99" s="82"/>
      <c r="AJ99" s="83"/>
      <c r="AK99" s="81" t="s">
        <v>18</v>
      </c>
      <c r="AL99" s="82"/>
      <c r="AM99" s="83"/>
      <c r="AN99" s="81" t="s">
        <v>28</v>
      </c>
      <c r="AO99" s="82" t="s">
        <v>29</v>
      </c>
      <c r="AP99" s="83"/>
      <c r="AQ99" s="81"/>
      <c r="AR99" s="82"/>
      <c r="AS99" s="83"/>
      <c r="AT99" s="81"/>
      <c r="AU99" s="82"/>
      <c r="AV99" s="83"/>
      <c r="AW99" s="66">
        <f ca="1">'RC Template'!AW99</f>
        <v>318.80189462676492</v>
      </c>
      <c r="AX99" s="66">
        <f ca="1">'RC Template'!BC99</f>
        <v>96.47337333333337</v>
      </c>
      <c r="AY99" s="75"/>
      <c r="BC99" t="s">
        <v>214</v>
      </c>
      <c r="BD99" s="131">
        <f t="shared" si="3"/>
        <v>1935</v>
      </c>
      <c r="BE99" t="s">
        <v>215</v>
      </c>
      <c r="BF99" t="str">
        <f t="shared" si="2"/>
        <v>&lt;option&gt;1935&lt;/option&gt;</v>
      </c>
    </row>
    <row r="100" spans="1:58" x14ac:dyDescent="0.3">
      <c r="A100" s="123">
        <f t="shared" si="1"/>
        <v>93</v>
      </c>
      <c r="B100" s="19">
        <v>43187</v>
      </c>
      <c r="C100" s="24" t="s">
        <v>25</v>
      </c>
      <c r="D100" s="81"/>
      <c r="E100" s="82"/>
      <c r="F100" s="83"/>
      <c r="G100" s="81"/>
      <c r="H100" s="82"/>
      <c r="I100" s="83"/>
      <c r="J100" s="81"/>
      <c r="K100" s="82"/>
      <c r="L100" s="83"/>
      <c r="M100" s="81"/>
      <c r="N100" s="82"/>
      <c r="O100" s="83"/>
      <c r="P100" s="81"/>
      <c r="Q100" s="82"/>
      <c r="R100" s="83"/>
      <c r="S100" s="81"/>
      <c r="T100" s="82"/>
      <c r="U100" s="83"/>
      <c r="V100" s="81" t="s">
        <v>18</v>
      </c>
      <c r="W100" s="82"/>
      <c r="X100" s="83"/>
      <c r="Y100" s="81"/>
      <c r="Z100" s="82"/>
      <c r="AA100" s="83"/>
      <c r="AB100" s="81"/>
      <c r="AC100" s="82"/>
      <c r="AD100" s="83"/>
      <c r="AE100" s="81" t="s">
        <v>28</v>
      </c>
      <c r="AF100" s="82"/>
      <c r="AG100" s="83"/>
      <c r="AH100" s="81" t="s">
        <v>23</v>
      </c>
      <c r="AI100" s="82"/>
      <c r="AJ100" s="83"/>
      <c r="AK100" s="81"/>
      <c r="AL100" s="82"/>
      <c r="AM100" s="83"/>
      <c r="AN100" s="81"/>
      <c r="AO100" s="82"/>
      <c r="AP100" s="83"/>
      <c r="AQ100" s="81"/>
      <c r="AR100" s="82"/>
      <c r="AS100" s="83"/>
      <c r="AT100" s="81"/>
      <c r="AU100" s="82"/>
      <c r="AV100" s="83"/>
      <c r="AW100" s="66">
        <f ca="1">'RC Template'!AW100</f>
        <v>133.25766388937112</v>
      </c>
      <c r="AX100" s="66">
        <f ca="1">'RC Template'!BC100</f>
        <v>102.2628775896104</v>
      </c>
      <c r="AY100" s="75"/>
      <c r="BC100" t="s">
        <v>214</v>
      </c>
      <c r="BD100" s="131">
        <f t="shared" si="3"/>
        <v>1936</v>
      </c>
      <c r="BE100" t="s">
        <v>215</v>
      </c>
      <c r="BF100" t="str">
        <f t="shared" si="2"/>
        <v>&lt;option&gt;1936&lt;/option&gt;</v>
      </c>
    </row>
    <row r="101" spans="1:58" x14ac:dyDescent="0.3">
      <c r="A101" s="123">
        <f t="shared" si="1"/>
        <v>94</v>
      </c>
      <c r="B101" s="19">
        <v>43189</v>
      </c>
      <c r="C101" s="24" t="s">
        <v>16</v>
      </c>
      <c r="D101" s="81"/>
      <c r="E101" s="82"/>
      <c r="F101" s="83"/>
      <c r="G101" s="81"/>
      <c r="H101" s="82"/>
      <c r="I101" s="83"/>
      <c r="J101" s="81"/>
      <c r="K101" s="82"/>
      <c r="L101" s="83"/>
      <c r="M101" s="81"/>
      <c r="N101" s="82"/>
      <c r="O101" s="83"/>
      <c r="P101" s="81"/>
      <c r="Q101" s="82"/>
      <c r="R101" s="83"/>
      <c r="S101" s="81"/>
      <c r="T101" s="82"/>
      <c r="U101" s="83"/>
      <c r="V101" s="81" t="s">
        <v>18</v>
      </c>
      <c r="W101" s="82"/>
      <c r="X101" s="83"/>
      <c r="Y101" s="81"/>
      <c r="Z101" s="82"/>
      <c r="AA101" s="83"/>
      <c r="AB101" s="81"/>
      <c r="AC101" s="82"/>
      <c r="AD101" s="83"/>
      <c r="AE101" s="81" t="s">
        <v>18</v>
      </c>
      <c r="AF101" s="82"/>
      <c r="AG101" s="83"/>
      <c r="AH101" s="81"/>
      <c r="AI101" s="82"/>
      <c r="AJ101" s="83"/>
      <c r="AK101" s="81"/>
      <c r="AL101" s="82"/>
      <c r="AM101" s="83"/>
      <c r="AN101" s="81"/>
      <c r="AO101" s="82"/>
      <c r="AP101" s="83"/>
      <c r="AQ101" s="81"/>
      <c r="AR101" s="82"/>
      <c r="AS101" s="83"/>
      <c r="AT101" s="81" t="s">
        <v>18</v>
      </c>
      <c r="AU101" s="82"/>
      <c r="AV101" s="83"/>
      <c r="AW101" s="66">
        <f ca="1">'RC Template'!AW101</f>
        <v>347.34832130930022</v>
      </c>
      <c r="AX101" s="66">
        <f ca="1">'RC Template'!BC101</f>
        <v>105.11187305712281</v>
      </c>
      <c r="AY101" s="75"/>
      <c r="BC101" t="s">
        <v>214</v>
      </c>
      <c r="BD101" s="131">
        <f t="shared" si="3"/>
        <v>1937</v>
      </c>
      <c r="BE101" t="s">
        <v>215</v>
      </c>
      <c r="BF101" t="str">
        <f t="shared" si="2"/>
        <v>&lt;option&gt;1937&lt;/option&gt;</v>
      </c>
    </row>
    <row r="102" spans="1:58" x14ac:dyDescent="0.3">
      <c r="A102" s="123">
        <f t="shared" si="1"/>
        <v>95</v>
      </c>
      <c r="B102" s="19">
        <v>43189</v>
      </c>
      <c r="C102" s="24" t="s">
        <v>174</v>
      </c>
      <c r="D102" s="81"/>
      <c r="E102" s="82"/>
      <c r="F102" s="83"/>
      <c r="G102" s="81"/>
      <c r="H102" s="82"/>
      <c r="I102" s="83"/>
      <c r="J102" s="81"/>
      <c r="K102" s="82"/>
      <c r="L102" s="83"/>
      <c r="M102" s="81"/>
      <c r="N102" s="82"/>
      <c r="O102" s="83"/>
      <c r="P102" s="81"/>
      <c r="Q102" s="82"/>
      <c r="R102" s="83"/>
      <c r="S102" s="81"/>
      <c r="T102" s="82"/>
      <c r="U102" s="83"/>
      <c r="V102" s="81" t="s">
        <v>18</v>
      </c>
      <c r="W102" s="82"/>
      <c r="X102" s="83"/>
      <c r="Y102" s="81"/>
      <c r="Z102" s="82"/>
      <c r="AA102" s="83"/>
      <c r="AB102" s="81" t="s">
        <v>28</v>
      </c>
      <c r="AC102" s="82" t="s">
        <v>18</v>
      </c>
      <c r="AD102" s="83"/>
      <c r="AE102" s="81" t="s">
        <v>30</v>
      </c>
      <c r="AF102" s="82"/>
      <c r="AG102" s="83"/>
      <c r="AH102" s="81"/>
      <c r="AI102" s="82"/>
      <c r="AJ102" s="83"/>
      <c r="AK102" s="81"/>
      <c r="AL102" s="82"/>
      <c r="AM102" s="83"/>
      <c r="AN102" s="81"/>
      <c r="AO102" s="82"/>
      <c r="AP102" s="83"/>
      <c r="AQ102" s="81"/>
      <c r="AR102" s="82"/>
      <c r="AS102" s="83"/>
      <c r="AT102" s="81"/>
      <c r="AU102" s="82"/>
      <c r="AV102" s="83"/>
      <c r="AW102" s="66">
        <f ca="1">'RC Template'!AW102</f>
        <v>137.87811629646592</v>
      </c>
      <c r="AX102" s="66">
        <f ca="1">'RC Template'!BC102</f>
        <v>229.76813947667526</v>
      </c>
      <c r="AY102" s="75"/>
      <c r="BC102" t="s">
        <v>214</v>
      </c>
      <c r="BD102" s="131">
        <f t="shared" si="3"/>
        <v>1938</v>
      </c>
      <c r="BE102" t="s">
        <v>215</v>
      </c>
      <c r="BF102" t="str">
        <f t="shared" si="2"/>
        <v>&lt;option&gt;1938&lt;/option&gt;</v>
      </c>
    </row>
    <row r="103" spans="1:58" x14ac:dyDescent="0.3">
      <c r="A103" s="123">
        <f t="shared" si="1"/>
        <v>96</v>
      </c>
      <c r="B103" s="19">
        <v>43189</v>
      </c>
      <c r="C103" s="24" t="s">
        <v>25</v>
      </c>
      <c r="D103" s="81"/>
      <c r="E103" s="82"/>
      <c r="F103" s="83"/>
      <c r="G103" s="81"/>
      <c r="H103" s="82"/>
      <c r="I103" s="83"/>
      <c r="J103" s="81"/>
      <c r="K103" s="82"/>
      <c r="L103" s="83"/>
      <c r="M103" s="81"/>
      <c r="N103" s="82"/>
      <c r="O103" s="83"/>
      <c r="P103" s="81"/>
      <c r="Q103" s="82"/>
      <c r="R103" s="83"/>
      <c r="S103" s="81"/>
      <c r="T103" s="82"/>
      <c r="U103" s="83"/>
      <c r="V103" s="81" t="s">
        <v>18</v>
      </c>
      <c r="W103" s="82"/>
      <c r="X103" s="83"/>
      <c r="Y103" s="81"/>
      <c r="Z103" s="82"/>
      <c r="AA103" s="83"/>
      <c r="AB103" s="81" t="s">
        <v>18</v>
      </c>
      <c r="AC103" s="82"/>
      <c r="AD103" s="83"/>
      <c r="AE103" s="81" t="s">
        <v>29</v>
      </c>
      <c r="AF103" s="82"/>
      <c r="AG103" s="83"/>
      <c r="AH103" s="81"/>
      <c r="AI103" s="82"/>
      <c r="AJ103" s="83"/>
      <c r="AK103" s="81"/>
      <c r="AL103" s="82"/>
      <c r="AM103" s="83"/>
      <c r="AN103" s="81"/>
      <c r="AO103" s="82"/>
      <c r="AP103" s="83"/>
      <c r="AQ103" s="81"/>
      <c r="AR103" s="82"/>
      <c r="AS103" s="83"/>
      <c r="AT103" s="81"/>
      <c r="AU103" s="82"/>
      <c r="AV103" s="83"/>
      <c r="AW103" s="66">
        <f ca="1">'RC Template'!AW103</f>
        <v>133.81949581994093</v>
      </c>
      <c r="AX103" s="66">
        <f ca="1">'RC Template'!BC103</f>
        <v>102.69403140294374</v>
      </c>
      <c r="AY103" s="75"/>
      <c r="BC103" t="s">
        <v>214</v>
      </c>
      <c r="BD103" s="131">
        <f t="shared" si="3"/>
        <v>1939</v>
      </c>
      <c r="BE103" t="s">
        <v>215</v>
      </c>
      <c r="BF103" t="str">
        <f t="shared" si="2"/>
        <v>&lt;option&gt;1939&lt;/option&gt;</v>
      </c>
    </row>
    <row r="104" spans="1:58" x14ac:dyDescent="0.3">
      <c r="A104" s="123">
        <f t="shared" si="1"/>
        <v>97</v>
      </c>
      <c r="B104" s="19">
        <v>43189</v>
      </c>
      <c r="C104" s="24" t="s">
        <v>210</v>
      </c>
      <c r="D104" s="81"/>
      <c r="E104" s="82"/>
      <c r="F104" s="83"/>
      <c r="G104" s="81"/>
      <c r="H104" s="82"/>
      <c r="I104" s="83"/>
      <c r="J104" s="81"/>
      <c r="K104" s="82"/>
      <c r="L104" s="83"/>
      <c r="M104" s="81"/>
      <c r="N104" s="82"/>
      <c r="O104" s="83"/>
      <c r="P104" s="81" t="s">
        <v>18</v>
      </c>
      <c r="Q104" s="82"/>
      <c r="R104" s="83"/>
      <c r="S104" s="81"/>
      <c r="T104" s="82"/>
      <c r="U104" s="83"/>
      <c r="V104" s="81"/>
      <c r="W104" s="82"/>
      <c r="X104" s="83"/>
      <c r="Y104" s="81"/>
      <c r="Z104" s="82"/>
      <c r="AA104" s="83"/>
      <c r="AB104" s="81"/>
      <c r="AC104" s="82"/>
      <c r="AD104" s="83"/>
      <c r="AE104" s="81" t="s">
        <v>23</v>
      </c>
      <c r="AF104" s="82" t="s">
        <v>23</v>
      </c>
      <c r="AG104" s="83"/>
      <c r="AH104" s="81"/>
      <c r="AI104" s="82"/>
      <c r="AJ104" s="83"/>
      <c r="AK104" s="81"/>
      <c r="AL104" s="82"/>
      <c r="AM104" s="83"/>
      <c r="AN104" s="81"/>
      <c r="AO104" s="82"/>
      <c r="AP104" s="83"/>
      <c r="AQ104" s="81"/>
      <c r="AR104" s="82"/>
      <c r="AS104" s="83"/>
      <c r="AT104" s="81"/>
      <c r="AU104" s="82"/>
      <c r="AV104" s="83"/>
      <c r="AW104" s="66">
        <f ca="1">'RC Template'!AW104</f>
        <v>91.790661846932892</v>
      </c>
      <c r="AX104" s="66">
        <f ca="1">'RC Template'!BC104</f>
        <v>105.87534866988081</v>
      </c>
      <c r="AY104" s="75"/>
      <c r="BC104" t="s">
        <v>214</v>
      </c>
      <c r="BD104" s="131">
        <f t="shared" si="3"/>
        <v>1940</v>
      </c>
      <c r="BE104" t="s">
        <v>215</v>
      </c>
      <c r="BF104" t="str">
        <f t="shared" si="2"/>
        <v>&lt;option&gt;1940&lt;/option&gt;</v>
      </c>
    </row>
    <row r="105" spans="1:58" x14ac:dyDescent="0.3">
      <c r="A105" s="123">
        <f t="shared" si="1"/>
        <v>98</v>
      </c>
      <c r="B105" s="19">
        <v>43212</v>
      </c>
      <c r="C105" s="24" t="s">
        <v>16</v>
      </c>
      <c r="D105" s="81"/>
      <c r="E105" s="82"/>
      <c r="F105" s="83"/>
      <c r="G105" s="81"/>
      <c r="H105" s="82"/>
      <c r="I105" s="83"/>
      <c r="J105" s="81"/>
      <c r="K105" s="82"/>
      <c r="L105" s="83"/>
      <c r="M105" s="81" t="s">
        <v>18</v>
      </c>
      <c r="N105" s="82"/>
      <c r="O105" s="83"/>
      <c r="P105" s="81"/>
      <c r="Q105" s="82"/>
      <c r="R105" s="83"/>
      <c r="S105" s="81"/>
      <c r="T105" s="82"/>
      <c r="U105" s="83"/>
      <c r="V105" s="81"/>
      <c r="W105" s="82"/>
      <c r="X105" s="83"/>
      <c r="Y105" s="81"/>
      <c r="Z105" s="82"/>
      <c r="AA105" s="83"/>
      <c r="AB105" s="81"/>
      <c r="AC105" s="82"/>
      <c r="AD105" s="83"/>
      <c r="AE105" s="81" t="s">
        <v>18</v>
      </c>
      <c r="AF105" s="82"/>
      <c r="AG105" s="83"/>
      <c r="AH105" s="81"/>
      <c r="AI105" s="82"/>
      <c r="AJ105" s="83"/>
      <c r="AK105" s="81"/>
      <c r="AL105" s="82"/>
      <c r="AM105" s="83"/>
      <c r="AN105" s="81" t="s">
        <v>18</v>
      </c>
      <c r="AO105" s="82" t="s">
        <v>26</v>
      </c>
      <c r="AP105" s="83" t="s">
        <v>23</v>
      </c>
      <c r="AQ105" s="81"/>
      <c r="AR105" s="82"/>
      <c r="AS105" s="83"/>
      <c r="AT105" s="81"/>
      <c r="AU105" s="82"/>
      <c r="AV105" s="83"/>
      <c r="AW105" s="66">
        <f ca="1">'RC Template'!AW105</f>
        <v>317.22306475271728</v>
      </c>
      <c r="AX105" s="66">
        <f ca="1">'RC Template'!BC105</f>
        <v>95.99560000000001</v>
      </c>
      <c r="AY105" s="75"/>
      <c r="BC105" t="s">
        <v>214</v>
      </c>
      <c r="BD105" s="131">
        <f t="shared" si="3"/>
        <v>1941</v>
      </c>
      <c r="BE105" t="s">
        <v>215</v>
      </c>
      <c r="BF105" t="str">
        <f t="shared" si="2"/>
        <v>&lt;option&gt;1941&lt;/option&gt;</v>
      </c>
    </row>
    <row r="106" spans="1:58" x14ac:dyDescent="0.3">
      <c r="A106" s="123">
        <f t="shared" ref="A106:A157" si="4">+A105+1</f>
        <v>99</v>
      </c>
      <c r="B106" s="19">
        <v>43212</v>
      </c>
      <c r="C106" s="24" t="s">
        <v>25</v>
      </c>
      <c r="D106" s="81"/>
      <c r="E106" s="82"/>
      <c r="F106" s="83"/>
      <c r="G106" s="81"/>
      <c r="H106" s="82"/>
      <c r="I106" s="83"/>
      <c r="J106" s="81"/>
      <c r="K106" s="82"/>
      <c r="L106" s="83"/>
      <c r="M106" s="81" t="s">
        <v>18</v>
      </c>
      <c r="N106" s="82"/>
      <c r="O106" s="83"/>
      <c r="P106" s="81"/>
      <c r="Q106" s="82"/>
      <c r="R106" s="83"/>
      <c r="S106" s="81"/>
      <c r="T106" s="82"/>
      <c r="U106" s="83"/>
      <c r="V106" s="81" t="s">
        <v>18</v>
      </c>
      <c r="W106" s="82"/>
      <c r="X106" s="83"/>
      <c r="Y106" s="81"/>
      <c r="Z106" s="82"/>
      <c r="AA106" s="83"/>
      <c r="AB106" s="81"/>
      <c r="AC106" s="82"/>
      <c r="AD106" s="83"/>
      <c r="AE106" s="81" t="s">
        <v>29</v>
      </c>
      <c r="AF106" s="82" t="s">
        <v>29</v>
      </c>
      <c r="AG106" s="83" t="s">
        <v>23</v>
      </c>
      <c r="AH106" s="81"/>
      <c r="AI106" s="82"/>
      <c r="AJ106" s="83"/>
      <c r="AK106" s="81"/>
      <c r="AL106" s="82"/>
      <c r="AM106" s="83"/>
      <c r="AN106" s="81"/>
      <c r="AO106" s="82"/>
      <c r="AP106" s="83"/>
      <c r="AQ106" s="81"/>
      <c r="AR106" s="82"/>
      <c r="AS106" s="83"/>
      <c r="AT106" s="81"/>
      <c r="AU106" s="82"/>
      <c r="AV106" s="83"/>
      <c r="AW106" s="66">
        <f ca="1">'RC Template'!AW106</f>
        <v>124.31270473994539</v>
      </c>
      <c r="AX106" s="66">
        <f ca="1">'RC Template'!BC106</f>
        <v>95.398452416277081</v>
      </c>
      <c r="AY106" s="75"/>
      <c r="BC106" t="s">
        <v>214</v>
      </c>
      <c r="BD106" s="131">
        <f t="shared" si="3"/>
        <v>1942</v>
      </c>
      <c r="BE106" t="s">
        <v>215</v>
      </c>
      <c r="BF106" t="str">
        <f t="shared" si="2"/>
        <v>&lt;option&gt;1942&lt;/option&gt;</v>
      </c>
    </row>
    <row r="107" spans="1:58" x14ac:dyDescent="0.3">
      <c r="A107" s="123">
        <f t="shared" si="4"/>
        <v>100</v>
      </c>
      <c r="B107" s="19">
        <v>43212</v>
      </c>
      <c r="C107" s="24" t="s">
        <v>174</v>
      </c>
      <c r="D107" s="81"/>
      <c r="E107" s="82"/>
      <c r="F107" s="83"/>
      <c r="G107" s="81"/>
      <c r="H107" s="82"/>
      <c r="I107" s="83"/>
      <c r="J107" s="81"/>
      <c r="K107" s="82"/>
      <c r="L107" s="83"/>
      <c r="M107" s="81" t="s">
        <v>18</v>
      </c>
      <c r="N107" s="82"/>
      <c r="O107" s="83"/>
      <c r="P107" s="81"/>
      <c r="Q107" s="82"/>
      <c r="R107" s="83"/>
      <c r="S107" s="81"/>
      <c r="T107" s="82"/>
      <c r="U107" s="83"/>
      <c r="V107" s="81" t="s">
        <v>18</v>
      </c>
      <c r="W107" s="82"/>
      <c r="X107" s="83"/>
      <c r="Y107" s="81"/>
      <c r="Z107" s="82"/>
      <c r="AA107" s="83"/>
      <c r="AB107" s="81"/>
      <c r="AC107" s="82"/>
      <c r="AD107" s="83"/>
      <c r="AE107" s="81" t="s">
        <v>26</v>
      </c>
      <c r="AF107" s="82" t="s">
        <v>26</v>
      </c>
      <c r="AG107" s="83" t="s">
        <v>23</v>
      </c>
      <c r="AH107" s="81"/>
      <c r="AI107" s="82"/>
      <c r="AJ107" s="83"/>
      <c r="AK107" s="81"/>
      <c r="AL107" s="82"/>
      <c r="AM107" s="83"/>
      <c r="AN107" s="81"/>
      <c r="AO107" s="82"/>
      <c r="AP107" s="83"/>
      <c r="AQ107" s="81"/>
      <c r="AR107" s="82"/>
      <c r="AS107" s="83"/>
      <c r="AT107" s="81"/>
      <c r="AU107" s="82"/>
      <c r="AV107" s="83"/>
      <c r="AW107" s="66">
        <f ca="1">'RC Template'!AW107</f>
        <v>134.2078112952282</v>
      </c>
      <c r="AX107" s="66">
        <f ca="1">'RC Template'!BC107</f>
        <v>223.65172902591874</v>
      </c>
      <c r="AY107" s="75"/>
      <c r="BC107" t="s">
        <v>214</v>
      </c>
      <c r="BD107" s="131">
        <f t="shared" si="3"/>
        <v>1943</v>
      </c>
      <c r="BE107" t="s">
        <v>215</v>
      </c>
      <c r="BF107" t="str">
        <f t="shared" si="2"/>
        <v>&lt;option&gt;1943&lt;/option&gt;</v>
      </c>
    </row>
    <row r="108" spans="1:58" x14ac:dyDescent="0.3">
      <c r="A108" s="123">
        <f t="shared" si="4"/>
        <v>101</v>
      </c>
      <c r="B108" s="19">
        <v>43219</v>
      </c>
      <c r="C108" s="24" t="s">
        <v>16</v>
      </c>
      <c r="D108" s="81"/>
      <c r="E108" s="82"/>
      <c r="F108" s="83"/>
      <c r="G108" s="81"/>
      <c r="H108" s="82"/>
      <c r="I108" s="83"/>
      <c r="J108" s="81"/>
      <c r="K108" s="82"/>
      <c r="L108" s="83"/>
      <c r="M108" s="81"/>
      <c r="N108" s="82"/>
      <c r="O108" s="83"/>
      <c r="P108" s="81"/>
      <c r="Q108" s="82"/>
      <c r="R108" s="83"/>
      <c r="S108" s="81"/>
      <c r="T108" s="82"/>
      <c r="U108" s="83"/>
      <c r="V108" s="81"/>
      <c r="W108" s="82"/>
      <c r="X108" s="83"/>
      <c r="Y108" s="81"/>
      <c r="Z108" s="82"/>
      <c r="AA108" s="83"/>
      <c r="AB108" s="81"/>
      <c r="AC108" s="82"/>
      <c r="AD108" s="83"/>
      <c r="AE108" s="81" t="s">
        <v>18</v>
      </c>
      <c r="AF108" s="82"/>
      <c r="AG108" s="83"/>
      <c r="AH108" s="81"/>
      <c r="AI108" s="82"/>
      <c r="AJ108" s="83"/>
      <c r="AK108" s="81" t="s">
        <v>27</v>
      </c>
      <c r="AL108" s="82"/>
      <c r="AM108" s="83"/>
      <c r="AN108" s="81" t="s">
        <v>26</v>
      </c>
      <c r="AO108" s="82"/>
      <c r="AP108" s="83"/>
      <c r="AQ108" s="81"/>
      <c r="AR108" s="82"/>
      <c r="AS108" s="83"/>
      <c r="AT108" s="81"/>
      <c r="AU108" s="82"/>
      <c r="AV108" s="83"/>
      <c r="AW108" s="66">
        <f ca="1">'RC Template'!AW108</f>
        <v>270.75301653285527</v>
      </c>
      <c r="AX108" s="66">
        <f ca="1">'RC Template'!BC108</f>
        <v>81.93319200841222</v>
      </c>
      <c r="AY108" s="75"/>
      <c r="BC108" t="s">
        <v>214</v>
      </c>
      <c r="BD108" s="131">
        <f t="shared" si="3"/>
        <v>1944</v>
      </c>
      <c r="BE108" t="s">
        <v>215</v>
      </c>
      <c r="BF108" t="str">
        <f t="shared" si="2"/>
        <v>&lt;option&gt;1944&lt;/option&gt;</v>
      </c>
    </row>
    <row r="109" spans="1:58" x14ac:dyDescent="0.3">
      <c r="A109" s="123">
        <f t="shared" si="4"/>
        <v>102</v>
      </c>
      <c r="B109" s="19">
        <v>43219</v>
      </c>
      <c r="C109" s="24" t="s">
        <v>25</v>
      </c>
      <c r="D109" s="81"/>
      <c r="E109" s="82"/>
      <c r="F109" s="83"/>
      <c r="G109" s="81"/>
      <c r="H109" s="82"/>
      <c r="I109" s="83"/>
      <c r="J109" s="81"/>
      <c r="K109" s="82"/>
      <c r="L109" s="83"/>
      <c r="M109" s="81"/>
      <c r="N109" s="82"/>
      <c r="O109" s="83"/>
      <c r="P109" s="81"/>
      <c r="Q109" s="82"/>
      <c r="R109" s="83"/>
      <c r="S109" s="81"/>
      <c r="T109" s="82"/>
      <c r="U109" s="83"/>
      <c r="V109" s="81" t="s">
        <v>18</v>
      </c>
      <c r="W109" s="82"/>
      <c r="X109" s="83"/>
      <c r="Y109" s="81"/>
      <c r="Z109" s="82"/>
      <c r="AA109" s="83"/>
      <c r="AB109" s="81"/>
      <c r="AC109" s="82"/>
      <c r="AD109" s="83"/>
      <c r="AE109" s="81" t="s">
        <v>30</v>
      </c>
      <c r="AF109" s="82" t="s">
        <v>23</v>
      </c>
      <c r="AG109" s="83" t="s">
        <v>23</v>
      </c>
      <c r="AH109" s="81"/>
      <c r="AI109" s="82"/>
      <c r="AJ109" s="83"/>
      <c r="AK109" s="81"/>
      <c r="AL109" s="82"/>
      <c r="AM109" s="83"/>
      <c r="AN109" s="81"/>
      <c r="AO109" s="82"/>
      <c r="AP109" s="83"/>
      <c r="AQ109" s="81"/>
      <c r="AR109" s="82"/>
      <c r="AS109" s="83"/>
      <c r="AT109" s="81"/>
      <c r="AU109" s="82"/>
      <c r="AV109" s="83"/>
      <c r="AW109" s="66">
        <f ca="1">'RC Template'!AW109</f>
        <v>109.26576321476189</v>
      </c>
      <c r="AX109" s="66">
        <f ca="1">'RC Template'!BC109</f>
        <v>83.851322634943742</v>
      </c>
      <c r="AY109" s="75"/>
      <c r="BC109" t="s">
        <v>214</v>
      </c>
      <c r="BD109" s="131">
        <f t="shared" si="3"/>
        <v>1945</v>
      </c>
      <c r="BE109" t="s">
        <v>215</v>
      </c>
      <c r="BF109" t="str">
        <f t="shared" si="2"/>
        <v>&lt;option&gt;1945&lt;/option&gt;</v>
      </c>
    </row>
    <row r="110" spans="1:58" x14ac:dyDescent="0.3">
      <c r="A110" s="123">
        <f t="shared" si="4"/>
        <v>103</v>
      </c>
      <c r="B110" s="48">
        <v>43219</v>
      </c>
      <c r="C110" s="24" t="s">
        <v>174</v>
      </c>
      <c r="D110" s="81"/>
      <c r="E110" s="82"/>
      <c r="F110" s="83"/>
      <c r="G110" s="81"/>
      <c r="H110" s="82"/>
      <c r="I110" s="83"/>
      <c r="J110" s="81"/>
      <c r="K110" s="82"/>
      <c r="L110" s="83"/>
      <c r="M110" s="81"/>
      <c r="N110" s="82"/>
      <c r="O110" s="83"/>
      <c r="P110" s="81"/>
      <c r="Q110" s="82"/>
      <c r="R110" s="83"/>
      <c r="S110" s="81"/>
      <c r="T110" s="82"/>
      <c r="U110" s="83"/>
      <c r="V110" s="81" t="s">
        <v>18</v>
      </c>
      <c r="W110" s="82"/>
      <c r="X110" s="83"/>
      <c r="Y110" s="81"/>
      <c r="Z110" s="82"/>
      <c r="AA110" s="83"/>
      <c r="AB110" s="81"/>
      <c r="AC110" s="82"/>
      <c r="AD110" s="83"/>
      <c r="AE110" s="81" t="s">
        <v>28</v>
      </c>
      <c r="AF110" s="82" t="s">
        <v>30</v>
      </c>
      <c r="AG110" s="83" t="s">
        <v>23</v>
      </c>
      <c r="AH110" s="81"/>
      <c r="AI110" s="82"/>
      <c r="AJ110" s="83"/>
      <c r="AK110" s="81"/>
      <c r="AL110" s="82"/>
      <c r="AM110" s="83"/>
      <c r="AN110" s="81"/>
      <c r="AO110" s="82"/>
      <c r="AP110" s="83"/>
      <c r="AQ110" s="81"/>
      <c r="AR110" s="82"/>
      <c r="AS110" s="83"/>
      <c r="AT110" s="81"/>
      <c r="AU110" s="82"/>
      <c r="AV110" s="83"/>
      <c r="AW110" s="66">
        <f ca="1">'RC Template'!AW110</f>
        <v>130.30474148731108</v>
      </c>
      <c r="AX110" s="66">
        <f ca="1">'RC Template'!BC110</f>
        <v>217.14742571730378</v>
      </c>
      <c r="AY110" s="75"/>
      <c r="BC110" t="s">
        <v>214</v>
      </c>
      <c r="BD110" s="131">
        <f t="shared" si="3"/>
        <v>1946</v>
      </c>
      <c r="BE110" t="s">
        <v>215</v>
      </c>
      <c r="BF110" t="str">
        <f t="shared" si="2"/>
        <v>&lt;option&gt;1946&lt;/option&gt;</v>
      </c>
    </row>
    <row r="111" spans="1:58" x14ac:dyDescent="0.3">
      <c r="A111" s="123">
        <f t="shared" si="4"/>
        <v>104</v>
      </c>
      <c r="B111" s="19"/>
      <c r="C111" s="20"/>
      <c r="D111" s="81"/>
      <c r="E111" s="82"/>
      <c r="F111" s="83"/>
      <c r="G111" s="81"/>
      <c r="H111" s="82"/>
      <c r="I111" s="83"/>
      <c r="J111" s="81"/>
      <c r="K111" s="82"/>
      <c r="L111" s="83"/>
      <c r="M111" s="81"/>
      <c r="N111" s="82"/>
      <c r="O111" s="83"/>
      <c r="P111" s="81"/>
      <c r="Q111" s="82"/>
      <c r="R111" s="83"/>
      <c r="S111" s="81"/>
      <c r="T111" s="82"/>
      <c r="U111" s="83"/>
      <c r="V111" s="81"/>
      <c r="W111" s="82"/>
      <c r="X111" s="83"/>
      <c r="Y111" s="81"/>
      <c r="Z111" s="82"/>
      <c r="AA111" s="83"/>
      <c r="AB111" s="81"/>
      <c r="AC111" s="82"/>
      <c r="AD111" s="83"/>
      <c r="AE111" s="81"/>
      <c r="AF111" s="82"/>
      <c r="AG111" s="83"/>
      <c r="AH111" s="81"/>
      <c r="AI111" s="82"/>
      <c r="AJ111" s="83"/>
      <c r="AK111" s="81"/>
      <c r="AL111" s="82"/>
      <c r="AM111" s="83"/>
      <c r="AN111" s="81"/>
      <c r="AO111" s="82"/>
      <c r="AP111" s="83"/>
      <c r="AQ111" s="81"/>
      <c r="AR111" s="82"/>
      <c r="AS111" s="83"/>
      <c r="AT111" s="81"/>
      <c r="AU111" s="82"/>
      <c r="AV111" s="83"/>
      <c r="AW111" s="66">
        <f ca="1">'RC Template'!AW111</f>
        <v>0</v>
      </c>
      <c r="AX111" s="66">
        <f ca="1">'RC Template'!BC111</f>
        <v>0</v>
      </c>
      <c r="AY111" s="75"/>
      <c r="BC111" t="s">
        <v>214</v>
      </c>
      <c r="BD111" s="131">
        <f t="shared" si="3"/>
        <v>1947</v>
      </c>
      <c r="BE111" t="s">
        <v>215</v>
      </c>
      <c r="BF111" t="str">
        <f t="shared" si="2"/>
        <v>&lt;option&gt;1947&lt;/option&gt;</v>
      </c>
    </row>
    <row r="112" spans="1:58" x14ac:dyDescent="0.3">
      <c r="A112" s="123">
        <f t="shared" si="4"/>
        <v>105</v>
      </c>
      <c r="B112" s="19"/>
      <c r="C112" s="20"/>
      <c r="D112" s="81"/>
      <c r="E112" s="82"/>
      <c r="F112" s="83"/>
      <c r="G112" s="81"/>
      <c r="H112" s="82"/>
      <c r="I112" s="83"/>
      <c r="J112" s="81"/>
      <c r="K112" s="82"/>
      <c r="L112" s="83"/>
      <c r="M112" s="81"/>
      <c r="N112" s="82"/>
      <c r="O112" s="83"/>
      <c r="P112" s="81"/>
      <c r="Q112" s="82"/>
      <c r="R112" s="83"/>
      <c r="S112" s="81"/>
      <c r="T112" s="82"/>
      <c r="U112" s="83"/>
      <c r="V112" s="81"/>
      <c r="W112" s="82"/>
      <c r="X112" s="83"/>
      <c r="Y112" s="81"/>
      <c r="Z112" s="82"/>
      <c r="AA112" s="83"/>
      <c r="AB112" s="81"/>
      <c r="AC112" s="82"/>
      <c r="AD112" s="83"/>
      <c r="AE112" s="81"/>
      <c r="AF112" s="82"/>
      <c r="AG112" s="83"/>
      <c r="AH112" s="81"/>
      <c r="AI112" s="82"/>
      <c r="AJ112" s="83"/>
      <c r="AK112" s="81"/>
      <c r="AL112" s="82"/>
      <c r="AM112" s="83"/>
      <c r="AN112" s="81"/>
      <c r="AO112" s="82"/>
      <c r="AP112" s="83"/>
      <c r="AQ112" s="81"/>
      <c r="AR112" s="82"/>
      <c r="AS112" s="83"/>
      <c r="AT112" s="81"/>
      <c r="AU112" s="82"/>
      <c r="AV112" s="83"/>
      <c r="AW112" s="66">
        <f ca="1">'RC Template'!AW112</f>
        <v>0</v>
      </c>
      <c r="AX112" s="66">
        <f ca="1">'RC Template'!BC112</f>
        <v>0</v>
      </c>
      <c r="AY112" s="75"/>
      <c r="BC112" t="s">
        <v>214</v>
      </c>
      <c r="BD112" s="131">
        <f t="shared" si="3"/>
        <v>1948</v>
      </c>
      <c r="BE112" t="s">
        <v>215</v>
      </c>
      <c r="BF112" t="str">
        <f t="shared" si="2"/>
        <v>&lt;option&gt;1948&lt;/option&gt;</v>
      </c>
    </row>
    <row r="113" spans="1:58" x14ac:dyDescent="0.3">
      <c r="A113" s="123">
        <f t="shared" si="4"/>
        <v>106</v>
      </c>
      <c r="B113" s="19"/>
      <c r="C113" s="20"/>
      <c r="D113" s="81"/>
      <c r="E113" s="82"/>
      <c r="F113" s="83"/>
      <c r="G113" s="81"/>
      <c r="H113" s="82"/>
      <c r="I113" s="83"/>
      <c r="J113" s="81"/>
      <c r="K113" s="82"/>
      <c r="L113" s="83"/>
      <c r="M113" s="81"/>
      <c r="N113" s="82"/>
      <c r="O113" s="83"/>
      <c r="P113" s="81"/>
      <c r="Q113" s="82"/>
      <c r="R113" s="83"/>
      <c r="S113" s="81"/>
      <c r="T113" s="82"/>
      <c r="U113" s="83"/>
      <c r="V113" s="81"/>
      <c r="W113" s="82"/>
      <c r="X113" s="83"/>
      <c r="Y113" s="81"/>
      <c r="Z113" s="82"/>
      <c r="AA113" s="83"/>
      <c r="AB113" s="81"/>
      <c r="AC113" s="82"/>
      <c r="AD113" s="83"/>
      <c r="AE113" s="81"/>
      <c r="AF113" s="82"/>
      <c r="AG113" s="83"/>
      <c r="AH113" s="81"/>
      <c r="AI113" s="82"/>
      <c r="AJ113" s="83"/>
      <c r="AK113" s="81"/>
      <c r="AL113" s="82"/>
      <c r="AM113" s="83"/>
      <c r="AN113" s="81"/>
      <c r="AO113" s="82"/>
      <c r="AP113" s="83"/>
      <c r="AQ113" s="81"/>
      <c r="AR113" s="82"/>
      <c r="AS113" s="83"/>
      <c r="AT113" s="81"/>
      <c r="AU113" s="82"/>
      <c r="AV113" s="83"/>
      <c r="AW113" s="66">
        <f ca="1">'RC Template'!AW113</f>
        <v>0</v>
      </c>
      <c r="AX113" s="66">
        <f ca="1">'RC Template'!BC113</f>
        <v>0</v>
      </c>
      <c r="AY113" s="75"/>
      <c r="BC113" t="s">
        <v>214</v>
      </c>
      <c r="BD113" s="131">
        <f t="shared" si="3"/>
        <v>1949</v>
      </c>
      <c r="BE113" t="s">
        <v>215</v>
      </c>
      <c r="BF113" t="str">
        <f t="shared" si="2"/>
        <v>&lt;option&gt;1949&lt;/option&gt;</v>
      </c>
    </row>
    <row r="114" spans="1:58" x14ac:dyDescent="0.3">
      <c r="A114" s="123">
        <f t="shared" si="4"/>
        <v>107</v>
      </c>
      <c r="B114" s="19"/>
      <c r="C114" s="20"/>
      <c r="D114" s="81"/>
      <c r="E114" s="82"/>
      <c r="F114" s="83"/>
      <c r="G114" s="81"/>
      <c r="H114" s="82"/>
      <c r="I114" s="83"/>
      <c r="J114" s="81"/>
      <c r="K114" s="82"/>
      <c r="L114" s="83"/>
      <c r="M114" s="81"/>
      <c r="N114" s="82"/>
      <c r="O114" s="83"/>
      <c r="P114" s="81"/>
      <c r="Q114" s="82"/>
      <c r="R114" s="83"/>
      <c r="S114" s="81"/>
      <c r="T114" s="82"/>
      <c r="U114" s="83"/>
      <c r="V114" s="81"/>
      <c r="W114" s="82"/>
      <c r="X114" s="83"/>
      <c r="Y114" s="81"/>
      <c r="Z114" s="82"/>
      <c r="AA114" s="83"/>
      <c r="AB114" s="81"/>
      <c r="AC114" s="82"/>
      <c r="AD114" s="83"/>
      <c r="AE114" s="81"/>
      <c r="AF114" s="82"/>
      <c r="AG114" s="83"/>
      <c r="AH114" s="81"/>
      <c r="AI114" s="82"/>
      <c r="AJ114" s="83"/>
      <c r="AK114" s="81"/>
      <c r="AL114" s="82"/>
      <c r="AM114" s="83"/>
      <c r="AN114" s="81"/>
      <c r="AO114" s="82"/>
      <c r="AP114" s="83"/>
      <c r="AQ114" s="81"/>
      <c r="AR114" s="82"/>
      <c r="AS114" s="83"/>
      <c r="AT114" s="81"/>
      <c r="AU114" s="82"/>
      <c r="AV114" s="83"/>
      <c r="AW114" s="66">
        <f ca="1">'RC Template'!AW114</f>
        <v>0</v>
      </c>
      <c r="AX114" s="66">
        <f ca="1">'RC Template'!BC114</f>
        <v>0</v>
      </c>
      <c r="AY114" s="75"/>
      <c r="BC114" t="s">
        <v>214</v>
      </c>
      <c r="BD114" s="131">
        <f t="shared" si="3"/>
        <v>1950</v>
      </c>
      <c r="BE114" t="s">
        <v>215</v>
      </c>
      <c r="BF114" t="str">
        <f t="shared" si="2"/>
        <v>&lt;option&gt;1950&lt;/option&gt;</v>
      </c>
    </row>
    <row r="115" spans="1:58" x14ac:dyDescent="0.3">
      <c r="A115" s="123">
        <f t="shared" si="4"/>
        <v>108</v>
      </c>
      <c r="B115" s="19"/>
      <c r="C115" s="20"/>
      <c r="D115" s="81"/>
      <c r="E115" s="82"/>
      <c r="F115" s="83"/>
      <c r="G115" s="81"/>
      <c r="H115" s="82"/>
      <c r="I115" s="83"/>
      <c r="J115" s="81"/>
      <c r="K115" s="82"/>
      <c r="L115" s="83"/>
      <c r="M115" s="81"/>
      <c r="N115" s="82"/>
      <c r="O115" s="83"/>
      <c r="P115" s="81"/>
      <c r="Q115" s="82"/>
      <c r="R115" s="83"/>
      <c r="S115" s="81"/>
      <c r="T115" s="82"/>
      <c r="U115" s="83"/>
      <c r="V115" s="81"/>
      <c r="W115" s="82"/>
      <c r="X115" s="83"/>
      <c r="Y115" s="81"/>
      <c r="Z115" s="82"/>
      <c r="AA115" s="83"/>
      <c r="AB115" s="81"/>
      <c r="AC115" s="82"/>
      <c r="AD115" s="83"/>
      <c r="AE115" s="81"/>
      <c r="AF115" s="82"/>
      <c r="AG115" s="83"/>
      <c r="AH115" s="81"/>
      <c r="AI115" s="82"/>
      <c r="AJ115" s="83"/>
      <c r="AK115" s="81"/>
      <c r="AL115" s="82"/>
      <c r="AM115" s="83"/>
      <c r="AN115" s="81"/>
      <c r="AO115" s="82"/>
      <c r="AP115" s="83"/>
      <c r="AQ115" s="81"/>
      <c r="AR115" s="82"/>
      <c r="AS115" s="83"/>
      <c r="AT115" s="81"/>
      <c r="AU115" s="82"/>
      <c r="AV115" s="83"/>
      <c r="AW115" s="66">
        <f ca="1">'RC Template'!AW115</f>
        <v>0</v>
      </c>
      <c r="AX115" s="66">
        <f ca="1">'RC Template'!BC115</f>
        <v>0</v>
      </c>
      <c r="AY115" s="75"/>
      <c r="BC115" t="s">
        <v>214</v>
      </c>
      <c r="BD115" s="131">
        <f t="shared" si="3"/>
        <v>1951</v>
      </c>
      <c r="BE115" t="s">
        <v>215</v>
      </c>
      <c r="BF115" t="str">
        <f t="shared" si="2"/>
        <v>&lt;option&gt;1951&lt;/option&gt;</v>
      </c>
    </row>
    <row r="116" spans="1:58" x14ac:dyDescent="0.3">
      <c r="A116" s="123">
        <f t="shared" si="4"/>
        <v>109</v>
      </c>
      <c r="B116" s="19"/>
      <c r="C116" s="20"/>
      <c r="D116" s="81"/>
      <c r="E116" s="82"/>
      <c r="F116" s="83"/>
      <c r="G116" s="81"/>
      <c r="H116" s="82"/>
      <c r="I116" s="83"/>
      <c r="J116" s="81"/>
      <c r="K116" s="82"/>
      <c r="L116" s="83"/>
      <c r="M116" s="81"/>
      <c r="N116" s="82"/>
      <c r="O116" s="83"/>
      <c r="P116" s="81"/>
      <c r="Q116" s="82"/>
      <c r="R116" s="83"/>
      <c r="S116" s="81"/>
      <c r="T116" s="82"/>
      <c r="U116" s="83"/>
      <c r="V116" s="81"/>
      <c r="W116" s="82"/>
      <c r="X116" s="83"/>
      <c r="Y116" s="81"/>
      <c r="Z116" s="82"/>
      <c r="AA116" s="83"/>
      <c r="AB116" s="81"/>
      <c r="AC116" s="82"/>
      <c r="AD116" s="83"/>
      <c r="AE116" s="81"/>
      <c r="AF116" s="82"/>
      <c r="AG116" s="83"/>
      <c r="AH116" s="81"/>
      <c r="AI116" s="82"/>
      <c r="AJ116" s="83"/>
      <c r="AK116" s="81"/>
      <c r="AL116" s="82"/>
      <c r="AM116" s="83"/>
      <c r="AN116" s="81"/>
      <c r="AO116" s="82"/>
      <c r="AP116" s="83"/>
      <c r="AQ116" s="81"/>
      <c r="AR116" s="82"/>
      <c r="AS116" s="83"/>
      <c r="AT116" s="81"/>
      <c r="AU116" s="82"/>
      <c r="AV116" s="83"/>
      <c r="AW116" s="66">
        <f ca="1">'RC Template'!AW116</f>
        <v>0</v>
      </c>
      <c r="AX116" s="66">
        <f ca="1">'RC Template'!BC116</f>
        <v>0</v>
      </c>
      <c r="AY116" s="75"/>
      <c r="BC116" t="s">
        <v>214</v>
      </c>
      <c r="BD116" s="131">
        <f t="shared" si="3"/>
        <v>1952</v>
      </c>
      <c r="BE116" t="s">
        <v>215</v>
      </c>
      <c r="BF116" t="str">
        <f t="shared" si="2"/>
        <v>&lt;option&gt;1952&lt;/option&gt;</v>
      </c>
    </row>
    <row r="117" spans="1:58" x14ac:dyDescent="0.3">
      <c r="A117" s="123">
        <f t="shared" si="4"/>
        <v>110</v>
      </c>
      <c r="B117" s="19"/>
      <c r="C117" s="20"/>
      <c r="D117" s="81"/>
      <c r="E117" s="82"/>
      <c r="F117" s="83"/>
      <c r="G117" s="81"/>
      <c r="H117" s="82"/>
      <c r="I117" s="83"/>
      <c r="J117" s="81"/>
      <c r="K117" s="82"/>
      <c r="L117" s="83"/>
      <c r="M117" s="81"/>
      <c r="N117" s="82"/>
      <c r="O117" s="83"/>
      <c r="P117" s="81"/>
      <c r="Q117" s="82"/>
      <c r="R117" s="83"/>
      <c r="S117" s="81"/>
      <c r="T117" s="82"/>
      <c r="U117" s="83"/>
      <c r="V117" s="81"/>
      <c r="W117" s="82"/>
      <c r="X117" s="83"/>
      <c r="Y117" s="81"/>
      <c r="Z117" s="82"/>
      <c r="AA117" s="83"/>
      <c r="AB117" s="81"/>
      <c r="AC117" s="82"/>
      <c r="AD117" s="83"/>
      <c r="AE117" s="81"/>
      <c r="AF117" s="82"/>
      <c r="AG117" s="83"/>
      <c r="AH117" s="81"/>
      <c r="AI117" s="82"/>
      <c r="AJ117" s="83"/>
      <c r="AK117" s="81"/>
      <c r="AL117" s="82"/>
      <c r="AM117" s="83"/>
      <c r="AN117" s="81"/>
      <c r="AO117" s="82"/>
      <c r="AP117" s="83"/>
      <c r="AQ117" s="81"/>
      <c r="AR117" s="82"/>
      <c r="AS117" s="83"/>
      <c r="AT117" s="81"/>
      <c r="AU117" s="82"/>
      <c r="AV117" s="83"/>
      <c r="AW117" s="66">
        <f ca="1">'RC Template'!AW117</f>
        <v>0</v>
      </c>
      <c r="AX117" s="66">
        <f ca="1">'RC Template'!BC117</f>
        <v>0</v>
      </c>
      <c r="AY117" s="75"/>
      <c r="BC117" t="s">
        <v>214</v>
      </c>
      <c r="BD117" s="131">
        <f t="shared" si="3"/>
        <v>1953</v>
      </c>
      <c r="BE117" t="s">
        <v>215</v>
      </c>
      <c r="BF117" t="str">
        <f t="shared" si="2"/>
        <v>&lt;option&gt;1953&lt;/option&gt;</v>
      </c>
    </row>
    <row r="118" spans="1:58" x14ac:dyDescent="0.3">
      <c r="A118" s="123">
        <f t="shared" si="4"/>
        <v>111</v>
      </c>
      <c r="B118" s="19"/>
      <c r="C118" s="20"/>
      <c r="D118" s="81"/>
      <c r="E118" s="82"/>
      <c r="F118" s="83"/>
      <c r="G118" s="81"/>
      <c r="H118" s="82"/>
      <c r="I118" s="83"/>
      <c r="J118" s="81"/>
      <c r="K118" s="82"/>
      <c r="L118" s="83"/>
      <c r="M118" s="81"/>
      <c r="N118" s="82"/>
      <c r="O118" s="83"/>
      <c r="P118" s="81"/>
      <c r="Q118" s="82"/>
      <c r="R118" s="83"/>
      <c r="S118" s="81"/>
      <c r="T118" s="82"/>
      <c r="U118" s="83"/>
      <c r="V118" s="81"/>
      <c r="W118" s="82"/>
      <c r="X118" s="83"/>
      <c r="Y118" s="81"/>
      <c r="Z118" s="82"/>
      <c r="AA118" s="83"/>
      <c r="AB118" s="81"/>
      <c r="AC118" s="82"/>
      <c r="AD118" s="83"/>
      <c r="AE118" s="81"/>
      <c r="AF118" s="82"/>
      <c r="AG118" s="83"/>
      <c r="AH118" s="81"/>
      <c r="AI118" s="82"/>
      <c r="AJ118" s="83"/>
      <c r="AK118" s="81"/>
      <c r="AL118" s="82"/>
      <c r="AM118" s="83"/>
      <c r="AN118" s="81"/>
      <c r="AO118" s="82"/>
      <c r="AP118" s="83"/>
      <c r="AQ118" s="81"/>
      <c r="AR118" s="82"/>
      <c r="AS118" s="83"/>
      <c r="AT118" s="81"/>
      <c r="AU118" s="82"/>
      <c r="AV118" s="83"/>
      <c r="AW118" s="66">
        <f ca="1">'RC Template'!AW118</f>
        <v>0</v>
      </c>
      <c r="AX118" s="66">
        <f ca="1">'RC Template'!BC118</f>
        <v>0</v>
      </c>
      <c r="AY118" s="75"/>
      <c r="BC118" t="s">
        <v>214</v>
      </c>
      <c r="BD118" s="131">
        <f t="shared" si="3"/>
        <v>1954</v>
      </c>
      <c r="BE118" t="s">
        <v>215</v>
      </c>
      <c r="BF118" t="str">
        <f t="shared" si="2"/>
        <v>&lt;option&gt;1954&lt;/option&gt;</v>
      </c>
    </row>
    <row r="119" spans="1:58" x14ac:dyDescent="0.3">
      <c r="A119" s="123">
        <f t="shared" si="4"/>
        <v>112</v>
      </c>
      <c r="B119" s="19"/>
      <c r="C119" s="20"/>
      <c r="D119" s="81"/>
      <c r="E119" s="82"/>
      <c r="F119" s="83"/>
      <c r="G119" s="81"/>
      <c r="H119" s="82"/>
      <c r="I119" s="83"/>
      <c r="J119" s="81"/>
      <c r="K119" s="82"/>
      <c r="L119" s="83"/>
      <c r="M119" s="81"/>
      <c r="N119" s="82"/>
      <c r="O119" s="83"/>
      <c r="P119" s="81"/>
      <c r="Q119" s="82"/>
      <c r="R119" s="83"/>
      <c r="S119" s="81"/>
      <c r="T119" s="82"/>
      <c r="U119" s="83"/>
      <c r="V119" s="81"/>
      <c r="W119" s="82"/>
      <c r="X119" s="83"/>
      <c r="Y119" s="81"/>
      <c r="Z119" s="82"/>
      <c r="AA119" s="83"/>
      <c r="AB119" s="81"/>
      <c r="AC119" s="82"/>
      <c r="AD119" s="83"/>
      <c r="AE119" s="81"/>
      <c r="AF119" s="82"/>
      <c r="AG119" s="83"/>
      <c r="AH119" s="81"/>
      <c r="AI119" s="82"/>
      <c r="AJ119" s="83"/>
      <c r="AK119" s="81"/>
      <c r="AL119" s="82"/>
      <c r="AM119" s="83"/>
      <c r="AN119" s="81"/>
      <c r="AO119" s="82"/>
      <c r="AP119" s="83"/>
      <c r="AQ119" s="81"/>
      <c r="AR119" s="82"/>
      <c r="AS119" s="83"/>
      <c r="AT119" s="81"/>
      <c r="AU119" s="82"/>
      <c r="AV119" s="83"/>
      <c r="AW119" s="66">
        <f ca="1">'RC Template'!AW119</f>
        <v>0</v>
      </c>
      <c r="AX119" s="66">
        <f ca="1">'RC Template'!BC119</f>
        <v>0</v>
      </c>
      <c r="AY119" s="75"/>
      <c r="BC119" t="s">
        <v>214</v>
      </c>
      <c r="BD119" s="131">
        <f t="shared" si="3"/>
        <v>1955</v>
      </c>
      <c r="BE119" t="s">
        <v>215</v>
      </c>
      <c r="BF119" t="str">
        <f t="shared" si="2"/>
        <v>&lt;option&gt;1955&lt;/option&gt;</v>
      </c>
    </row>
    <row r="120" spans="1:58" x14ac:dyDescent="0.3">
      <c r="A120" s="123">
        <f t="shared" si="4"/>
        <v>113</v>
      </c>
      <c r="B120" s="19"/>
      <c r="C120" s="20"/>
      <c r="D120" s="81"/>
      <c r="E120" s="82"/>
      <c r="F120" s="83"/>
      <c r="G120" s="81"/>
      <c r="H120" s="82"/>
      <c r="I120" s="83"/>
      <c r="J120" s="81"/>
      <c r="K120" s="82"/>
      <c r="L120" s="83"/>
      <c r="M120" s="81"/>
      <c r="N120" s="82"/>
      <c r="O120" s="83"/>
      <c r="P120" s="81"/>
      <c r="Q120" s="82"/>
      <c r="R120" s="83"/>
      <c r="S120" s="81"/>
      <c r="T120" s="82"/>
      <c r="U120" s="83"/>
      <c r="V120" s="81"/>
      <c r="W120" s="82"/>
      <c r="X120" s="83"/>
      <c r="Y120" s="81"/>
      <c r="Z120" s="82"/>
      <c r="AA120" s="83"/>
      <c r="AB120" s="81"/>
      <c r="AC120" s="82"/>
      <c r="AD120" s="83"/>
      <c r="AE120" s="81"/>
      <c r="AF120" s="82"/>
      <c r="AG120" s="83"/>
      <c r="AH120" s="81"/>
      <c r="AI120" s="82"/>
      <c r="AJ120" s="83"/>
      <c r="AK120" s="81"/>
      <c r="AL120" s="82"/>
      <c r="AM120" s="83"/>
      <c r="AN120" s="81"/>
      <c r="AO120" s="82"/>
      <c r="AP120" s="83"/>
      <c r="AQ120" s="81"/>
      <c r="AR120" s="82"/>
      <c r="AS120" s="83"/>
      <c r="AT120" s="81"/>
      <c r="AU120" s="82"/>
      <c r="AV120" s="83"/>
      <c r="AW120" s="66">
        <f ca="1">'RC Template'!AW120</f>
        <v>0</v>
      </c>
      <c r="AX120" s="66">
        <f ca="1">'RC Template'!BC120</f>
        <v>0</v>
      </c>
      <c r="AY120" s="75"/>
      <c r="BC120" t="s">
        <v>214</v>
      </c>
      <c r="BD120" s="131">
        <f t="shared" si="3"/>
        <v>1956</v>
      </c>
      <c r="BE120" t="s">
        <v>215</v>
      </c>
      <c r="BF120" t="str">
        <f t="shared" si="2"/>
        <v>&lt;option&gt;1956&lt;/option&gt;</v>
      </c>
    </row>
    <row r="121" spans="1:58" x14ac:dyDescent="0.3">
      <c r="A121" s="123">
        <f t="shared" si="4"/>
        <v>114</v>
      </c>
      <c r="B121" s="19"/>
      <c r="C121" s="20"/>
      <c r="D121" s="81"/>
      <c r="E121" s="82"/>
      <c r="F121" s="83"/>
      <c r="G121" s="81"/>
      <c r="H121" s="82"/>
      <c r="I121" s="83"/>
      <c r="J121" s="81"/>
      <c r="K121" s="82"/>
      <c r="L121" s="83"/>
      <c r="M121" s="81"/>
      <c r="N121" s="82"/>
      <c r="O121" s="83"/>
      <c r="P121" s="81"/>
      <c r="Q121" s="82"/>
      <c r="R121" s="83"/>
      <c r="S121" s="81"/>
      <c r="T121" s="82"/>
      <c r="U121" s="83"/>
      <c r="V121" s="81"/>
      <c r="W121" s="82"/>
      <c r="X121" s="83"/>
      <c r="Y121" s="81"/>
      <c r="Z121" s="82"/>
      <c r="AA121" s="83"/>
      <c r="AB121" s="81"/>
      <c r="AC121" s="82"/>
      <c r="AD121" s="83"/>
      <c r="AE121" s="81"/>
      <c r="AF121" s="82"/>
      <c r="AG121" s="83"/>
      <c r="AH121" s="81"/>
      <c r="AI121" s="82"/>
      <c r="AJ121" s="83"/>
      <c r="AK121" s="81"/>
      <c r="AL121" s="82"/>
      <c r="AM121" s="83"/>
      <c r="AN121" s="81"/>
      <c r="AO121" s="82"/>
      <c r="AP121" s="83"/>
      <c r="AQ121" s="81"/>
      <c r="AR121" s="82"/>
      <c r="AS121" s="83"/>
      <c r="AT121" s="81"/>
      <c r="AU121" s="82"/>
      <c r="AV121" s="83"/>
      <c r="AW121" s="66">
        <f ca="1">'RC Template'!AW121</f>
        <v>0</v>
      </c>
      <c r="AX121" s="66">
        <f ca="1">'RC Template'!BC121</f>
        <v>0</v>
      </c>
      <c r="AY121" s="75"/>
      <c r="BC121" t="s">
        <v>214</v>
      </c>
      <c r="BD121" s="131">
        <f t="shared" si="3"/>
        <v>1957</v>
      </c>
      <c r="BE121" t="s">
        <v>215</v>
      </c>
      <c r="BF121" t="str">
        <f t="shared" si="2"/>
        <v>&lt;option&gt;1957&lt;/option&gt;</v>
      </c>
    </row>
    <row r="122" spans="1:58" x14ac:dyDescent="0.3">
      <c r="A122" s="123">
        <f t="shared" si="4"/>
        <v>115</v>
      </c>
      <c r="B122" s="19"/>
      <c r="C122" s="20"/>
      <c r="D122" s="81"/>
      <c r="E122" s="82"/>
      <c r="F122" s="83"/>
      <c r="G122" s="81"/>
      <c r="H122" s="82"/>
      <c r="I122" s="83"/>
      <c r="J122" s="81"/>
      <c r="K122" s="82"/>
      <c r="L122" s="83"/>
      <c r="M122" s="81"/>
      <c r="N122" s="82"/>
      <c r="O122" s="83"/>
      <c r="P122" s="81"/>
      <c r="Q122" s="82"/>
      <c r="R122" s="83"/>
      <c r="S122" s="81"/>
      <c r="T122" s="82"/>
      <c r="U122" s="83"/>
      <c r="V122" s="81"/>
      <c r="W122" s="82"/>
      <c r="X122" s="83"/>
      <c r="Y122" s="81"/>
      <c r="Z122" s="82"/>
      <c r="AA122" s="83"/>
      <c r="AB122" s="81"/>
      <c r="AC122" s="82"/>
      <c r="AD122" s="83"/>
      <c r="AE122" s="81"/>
      <c r="AF122" s="82"/>
      <c r="AG122" s="83"/>
      <c r="AH122" s="81"/>
      <c r="AI122" s="82"/>
      <c r="AJ122" s="83"/>
      <c r="AK122" s="81"/>
      <c r="AL122" s="82"/>
      <c r="AM122" s="83"/>
      <c r="AN122" s="81"/>
      <c r="AO122" s="82"/>
      <c r="AP122" s="83"/>
      <c r="AQ122" s="81"/>
      <c r="AR122" s="82"/>
      <c r="AS122" s="83"/>
      <c r="AT122" s="81"/>
      <c r="AU122" s="82"/>
      <c r="AV122" s="83"/>
      <c r="AW122" s="66">
        <f ca="1">'RC Template'!AW122</f>
        <v>0</v>
      </c>
      <c r="AX122" s="66">
        <f ca="1">'RC Template'!BC122</f>
        <v>0</v>
      </c>
      <c r="AY122" s="75"/>
      <c r="BC122" t="s">
        <v>214</v>
      </c>
      <c r="BD122" s="131">
        <f t="shared" si="3"/>
        <v>1958</v>
      </c>
      <c r="BE122" t="s">
        <v>215</v>
      </c>
      <c r="BF122" t="str">
        <f t="shared" si="2"/>
        <v>&lt;option&gt;1958&lt;/option&gt;</v>
      </c>
    </row>
    <row r="123" spans="1:58" x14ac:dyDescent="0.3">
      <c r="A123" s="123">
        <f t="shared" si="4"/>
        <v>116</v>
      </c>
      <c r="B123" s="19"/>
      <c r="C123" s="20"/>
      <c r="D123" s="81"/>
      <c r="E123" s="82"/>
      <c r="F123" s="83"/>
      <c r="G123" s="81"/>
      <c r="H123" s="82"/>
      <c r="I123" s="83"/>
      <c r="J123" s="81"/>
      <c r="K123" s="82"/>
      <c r="L123" s="83"/>
      <c r="M123" s="81"/>
      <c r="N123" s="82"/>
      <c r="O123" s="83"/>
      <c r="P123" s="81"/>
      <c r="Q123" s="82"/>
      <c r="R123" s="83"/>
      <c r="S123" s="81"/>
      <c r="T123" s="82"/>
      <c r="U123" s="83"/>
      <c r="V123" s="81"/>
      <c r="W123" s="82"/>
      <c r="X123" s="83"/>
      <c r="Y123" s="81"/>
      <c r="Z123" s="82"/>
      <c r="AA123" s="83"/>
      <c r="AB123" s="81"/>
      <c r="AC123" s="82"/>
      <c r="AD123" s="83"/>
      <c r="AE123" s="81"/>
      <c r="AF123" s="82"/>
      <c r="AG123" s="83"/>
      <c r="AH123" s="81"/>
      <c r="AI123" s="82"/>
      <c r="AJ123" s="83"/>
      <c r="AK123" s="81"/>
      <c r="AL123" s="82"/>
      <c r="AM123" s="83"/>
      <c r="AN123" s="81"/>
      <c r="AO123" s="82"/>
      <c r="AP123" s="83"/>
      <c r="AQ123" s="81"/>
      <c r="AR123" s="82"/>
      <c r="AS123" s="83"/>
      <c r="AT123" s="81"/>
      <c r="AU123" s="82"/>
      <c r="AV123" s="83"/>
      <c r="AW123" s="66">
        <f ca="1">'RC Template'!AW123</f>
        <v>0</v>
      </c>
      <c r="AX123" s="66">
        <f ca="1">'RC Template'!BC123</f>
        <v>0</v>
      </c>
      <c r="AY123" s="75"/>
      <c r="BC123" t="s">
        <v>214</v>
      </c>
      <c r="BD123" s="131">
        <f t="shared" si="3"/>
        <v>1959</v>
      </c>
      <c r="BE123" t="s">
        <v>215</v>
      </c>
      <c r="BF123" t="str">
        <f t="shared" si="2"/>
        <v>&lt;option&gt;1959&lt;/option&gt;</v>
      </c>
    </row>
    <row r="124" spans="1:58" x14ac:dyDescent="0.3">
      <c r="A124" s="123">
        <f t="shared" si="4"/>
        <v>117</v>
      </c>
      <c r="B124" s="19"/>
      <c r="C124" s="20"/>
      <c r="D124" s="81"/>
      <c r="E124" s="82"/>
      <c r="F124" s="83"/>
      <c r="G124" s="81"/>
      <c r="H124" s="82"/>
      <c r="I124" s="83"/>
      <c r="J124" s="81"/>
      <c r="K124" s="82"/>
      <c r="L124" s="83"/>
      <c r="M124" s="81"/>
      <c r="N124" s="82"/>
      <c r="O124" s="83"/>
      <c r="P124" s="81"/>
      <c r="Q124" s="82"/>
      <c r="R124" s="83"/>
      <c r="S124" s="81"/>
      <c r="T124" s="82"/>
      <c r="U124" s="83"/>
      <c r="V124" s="81"/>
      <c r="W124" s="82"/>
      <c r="X124" s="83"/>
      <c r="Y124" s="81"/>
      <c r="Z124" s="82"/>
      <c r="AA124" s="83"/>
      <c r="AB124" s="81"/>
      <c r="AC124" s="82"/>
      <c r="AD124" s="83"/>
      <c r="AE124" s="81"/>
      <c r="AF124" s="82"/>
      <c r="AG124" s="83"/>
      <c r="AH124" s="81"/>
      <c r="AI124" s="82"/>
      <c r="AJ124" s="83"/>
      <c r="AK124" s="81"/>
      <c r="AL124" s="82"/>
      <c r="AM124" s="83"/>
      <c r="AN124" s="81"/>
      <c r="AO124" s="82"/>
      <c r="AP124" s="83"/>
      <c r="AQ124" s="81"/>
      <c r="AR124" s="82"/>
      <c r="AS124" s="83"/>
      <c r="AT124" s="81"/>
      <c r="AU124" s="82"/>
      <c r="AV124" s="83"/>
      <c r="AW124" s="66">
        <f ca="1">'RC Template'!AW124</f>
        <v>0</v>
      </c>
      <c r="AX124" s="66">
        <f ca="1">'RC Template'!BC124</f>
        <v>0</v>
      </c>
      <c r="AY124" s="75"/>
      <c r="BC124" t="s">
        <v>214</v>
      </c>
      <c r="BD124" s="131">
        <f t="shared" si="3"/>
        <v>1960</v>
      </c>
      <c r="BE124" t="s">
        <v>215</v>
      </c>
      <c r="BF124" t="str">
        <f t="shared" si="2"/>
        <v>&lt;option&gt;1960&lt;/option&gt;</v>
      </c>
    </row>
    <row r="125" spans="1:58" x14ac:dyDescent="0.3">
      <c r="A125" s="123">
        <f t="shared" si="4"/>
        <v>118</v>
      </c>
      <c r="B125" s="19"/>
      <c r="C125" s="20"/>
      <c r="D125" s="81"/>
      <c r="E125" s="82"/>
      <c r="F125" s="83"/>
      <c r="G125" s="81"/>
      <c r="H125" s="82"/>
      <c r="I125" s="83"/>
      <c r="J125" s="81"/>
      <c r="K125" s="82"/>
      <c r="L125" s="83"/>
      <c r="M125" s="81"/>
      <c r="N125" s="82"/>
      <c r="O125" s="83"/>
      <c r="P125" s="81"/>
      <c r="Q125" s="82"/>
      <c r="R125" s="83"/>
      <c r="S125" s="81"/>
      <c r="T125" s="82"/>
      <c r="U125" s="83"/>
      <c r="V125" s="81"/>
      <c r="W125" s="82"/>
      <c r="X125" s="83"/>
      <c r="Y125" s="81"/>
      <c r="Z125" s="82"/>
      <c r="AA125" s="83"/>
      <c r="AB125" s="81"/>
      <c r="AC125" s="82"/>
      <c r="AD125" s="83"/>
      <c r="AE125" s="81"/>
      <c r="AF125" s="82"/>
      <c r="AG125" s="83"/>
      <c r="AH125" s="81"/>
      <c r="AI125" s="82"/>
      <c r="AJ125" s="83"/>
      <c r="AK125" s="81"/>
      <c r="AL125" s="82"/>
      <c r="AM125" s="83"/>
      <c r="AN125" s="81"/>
      <c r="AO125" s="82"/>
      <c r="AP125" s="83"/>
      <c r="AQ125" s="81"/>
      <c r="AR125" s="82"/>
      <c r="AS125" s="83"/>
      <c r="AT125" s="81"/>
      <c r="AU125" s="82"/>
      <c r="AV125" s="83"/>
      <c r="AW125" s="66">
        <f ca="1">'RC Template'!AW125</f>
        <v>0</v>
      </c>
      <c r="AX125" s="66">
        <f ca="1">'RC Template'!BC125</f>
        <v>0</v>
      </c>
      <c r="AY125" s="75"/>
      <c r="BC125" t="s">
        <v>214</v>
      </c>
      <c r="BD125" s="131">
        <f t="shared" ref="BD125:BD182" si="5">BD124+1</f>
        <v>1961</v>
      </c>
      <c r="BE125" t="s">
        <v>215</v>
      </c>
      <c r="BF125" t="str">
        <f t="shared" ref="BF125:BF182" si="6">CONCATENATE(BC125,BD125,BE125)</f>
        <v>&lt;option&gt;1961&lt;/option&gt;</v>
      </c>
    </row>
    <row r="126" spans="1:58" x14ac:dyDescent="0.3">
      <c r="A126" s="123">
        <f t="shared" si="4"/>
        <v>119</v>
      </c>
      <c r="B126" s="19"/>
      <c r="C126" s="20"/>
      <c r="D126" s="81"/>
      <c r="E126" s="82"/>
      <c r="F126" s="83"/>
      <c r="G126" s="81"/>
      <c r="H126" s="82"/>
      <c r="I126" s="83"/>
      <c r="J126" s="81"/>
      <c r="K126" s="82"/>
      <c r="L126" s="83"/>
      <c r="M126" s="81"/>
      <c r="N126" s="82"/>
      <c r="O126" s="83"/>
      <c r="P126" s="81"/>
      <c r="Q126" s="82"/>
      <c r="R126" s="83"/>
      <c r="S126" s="81"/>
      <c r="T126" s="82"/>
      <c r="U126" s="83"/>
      <c r="V126" s="81"/>
      <c r="W126" s="82"/>
      <c r="X126" s="83"/>
      <c r="Y126" s="81"/>
      <c r="Z126" s="82"/>
      <c r="AA126" s="83"/>
      <c r="AB126" s="81"/>
      <c r="AC126" s="82"/>
      <c r="AD126" s="83"/>
      <c r="AE126" s="81"/>
      <c r="AF126" s="82"/>
      <c r="AG126" s="83"/>
      <c r="AH126" s="81"/>
      <c r="AI126" s="82"/>
      <c r="AJ126" s="83"/>
      <c r="AK126" s="81"/>
      <c r="AL126" s="82"/>
      <c r="AM126" s="83"/>
      <c r="AN126" s="81"/>
      <c r="AO126" s="82"/>
      <c r="AP126" s="83"/>
      <c r="AQ126" s="81"/>
      <c r="AR126" s="82"/>
      <c r="AS126" s="83"/>
      <c r="AT126" s="81"/>
      <c r="AU126" s="82"/>
      <c r="AV126" s="83"/>
      <c r="AW126" s="66">
        <f ca="1">'RC Template'!AW126</f>
        <v>0</v>
      </c>
      <c r="AX126" s="66">
        <f ca="1">'RC Template'!BC126</f>
        <v>0</v>
      </c>
      <c r="AY126" s="75"/>
      <c r="BC126" t="s">
        <v>214</v>
      </c>
      <c r="BD126" s="131">
        <f t="shared" si="5"/>
        <v>1962</v>
      </c>
      <c r="BE126" t="s">
        <v>215</v>
      </c>
      <c r="BF126" t="str">
        <f t="shared" si="6"/>
        <v>&lt;option&gt;1962&lt;/option&gt;</v>
      </c>
    </row>
    <row r="127" spans="1:58" x14ac:dyDescent="0.3">
      <c r="A127" s="123">
        <f t="shared" si="4"/>
        <v>120</v>
      </c>
      <c r="B127" s="19"/>
      <c r="C127" s="20"/>
      <c r="D127" s="81"/>
      <c r="E127" s="82"/>
      <c r="F127" s="83"/>
      <c r="G127" s="81"/>
      <c r="H127" s="82"/>
      <c r="I127" s="83"/>
      <c r="J127" s="81"/>
      <c r="K127" s="82"/>
      <c r="L127" s="83"/>
      <c r="M127" s="81"/>
      <c r="N127" s="82"/>
      <c r="O127" s="83"/>
      <c r="P127" s="81"/>
      <c r="Q127" s="82"/>
      <c r="R127" s="83"/>
      <c r="S127" s="81"/>
      <c r="T127" s="82"/>
      <c r="U127" s="83"/>
      <c r="V127" s="81"/>
      <c r="W127" s="82"/>
      <c r="X127" s="83"/>
      <c r="Y127" s="81"/>
      <c r="Z127" s="82"/>
      <c r="AA127" s="83"/>
      <c r="AB127" s="81"/>
      <c r="AC127" s="82"/>
      <c r="AD127" s="83"/>
      <c r="AE127" s="81"/>
      <c r="AF127" s="82"/>
      <c r="AG127" s="83"/>
      <c r="AH127" s="81"/>
      <c r="AI127" s="82"/>
      <c r="AJ127" s="83"/>
      <c r="AK127" s="81"/>
      <c r="AL127" s="82"/>
      <c r="AM127" s="83"/>
      <c r="AN127" s="81"/>
      <c r="AO127" s="82"/>
      <c r="AP127" s="83"/>
      <c r="AQ127" s="81"/>
      <c r="AR127" s="82"/>
      <c r="AS127" s="83"/>
      <c r="AT127" s="81"/>
      <c r="AU127" s="82"/>
      <c r="AV127" s="83"/>
      <c r="AW127" s="66">
        <f ca="1">'RC Template'!AW127</f>
        <v>0</v>
      </c>
      <c r="AX127" s="66">
        <f ca="1">'RC Template'!BC127</f>
        <v>0</v>
      </c>
      <c r="AY127" s="75"/>
      <c r="BC127" t="s">
        <v>214</v>
      </c>
      <c r="BD127" s="131">
        <f t="shared" si="5"/>
        <v>1963</v>
      </c>
      <c r="BE127" t="s">
        <v>215</v>
      </c>
      <c r="BF127" t="str">
        <f t="shared" si="6"/>
        <v>&lt;option&gt;1963&lt;/option&gt;</v>
      </c>
    </row>
    <row r="128" spans="1:58" x14ac:dyDescent="0.3">
      <c r="A128" s="123">
        <f t="shared" si="4"/>
        <v>121</v>
      </c>
      <c r="B128" s="19"/>
      <c r="C128" s="20"/>
      <c r="D128" s="81"/>
      <c r="E128" s="82"/>
      <c r="F128" s="83"/>
      <c r="G128" s="81"/>
      <c r="H128" s="82"/>
      <c r="I128" s="83"/>
      <c r="J128" s="81"/>
      <c r="K128" s="82"/>
      <c r="L128" s="83"/>
      <c r="M128" s="81"/>
      <c r="N128" s="82"/>
      <c r="O128" s="83"/>
      <c r="P128" s="81"/>
      <c r="Q128" s="82"/>
      <c r="R128" s="83"/>
      <c r="S128" s="81"/>
      <c r="T128" s="82"/>
      <c r="U128" s="83"/>
      <c r="V128" s="81"/>
      <c r="W128" s="82"/>
      <c r="X128" s="83"/>
      <c r="Y128" s="81"/>
      <c r="Z128" s="82"/>
      <c r="AA128" s="83"/>
      <c r="AB128" s="81"/>
      <c r="AC128" s="82"/>
      <c r="AD128" s="83"/>
      <c r="AE128" s="81"/>
      <c r="AF128" s="82"/>
      <c r="AG128" s="83"/>
      <c r="AH128" s="81"/>
      <c r="AI128" s="82"/>
      <c r="AJ128" s="83"/>
      <c r="AK128" s="81"/>
      <c r="AL128" s="82"/>
      <c r="AM128" s="83"/>
      <c r="AN128" s="81"/>
      <c r="AO128" s="82"/>
      <c r="AP128" s="83"/>
      <c r="AQ128" s="81"/>
      <c r="AR128" s="82"/>
      <c r="AS128" s="83"/>
      <c r="AT128" s="81"/>
      <c r="AU128" s="82"/>
      <c r="AV128" s="83"/>
      <c r="AW128" s="66">
        <f ca="1">'RC Template'!AW128</f>
        <v>0</v>
      </c>
      <c r="AX128" s="66">
        <f ca="1">'RC Template'!BC128</f>
        <v>0</v>
      </c>
      <c r="AY128" s="75"/>
      <c r="BC128" t="s">
        <v>214</v>
      </c>
      <c r="BD128" s="131">
        <f t="shared" si="5"/>
        <v>1964</v>
      </c>
      <c r="BE128" t="s">
        <v>215</v>
      </c>
      <c r="BF128" t="str">
        <f t="shared" si="6"/>
        <v>&lt;option&gt;1964&lt;/option&gt;</v>
      </c>
    </row>
    <row r="129" spans="1:58" x14ac:dyDescent="0.3">
      <c r="A129" s="123">
        <f t="shared" si="4"/>
        <v>122</v>
      </c>
      <c r="B129" s="19"/>
      <c r="C129" s="20"/>
      <c r="D129" s="81"/>
      <c r="E129" s="82"/>
      <c r="F129" s="83"/>
      <c r="G129" s="81"/>
      <c r="H129" s="82"/>
      <c r="I129" s="83"/>
      <c r="J129" s="81"/>
      <c r="K129" s="82"/>
      <c r="L129" s="83"/>
      <c r="M129" s="81"/>
      <c r="N129" s="82"/>
      <c r="O129" s="83"/>
      <c r="P129" s="81"/>
      <c r="Q129" s="82"/>
      <c r="R129" s="83"/>
      <c r="S129" s="81"/>
      <c r="T129" s="82"/>
      <c r="U129" s="83"/>
      <c r="V129" s="81"/>
      <c r="W129" s="82"/>
      <c r="X129" s="83"/>
      <c r="Y129" s="81"/>
      <c r="Z129" s="82"/>
      <c r="AA129" s="83"/>
      <c r="AB129" s="81"/>
      <c r="AC129" s="82"/>
      <c r="AD129" s="83"/>
      <c r="AE129" s="81"/>
      <c r="AF129" s="82"/>
      <c r="AG129" s="83"/>
      <c r="AH129" s="81"/>
      <c r="AI129" s="82"/>
      <c r="AJ129" s="83"/>
      <c r="AK129" s="81"/>
      <c r="AL129" s="82"/>
      <c r="AM129" s="83"/>
      <c r="AN129" s="81"/>
      <c r="AO129" s="82"/>
      <c r="AP129" s="83"/>
      <c r="AQ129" s="81"/>
      <c r="AR129" s="82"/>
      <c r="AS129" s="83"/>
      <c r="AT129" s="81"/>
      <c r="AU129" s="82"/>
      <c r="AV129" s="83"/>
      <c r="AW129" s="66">
        <f ca="1">'RC Template'!AW129</f>
        <v>0</v>
      </c>
      <c r="AX129" s="66">
        <f ca="1">'RC Template'!BC129</f>
        <v>0</v>
      </c>
      <c r="AY129" s="75"/>
      <c r="BC129" t="s">
        <v>214</v>
      </c>
      <c r="BD129" s="131">
        <f t="shared" si="5"/>
        <v>1965</v>
      </c>
      <c r="BE129" t="s">
        <v>215</v>
      </c>
      <c r="BF129" t="str">
        <f t="shared" si="6"/>
        <v>&lt;option&gt;1965&lt;/option&gt;</v>
      </c>
    </row>
    <row r="130" spans="1:58" x14ac:dyDescent="0.3">
      <c r="A130" s="123">
        <f t="shared" si="4"/>
        <v>123</v>
      </c>
      <c r="B130" s="19"/>
      <c r="C130" s="20"/>
      <c r="D130" s="81"/>
      <c r="E130" s="82"/>
      <c r="F130" s="83"/>
      <c r="G130" s="81"/>
      <c r="H130" s="82"/>
      <c r="I130" s="83"/>
      <c r="J130" s="81"/>
      <c r="K130" s="82"/>
      <c r="L130" s="83"/>
      <c r="M130" s="81"/>
      <c r="N130" s="82"/>
      <c r="O130" s="83"/>
      <c r="P130" s="81"/>
      <c r="Q130" s="82"/>
      <c r="R130" s="83"/>
      <c r="S130" s="81"/>
      <c r="T130" s="82"/>
      <c r="U130" s="83"/>
      <c r="V130" s="81"/>
      <c r="W130" s="82"/>
      <c r="X130" s="83"/>
      <c r="Y130" s="81"/>
      <c r="Z130" s="82"/>
      <c r="AA130" s="83"/>
      <c r="AB130" s="81"/>
      <c r="AC130" s="82"/>
      <c r="AD130" s="83"/>
      <c r="AE130" s="81"/>
      <c r="AF130" s="82"/>
      <c r="AG130" s="83"/>
      <c r="AH130" s="81"/>
      <c r="AI130" s="82"/>
      <c r="AJ130" s="83"/>
      <c r="AK130" s="81"/>
      <c r="AL130" s="82"/>
      <c r="AM130" s="83"/>
      <c r="AN130" s="81"/>
      <c r="AO130" s="82"/>
      <c r="AP130" s="83"/>
      <c r="AQ130" s="81"/>
      <c r="AR130" s="82"/>
      <c r="AS130" s="83"/>
      <c r="AT130" s="81"/>
      <c r="AU130" s="82"/>
      <c r="AV130" s="83"/>
      <c r="AW130" s="66">
        <f ca="1">'RC Template'!AW130</f>
        <v>0</v>
      </c>
      <c r="AX130" s="66">
        <f ca="1">'RC Template'!BC130</f>
        <v>0</v>
      </c>
      <c r="AY130" s="75"/>
      <c r="BC130" t="s">
        <v>214</v>
      </c>
      <c r="BD130" s="131">
        <f t="shared" si="5"/>
        <v>1966</v>
      </c>
      <c r="BE130" t="s">
        <v>215</v>
      </c>
      <c r="BF130" t="str">
        <f t="shared" si="6"/>
        <v>&lt;option&gt;1966&lt;/option&gt;</v>
      </c>
    </row>
    <row r="131" spans="1:58" x14ac:dyDescent="0.3">
      <c r="A131" s="123">
        <f t="shared" si="4"/>
        <v>124</v>
      </c>
      <c r="B131" s="19"/>
      <c r="C131" s="20"/>
      <c r="D131" s="81"/>
      <c r="E131" s="82"/>
      <c r="F131" s="83"/>
      <c r="G131" s="81"/>
      <c r="H131" s="82"/>
      <c r="I131" s="83"/>
      <c r="J131" s="81"/>
      <c r="K131" s="82"/>
      <c r="L131" s="83"/>
      <c r="M131" s="81"/>
      <c r="N131" s="82"/>
      <c r="O131" s="83"/>
      <c r="P131" s="81"/>
      <c r="Q131" s="82"/>
      <c r="R131" s="83"/>
      <c r="S131" s="81"/>
      <c r="T131" s="82"/>
      <c r="U131" s="83"/>
      <c r="V131" s="81"/>
      <c r="W131" s="82"/>
      <c r="X131" s="83"/>
      <c r="Y131" s="81"/>
      <c r="Z131" s="82"/>
      <c r="AA131" s="83"/>
      <c r="AB131" s="81"/>
      <c r="AC131" s="82"/>
      <c r="AD131" s="83"/>
      <c r="AE131" s="81"/>
      <c r="AF131" s="82"/>
      <c r="AG131" s="83"/>
      <c r="AH131" s="81"/>
      <c r="AI131" s="82"/>
      <c r="AJ131" s="83"/>
      <c r="AK131" s="81"/>
      <c r="AL131" s="82"/>
      <c r="AM131" s="83"/>
      <c r="AN131" s="81"/>
      <c r="AO131" s="82"/>
      <c r="AP131" s="83"/>
      <c r="AQ131" s="81"/>
      <c r="AR131" s="82"/>
      <c r="AS131" s="83"/>
      <c r="AT131" s="81"/>
      <c r="AU131" s="82"/>
      <c r="AV131" s="83"/>
      <c r="AW131" s="66">
        <f ca="1">'RC Template'!AW131</f>
        <v>0</v>
      </c>
      <c r="AX131" s="66">
        <f ca="1">'RC Template'!BC131</f>
        <v>0</v>
      </c>
      <c r="AY131" s="75"/>
      <c r="BC131" t="s">
        <v>214</v>
      </c>
      <c r="BD131" s="131">
        <f t="shared" si="5"/>
        <v>1967</v>
      </c>
      <c r="BE131" t="s">
        <v>215</v>
      </c>
      <c r="BF131" t="str">
        <f t="shared" si="6"/>
        <v>&lt;option&gt;1967&lt;/option&gt;</v>
      </c>
    </row>
    <row r="132" spans="1:58" x14ac:dyDescent="0.3">
      <c r="A132" s="123">
        <f t="shared" si="4"/>
        <v>125</v>
      </c>
      <c r="B132" s="19"/>
      <c r="C132" s="20"/>
      <c r="D132" s="81"/>
      <c r="E132" s="82"/>
      <c r="F132" s="83"/>
      <c r="G132" s="81"/>
      <c r="H132" s="82"/>
      <c r="I132" s="83"/>
      <c r="J132" s="81"/>
      <c r="K132" s="82"/>
      <c r="L132" s="83"/>
      <c r="M132" s="81"/>
      <c r="N132" s="82"/>
      <c r="O132" s="83"/>
      <c r="P132" s="81"/>
      <c r="Q132" s="82"/>
      <c r="R132" s="83"/>
      <c r="S132" s="81"/>
      <c r="T132" s="82"/>
      <c r="U132" s="83"/>
      <c r="V132" s="81"/>
      <c r="W132" s="82"/>
      <c r="X132" s="83"/>
      <c r="Y132" s="81"/>
      <c r="Z132" s="82"/>
      <c r="AA132" s="83"/>
      <c r="AB132" s="81"/>
      <c r="AC132" s="82"/>
      <c r="AD132" s="83"/>
      <c r="AE132" s="81"/>
      <c r="AF132" s="82"/>
      <c r="AG132" s="83"/>
      <c r="AH132" s="81"/>
      <c r="AI132" s="82"/>
      <c r="AJ132" s="83"/>
      <c r="AK132" s="81"/>
      <c r="AL132" s="82"/>
      <c r="AM132" s="83"/>
      <c r="AN132" s="81"/>
      <c r="AO132" s="82"/>
      <c r="AP132" s="83"/>
      <c r="AQ132" s="81"/>
      <c r="AR132" s="82"/>
      <c r="AS132" s="83"/>
      <c r="AT132" s="81"/>
      <c r="AU132" s="82"/>
      <c r="AV132" s="83"/>
      <c r="AW132" s="66">
        <f ca="1">'RC Template'!AW132</f>
        <v>0</v>
      </c>
      <c r="AX132" s="66">
        <f ca="1">'RC Template'!BC132</f>
        <v>0</v>
      </c>
      <c r="AY132" s="75"/>
      <c r="BC132" t="s">
        <v>214</v>
      </c>
      <c r="BD132" s="131">
        <f t="shared" si="5"/>
        <v>1968</v>
      </c>
      <c r="BE132" t="s">
        <v>215</v>
      </c>
      <c r="BF132" t="str">
        <f t="shared" si="6"/>
        <v>&lt;option&gt;1968&lt;/option&gt;</v>
      </c>
    </row>
    <row r="133" spans="1:58" x14ac:dyDescent="0.3">
      <c r="A133" s="123">
        <f t="shared" si="4"/>
        <v>126</v>
      </c>
      <c r="B133" s="19"/>
      <c r="C133" s="20"/>
      <c r="D133" s="81"/>
      <c r="E133" s="82"/>
      <c r="F133" s="83"/>
      <c r="G133" s="81"/>
      <c r="H133" s="82"/>
      <c r="I133" s="83"/>
      <c r="J133" s="81"/>
      <c r="K133" s="82"/>
      <c r="L133" s="83"/>
      <c r="M133" s="81"/>
      <c r="N133" s="82"/>
      <c r="O133" s="83"/>
      <c r="P133" s="81"/>
      <c r="Q133" s="82"/>
      <c r="R133" s="83"/>
      <c r="S133" s="81"/>
      <c r="T133" s="82"/>
      <c r="U133" s="83"/>
      <c r="V133" s="81"/>
      <c r="W133" s="82"/>
      <c r="X133" s="83"/>
      <c r="Y133" s="81"/>
      <c r="Z133" s="82"/>
      <c r="AA133" s="83"/>
      <c r="AB133" s="81"/>
      <c r="AC133" s="82"/>
      <c r="AD133" s="83"/>
      <c r="AE133" s="81"/>
      <c r="AF133" s="82"/>
      <c r="AG133" s="83"/>
      <c r="AH133" s="81"/>
      <c r="AI133" s="82"/>
      <c r="AJ133" s="83"/>
      <c r="AK133" s="81"/>
      <c r="AL133" s="82"/>
      <c r="AM133" s="83"/>
      <c r="AN133" s="81"/>
      <c r="AO133" s="82"/>
      <c r="AP133" s="83"/>
      <c r="AQ133" s="81"/>
      <c r="AR133" s="82"/>
      <c r="AS133" s="83"/>
      <c r="AT133" s="81"/>
      <c r="AU133" s="82"/>
      <c r="AV133" s="83"/>
      <c r="AW133" s="66">
        <f ca="1">'RC Template'!AW133</f>
        <v>0</v>
      </c>
      <c r="AX133" s="66">
        <f ca="1">'RC Template'!BC133</f>
        <v>0</v>
      </c>
      <c r="AY133" s="75"/>
      <c r="BC133" t="s">
        <v>214</v>
      </c>
      <c r="BD133" s="131">
        <f t="shared" si="5"/>
        <v>1969</v>
      </c>
      <c r="BE133" t="s">
        <v>215</v>
      </c>
      <c r="BF133" t="str">
        <f t="shared" si="6"/>
        <v>&lt;option&gt;1969&lt;/option&gt;</v>
      </c>
    </row>
    <row r="134" spans="1:58" x14ac:dyDescent="0.3">
      <c r="A134" s="123">
        <f t="shared" si="4"/>
        <v>127</v>
      </c>
      <c r="B134" s="19"/>
      <c r="C134" s="20"/>
      <c r="D134" s="81"/>
      <c r="E134" s="82"/>
      <c r="F134" s="83"/>
      <c r="G134" s="81"/>
      <c r="H134" s="82"/>
      <c r="I134" s="83"/>
      <c r="J134" s="81"/>
      <c r="K134" s="82"/>
      <c r="L134" s="83"/>
      <c r="M134" s="81"/>
      <c r="N134" s="82"/>
      <c r="O134" s="83"/>
      <c r="P134" s="81"/>
      <c r="Q134" s="82"/>
      <c r="R134" s="83"/>
      <c r="S134" s="81"/>
      <c r="T134" s="82"/>
      <c r="U134" s="83"/>
      <c r="V134" s="81"/>
      <c r="W134" s="82"/>
      <c r="X134" s="83"/>
      <c r="Y134" s="81"/>
      <c r="Z134" s="82"/>
      <c r="AA134" s="83"/>
      <c r="AB134" s="81"/>
      <c r="AC134" s="82"/>
      <c r="AD134" s="83"/>
      <c r="AE134" s="81"/>
      <c r="AF134" s="82"/>
      <c r="AG134" s="83"/>
      <c r="AH134" s="81"/>
      <c r="AI134" s="82"/>
      <c r="AJ134" s="83"/>
      <c r="AK134" s="81"/>
      <c r="AL134" s="82"/>
      <c r="AM134" s="83"/>
      <c r="AN134" s="81"/>
      <c r="AO134" s="82"/>
      <c r="AP134" s="83"/>
      <c r="AQ134" s="81"/>
      <c r="AR134" s="82"/>
      <c r="AS134" s="83"/>
      <c r="AT134" s="81"/>
      <c r="AU134" s="82"/>
      <c r="AV134" s="83"/>
      <c r="AW134" s="66">
        <f ca="1">'RC Template'!AW134</f>
        <v>0</v>
      </c>
      <c r="AX134" s="66">
        <f ca="1">'RC Template'!BC134</f>
        <v>0</v>
      </c>
      <c r="AY134" s="75"/>
      <c r="BC134" t="s">
        <v>214</v>
      </c>
      <c r="BD134" s="131">
        <f t="shared" si="5"/>
        <v>1970</v>
      </c>
      <c r="BE134" t="s">
        <v>215</v>
      </c>
      <c r="BF134" t="str">
        <f t="shared" si="6"/>
        <v>&lt;option&gt;1970&lt;/option&gt;</v>
      </c>
    </row>
    <row r="135" spans="1:58" x14ac:dyDescent="0.3">
      <c r="A135" s="123">
        <f t="shared" si="4"/>
        <v>128</v>
      </c>
      <c r="B135" s="19"/>
      <c r="C135" s="20"/>
      <c r="D135" s="81"/>
      <c r="E135" s="82"/>
      <c r="F135" s="83"/>
      <c r="G135" s="81"/>
      <c r="H135" s="82"/>
      <c r="I135" s="83"/>
      <c r="J135" s="81"/>
      <c r="K135" s="82"/>
      <c r="L135" s="83"/>
      <c r="M135" s="81"/>
      <c r="N135" s="82"/>
      <c r="O135" s="83"/>
      <c r="P135" s="81"/>
      <c r="Q135" s="82"/>
      <c r="R135" s="83"/>
      <c r="S135" s="81"/>
      <c r="T135" s="82"/>
      <c r="U135" s="83"/>
      <c r="V135" s="81"/>
      <c r="W135" s="82"/>
      <c r="X135" s="83"/>
      <c r="Y135" s="81"/>
      <c r="Z135" s="82"/>
      <c r="AA135" s="83"/>
      <c r="AB135" s="81"/>
      <c r="AC135" s="82"/>
      <c r="AD135" s="83"/>
      <c r="AE135" s="81"/>
      <c r="AF135" s="82"/>
      <c r="AG135" s="83"/>
      <c r="AH135" s="81"/>
      <c r="AI135" s="82"/>
      <c r="AJ135" s="83"/>
      <c r="AK135" s="81"/>
      <c r="AL135" s="82"/>
      <c r="AM135" s="83"/>
      <c r="AN135" s="81"/>
      <c r="AO135" s="82"/>
      <c r="AP135" s="83"/>
      <c r="AQ135" s="81"/>
      <c r="AR135" s="82"/>
      <c r="AS135" s="83"/>
      <c r="AT135" s="81"/>
      <c r="AU135" s="82"/>
      <c r="AV135" s="83"/>
      <c r="AW135" s="66">
        <f ca="1">'RC Template'!AW135</f>
        <v>0</v>
      </c>
      <c r="AX135" s="66">
        <f ca="1">'RC Template'!BC135</f>
        <v>0</v>
      </c>
      <c r="AY135" s="75"/>
      <c r="BC135" t="s">
        <v>214</v>
      </c>
      <c r="BD135" s="131">
        <f t="shared" si="5"/>
        <v>1971</v>
      </c>
      <c r="BE135" t="s">
        <v>215</v>
      </c>
      <c r="BF135" t="str">
        <f t="shared" si="6"/>
        <v>&lt;option&gt;1971&lt;/option&gt;</v>
      </c>
    </row>
    <row r="136" spans="1:58" x14ac:dyDescent="0.3">
      <c r="A136" s="123">
        <f t="shared" si="4"/>
        <v>129</v>
      </c>
      <c r="B136" s="19"/>
      <c r="C136" s="20"/>
      <c r="D136" s="81"/>
      <c r="E136" s="82"/>
      <c r="F136" s="83"/>
      <c r="G136" s="81"/>
      <c r="H136" s="82"/>
      <c r="I136" s="83"/>
      <c r="J136" s="81"/>
      <c r="K136" s="82"/>
      <c r="L136" s="83"/>
      <c r="M136" s="81"/>
      <c r="N136" s="82"/>
      <c r="O136" s="83"/>
      <c r="P136" s="81"/>
      <c r="Q136" s="82"/>
      <c r="R136" s="83"/>
      <c r="S136" s="81"/>
      <c r="T136" s="82"/>
      <c r="U136" s="83"/>
      <c r="V136" s="81"/>
      <c r="W136" s="82"/>
      <c r="X136" s="83"/>
      <c r="Y136" s="81"/>
      <c r="Z136" s="82"/>
      <c r="AA136" s="83"/>
      <c r="AB136" s="81"/>
      <c r="AC136" s="82"/>
      <c r="AD136" s="83"/>
      <c r="AE136" s="81"/>
      <c r="AF136" s="82"/>
      <c r="AG136" s="83"/>
      <c r="AH136" s="81"/>
      <c r="AI136" s="82"/>
      <c r="AJ136" s="83"/>
      <c r="AK136" s="81"/>
      <c r="AL136" s="82"/>
      <c r="AM136" s="83"/>
      <c r="AN136" s="81"/>
      <c r="AO136" s="82"/>
      <c r="AP136" s="83"/>
      <c r="AQ136" s="81"/>
      <c r="AR136" s="82"/>
      <c r="AS136" s="83"/>
      <c r="AT136" s="81"/>
      <c r="AU136" s="82"/>
      <c r="AV136" s="83"/>
      <c r="AW136" s="66">
        <f ca="1">'RC Template'!AW136</f>
        <v>0</v>
      </c>
      <c r="AX136" s="66">
        <f ca="1">'RC Template'!BC136</f>
        <v>0</v>
      </c>
      <c r="AY136" s="75"/>
      <c r="BC136" t="s">
        <v>214</v>
      </c>
      <c r="BD136" s="131">
        <f t="shared" si="5"/>
        <v>1972</v>
      </c>
      <c r="BE136" t="s">
        <v>215</v>
      </c>
      <c r="BF136" t="str">
        <f t="shared" si="6"/>
        <v>&lt;option&gt;1972&lt;/option&gt;</v>
      </c>
    </row>
    <row r="137" spans="1:58" x14ac:dyDescent="0.3">
      <c r="A137" s="123">
        <f t="shared" si="4"/>
        <v>130</v>
      </c>
      <c r="B137" s="19"/>
      <c r="C137" s="20"/>
      <c r="D137" s="81"/>
      <c r="E137" s="82"/>
      <c r="F137" s="83"/>
      <c r="G137" s="81"/>
      <c r="H137" s="82"/>
      <c r="I137" s="83"/>
      <c r="J137" s="81"/>
      <c r="K137" s="82"/>
      <c r="L137" s="83"/>
      <c r="M137" s="81"/>
      <c r="N137" s="82"/>
      <c r="O137" s="83"/>
      <c r="P137" s="81"/>
      <c r="Q137" s="82"/>
      <c r="R137" s="83"/>
      <c r="S137" s="81"/>
      <c r="T137" s="82"/>
      <c r="U137" s="83"/>
      <c r="V137" s="81"/>
      <c r="W137" s="82"/>
      <c r="X137" s="83"/>
      <c r="Y137" s="81"/>
      <c r="Z137" s="82"/>
      <c r="AA137" s="83"/>
      <c r="AB137" s="81"/>
      <c r="AC137" s="82"/>
      <c r="AD137" s="83"/>
      <c r="AE137" s="81"/>
      <c r="AF137" s="82"/>
      <c r="AG137" s="83"/>
      <c r="AH137" s="81"/>
      <c r="AI137" s="82"/>
      <c r="AJ137" s="83"/>
      <c r="AK137" s="81"/>
      <c r="AL137" s="82"/>
      <c r="AM137" s="83"/>
      <c r="AN137" s="81"/>
      <c r="AO137" s="82"/>
      <c r="AP137" s="83"/>
      <c r="AQ137" s="81"/>
      <c r="AR137" s="82"/>
      <c r="AS137" s="83"/>
      <c r="AT137" s="81"/>
      <c r="AU137" s="82"/>
      <c r="AV137" s="83"/>
      <c r="AW137" s="66">
        <f ca="1">'RC Template'!AW137</f>
        <v>0</v>
      </c>
      <c r="AX137" s="66">
        <f ca="1">'RC Template'!BC137</f>
        <v>0</v>
      </c>
      <c r="AY137" s="75"/>
      <c r="BC137" t="s">
        <v>214</v>
      </c>
      <c r="BD137" s="131">
        <f t="shared" si="5"/>
        <v>1973</v>
      </c>
      <c r="BE137" t="s">
        <v>215</v>
      </c>
      <c r="BF137" t="str">
        <f t="shared" si="6"/>
        <v>&lt;option&gt;1973&lt;/option&gt;</v>
      </c>
    </row>
    <row r="138" spans="1:58" x14ac:dyDescent="0.3">
      <c r="A138" s="123">
        <f t="shared" si="4"/>
        <v>131</v>
      </c>
      <c r="B138" s="19"/>
      <c r="C138" s="20"/>
      <c r="D138" s="81"/>
      <c r="E138" s="82"/>
      <c r="F138" s="83"/>
      <c r="G138" s="81"/>
      <c r="H138" s="82"/>
      <c r="I138" s="83"/>
      <c r="J138" s="81"/>
      <c r="K138" s="82"/>
      <c r="L138" s="83"/>
      <c r="M138" s="81"/>
      <c r="N138" s="82"/>
      <c r="O138" s="83"/>
      <c r="P138" s="81"/>
      <c r="Q138" s="82"/>
      <c r="R138" s="83"/>
      <c r="S138" s="81"/>
      <c r="T138" s="82"/>
      <c r="U138" s="83"/>
      <c r="V138" s="81"/>
      <c r="W138" s="82"/>
      <c r="X138" s="83"/>
      <c r="Y138" s="81"/>
      <c r="Z138" s="82"/>
      <c r="AA138" s="83"/>
      <c r="AB138" s="81"/>
      <c r="AC138" s="82"/>
      <c r="AD138" s="83"/>
      <c r="AE138" s="81"/>
      <c r="AF138" s="82"/>
      <c r="AG138" s="83"/>
      <c r="AH138" s="81"/>
      <c r="AI138" s="82"/>
      <c r="AJ138" s="83"/>
      <c r="AK138" s="81"/>
      <c r="AL138" s="82"/>
      <c r="AM138" s="83"/>
      <c r="AN138" s="81"/>
      <c r="AO138" s="82"/>
      <c r="AP138" s="83"/>
      <c r="AQ138" s="81"/>
      <c r="AR138" s="82"/>
      <c r="AS138" s="83"/>
      <c r="AT138" s="81"/>
      <c r="AU138" s="82"/>
      <c r="AV138" s="83"/>
      <c r="AW138" s="66">
        <f ca="1">'RC Template'!AW138</f>
        <v>0</v>
      </c>
      <c r="AX138" s="66">
        <f ca="1">'RC Template'!BC138</f>
        <v>0</v>
      </c>
      <c r="AY138" s="75"/>
      <c r="BC138" t="s">
        <v>214</v>
      </c>
      <c r="BD138" s="131">
        <f t="shared" si="5"/>
        <v>1974</v>
      </c>
      <c r="BE138" t="s">
        <v>215</v>
      </c>
      <c r="BF138" t="str">
        <f t="shared" si="6"/>
        <v>&lt;option&gt;1974&lt;/option&gt;</v>
      </c>
    </row>
    <row r="139" spans="1:58" x14ac:dyDescent="0.3">
      <c r="A139" s="123">
        <f t="shared" si="4"/>
        <v>132</v>
      </c>
      <c r="B139" s="19"/>
      <c r="C139" s="20"/>
      <c r="D139" s="81"/>
      <c r="E139" s="82"/>
      <c r="F139" s="83"/>
      <c r="G139" s="81"/>
      <c r="H139" s="82"/>
      <c r="I139" s="83"/>
      <c r="J139" s="81"/>
      <c r="K139" s="82"/>
      <c r="L139" s="83"/>
      <c r="M139" s="81"/>
      <c r="N139" s="82"/>
      <c r="O139" s="83"/>
      <c r="P139" s="81"/>
      <c r="Q139" s="82"/>
      <c r="R139" s="83"/>
      <c r="S139" s="81"/>
      <c r="T139" s="82"/>
      <c r="U139" s="83"/>
      <c r="V139" s="81"/>
      <c r="W139" s="82"/>
      <c r="X139" s="83"/>
      <c r="Y139" s="81"/>
      <c r="Z139" s="82"/>
      <c r="AA139" s="83"/>
      <c r="AB139" s="81"/>
      <c r="AC139" s="82"/>
      <c r="AD139" s="83"/>
      <c r="AE139" s="81"/>
      <c r="AF139" s="82"/>
      <c r="AG139" s="83"/>
      <c r="AH139" s="81"/>
      <c r="AI139" s="82"/>
      <c r="AJ139" s="83"/>
      <c r="AK139" s="81"/>
      <c r="AL139" s="82"/>
      <c r="AM139" s="83"/>
      <c r="AN139" s="81"/>
      <c r="AO139" s="82"/>
      <c r="AP139" s="83"/>
      <c r="AQ139" s="81"/>
      <c r="AR139" s="82"/>
      <c r="AS139" s="83"/>
      <c r="AT139" s="81"/>
      <c r="AU139" s="82"/>
      <c r="AV139" s="83"/>
      <c r="AW139" s="66">
        <f ca="1">'RC Template'!AW139</f>
        <v>0</v>
      </c>
      <c r="AX139" s="66">
        <f ca="1">'RC Template'!BC139</f>
        <v>0</v>
      </c>
      <c r="AY139" s="75"/>
      <c r="BC139" t="s">
        <v>214</v>
      </c>
      <c r="BD139" s="131">
        <f t="shared" si="5"/>
        <v>1975</v>
      </c>
      <c r="BE139" t="s">
        <v>215</v>
      </c>
      <c r="BF139" t="str">
        <f t="shared" si="6"/>
        <v>&lt;option&gt;1975&lt;/option&gt;</v>
      </c>
    </row>
    <row r="140" spans="1:58" x14ac:dyDescent="0.3">
      <c r="A140" s="123">
        <f t="shared" si="4"/>
        <v>133</v>
      </c>
      <c r="B140" s="19"/>
      <c r="C140" s="20"/>
      <c r="D140" s="81"/>
      <c r="E140" s="82"/>
      <c r="F140" s="83"/>
      <c r="G140" s="81"/>
      <c r="H140" s="82"/>
      <c r="I140" s="83"/>
      <c r="J140" s="81"/>
      <c r="K140" s="82"/>
      <c r="L140" s="83"/>
      <c r="M140" s="81"/>
      <c r="N140" s="82"/>
      <c r="O140" s="83"/>
      <c r="P140" s="81"/>
      <c r="Q140" s="82"/>
      <c r="R140" s="83"/>
      <c r="S140" s="81"/>
      <c r="T140" s="82"/>
      <c r="U140" s="83"/>
      <c r="V140" s="81"/>
      <c r="W140" s="82"/>
      <c r="X140" s="83"/>
      <c r="Y140" s="81"/>
      <c r="Z140" s="82"/>
      <c r="AA140" s="83"/>
      <c r="AB140" s="81"/>
      <c r="AC140" s="82"/>
      <c r="AD140" s="83"/>
      <c r="AE140" s="81"/>
      <c r="AF140" s="82"/>
      <c r="AG140" s="83"/>
      <c r="AH140" s="81"/>
      <c r="AI140" s="82"/>
      <c r="AJ140" s="83"/>
      <c r="AK140" s="81"/>
      <c r="AL140" s="82"/>
      <c r="AM140" s="83"/>
      <c r="AN140" s="81"/>
      <c r="AO140" s="82"/>
      <c r="AP140" s="83"/>
      <c r="AQ140" s="81"/>
      <c r="AR140" s="82"/>
      <c r="AS140" s="83"/>
      <c r="AT140" s="81"/>
      <c r="AU140" s="82"/>
      <c r="AV140" s="83"/>
      <c r="AW140" s="66">
        <f ca="1">'RC Template'!AW140</f>
        <v>0</v>
      </c>
      <c r="AX140" s="66">
        <f ca="1">'RC Template'!BC140</f>
        <v>0</v>
      </c>
      <c r="AY140" s="75"/>
      <c r="BC140" t="s">
        <v>214</v>
      </c>
      <c r="BD140" s="131">
        <f t="shared" si="5"/>
        <v>1976</v>
      </c>
      <c r="BE140" t="s">
        <v>215</v>
      </c>
      <c r="BF140" t="str">
        <f t="shared" si="6"/>
        <v>&lt;option&gt;1976&lt;/option&gt;</v>
      </c>
    </row>
    <row r="141" spans="1:58" x14ac:dyDescent="0.3">
      <c r="A141" s="123">
        <f t="shared" si="4"/>
        <v>134</v>
      </c>
      <c r="B141" s="19"/>
      <c r="C141" s="20"/>
      <c r="D141" s="81"/>
      <c r="E141" s="82"/>
      <c r="F141" s="83"/>
      <c r="G141" s="81"/>
      <c r="H141" s="82"/>
      <c r="I141" s="83"/>
      <c r="J141" s="81"/>
      <c r="K141" s="82"/>
      <c r="L141" s="83"/>
      <c r="M141" s="81"/>
      <c r="N141" s="82"/>
      <c r="O141" s="83"/>
      <c r="P141" s="81"/>
      <c r="Q141" s="82"/>
      <c r="R141" s="83"/>
      <c r="S141" s="81"/>
      <c r="T141" s="82"/>
      <c r="U141" s="83"/>
      <c r="V141" s="81"/>
      <c r="W141" s="82"/>
      <c r="X141" s="83"/>
      <c r="Y141" s="81"/>
      <c r="Z141" s="82"/>
      <c r="AA141" s="83"/>
      <c r="AB141" s="81"/>
      <c r="AC141" s="82"/>
      <c r="AD141" s="83"/>
      <c r="AE141" s="81"/>
      <c r="AF141" s="82"/>
      <c r="AG141" s="83"/>
      <c r="AH141" s="81"/>
      <c r="AI141" s="82"/>
      <c r="AJ141" s="83"/>
      <c r="AK141" s="81"/>
      <c r="AL141" s="82"/>
      <c r="AM141" s="83"/>
      <c r="AN141" s="81"/>
      <c r="AO141" s="82"/>
      <c r="AP141" s="83"/>
      <c r="AQ141" s="81"/>
      <c r="AR141" s="82"/>
      <c r="AS141" s="83"/>
      <c r="AT141" s="81"/>
      <c r="AU141" s="82"/>
      <c r="AV141" s="83"/>
      <c r="AW141" s="66">
        <f ca="1">'RC Template'!AW141</f>
        <v>0</v>
      </c>
      <c r="AX141" s="66">
        <f ca="1">'RC Template'!BC141</f>
        <v>0</v>
      </c>
      <c r="AY141" s="75"/>
      <c r="BC141" t="s">
        <v>214</v>
      </c>
      <c r="BD141" s="131">
        <f t="shared" si="5"/>
        <v>1977</v>
      </c>
      <c r="BE141" t="s">
        <v>215</v>
      </c>
      <c r="BF141" t="str">
        <f t="shared" si="6"/>
        <v>&lt;option&gt;1977&lt;/option&gt;</v>
      </c>
    </row>
    <row r="142" spans="1:58" x14ac:dyDescent="0.3">
      <c r="A142" s="123">
        <f t="shared" si="4"/>
        <v>135</v>
      </c>
      <c r="B142" s="19"/>
      <c r="C142" s="20"/>
      <c r="D142" s="81"/>
      <c r="E142" s="82"/>
      <c r="F142" s="83"/>
      <c r="G142" s="81"/>
      <c r="H142" s="82"/>
      <c r="I142" s="83"/>
      <c r="J142" s="81"/>
      <c r="K142" s="82"/>
      <c r="L142" s="83"/>
      <c r="M142" s="81"/>
      <c r="N142" s="82"/>
      <c r="O142" s="83"/>
      <c r="P142" s="81"/>
      <c r="Q142" s="82"/>
      <c r="R142" s="83"/>
      <c r="S142" s="81"/>
      <c r="T142" s="82"/>
      <c r="U142" s="83"/>
      <c r="V142" s="81"/>
      <c r="W142" s="82"/>
      <c r="X142" s="83"/>
      <c r="Y142" s="81"/>
      <c r="Z142" s="82"/>
      <c r="AA142" s="83"/>
      <c r="AB142" s="81"/>
      <c r="AC142" s="82"/>
      <c r="AD142" s="83"/>
      <c r="AE142" s="81"/>
      <c r="AF142" s="82"/>
      <c r="AG142" s="83"/>
      <c r="AH142" s="81"/>
      <c r="AI142" s="82"/>
      <c r="AJ142" s="83"/>
      <c r="AK142" s="81"/>
      <c r="AL142" s="82"/>
      <c r="AM142" s="83"/>
      <c r="AN142" s="81"/>
      <c r="AO142" s="82"/>
      <c r="AP142" s="83"/>
      <c r="AQ142" s="81"/>
      <c r="AR142" s="82"/>
      <c r="AS142" s="83"/>
      <c r="AT142" s="81"/>
      <c r="AU142" s="82"/>
      <c r="AV142" s="83"/>
      <c r="AW142" s="66">
        <f ca="1">'RC Template'!AW142</f>
        <v>0</v>
      </c>
      <c r="AX142" s="66">
        <f ca="1">'RC Template'!BC142</f>
        <v>0</v>
      </c>
      <c r="AY142" s="75"/>
      <c r="BC142" t="s">
        <v>214</v>
      </c>
      <c r="BD142" s="131">
        <f t="shared" si="5"/>
        <v>1978</v>
      </c>
      <c r="BE142" t="s">
        <v>215</v>
      </c>
      <c r="BF142" t="str">
        <f t="shared" si="6"/>
        <v>&lt;option&gt;1978&lt;/option&gt;</v>
      </c>
    </row>
    <row r="143" spans="1:58" x14ac:dyDescent="0.3">
      <c r="A143" s="123">
        <f t="shared" si="4"/>
        <v>136</v>
      </c>
      <c r="B143" s="19"/>
      <c r="C143" s="20"/>
      <c r="D143" s="81"/>
      <c r="E143" s="82"/>
      <c r="F143" s="83"/>
      <c r="G143" s="81"/>
      <c r="H143" s="82"/>
      <c r="I143" s="83"/>
      <c r="J143" s="81"/>
      <c r="K143" s="82"/>
      <c r="L143" s="83"/>
      <c r="M143" s="81"/>
      <c r="N143" s="82"/>
      <c r="O143" s="83"/>
      <c r="P143" s="81"/>
      <c r="Q143" s="82"/>
      <c r="R143" s="83"/>
      <c r="S143" s="81"/>
      <c r="T143" s="82"/>
      <c r="U143" s="83"/>
      <c r="V143" s="81"/>
      <c r="W143" s="82"/>
      <c r="X143" s="83"/>
      <c r="Y143" s="81"/>
      <c r="Z143" s="82"/>
      <c r="AA143" s="83"/>
      <c r="AB143" s="81"/>
      <c r="AC143" s="82"/>
      <c r="AD143" s="83"/>
      <c r="AE143" s="81"/>
      <c r="AF143" s="82"/>
      <c r="AG143" s="83"/>
      <c r="AH143" s="81"/>
      <c r="AI143" s="82"/>
      <c r="AJ143" s="83"/>
      <c r="AK143" s="81"/>
      <c r="AL143" s="82"/>
      <c r="AM143" s="83"/>
      <c r="AN143" s="81"/>
      <c r="AO143" s="82"/>
      <c r="AP143" s="83"/>
      <c r="AQ143" s="81"/>
      <c r="AR143" s="82"/>
      <c r="AS143" s="83"/>
      <c r="AT143" s="81"/>
      <c r="AU143" s="82"/>
      <c r="AV143" s="83"/>
      <c r="AW143" s="66">
        <f ca="1">'RC Template'!AW143</f>
        <v>0</v>
      </c>
      <c r="AX143" s="66">
        <f ca="1">'RC Template'!BC143</f>
        <v>0</v>
      </c>
      <c r="AY143" s="75"/>
      <c r="BC143" t="s">
        <v>214</v>
      </c>
      <c r="BD143" s="131">
        <f t="shared" si="5"/>
        <v>1979</v>
      </c>
      <c r="BE143" t="s">
        <v>215</v>
      </c>
      <c r="BF143" t="str">
        <f t="shared" si="6"/>
        <v>&lt;option&gt;1979&lt;/option&gt;</v>
      </c>
    </row>
    <row r="144" spans="1:58" x14ac:dyDescent="0.3">
      <c r="A144" s="123">
        <f t="shared" si="4"/>
        <v>137</v>
      </c>
      <c r="B144" s="19"/>
      <c r="C144" s="20"/>
      <c r="D144" s="81"/>
      <c r="E144" s="82"/>
      <c r="F144" s="83"/>
      <c r="G144" s="81"/>
      <c r="H144" s="82"/>
      <c r="I144" s="83"/>
      <c r="J144" s="81"/>
      <c r="K144" s="82"/>
      <c r="L144" s="83"/>
      <c r="M144" s="81"/>
      <c r="N144" s="82"/>
      <c r="O144" s="83"/>
      <c r="P144" s="81"/>
      <c r="Q144" s="82"/>
      <c r="R144" s="83"/>
      <c r="S144" s="81"/>
      <c r="T144" s="82"/>
      <c r="U144" s="83"/>
      <c r="V144" s="81"/>
      <c r="W144" s="82"/>
      <c r="X144" s="83"/>
      <c r="Y144" s="81"/>
      <c r="Z144" s="82"/>
      <c r="AA144" s="83"/>
      <c r="AB144" s="81"/>
      <c r="AC144" s="82"/>
      <c r="AD144" s="83"/>
      <c r="AE144" s="81"/>
      <c r="AF144" s="82"/>
      <c r="AG144" s="83"/>
      <c r="AH144" s="81"/>
      <c r="AI144" s="82"/>
      <c r="AJ144" s="83"/>
      <c r="AK144" s="81"/>
      <c r="AL144" s="82"/>
      <c r="AM144" s="83"/>
      <c r="AN144" s="81"/>
      <c r="AO144" s="82"/>
      <c r="AP144" s="83"/>
      <c r="AQ144" s="81"/>
      <c r="AR144" s="82"/>
      <c r="AS144" s="83"/>
      <c r="AT144" s="81"/>
      <c r="AU144" s="82"/>
      <c r="AV144" s="83"/>
      <c r="AW144" s="66">
        <f ca="1">'RC Template'!AW144</f>
        <v>0</v>
      </c>
      <c r="AX144" s="66">
        <f ca="1">'RC Template'!BC144</f>
        <v>0</v>
      </c>
      <c r="AY144" s="75"/>
      <c r="BC144" t="s">
        <v>214</v>
      </c>
      <c r="BD144" s="131">
        <f t="shared" si="5"/>
        <v>1980</v>
      </c>
      <c r="BE144" t="s">
        <v>215</v>
      </c>
      <c r="BF144" t="str">
        <f t="shared" si="6"/>
        <v>&lt;option&gt;1980&lt;/option&gt;</v>
      </c>
    </row>
    <row r="145" spans="1:58" x14ac:dyDescent="0.3">
      <c r="A145" s="123">
        <f t="shared" si="4"/>
        <v>138</v>
      </c>
      <c r="B145" s="19"/>
      <c r="C145" s="20"/>
      <c r="D145" s="81"/>
      <c r="E145" s="82"/>
      <c r="F145" s="83"/>
      <c r="G145" s="81"/>
      <c r="H145" s="82"/>
      <c r="I145" s="83"/>
      <c r="J145" s="81"/>
      <c r="K145" s="82"/>
      <c r="L145" s="83"/>
      <c r="M145" s="81"/>
      <c r="N145" s="82"/>
      <c r="O145" s="83"/>
      <c r="P145" s="81"/>
      <c r="Q145" s="82"/>
      <c r="R145" s="83"/>
      <c r="S145" s="81"/>
      <c r="T145" s="82"/>
      <c r="U145" s="83"/>
      <c r="V145" s="81"/>
      <c r="W145" s="82"/>
      <c r="X145" s="83"/>
      <c r="Y145" s="81"/>
      <c r="Z145" s="82"/>
      <c r="AA145" s="83"/>
      <c r="AB145" s="81"/>
      <c r="AC145" s="82"/>
      <c r="AD145" s="83"/>
      <c r="AE145" s="81"/>
      <c r="AF145" s="82"/>
      <c r="AG145" s="83"/>
      <c r="AH145" s="81"/>
      <c r="AI145" s="82"/>
      <c r="AJ145" s="83"/>
      <c r="AK145" s="81"/>
      <c r="AL145" s="82"/>
      <c r="AM145" s="83"/>
      <c r="AN145" s="81"/>
      <c r="AO145" s="82"/>
      <c r="AP145" s="83"/>
      <c r="AQ145" s="81"/>
      <c r="AR145" s="82"/>
      <c r="AS145" s="83"/>
      <c r="AT145" s="81"/>
      <c r="AU145" s="82"/>
      <c r="AV145" s="83"/>
      <c r="AW145" s="66">
        <f ca="1">'RC Template'!AW145</f>
        <v>0</v>
      </c>
      <c r="AX145" s="66">
        <f ca="1">'RC Template'!BC145</f>
        <v>0</v>
      </c>
      <c r="AY145" s="75"/>
      <c r="BC145" t="s">
        <v>214</v>
      </c>
      <c r="BD145" s="131">
        <f t="shared" si="5"/>
        <v>1981</v>
      </c>
      <c r="BE145" t="s">
        <v>215</v>
      </c>
      <c r="BF145" t="str">
        <f t="shared" si="6"/>
        <v>&lt;option&gt;1981&lt;/option&gt;</v>
      </c>
    </row>
    <row r="146" spans="1:58" x14ac:dyDescent="0.3">
      <c r="A146" s="123">
        <f t="shared" si="4"/>
        <v>139</v>
      </c>
      <c r="B146" s="19"/>
      <c r="C146" s="20"/>
      <c r="D146" s="81"/>
      <c r="E146" s="82"/>
      <c r="F146" s="83"/>
      <c r="G146" s="81"/>
      <c r="H146" s="82"/>
      <c r="I146" s="83"/>
      <c r="J146" s="81"/>
      <c r="K146" s="82"/>
      <c r="L146" s="83"/>
      <c r="M146" s="81"/>
      <c r="N146" s="82"/>
      <c r="O146" s="83"/>
      <c r="P146" s="81"/>
      <c r="Q146" s="82"/>
      <c r="R146" s="83"/>
      <c r="S146" s="81"/>
      <c r="T146" s="82"/>
      <c r="U146" s="83"/>
      <c r="V146" s="81"/>
      <c r="W146" s="82"/>
      <c r="X146" s="83"/>
      <c r="Y146" s="81"/>
      <c r="Z146" s="82"/>
      <c r="AA146" s="83"/>
      <c r="AB146" s="81"/>
      <c r="AC146" s="82"/>
      <c r="AD146" s="83"/>
      <c r="AE146" s="81"/>
      <c r="AF146" s="82"/>
      <c r="AG146" s="83"/>
      <c r="AH146" s="81"/>
      <c r="AI146" s="82"/>
      <c r="AJ146" s="83"/>
      <c r="AK146" s="81"/>
      <c r="AL146" s="82"/>
      <c r="AM146" s="83"/>
      <c r="AN146" s="81"/>
      <c r="AO146" s="82"/>
      <c r="AP146" s="83"/>
      <c r="AQ146" s="81"/>
      <c r="AR146" s="82"/>
      <c r="AS146" s="83"/>
      <c r="AT146" s="81"/>
      <c r="AU146" s="82"/>
      <c r="AV146" s="83"/>
      <c r="AW146" s="66">
        <f ca="1">'RC Template'!AW146</f>
        <v>0</v>
      </c>
      <c r="AX146" s="66">
        <f ca="1">'RC Template'!BC146</f>
        <v>0</v>
      </c>
      <c r="AY146" s="75"/>
      <c r="BC146" t="s">
        <v>214</v>
      </c>
      <c r="BD146" s="131">
        <f t="shared" si="5"/>
        <v>1982</v>
      </c>
      <c r="BE146" t="s">
        <v>215</v>
      </c>
      <c r="BF146" t="str">
        <f t="shared" si="6"/>
        <v>&lt;option&gt;1982&lt;/option&gt;</v>
      </c>
    </row>
    <row r="147" spans="1:58" x14ac:dyDescent="0.3">
      <c r="A147" s="123">
        <f t="shared" si="4"/>
        <v>140</v>
      </c>
      <c r="B147" s="19"/>
      <c r="C147" s="20"/>
      <c r="D147" s="81"/>
      <c r="E147" s="82"/>
      <c r="F147" s="83"/>
      <c r="G147" s="81"/>
      <c r="H147" s="82"/>
      <c r="I147" s="83"/>
      <c r="J147" s="81"/>
      <c r="K147" s="82"/>
      <c r="L147" s="83"/>
      <c r="M147" s="81"/>
      <c r="N147" s="82"/>
      <c r="O147" s="83"/>
      <c r="P147" s="81"/>
      <c r="Q147" s="82"/>
      <c r="R147" s="83"/>
      <c r="S147" s="81"/>
      <c r="T147" s="82"/>
      <c r="U147" s="83"/>
      <c r="V147" s="81"/>
      <c r="W147" s="82"/>
      <c r="X147" s="83"/>
      <c r="Y147" s="81"/>
      <c r="Z147" s="82"/>
      <c r="AA147" s="83"/>
      <c r="AB147" s="81"/>
      <c r="AC147" s="82"/>
      <c r="AD147" s="83"/>
      <c r="AE147" s="81"/>
      <c r="AF147" s="82"/>
      <c r="AG147" s="83"/>
      <c r="AH147" s="81"/>
      <c r="AI147" s="82"/>
      <c r="AJ147" s="83"/>
      <c r="AK147" s="81"/>
      <c r="AL147" s="82"/>
      <c r="AM147" s="83"/>
      <c r="AN147" s="81"/>
      <c r="AO147" s="82"/>
      <c r="AP147" s="83"/>
      <c r="AQ147" s="81"/>
      <c r="AR147" s="82"/>
      <c r="AS147" s="83"/>
      <c r="AT147" s="81"/>
      <c r="AU147" s="82"/>
      <c r="AV147" s="83"/>
      <c r="AW147" s="66">
        <f ca="1">'RC Template'!AW147</f>
        <v>0</v>
      </c>
      <c r="AX147" s="66">
        <f ca="1">'RC Template'!BC147</f>
        <v>0</v>
      </c>
      <c r="AY147" s="75"/>
      <c r="BC147" t="s">
        <v>214</v>
      </c>
      <c r="BD147" s="131">
        <f t="shared" si="5"/>
        <v>1983</v>
      </c>
      <c r="BE147" t="s">
        <v>215</v>
      </c>
      <c r="BF147" t="str">
        <f t="shared" si="6"/>
        <v>&lt;option&gt;1983&lt;/option&gt;</v>
      </c>
    </row>
    <row r="148" spans="1:58" x14ac:dyDescent="0.3">
      <c r="A148" s="123">
        <f t="shared" si="4"/>
        <v>141</v>
      </c>
      <c r="B148" s="19"/>
      <c r="C148" s="20"/>
      <c r="D148" s="81"/>
      <c r="E148" s="82"/>
      <c r="F148" s="83"/>
      <c r="G148" s="81"/>
      <c r="H148" s="82"/>
      <c r="I148" s="83"/>
      <c r="J148" s="81"/>
      <c r="K148" s="82"/>
      <c r="L148" s="83"/>
      <c r="M148" s="81"/>
      <c r="N148" s="82"/>
      <c r="O148" s="83"/>
      <c r="P148" s="81"/>
      <c r="Q148" s="82"/>
      <c r="R148" s="83"/>
      <c r="S148" s="81"/>
      <c r="T148" s="82"/>
      <c r="U148" s="83"/>
      <c r="V148" s="81"/>
      <c r="W148" s="82"/>
      <c r="X148" s="83"/>
      <c r="Y148" s="81"/>
      <c r="Z148" s="82"/>
      <c r="AA148" s="83"/>
      <c r="AB148" s="81"/>
      <c r="AC148" s="82"/>
      <c r="AD148" s="83"/>
      <c r="AE148" s="81"/>
      <c r="AF148" s="82"/>
      <c r="AG148" s="83"/>
      <c r="AH148" s="81"/>
      <c r="AI148" s="82"/>
      <c r="AJ148" s="83"/>
      <c r="AK148" s="81"/>
      <c r="AL148" s="82"/>
      <c r="AM148" s="83"/>
      <c r="AN148" s="81"/>
      <c r="AO148" s="82"/>
      <c r="AP148" s="83"/>
      <c r="AQ148" s="81"/>
      <c r="AR148" s="82"/>
      <c r="AS148" s="83"/>
      <c r="AT148" s="81"/>
      <c r="AU148" s="82"/>
      <c r="AV148" s="83"/>
      <c r="AW148" s="66">
        <f ca="1">'RC Template'!AW148</f>
        <v>0</v>
      </c>
      <c r="AX148" s="66">
        <f ca="1">'RC Template'!BC148</f>
        <v>0</v>
      </c>
      <c r="AY148" s="75"/>
      <c r="BC148" t="s">
        <v>214</v>
      </c>
      <c r="BD148" s="131">
        <f t="shared" si="5"/>
        <v>1984</v>
      </c>
      <c r="BE148" t="s">
        <v>215</v>
      </c>
      <c r="BF148" t="str">
        <f t="shared" si="6"/>
        <v>&lt;option&gt;1984&lt;/option&gt;</v>
      </c>
    </row>
    <row r="149" spans="1:58" x14ac:dyDescent="0.3">
      <c r="A149" s="123">
        <f t="shared" si="4"/>
        <v>142</v>
      </c>
      <c r="B149" s="19"/>
      <c r="C149" s="20"/>
      <c r="D149" s="81"/>
      <c r="E149" s="82"/>
      <c r="F149" s="83"/>
      <c r="G149" s="81"/>
      <c r="H149" s="82"/>
      <c r="I149" s="83"/>
      <c r="J149" s="81"/>
      <c r="K149" s="82"/>
      <c r="L149" s="83"/>
      <c r="M149" s="81"/>
      <c r="N149" s="82"/>
      <c r="O149" s="83"/>
      <c r="P149" s="81"/>
      <c r="Q149" s="82"/>
      <c r="R149" s="83"/>
      <c r="S149" s="81"/>
      <c r="T149" s="82"/>
      <c r="U149" s="83"/>
      <c r="V149" s="81"/>
      <c r="W149" s="82"/>
      <c r="X149" s="83"/>
      <c r="Y149" s="81"/>
      <c r="Z149" s="82"/>
      <c r="AA149" s="83"/>
      <c r="AB149" s="81"/>
      <c r="AC149" s="82"/>
      <c r="AD149" s="83"/>
      <c r="AE149" s="81"/>
      <c r="AF149" s="82"/>
      <c r="AG149" s="83"/>
      <c r="AH149" s="81"/>
      <c r="AI149" s="82"/>
      <c r="AJ149" s="83"/>
      <c r="AK149" s="81"/>
      <c r="AL149" s="82"/>
      <c r="AM149" s="83"/>
      <c r="AN149" s="81"/>
      <c r="AO149" s="82"/>
      <c r="AP149" s="83"/>
      <c r="AQ149" s="81"/>
      <c r="AR149" s="82"/>
      <c r="AS149" s="83"/>
      <c r="AT149" s="81"/>
      <c r="AU149" s="82"/>
      <c r="AV149" s="83"/>
      <c r="AW149" s="66">
        <f ca="1">'RC Template'!AW149</f>
        <v>0</v>
      </c>
      <c r="AX149" s="66">
        <f ca="1">'RC Template'!BC149</f>
        <v>0</v>
      </c>
      <c r="AY149" s="75"/>
      <c r="BC149" t="s">
        <v>214</v>
      </c>
      <c r="BD149" s="131">
        <f t="shared" si="5"/>
        <v>1985</v>
      </c>
      <c r="BE149" t="s">
        <v>215</v>
      </c>
      <c r="BF149" t="str">
        <f t="shared" si="6"/>
        <v>&lt;option&gt;1985&lt;/option&gt;</v>
      </c>
    </row>
    <row r="150" spans="1:58" x14ac:dyDescent="0.3">
      <c r="A150" s="123">
        <f t="shared" si="4"/>
        <v>143</v>
      </c>
      <c r="B150" s="19"/>
      <c r="C150" s="20"/>
      <c r="D150" s="81"/>
      <c r="E150" s="82"/>
      <c r="F150" s="83"/>
      <c r="G150" s="81"/>
      <c r="H150" s="82"/>
      <c r="I150" s="83"/>
      <c r="J150" s="81"/>
      <c r="K150" s="82"/>
      <c r="L150" s="83"/>
      <c r="M150" s="81"/>
      <c r="N150" s="82"/>
      <c r="O150" s="83"/>
      <c r="P150" s="81"/>
      <c r="Q150" s="82"/>
      <c r="R150" s="83"/>
      <c r="S150" s="81"/>
      <c r="T150" s="82"/>
      <c r="U150" s="83"/>
      <c r="V150" s="81"/>
      <c r="W150" s="82"/>
      <c r="X150" s="83"/>
      <c r="Y150" s="81"/>
      <c r="Z150" s="82"/>
      <c r="AA150" s="83"/>
      <c r="AB150" s="81"/>
      <c r="AC150" s="82"/>
      <c r="AD150" s="83"/>
      <c r="AE150" s="81"/>
      <c r="AF150" s="82"/>
      <c r="AG150" s="83"/>
      <c r="AH150" s="81"/>
      <c r="AI150" s="82"/>
      <c r="AJ150" s="83"/>
      <c r="AK150" s="81"/>
      <c r="AL150" s="82"/>
      <c r="AM150" s="83"/>
      <c r="AN150" s="81"/>
      <c r="AO150" s="82"/>
      <c r="AP150" s="83"/>
      <c r="AQ150" s="81"/>
      <c r="AR150" s="82"/>
      <c r="AS150" s="83"/>
      <c r="AT150" s="81"/>
      <c r="AU150" s="82"/>
      <c r="AV150" s="83"/>
      <c r="AW150" s="66">
        <f ca="1">'RC Template'!AW150</f>
        <v>0</v>
      </c>
      <c r="AX150" s="66">
        <f ca="1">'RC Template'!BC150</f>
        <v>0</v>
      </c>
      <c r="AY150" s="75"/>
      <c r="BC150" t="s">
        <v>214</v>
      </c>
      <c r="BD150" s="131">
        <f t="shared" si="5"/>
        <v>1986</v>
      </c>
      <c r="BE150" t="s">
        <v>215</v>
      </c>
      <c r="BF150" t="str">
        <f t="shared" si="6"/>
        <v>&lt;option&gt;1986&lt;/option&gt;</v>
      </c>
    </row>
    <row r="151" spans="1:58" x14ac:dyDescent="0.3">
      <c r="A151" s="123">
        <f t="shared" si="4"/>
        <v>144</v>
      </c>
      <c r="B151" s="19"/>
      <c r="C151" s="20"/>
      <c r="D151" s="81"/>
      <c r="E151" s="82"/>
      <c r="F151" s="83"/>
      <c r="G151" s="81"/>
      <c r="H151" s="82"/>
      <c r="I151" s="83"/>
      <c r="J151" s="81"/>
      <c r="K151" s="82"/>
      <c r="L151" s="83"/>
      <c r="M151" s="81"/>
      <c r="N151" s="82"/>
      <c r="O151" s="83"/>
      <c r="P151" s="81"/>
      <c r="Q151" s="82"/>
      <c r="R151" s="83"/>
      <c r="S151" s="81"/>
      <c r="T151" s="82"/>
      <c r="U151" s="83"/>
      <c r="V151" s="81"/>
      <c r="W151" s="82"/>
      <c r="X151" s="83"/>
      <c r="Y151" s="81"/>
      <c r="Z151" s="82"/>
      <c r="AA151" s="83"/>
      <c r="AB151" s="81"/>
      <c r="AC151" s="82"/>
      <c r="AD151" s="83"/>
      <c r="AE151" s="81"/>
      <c r="AF151" s="82"/>
      <c r="AG151" s="83"/>
      <c r="AH151" s="81"/>
      <c r="AI151" s="82"/>
      <c r="AJ151" s="83"/>
      <c r="AK151" s="81"/>
      <c r="AL151" s="82"/>
      <c r="AM151" s="83"/>
      <c r="AN151" s="81"/>
      <c r="AO151" s="82"/>
      <c r="AP151" s="83"/>
      <c r="AQ151" s="81"/>
      <c r="AR151" s="82"/>
      <c r="AS151" s="83"/>
      <c r="AT151" s="81"/>
      <c r="AU151" s="82"/>
      <c r="AV151" s="83"/>
      <c r="AW151" s="66">
        <f ca="1">'RC Template'!AW151</f>
        <v>0</v>
      </c>
      <c r="AX151" s="66">
        <f ca="1">'RC Template'!BC151</f>
        <v>0</v>
      </c>
      <c r="AY151" s="75"/>
      <c r="BC151" t="s">
        <v>214</v>
      </c>
      <c r="BD151" s="131">
        <f t="shared" si="5"/>
        <v>1987</v>
      </c>
      <c r="BE151" t="s">
        <v>215</v>
      </c>
      <c r="BF151" t="str">
        <f t="shared" si="6"/>
        <v>&lt;option&gt;1987&lt;/option&gt;</v>
      </c>
    </row>
    <row r="152" spans="1:58" x14ac:dyDescent="0.3">
      <c r="A152" s="123">
        <f t="shared" si="4"/>
        <v>145</v>
      </c>
      <c r="B152" s="19"/>
      <c r="C152" s="20"/>
      <c r="D152" s="81"/>
      <c r="E152" s="82"/>
      <c r="F152" s="83"/>
      <c r="G152" s="81"/>
      <c r="H152" s="82"/>
      <c r="I152" s="83"/>
      <c r="J152" s="81"/>
      <c r="K152" s="82"/>
      <c r="L152" s="83"/>
      <c r="M152" s="81"/>
      <c r="N152" s="82"/>
      <c r="O152" s="83"/>
      <c r="P152" s="81"/>
      <c r="Q152" s="82"/>
      <c r="R152" s="83"/>
      <c r="S152" s="81"/>
      <c r="T152" s="82"/>
      <c r="U152" s="83"/>
      <c r="V152" s="81"/>
      <c r="W152" s="82"/>
      <c r="X152" s="83"/>
      <c r="Y152" s="81"/>
      <c r="Z152" s="82"/>
      <c r="AA152" s="83"/>
      <c r="AB152" s="81"/>
      <c r="AC152" s="82"/>
      <c r="AD152" s="83"/>
      <c r="AE152" s="81"/>
      <c r="AF152" s="82"/>
      <c r="AG152" s="83"/>
      <c r="AH152" s="81"/>
      <c r="AI152" s="82"/>
      <c r="AJ152" s="83"/>
      <c r="AK152" s="81"/>
      <c r="AL152" s="82"/>
      <c r="AM152" s="83"/>
      <c r="AN152" s="81"/>
      <c r="AO152" s="82"/>
      <c r="AP152" s="83"/>
      <c r="AQ152" s="81"/>
      <c r="AR152" s="82"/>
      <c r="AS152" s="83"/>
      <c r="AT152" s="81"/>
      <c r="AU152" s="82"/>
      <c r="AV152" s="83"/>
      <c r="AW152" s="66">
        <f ca="1">'RC Template'!AW152</f>
        <v>0</v>
      </c>
      <c r="AX152" s="66">
        <f ca="1">'RC Template'!BC152</f>
        <v>0</v>
      </c>
      <c r="AY152" s="75"/>
      <c r="BC152" t="s">
        <v>214</v>
      </c>
      <c r="BD152" s="131">
        <f t="shared" si="5"/>
        <v>1988</v>
      </c>
      <c r="BE152" t="s">
        <v>215</v>
      </c>
      <c r="BF152" t="str">
        <f t="shared" si="6"/>
        <v>&lt;option&gt;1988&lt;/option&gt;</v>
      </c>
    </row>
    <row r="153" spans="1:58" x14ac:dyDescent="0.3">
      <c r="A153" s="123">
        <f t="shared" si="4"/>
        <v>146</v>
      </c>
      <c r="B153" s="19"/>
      <c r="C153" s="20"/>
      <c r="D153" s="81"/>
      <c r="E153" s="82"/>
      <c r="F153" s="83"/>
      <c r="G153" s="81"/>
      <c r="H153" s="82"/>
      <c r="I153" s="83"/>
      <c r="J153" s="81"/>
      <c r="K153" s="82"/>
      <c r="L153" s="83"/>
      <c r="M153" s="81"/>
      <c r="N153" s="82"/>
      <c r="O153" s="83"/>
      <c r="P153" s="81"/>
      <c r="Q153" s="82"/>
      <c r="R153" s="83"/>
      <c r="S153" s="81"/>
      <c r="T153" s="82"/>
      <c r="U153" s="83"/>
      <c r="V153" s="81"/>
      <c r="W153" s="82"/>
      <c r="X153" s="83"/>
      <c r="Y153" s="81"/>
      <c r="Z153" s="82"/>
      <c r="AA153" s="83"/>
      <c r="AB153" s="81"/>
      <c r="AC153" s="82"/>
      <c r="AD153" s="83"/>
      <c r="AE153" s="81"/>
      <c r="AF153" s="82"/>
      <c r="AG153" s="83"/>
      <c r="AH153" s="81"/>
      <c r="AI153" s="82"/>
      <c r="AJ153" s="83"/>
      <c r="AK153" s="81"/>
      <c r="AL153" s="82"/>
      <c r="AM153" s="83"/>
      <c r="AN153" s="81"/>
      <c r="AO153" s="82"/>
      <c r="AP153" s="83"/>
      <c r="AQ153" s="81"/>
      <c r="AR153" s="82"/>
      <c r="AS153" s="83"/>
      <c r="AT153" s="81"/>
      <c r="AU153" s="82"/>
      <c r="AV153" s="83"/>
      <c r="AW153" s="66">
        <f ca="1">'RC Template'!AW153</f>
        <v>0</v>
      </c>
      <c r="AX153" s="66">
        <f ca="1">'RC Template'!BC153</f>
        <v>0</v>
      </c>
      <c r="AY153" s="75"/>
      <c r="BC153" t="s">
        <v>214</v>
      </c>
      <c r="BD153" s="131">
        <f t="shared" si="5"/>
        <v>1989</v>
      </c>
      <c r="BE153" t="s">
        <v>215</v>
      </c>
      <c r="BF153" t="str">
        <f t="shared" si="6"/>
        <v>&lt;option&gt;1989&lt;/option&gt;</v>
      </c>
    </row>
    <row r="154" spans="1:58" x14ac:dyDescent="0.3">
      <c r="A154" s="123">
        <f t="shared" si="4"/>
        <v>147</v>
      </c>
      <c r="B154" s="19"/>
      <c r="C154" s="20"/>
      <c r="D154" s="81"/>
      <c r="E154" s="82"/>
      <c r="F154" s="83"/>
      <c r="G154" s="81"/>
      <c r="H154" s="82"/>
      <c r="I154" s="83"/>
      <c r="J154" s="81"/>
      <c r="K154" s="82"/>
      <c r="L154" s="83"/>
      <c r="M154" s="81"/>
      <c r="N154" s="82"/>
      <c r="O154" s="83"/>
      <c r="P154" s="81"/>
      <c r="Q154" s="82"/>
      <c r="R154" s="83"/>
      <c r="S154" s="81"/>
      <c r="T154" s="82"/>
      <c r="U154" s="83"/>
      <c r="V154" s="81"/>
      <c r="W154" s="82"/>
      <c r="X154" s="83"/>
      <c r="Y154" s="81"/>
      <c r="Z154" s="82"/>
      <c r="AA154" s="83"/>
      <c r="AB154" s="81"/>
      <c r="AC154" s="82"/>
      <c r="AD154" s="83"/>
      <c r="AE154" s="81"/>
      <c r="AF154" s="82"/>
      <c r="AG154" s="83"/>
      <c r="AH154" s="81"/>
      <c r="AI154" s="82"/>
      <c r="AJ154" s="83"/>
      <c r="AK154" s="81"/>
      <c r="AL154" s="82"/>
      <c r="AM154" s="83"/>
      <c r="AN154" s="81"/>
      <c r="AO154" s="82"/>
      <c r="AP154" s="83"/>
      <c r="AQ154" s="81"/>
      <c r="AR154" s="82"/>
      <c r="AS154" s="83"/>
      <c r="AT154" s="81"/>
      <c r="AU154" s="82"/>
      <c r="AV154" s="83"/>
      <c r="AW154" s="66">
        <f ca="1">'RC Template'!AW154</f>
        <v>0</v>
      </c>
      <c r="AX154" s="66">
        <f ca="1">'RC Template'!BC154</f>
        <v>0</v>
      </c>
      <c r="AY154" s="75"/>
      <c r="BC154" t="s">
        <v>214</v>
      </c>
      <c r="BD154" s="131">
        <f t="shared" si="5"/>
        <v>1990</v>
      </c>
      <c r="BE154" t="s">
        <v>215</v>
      </c>
      <c r="BF154" t="str">
        <f t="shared" si="6"/>
        <v>&lt;option&gt;1990&lt;/option&gt;</v>
      </c>
    </row>
    <row r="155" spans="1:58" x14ac:dyDescent="0.3">
      <c r="A155" s="123">
        <f t="shared" si="4"/>
        <v>148</v>
      </c>
      <c r="B155" s="19"/>
      <c r="C155" s="20"/>
      <c r="D155" s="81"/>
      <c r="E155" s="82"/>
      <c r="F155" s="83"/>
      <c r="G155" s="81"/>
      <c r="H155" s="82"/>
      <c r="I155" s="83"/>
      <c r="J155" s="81"/>
      <c r="K155" s="82"/>
      <c r="L155" s="83"/>
      <c r="M155" s="81"/>
      <c r="N155" s="82"/>
      <c r="O155" s="83"/>
      <c r="P155" s="81"/>
      <c r="Q155" s="82"/>
      <c r="R155" s="83"/>
      <c r="S155" s="81"/>
      <c r="T155" s="82"/>
      <c r="U155" s="83"/>
      <c r="V155" s="81"/>
      <c r="W155" s="82"/>
      <c r="X155" s="83"/>
      <c r="Y155" s="81"/>
      <c r="Z155" s="82"/>
      <c r="AA155" s="83"/>
      <c r="AB155" s="81"/>
      <c r="AC155" s="82"/>
      <c r="AD155" s="83"/>
      <c r="AE155" s="81"/>
      <c r="AF155" s="82"/>
      <c r="AG155" s="83"/>
      <c r="AH155" s="81"/>
      <c r="AI155" s="82"/>
      <c r="AJ155" s="83"/>
      <c r="AK155" s="81"/>
      <c r="AL155" s="82"/>
      <c r="AM155" s="83"/>
      <c r="AN155" s="81"/>
      <c r="AO155" s="82"/>
      <c r="AP155" s="83"/>
      <c r="AQ155" s="81"/>
      <c r="AR155" s="82"/>
      <c r="AS155" s="83"/>
      <c r="AT155" s="81"/>
      <c r="AU155" s="82"/>
      <c r="AV155" s="83"/>
      <c r="AW155" s="66">
        <f ca="1">'RC Template'!AW155</f>
        <v>0</v>
      </c>
      <c r="AX155" s="66">
        <f ca="1">'RC Template'!BC155</f>
        <v>0</v>
      </c>
      <c r="AY155" s="75"/>
      <c r="BC155" t="s">
        <v>214</v>
      </c>
      <c r="BD155" s="131">
        <f t="shared" si="5"/>
        <v>1991</v>
      </c>
      <c r="BE155" t="s">
        <v>215</v>
      </c>
      <c r="BF155" t="str">
        <f t="shared" si="6"/>
        <v>&lt;option&gt;1991&lt;/option&gt;</v>
      </c>
    </row>
    <row r="156" spans="1:58" x14ac:dyDescent="0.3">
      <c r="A156" s="123">
        <f t="shared" si="4"/>
        <v>149</v>
      </c>
      <c r="B156" s="19"/>
      <c r="C156" s="20"/>
      <c r="D156" s="81"/>
      <c r="E156" s="82"/>
      <c r="F156" s="83"/>
      <c r="G156" s="81"/>
      <c r="H156" s="82"/>
      <c r="I156" s="83"/>
      <c r="J156" s="81"/>
      <c r="K156" s="82"/>
      <c r="L156" s="83"/>
      <c r="M156" s="81"/>
      <c r="N156" s="82"/>
      <c r="O156" s="83"/>
      <c r="P156" s="81"/>
      <c r="Q156" s="82"/>
      <c r="R156" s="83"/>
      <c r="S156" s="81"/>
      <c r="T156" s="82"/>
      <c r="U156" s="83"/>
      <c r="V156" s="81"/>
      <c r="W156" s="82"/>
      <c r="X156" s="83"/>
      <c r="Y156" s="81"/>
      <c r="Z156" s="82"/>
      <c r="AA156" s="83"/>
      <c r="AB156" s="81"/>
      <c r="AC156" s="82"/>
      <c r="AD156" s="83"/>
      <c r="AE156" s="81"/>
      <c r="AF156" s="82"/>
      <c r="AG156" s="83"/>
      <c r="AH156" s="81"/>
      <c r="AI156" s="82"/>
      <c r="AJ156" s="83"/>
      <c r="AK156" s="81"/>
      <c r="AL156" s="82"/>
      <c r="AM156" s="83"/>
      <c r="AN156" s="81"/>
      <c r="AO156" s="82"/>
      <c r="AP156" s="83"/>
      <c r="AQ156" s="81"/>
      <c r="AR156" s="82"/>
      <c r="AS156" s="83"/>
      <c r="AT156" s="81"/>
      <c r="AU156" s="82"/>
      <c r="AV156" s="83"/>
      <c r="AW156" s="66">
        <f ca="1">'RC Template'!AW156</f>
        <v>0</v>
      </c>
      <c r="AX156" s="66">
        <f ca="1">'RC Template'!BC156</f>
        <v>0</v>
      </c>
      <c r="AY156" s="75"/>
      <c r="BC156" t="s">
        <v>214</v>
      </c>
      <c r="BD156" s="131">
        <f t="shared" si="5"/>
        <v>1992</v>
      </c>
      <c r="BE156" t="s">
        <v>215</v>
      </c>
      <c r="BF156" t="str">
        <f t="shared" si="6"/>
        <v>&lt;option&gt;1992&lt;/option&gt;</v>
      </c>
    </row>
    <row r="157" spans="1:58" ht="15" thickBot="1" x14ac:dyDescent="0.35">
      <c r="A157" s="124">
        <f t="shared" si="4"/>
        <v>150</v>
      </c>
      <c r="B157" s="120"/>
      <c r="C157" s="23"/>
      <c r="D157" s="84"/>
      <c r="E157" s="85"/>
      <c r="F157" s="86"/>
      <c r="G157" s="84"/>
      <c r="H157" s="85"/>
      <c r="I157" s="86"/>
      <c r="J157" s="84"/>
      <c r="K157" s="85"/>
      <c r="L157" s="86"/>
      <c r="M157" s="84"/>
      <c r="N157" s="85"/>
      <c r="O157" s="86"/>
      <c r="P157" s="84"/>
      <c r="Q157" s="85"/>
      <c r="R157" s="86"/>
      <c r="S157" s="84"/>
      <c r="T157" s="85"/>
      <c r="U157" s="86"/>
      <c r="V157" s="84"/>
      <c r="W157" s="85"/>
      <c r="X157" s="86"/>
      <c r="Y157" s="84"/>
      <c r="Z157" s="85"/>
      <c r="AA157" s="86"/>
      <c r="AB157" s="84"/>
      <c r="AC157" s="85"/>
      <c r="AD157" s="86"/>
      <c r="AE157" s="84"/>
      <c r="AF157" s="85"/>
      <c r="AG157" s="86"/>
      <c r="AH157" s="84"/>
      <c r="AI157" s="85"/>
      <c r="AJ157" s="86"/>
      <c r="AK157" s="84"/>
      <c r="AL157" s="85"/>
      <c r="AM157" s="86"/>
      <c r="AN157" s="84"/>
      <c r="AO157" s="85"/>
      <c r="AP157" s="86"/>
      <c r="AQ157" s="84"/>
      <c r="AR157" s="85"/>
      <c r="AS157" s="86"/>
      <c r="AT157" s="84"/>
      <c r="AU157" s="85"/>
      <c r="AV157" s="86"/>
      <c r="AW157" s="67">
        <f ca="1">'RC Template'!AW157</f>
        <v>0</v>
      </c>
      <c r="AX157" s="67">
        <f ca="1">'RC Template'!BC157</f>
        <v>0</v>
      </c>
      <c r="AY157" s="77"/>
      <c r="BC157" t="s">
        <v>214</v>
      </c>
      <c r="BD157" s="131">
        <f t="shared" si="5"/>
        <v>1993</v>
      </c>
      <c r="BE157" t="s">
        <v>215</v>
      </c>
      <c r="BF157" t="str">
        <f t="shared" si="6"/>
        <v>&lt;option&gt;1993&lt;/option&gt;</v>
      </c>
    </row>
    <row r="158" spans="1:58" x14ac:dyDescent="0.3">
      <c r="BC158" t="s">
        <v>214</v>
      </c>
      <c r="BD158" s="131">
        <f t="shared" si="5"/>
        <v>1994</v>
      </c>
      <c r="BE158" t="s">
        <v>215</v>
      </c>
      <c r="BF158" t="str">
        <f t="shared" si="6"/>
        <v>&lt;option&gt;1994&lt;/option&gt;</v>
      </c>
    </row>
    <row r="159" spans="1:58" x14ac:dyDescent="0.3">
      <c r="BC159" t="s">
        <v>214</v>
      </c>
      <c r="BD159" s="131">
        <f t="shared" si="5"/>
        <v>1995</v>
      </c>
      <c r="BE159" t="s">
        <v>215</v>
      </c>
      <c r="BF159" t="str">
        <f t="shared" si="6"/>
        <v>&lt;option&gt;1995&lt;/option&gt;</v>
      </c>
    </row>
    <row r="160" spans="1:58" x14ac:dyDescent="0.3">
      <c r="BC160" t="s">
        <v>214</v>
      </c>
      <c r="BD160" s="131">
        <f t="shared" si="5"/>
        <v>1996</v>
      </c>
      <c r="BE160" t="s">
        <v>215</v>
      </c>
      <c r="BF160" t="str">
        <f t="shared" si="6"/>
        <v>&lt;option&gt;1996&lt;/option&gt;</v>
      </c>
    </row>
    <row r="161" spans="55:58" x14ac:dyDescent="0.3">
      <c r="BC161" t="s">
        <v>214</v>
      </c>
      <c r="BD161" s="131">
        <f t="shared" si="5"/>
        <v>1997</v>
      </c>
      <c r="BE161" t="s">
        <v>215</v>
      </c>
      <c r="BF161" t="str">
        <f t="shared" si="6"/>
        <v>&lt;option&gt;1997&lt;/option&gt;</v>
      </c>
    </row>
    <row r="162" spans="55:58" x14ac:dyDescent="0.3">
      <c r="BC162" t="s">
        <v>214</v>
      </c>
      <c r="BD162" s="131">
        <f t="shared" si="5"/>
        <v>1998</v>
      </c>
      <c r="BE162" t="s">
        <v>215</v>
      </c>
      <c r="BF162" t="str">
        <f t="shared" si="6"/>
        <v>&lt;option&gt;1998&lt;/option&gt;</v>
      </c>
    </row>
    <row r="163" spans="55:58" x14ac:dyDescent="0.3">
      <c r="BC163" t="s">
        <v>214</v>
      </c>
      <c r="BD163" s="131">
        <f t="shared" si="5"/>
        <v>1999</v>
      </c>
      <c r="BE163" t="s">
        <v>215</v>
      </c>
      <c r="BF163" t="str">
        <f t="shared" si="6"/>
        <v>&lt;option&gt;1999&lt;/option&gt;</v>
      </c>
    </row>
    <row r="164" spans="55:58" x14ac:dyDescent="0.3">
      <c r="BC164" t="s">
        <v>214</v>
      </c>
      <c r="BD164" s="131">
        <f t="shared" si="5"/>
        <v>2000</v>
      </c>
      <c r="BE164" t="s">
        <v>215</v>
      </c>
      <c r="BF164" t="str">
        <f t="shared" si="6"/>
        <v>&lt;option&gt;2000&lt;/option&gt;</v>
      </c>
    </row>
    <row r="165" spans="55:58" x14ac:dyDescent="0.3">
      <c r="BC165" t="s">
        <v>214</v>
      </c>
      <c r="BD165" s="131">
        <f t="shared" si="5"/>
        <v>2001</v>
      </c>
      <c r="BE165" t="s">
        <v>215</v>
      </c>
      <c r="BF165" t="str">
        <f t="shared" si="6"/>
        <v>&lt;option&gt;2001&lt;/option&gt;</v>
      </c>
    </row>
    <row r="166" spans="55:58" x14ac:dyDescent="0.3">
      <c r="BC166" t="s">
        <v>214</v>
      </c>
      <c r="BD166" s="131">
        <f t="shared" si="5"/>
        <v>2002</v>
      </c>
      <c r="BE166" t="s">
        <v>215</v>
      </c>
      <c r="BF166" t="str">
        <f t="shared" si="6"/>
        <v>&lt;option&gt;2002&lt;/option&gt;</v>
      </c>
    </row>
    <row r="167" spans="55:58" x14ac:dyDescent="0.3">
      <c r="BC167" t="s">
        <v>214</v>
      </c>
      <c r="BD167" s="131">
        <f t="shared" si="5"/>
        <v>2003</v>
      </c>
      <c r="BE167" t="s">
        <v>215</v>
      </c>
      <c r="BF167" t="str">
        <f t="shared" si="6"/>
        <v>&lt;option&gt;2003&lt;/option&gt;</v>
      </c>
    </row>
    <row r="168" spans="55:58" x14ac:dyDescent="0.3">
      <c r="BC168" t="s">
        <v>214</v>
      </c>
      <c r="BD168" s="131">
        <f t="shared" si="5"/>
        <v>2004</v>
      </c>
      <c r="BE168" t="s">
        <v>215</v>
      </c>
      <c r="BF168" t="str">
        <f t="shared" si="6"/>
        <v>&lt;option&gt;2004&lt;/option&gt;</v>
      </c>
    </row>
    <row r="169" spans="55:58" x14ac:dyDescent="0.3">
      <c r="BC169" t="s">
        <v>214</v>
      </c>
      <c r="BD169" s="131">
        <f t="shared" si="5"/>
        <v>2005</v>
      </c>
      <c r="BE169" t="s">
        <v>215</v>
      </c>
      <c r="BF169" t="str">
        <f t="shared" si="6"/>
        <v>&lt;option&gt;2005&lt;/option&gt;</v>
      </c>
    </row>
    <row r="170" spans="55:58" x14ac:dyDescent="0.3">
      <c r="BC170" t="s">
        <v>214</v>
      </c>
      <c r="BD170" s="131">
        <f t="shared" si="5"/>
        <v>2006</v>
      </c>
      <c r="BE170" t="s">
        <v>215</v>
      </c>
      <c r="BF170" t="str">
        <f t="shared" si="6"/>
        <v>&lt;option&gt;2006&lt;/option&gt;</v>
      </c>
    </row>
    <row r="171" spans="55:58" x14ac:dyDescent="0.3">
      <c r="BC171" t="s">
        <v>214</v>
      </c>
      <c r="BD171" s="131">
        <f t="shared" si="5"/>
        <v>2007</v>
      </c>
      <c r="BE171" t="s">
        <v>215</v>
      </c>
      <c r="BF171" t="str">
        <f t="shared" si="6"/>
        <v>&lt;option&gt;2007&lt;/option&gt;</v>
      </c>
    </row>
    <row r="172" spans="55:58" x14ac:dyDescent="0.3">
      <c r="BC172" t="s">
        <v>214</v>
      </c>
      <c r="BD172" s="131">
        <f t="shared" si="5"/>
        <v>2008</v>
      </c>
      <c r="BE172" t="s">
        <v>215</v>
      </c>
      <c r="BF172" t="str">
        <f t="shared" si="6"/>
        <v>&lt;option&gt;2008&lt;/option&gt;</v>
      </c>
    </row>
    <row r="173" spans="55:58" x14ac:dyDescent="0.3">
      <c r="BC173" t="s">
        <v>214</v>
      </c>
      <c r="BD173" s="131">
        <f t="shared" si="5"/>
        <v>2009</v>
      </c>
      <c r="BE173" t="s">
        <v>215</v>
      </c>
      <c r="BF173" t="str">
        <f t="shared" si="6"/>
        <v>&lt;option&gt;2009&lt;/option&gt;</v>
      </c>
    </row>
    <row r="174" spans="55:58" x14ac:dyDescent="0.3">
      <c r="BC174" t="s">
        <v>214</v>
      </c>
      <c r="BD174" s="131">
        <f t="shared" si="5"/>
        <v>2010</v>
      </c>
      <c r="BE174" t="s">
        <v>215</v>
      </c>
      <c r="BF174" t="str">
        <f t="shared" si="6"/>
        <v>&lt;option&gt;2010&lt;/option&gt;</v>
      </c>
    </row>
    <row r="175" spans="55:58" x14ac:dyDescent="0.3">
      <c r="BC175" t="s">
        <v>214</v>
      </c>
      <c r="BD175" s="131">
        <f t="shared" si="5"/>
        <v>2011</v>
      </c>
      <c r="BE175" t="s">
        <v>215</v>
      </c>
      <c r="BF175" t="str">
        <f t="shared" si="6"/>
        <v>&lt;option&gt;2011&lt;/option&gt;</v>
      </c>
    </row>
    <row r="176" spans="55:58" x14ac:dyDescent="0.3">
      <c r="BC176" t="s">
        <v>214</v>
      </c>
      <c r="BD176" s="131">
        <f t="shared" si="5"/>
        <v>2012</v>
      </c>
      <c r="BE176" t="s">
        <v>215</v>
      </c>
      <c r="BF176" t="str">
        <f t="shared" si="6"/>
        <v>&lt;option&gt;2012&lt;/option&gt;</v>
      </c>
    </row>
    <row r="177" spans="55:58" x14ac:dyDescent="0.3">
      <c r="BC177" t="s">
        <v>214</v>
      </c>
      <c r="BD177" s="131">
        <f t="shared" si="5"/>
        <v>2013</v>
      </c>
      <c r="BE177" t="s">
        <v>215</v>
      </c>
      <c r="BF177" t="str">
        <f t="shared" si="6"/>
        <v>&lt;option&gt;2013&lt;/option&gt;</v>
      </c>
    </row>
    <row r="178" spans="55:58" x14ac:dyDescent="0.3">
      <c r="BC178" t="s">
        <v>214</v>
      </c>
      <c r="BD178" s="131">
        <f t="shared" si="5"/>
        <v>2014</v>
      </c>
      <c r="BE178" t="s">
        <v>215</v>
      </c>
      <c r="BF178" t="str">
        <f t="shared" si="6"/>
        <v>&lt;option&gt;2014&lt;/option&gt;</v>
      </c>
    </row>
    <row r="179" spans="55:58" x14ac:dyDescent="0.3">
      <c r="BC179" t="s">
        <v>214</v>
      </c>
      <c r="BD179" s="131">
        <f t="shared" si="5"/>
        <v>2015</v>
      </c>
      <c r="BE179" t="s">
        <v>215</v>
      </c>
      <c r="BF179" t="str">
        <f t="shared" si="6"/>
        <v>&lt;option&gt;2015&lt;/option&gt;</v>
      </c>
    </row>
    <row r="180" spans="55:58" x14ac:dyDescent="0.3">
      <c r="BC180" t="s">
        <v>214</v>
      </c>
      <c r="BD180" s="131">
        <f t="shared" si="5"/>
        <v>2016</v>
      </c>
      <c r="BE180" t="s">
        <v>215</v>
      </c>
      <c r="BF180" t="str">
        <f t="shared" si="6"/>
        <v>&lt;option&gt;2016&lt;/option&gt;</v>
      </c>
    </row>
    <row r="181" spans="55:58" x14ac:dyDescent="0.3">
      <c r="BC181" t="s">
        <v>214</v>
      </c>
      <c r="BD181" s="131">
        <f t="shared" si="5"/>
        <v>2017</v>
      </c>
      <c r="BE181" t="s">
        <v>215</v>
      </c>
      <c r="BF181" t="str">
        <f t="shared" si="6"/>
        <v>&lt;option&gt;2017&lt;/option&gt;</v>
      </c>
    </row>
    <row r="182" spans="55:58" x14ac:dyDescent="0.3">
      <c r="BC182" t="s">
        <v>214</v>
      </c>
      <c r="BD182" s="131">
        <f t="shared" si="5"/>
        <v>2018</v>
      </c>
      <c r="BE182" t="s">
        <v>215</v>
      </c>
      <c r="BF182" t="str">
        <f t="shared" si="6"/>
        <v>&lt;option&gt;2018&lt;/option&gt;</v>
      </c>
    </row>
  </sheetData>
  <autoFilter ref="A7:BR157" xr:uid="{EC70D67C-B6B4-4075-B49D-88B24EEE2957}">
    <filterColumn colId="3" showButton="0"/>
    <filterColumn colId="4" showButton="0"/>
    <filterColumn colId="6" showButton="0"/>
    <filterColumn colId="7" showButton="0"/>
    <filterColumn colId="9" showButton="0"/>
    <filterColumn colId="10" showButton="0"/>
    <filterColumn colId="12" showButton="0"/>
    <filterColumn colId="13" showButton="0"/>
    <filterColumn colId="15" showButton="0"/>
    <filterColumn colId="16" showButton="0"/>
    <filterColumn colId="18" showButton="0"/>
    <filterColumn colId="19" showButton="0"/>
    <filterColumn colId="21" showButton="0"/>
    <filterColumn colId="22" showButton="0"/>
    <filterColumn colId="24" showButton="0"/>
    <filterColumn colId="25" showButton="0"/>
    <filterColumn colId="27" showButton="0"/>
    <filterColumn colId="28" showButton="0"/>
    <filterColumn colId="30" showButton="0"/>
    <filterColumn colId="31" showButton="0"/>
    <filterColumn colId="33" showButton="0"/>
    <filterColumn colId="34" showButton="0"/>
    <filterColumn colId="36" showButton="0"/>
    <filterColumn colId="37" showButton="0"/>
    <filterColumn colId="39" showButton="0"/>
    <filterColumn colId="40" showButton="0"/>
    <filterColumn colId="42" showButton="0"/>
    <filterColumn colId="43" showButton="0"/>
    <filterColumn colId="45" showButton="0"/>
    <filterColumn colId="46" showButton="0"/>
  </autoFilter>
  <mergeCells count="42">
    <mergeCell ref="J4:L4"/>
    <mergeCell ref="J7:L7"/>
    <mergeCell ref="Y7:AA7"/>
    <mergeCell ref="S7:U7"/>
    <mergeCell ref="Y4:AA4"/>
    <mergeCell ref="S4:U4"/>
    <mergeCell ref="P4:R4"/>
    <mergeCell ref="M4:O4"/>
    <mergeCell ref="P7:R7"/>
    <mergeCell ref="M7:O7"/>
    <mergeCell ref="A1:B1"/>
    <mergeCell ref="D7:F7"/>
    <mergeCell ref="D4:F4"/>
    <mergeCell ref="G7:I7"/>
    <mergeCell ref="G4:I4"/>
    <mergeCell ref="G3:I3"/>
    <mergeCell ref="AB7:AD7"/>
    <mergeCell ref="AN7:AP7"/>
    <mergeCell ref="AQ7:AS7"/>
    <mergeCell ref="AT7:AV7"/>
    <mergeCell ref="AN4:AP4"/>
    <mergeCell ref="AQ4:AS4"/>
    <mergeCell ref="AT4:AV4"/>
    <mergeCell ref="AB4:AD4"/>
    <mergeCell ref="AE7:AG7"/>
    <mergeCell ref="AH7:AJ7"/>
    <mergeCell ref="AK7:AM7"/>
    <mergeCell ref="AK4:AM4"/>
    <mergeCell ref="AH4:AJ4"/>
    <mergeCell ref="AE4:AG4"/>
    <mergeCell ref="J3:L3"/>
    <mergeCell ref="M3:O3"/>
    <mergeCell ref="P3:R3"/>
    <mergeCell ref="S3:U3"/>
    <mergeCell ref="AN3:AP3"/>
    <mergeCell ref="AQ3:AS3"/>
    <mergeCell ref="AT3:AV3"/>
    <mergeCell ref="Y3:AA3"/>
    <mergeCell ref="AB3:AD3"/>
    <mergeCell ref="AE3:AG3"/>
    <mergeCell ref="AH3:AJ3"/>
    <mergeCell ref="AK3:AM3"/>
  </mergeCells>
  <pageMargins left="0.7" right="0.7" top="0.75" bottom="0.75" header="0.3" footer="0.3"/>
  <pageSetup scale="17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Button2_Click">
                <anchor moveWithCells="1">
                  <from>
                    <xdr:col>51</xdr:col>
                    <xdr:colOff>579120</xdr:colOff>
                    <xdr:row>2</xdr:row>
                    <xdr:rowOff>22860</xdr:rowOff>
                  </from>
                  <to>
                    <xdr:col>52</xdr:col>
                    <xdr:colOff>487680</xdr:colOff>
                    <xdr:row>3</xdr:row>
                    <xdr:rowOff>53340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Please see Legend" error="Please use one of the proper codes." xr:uid="{06AEFE1B-7694-43BC-814B-F907A51A6BE7}">
          <x14:formula1>
            <xm:f>'RC Lookup'!$J$4:$J$11</xm:f>
          </x14:formula1>
          <xm:sqref>D8:AV157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B9D93B-5AD6-4300-8C31-75FE32532A94}">
  <sheetPr>
    <tabColor theme="5" tint="-0.249977111117893"/>
  </sheetPr>
  <dimension ref="A3:G17"/>
  <sheetViews>
    <sheetView workbookViewId="0">
      <selection activeCell="E6" sqref="E6"/>
    </sheetView>
  </sheetViews>
  <sheetFormatPr defaultRowHeight="14.4" x14ac:dyDescent="0.3"/>
  <cols>
    <col min="1" max="1" width="19.6640625" style="6" bestFit="1" customWidth="1"/>
    <col min="2" max="2" width="15.5546875" style="6" bestFit="1" customWidth="1"/>
    <col min="3" max="9" width="12" style="6" bestFit="1" customWidth="1"/>
    <col min="10" max="13" width="9.77734375" style="6" bestFit="1" customWidth="1"/>
    <col min="14" max="17" width="8.77734375" style="6" bestFit="1" customWidth="1"/>
    <col min="18" max="24" width="9.77734375" style="6" bestFit="1" customWidth="1"/>
    <col min="25" max="29" width="8.77734375" style="6" bestFit="1" customWidth="1"/>
    <col min="30" max="39" width="9.77734375" style="6" bestFit="1" customWidth="1"/>
    <col min="40" max="40" width="10.77734375" style="6" bestFit="1" customWidth="1"/>
    <col min="41" max="16384" width="8.88671875" style="6"/>
  </cols>
  <sheetData>
    <row r="3" spans="1:7" x14ac:dyDescent="0.3">
      <c r="A3" s="142" t="s">
        <v>230</v>
      </c>
      <c r="B3" s="142" t="s">
        <v>222</v>
      </c>
    </row>
    <row r="4" spans="1:7" x14ac:dyDescent="0.3">
      <c r="B4" s="6" t="s">
        <v>223</v>
      </c>
      <c r="F4" s="6" t="s">
        <v>224</v>
      </c>
      <c r="G4" s="6" t="s">
        <v>221</v>
      </c>
    </row>
    <row r="5" spans="1:7" x14ac:dyDescent="0.3">
      <c r="B5" s="6" t="s">
        <v>225</v>
      </c>
      <c r="E5" s="6" t="s">
        <v>226</v>
      </c>
    </row>
    <row r="6" spans="1:7" x14ac:dyDescent="0.3">
      <c r="A6" s="142" t="s">
        <v>220</v>
      </c>
      <c r="B6" s="6" t="s">
        <v>24</v>
      </c>
      <c r="C6" s="6" t="s">
        <v>227</v>
      </c>
      <c r="D6" s="6" t="s">
        <v>228</v>
      </c>
      <c r="E6" s="6" t="s">
        <v>229</v>
      </c>
    </row>
    <row r="7" spans="1:7" x14ac:dyDescent="0.3">
      <c r="A7" s="143" t="s">
        <v>24</v>
      </c>
      <c r="B7" s="6">
        <v>44.707982384508803</v>
      </c>
      <c r="C7" s="6">
        <v>78.938340757271106</v>
      </c>
      <c r="F7" s="6">
        <v>63.37908695147005</v>
      </c>
      <c r="G7" s="6">
        <v>63.37908695147005</v>
      </c>
    </row>
    <row r="8" spans="1:7" x14ac:dyDescent="0.3">
      <c r="A8" s="143" t="s">
        <v>174</v>
      </c>
      <c r="C8" s="6">
        <v>38.25</v>
      </c>
      <c r="D8" s="6">
        <v>102.06784151766152</v>
      </c>
      <c r="E8" s="6">
        <v>132.25627639126964</v>
      </c>
      <c r="F8" s="6">
        <v>96.89408664934561</v>
      </c>
      <c r="G8" s="6">
        <v>96.89408664934561</v>
      </c>
    </row>
    <row r="9" spans="1:7" x14ac:dyDescent="0.3">
      <c r="A9" s="143" t="s">
        <v>210</v>
      </c>
      <c r="D9" s="6">
        <v>64.106825923466445</v>
      </c>
      <c r="F9" s="6">
        <v>64.106825923466445</v>
      </c>
      <c r="G9" s="6">
        <v>64.106825923466445</v>
      </c>
    </row>
    <row r="10" spans="1:7" x14ac:dyDescent="0.3">
      <c r="A10" s="143" t="s">
        <v>25</v>
      </c>
      <c r="B10" s="6">
        <v>78.181245807704414</v>
      </c>
      <c r="C10" s="6">
        <v>96.27891193108772</v>
      </c>
      <c r="D10" s="6">
        <v>110.35310538709109</v>
      </c>
      <c r="E10" s="6">
        <v>116.78923397735363</v>
      </c>
      <c r="F10" s="6">
        <v>100.62530469469004</v>
      </c>
      <c r="G10" s="6">
        <v>100.62530469469004</v>
      </c>
    </row>
    <row r="11" spans="1:7" x14ac:dyDescent="0.3">
      <c r="A11" s="143" t="s">
        <v>160</v>
      </c>
      <c r="C11" s="6">
        <v>30.002500000000001</v>
      </c>
      <c r="F11" s="6">
        <v>30.002500000000001</v>
      </c>
      <c r="G11" s="6">
        <v>30.002500000000001</v>
      </c>
    </row>
    <row r="12" spans="1:7" x14ac:dyDescent="0.3">
      <c r="A12" s="143" t="s">
        <v>16</v>
      </c>
      <c r="B12" s="6">
        <v>167.3112695881432</v>
      </c>
      <c r="C12" s="6">
        <v>243.91169541934349</v>
      </c>
      <c r="D12" s="6">
        <v>268.0059346525307</v>
      </c>
      <c r="E12" s="6">
        <v>293.98804064278625</v>
      </c>
      <c r="F12" s="6">
        <v>222.55860405158657</v>
      </c>
      <c r="G12" s="6">
        <v>222.55860405158657</v>
      </c>
    </row>
    <row r="13" spans="1:7" x14ac:dyDescent="0.3">
      <c r="A13" s="143" t="s">
        <v>44</v>
      </c>
      <c r="B13" s="6">
        <v>47.960195371200015</v>
      </c>
      <c r="F13" s="6">
        <v>47.960195371200015</v>
      </c>
      <c r="G13" s="6">
        <v>47.960195371200015</v>
      </c>
    </row>
    <row r="14" spans="1:7" x14ac:dyDescent="0.3">
      <c r="A14" s="143" t="s">
        <v>106</v>
      </c>
      <c r="B14" s="6">
        <v>41.817936435600004</v>
      </c>
      <c r="C14" s="6">
        <v>63.863072308531457</v>
      </c>
      <c r="D14" s="6">
        <v>73.797453417269821</v>
      </c>
      <c r="F14" s="6">
        <v>64.971359087571969</v>
      </c>
      <c r="G14" s="6">
        <v>64.971359087571969</v>
      </c>
    </row>
    <row r="15" spans="1:7" x14ac:dyDescent="0.3">
      <c r="A15" s="143" t="s">
        <v>175</v>
      </c>
      <c r="C15" s="6">
        <v>124.54826206356827</v>
      </c>
      <c r="D15" s="6">
        <v>133.3952205650653</v>
      </c>
      <c r="F15" s="6">
        <v>131.18348093969104</v>
      </c>
      <c r="G15" s="6">
        <v>131.18348093969104</v>
      </c>
    </row>
    <row r="16" spans="1:7" x14ac:dyDescent="0.3">
      <c r="A16" s="143" t="s">
        <v>43</v>
      </c>
      <c r="B16" s="6">
        <v>98.284700095576724</v>
      </c>
      <c r="C16" s="6">
        <v>131.14343064874296</v>
      </c>
      <c r="F16" s="6">
        <v>117.06111755452888</v>
      </c>
      <c r="G16" s="6">
        <v>117.06111755452888</v>
      </c>
    </row>
    <row r="17" spans="1:7" x14ac:dyDescent="0.3">
      <c r="A17" s="143" t="s">
        <v>221</v>
      </c>
      <c r="B17" s="6">
        <v>106.71556573925081</v>
      </c>
      <c r="C17" s="6">
        <v>127.0531475621757</v>
      </c>
      <c r="D17" s="6">
        <v>127.81559081918878</v>
      </c>
      <c r="E17" s="6">
        <v>181.01118367046988</v>
      </c>
      <c r="F17" s="6">
        <v>125.1127697649528</v>
      </c>
      <c r="G17" s="6">
        <v>125.1127697649528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DCAF1-B01A-465E-937D-817C64871C17}">
  <sheetPr codeName="Sheet3">
    <tabColor theme="5" tint="-0.249977111117893"/>
  </sheetPr>
  <dimension ref="A1:BI157"/>
  <sheetViews>
    <sheetView topLeftCell="A7" zoomScale="104" workbookViewId="0">
      <pane xSplit="3" ySplit="1" topLeftCell="AT17" activePane="bottomRight" state="frozen"/>
      <selection activeCell="BD14" sqref="BD14"/>
      <selection pane="topRight" activeCell="BD14" sqref="BD14"/>
      <selection pane="bottomLeft" activeCell="BD14" sqref="BD14"/>
      <selection pane="bottomRight" activeCell="AX23" sqref="AX23"/>
    </sheetView>
  </sheetViews>
  <sheetFormatPr defaultRowHeight="14.4" x14ac:dyDescent="0.3"/>
  <cols>
    <col min="2" max="2" width="9.88671875" style="1" bestFit="1" customWidth="1"/>
    <col min="3" max="3" width="10.33203125" bestFit="1" customWidth="1"/>
    <col min="49" max="49" width="11.77734375" customWidth="1"/>
    <col min="50" max="52" width="15.44140625" customWidth="1"/>
    <col min="53" max="53" width="11.109375" bestFit="1" customWidth="1"/>
    <col min="54" max="55" width="11.109375" customWidth="1"/>
    <col min="56" max="56" width="11.109375" bestFit="1" customWidth="1"/>
    <col min="57" max="57" width="11.109375" customWidth="1"/>
    <col min="59" max="59" width="11.109375" bestFit="1" customWidth="1"/>
    <col min="63" max="63" width="12.6640625" bestFit="1" customWidth="1"/>
    <col min="64" max="64" width="10.6640625" customWidth="1"/>
  </cols>
  <sheetData>
    <row r="1" spans="1:60" hidden="1" x14ac:dyDescent="0.3">
      <c r="A1" s="31"/>
      <c r="B1" s="161"/>
      <c r="C1" s="16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  <c r="W1" s="32"/>
      <c r="X1" s="32"/>
      <c r="Y1" s="32"/>
      <c r="Z1" s="32"/>
      <c r="AA1" s="32"/>
      <c r="AB1" s="32"/>
      <c r="AC1" s="32"/>
      <c r="AD1" s="32"/>
      <c r="AE1" s="32"/>
      <c r="AF1" s="32"/>
      <c r="AG1" s="32"/>
      <c r="AH1" s="32"/>
      <c r="AI1" s="32"/>
      <c r="AJ1" s="32"/>
      <c r="AK1" s="32"/>
      <c r="AL1" s="32"/>
      <c r="AM1" s="32"/>
      <c r="AN1" s="32"/>
      <c r="AO1" s="32"/>
      <c r="AP1" s="32"/>
      <c r="AQ1" s="32"/>
      <c r="AR1" s="32"/>
      <c r="AS1" s="32"/>
      <c r="AT1" s="32"/>
      <c r="AU1" s="32"/>
      <c r="AV1" s="32"/>
      <c r="AW1" s="33"/>
      <c r="AX1" s="33"/>
      <c r="AY1" s="38"/>
      <c r="AZ1" s="38"/>
      <c r="BA1" s="34"/>
      <c r="BB1" s="34"/>
      <c r="BC1" s="34"/>
      <c r="BD1" s="34"/>
      <c r="BE1" s="34"/>
    </row>
    <row r="2" spans="1:60" hidden="1" x14ac:dyDescent="0.3">
      <c r="A2" s="35"/>
      <c r="B2" s="36"/>
      <c r="C2" s="37"/>
      <c r="D2" s="38"/>
      <c r="E2" s="38"/>
      <c r="F2" s="38"/>
      <c r="G2" s="38"/>
      <c r="H2" s="38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  <c r="V2" s="38"/>
      <c r="W2" s="38"/>
      <c r="X2" s="38"/>
      <c r="Y2" s="38"/>
      <c r="Z2" s="38"/>
      <c r="AA2" s="38"/>
      <c r="AB2" s="38"/>
      <c r="AC2" s="38"/>
      <c r="AD2" s="38"/>
      <c r="AE2" s="38"/>
      <c r="AF2" s="38"/>
      <c r="AG2" s="38"/>
      <c r="AH2" s="38"/>
      <c r="AI2" s="38"/>
      <c r="AJ2" s="38"/>
      <c r="AK2" s="38"/>
      <c r="AL2" s="38"/>
      <c r="AM2" s="38"/>
      <c r="AN2" s="38"/>
      <c r="AO2" s="38"/>
      <c r="AP2" s="38"/>
      <c r="AQ2" s="38"/>
      <c r="AR2" s="38"/>
      <c r="AS2" s="38"/>
      <c r="AT2" s="38"/>
      <c r="AU2" s="38"/>
      <c r="AV2" s="38"/>
      <c r="AW2" s="37"/>
      <c r="AX2" s="37"/>
      <c r="AY2" s="38"/>
      <c r="AZ2" s="38"/>
      <c r="BA2" s="34"/>
      <c r="BB2" s="34"/>
      <c r="BC2" s="34"/>
      <c r="BD2" s="34"/>
      <c r="BE2" s="34"/>
    </row>
    <row r="3" spans="1:60" hidden="1" x14ac:dyDescent="0.3">
      <c r="A3" s="35"/>
      <c r="B3" s="36"/>
      <c r="C3" s="37"/>
      <c r="D3" s="38"/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  <c r="AB3" s="38"/>
      <c r="AC3" s="38"/>
      <c r="AD3" s="38"/>
      <c r="AE3" s="38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8"/>
      <c r="AT3" s="38"/>
      <c r="AU3" s="38"/>
      <c r="AV3" s="38"/>
      <c r="AW3" s="37"/>
      <c r="AX3" s="37"/>
      <c r="AY3" s="38"/>
      <c r="AZ3" s="38"/>
      <c r="BA3" s="34"/>
      <c r="BB3" s="34"/>
      <c r="BC3" s="34"/>
      <c r="BD3" s="34"/>
      <c r="BE3" s="34"/>
    </row>
    <row r="4" spans="1:60" ht="15" hidden="1" thickBot="1" x14ac:dyDescent="0.35">
      <c r="A4" s="35"/>
      <c r="B4" s="39"/>
      <c r="C4" s="40"/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F4" s="38"/>
      <c r="AG4" s="38"/>
      <c r="AH4" s="38"/>
      <c r="AI4" s="38"/>
      <c r="AJ4" s="38"/>
      <c r="AK4" s="38"/>
      <c r="AL4" s="38"/>
      <c r="AM4" s="38"/>
      <c r="AN4" s="38"/>
      <c r="AO4" s="38"/>
      <c r="AP4" s="38"/>
      <c r="AQ4" s="38"/>
      <c r="AR4" s="38"/>
      <c r="AS4" s="38"/>
      <c r="AT4" s="38"/>
      <c r="AU4" s="38"/>
      <c r="AV4" s="38"/>
      <c r="AW4" s="37"/>
      <c r="AX4" s="37"/>
      <c r="AY4" s="38"/>
      <c r="AZ4" s="38"/>
      <c r="BA4" s="34"/>
      <c r="BB4" s="34"/>
      <c r="BC4" s="34"/>
      <c r="BD4" s="34"/>
      <c r="BE4" s="34"/>
    </row>
    <row r="5" spans="1:60" hidden="1" x14ac:dyDescent="0.3">
      <c r="A5" s="35"/>
      <c r="B5" s="41"/>
      <c r="C5" s="38"/>
      <c r="D5" s="38"/>
      <c r="E5" s="38"/>
      <c r="F5" s="38"/>
      <c r="G5" s="38"/>
      <c r="H5" s="38"/>
      <c r="I5" s="38"/>
      <c r="J5" s="38"/>
      <c r="K5" s="38"/>
      <c r="L5" s="38"/>
      <c r="M5" s="38"/>
      <c r="N5" s="38"/>
      <c r="O5" s="38"/>
      <c r="P5" s="38"/>
      <c r="Q5" s="38"/>
      <c r="R5" s="38"/>
      <c r="S5" s="38"/>
      <c r="T5" s="38"/>
      <c r="U5" s="38"/>
      <c r="V5" s="38"/>
      <c r="W5" s="38"/>
      <c r="X5" s="38"/>
      <c r="Y5" s="38"/>
      <c r="Z5" s="38"/>
      <c r="AA5" s="38"/>
      <c r="AB5" s="38"/>
      <c r="AC5" s="38"/>
      <c r="AD5" s="38"/>
      <c r="AE5" s="38"/>
      <c r="AF5" s="38"/>
      <c r="AG5" s="38"/>
      <c r="AH5" s="38"/>
      <c r="AI5" s="38"/>
      <c r="AJ5" s="38"/>
      <c r="AK5" s="38"/>
      <c r="AL5" s="38"/>
      <c r="AM5" s="38"/>
      <c r="AN5" s="38"/>
      <c r="AO5" s="38"/>
      <c r="AP5" s="38"/>
      <c r="AQ5" s="38"/>
      <c r="AR5" s="38"/>
      <c r="AS5" s="38"/>
      <c r="AT5" s="38"/>
      <c r="AU5" s="38"/>
      <c r="AV5" s="38"/>
      <c r="AW5" s="37"/>
      <c r="AX5" s="37"/>
      <c r="AY5" s="38"/>
      <c r="AZ5" s="38"/>
      <c r="BA5" s="34"/>
      <c r="BB5" s="34"/>
      <c r="BC5" s="34"/>
      <c r="BD5" s="34"/>
      <c r="BE5" s="34"/>
    </row>
    <row r="6" spans="1:60" hidden="1" x14ac:dyDescent="0.3">
      <c r="A6" s="35"/>
      <c r="B6" s="41"/>
      <c r="C6" s="38"/>
      <c r="D6" s="38"/>
      <c r="E6" s="38"/>
      <c r="F6" s="38"/>
      <c r="G6" s="38"/>
      <c r="H6" s="38"/>
      <c r="I6" s="38"/>
      <c r="J6" s="38"/>
      <c r="K6" s="38"/>
      <c r="L6" s="38"/>
      <c r="M6" s="38"/>
      <c r="N6" s="38"/>
      <c r="O6" s="38"/>
      <c r="P6" s="38"/>
      <c r="Q6" s="38"/>
      <c r="R6" s="38"/>
      <c r="S6" s="38"/>
      <c r="T6" s="38"/>
      <c r="U6" s="38"/>
      <c r="V6" s="38"/>
      <c r="W6" s="38"/>
      <c r="X6" s="38"/>
      <c r="Y6" s="38"/>
      <c r="Z6" s="38"/>
      <c r="AA6" s="38"/>
      <c r="AB6" s="38"/>
      <c r="AC6" s="38"/>
      <c r="AD6" s="38"/>
      <c r="AE6" s="38"/>
      <c r="AF6" s="38"/>
      <c r="AG6" s="38"/>
      <c r="AH6" s="38"/>
      <c r="AI6" s="38"/>
      <c r="AJ6" s="38"/>
      <c r="AK6" s="38"/>
      <c r="AL6" s="38"/>
      <c r="AM6" s="38"/>
      <c r="AN6" s="38"/>
      <c r="AO6" s="38"/>
      <c r="AP6" s="38"/>
      <c r="AQ6" s="38"/>
      <c r="AR6" s="38"/>
      <c r="AS6" s="38"/>
      <c r="AT6" s="38"/>
      <c r="AU6" s="38"/>
      <c r="AV6" s="38"/>
      <c r="AW6" s="37"/>
      <c r="AX6" s="37"/>
      <c r="AY6" s="38"/>
      <c r="AZ6" s="38"/>
      <c r="BA6" s="34"/>
      <c r="BB6" s="34"/>
      <c r="BC6" s="34"/>
      <c r="BD6" s="34"/>
      <c r="BE6" s="34"/>
    </row>
    <row r="7" spans="1:60" ht="15" thickBot="1" x14ac:dyDescent="0.35">
      <c r="A7" s="42" t="s">
        <v>45</v>
      </c>
      <c r="B7" s="43" t="s">
        <v>14</v>
      </c>
      <c r="C7" s="44" t="s">
        <v>15</v>
      </c>
      <c r="D7" s="44" t="s">
        <v>0</v>
      </c>
      <c r="E7" s="44" t="s">
        <v>78</v>
      </c>
      <c r="F7" s="44" t="s">
        <v>79</v>
      </c>
      <c r="G7" s="44" t="s">
        <v>1</v>
      </c>
      <c r="H7" s="44" t="s">
        <v>80</v>
      </c>
      <c r="I7" s="44" t="s">
        <v>81</v>
      </c>
      <c r="J7" s="44" t="s">
        <v>2</v>
      </c>
      <c r="K7" s="87" t="s">
        <v>82</v>
      </c>
      <c r="L7" s="87" t="s">
        <v>83</v>
      </c>
      <c r="M7" s="44" t="s">
        <v>3</v>
      </c>
      <c r="N7" s="44" t="s">
        <v>84</v>
      </c>
      <c r="O7" s="44" t="s">
        <v>85</v>
      </c>
      <c r="P7" s="44" t="s">
        <v>4</v>
      </c>
      <c r="Q7" s="44" t="s">
        <v>156</v>
      </c>
      <c r="R7" s="44" t="s">
        <v>157</v>
      </c>
      <c r="S7" s="44" t="s">
        <v>5</v>
      </c>
      <c r="T7" s="44" t="s">
        <v>86</v>
      </c>
      <c r="U7" s="44" t="s">
        <v>87</v>
      </c>
      <c r="V7" s="44" t="s">
        <v>6</v>
      </c>
      <c r="W7" s="44" t="s">
        <v>89</v>
      </c>
      <c r="X7" s="44" t="s">
        <v>90</v>
      </c>
      <c r="Y7" s="44" t="s">
        <v>7</v>
      </c>
      <c r="Z7" s="44" t="s">
        <v>91</v>
      </c>
      <c r="AA7" s="44" t="s">
        <v>92</v>
      </c>
      <c r="AB7" s="44" t="s">
        <v>8</v>
      </c>
      <c r="AC7" s="44" t="s">
        <v>93</v>
      </c>
      <c r="AD7" s="44" t="s">
        <v>94</v>
      </c>
      <c r="AE7" s="44" t="s">
        <v>9</v>
      </c>
      <c r="AF7" s="44" t="s">
        <v>95</v>
      </c>
      <c r="AG7" s="44" t="s">
        <v>96</v>
      </c>
      <c r="AH7" s="44" t="s">
        <v>10</v>
      </c>
      <c r="AI7" s="44" t="s">
        <v>97</v>
      </c>
      <c r="AJ7" s="44" t="s">
        <v>98</v>
      </c>
      <c r="AK7" s="44" t="s">
        <v>11</v>
      </c>
      <c r="AL7" s="44" t="s">
        <v>99</v>
      </c>
      <c r="AM7" s="44" t="s">
        <v>100</v>
      </c>
      <c r="AN7" s="44" t="s">
        <v>12</v>
      </c>
      <c r="AO7" s="44" t="s">
        <v>101</v>
      </c>
      <c r="AP7" s="87" t="s">
        <v>205</v>
      </c>
      <c r="AQ7" s="44" t="s">
        <v>13</v>
      </c>
      <c r="AR7" s="44" t="s">
        <v>102</v>
      </c>
      <c r="AS7" s="44" t="s">
        <v>103</v>
      </c>
      <c r="AT7" s="44" t="s">
        <v>40</v>
      </c>
      <c r="AU7" s="44" t="s">
        <v>104</v>
      </c>
      <c r="AV7" s="44" t="s">
        <v>105</v>
      </c>
      <c r="AW7" s="42" t="s">
        <v>42</v>
      </c>
      <c r="AX7" s="51" t="s">
        <v>48</v>
      </c>
      <c r="AY7" s="51" t="s">
        <v>49</v>
      </c>
      <c r="AZ7" s="51" t="s">
        <v>51</v>
      </c>
      <c r="BA7" s="87" t="s">
        <v>125</v>
      </c>
      <c r="BB7" s="87" t="s">
        <v>132</v>
      </c>
      <c r="BC7" s="87" t="s">
        <v>138</v>
      </c>
      <c r="BD7" s="87" t="s">
        <v>143</v>
      </c>
      <c r="BE7" s="87" t="s">
        <v>146</v>
      </c>
      <c r="BF7" s="44" t="s">
        <v>144</v>
      </c>
      <c r="BG7" s="44" t="s">
        <v>167</v>
      </c>
      <c r="BH7" s="38"/>
    </row>
    <row r="8" spans="1:60" ht="15" thickTop="1" x14ac:dyDescent="0.3">
      <c r="A8" s="125">
        <v>1</v>
      </c>
      <c r="B8" s="25">
        <f>'Rock Climbing Log'!B8</f>
        <v>43106</v>
      </c>
      <c r="C8" s="126" t="str">
        <f>'Rock Climbing Log'!C8</f>
        <v>Lester</v>
      </c>
      <c r="D8" s="26">
        <f>_xlfn.IFNA(IF(LEFT('Rock Climbing Log'!D8)="C",_xlfn.IFNA(VLOOKUP('Rock Climbing Log'!D8,'RC Lookup'!$A$3:$B$9,2,FALSE),0.5),VLOOKUP('Rock Climbing Log'!D8,'RC Lookup'!$G$3:$H$5,2,FALSE)),0)*VLOOKUP(D$7,'RC Lookup'!$D$3:$E$18,2,FALSE)</f>
        <v>0</v>
      </c>
      <c r="E8" s="26">
        <f>_xlfn.IFNA(IF(LEFT('Rock Climbing Log'!E8)="C",_xlfn.IFNA(VLOOKUP('Rock Climbing Log'!E8,'RC Lookup'!$A$3:$B$9,2,FALSE),0.5),VLOOKUP('Rock Climbing Log'!E8,'RC Lookup'!$G$3:$H$5,2,FALSE)),0)*VLOOKUP(D$7,'RC Lookup'!$D$3:$E$18,2,FALSE)</f>
        <v>0</v>
      </c>
      <c r="F8" s="26">
        <f>_xlfn.IFNA(IF(LEFT('Rock Climbing Log'!F8)="C",_xlfn.IFNA(VLOOKUP('Rock Climbing Log'!F8,'RC Lookup'!$A$3:$B$9,2,FALSE),0.5),VLOOKUP('Rock Climbing Log'!F8,'RC Lookup'!$G$3:$H$5,2,FALSE)),0)*VLOOKUP(D$7,'RC Lookup'!$D$3:$E$18,2,FALSE)</f>
        <v>0</v>
      </c>
      <c r="G8" s="26">
        <f>_xlfn.IFNA(IF(LEFT('Rock Climbing Log'!G8)="C",_xlfn.IFNA(VLOOKUP('Rock Climbing Log'!G8,'RC Lookup'!$A$3:$B$9,2,FALSE),0.5),VLOOKUP('Rock Climbing Log'!G8,'RC Lookup'!$G$3:$H$5,2,FALSE)),0)*VLOOKUP(G$7,'RC Lookup'!$D$3:$E$18,2,FALSE)</f>
        <v>12.5</v>
      </c>
      <c r="H8" s="26">
        <f>_xlfn.IFNA(IF(LEFT('Rock Climbing Log'!H8)="C",_xlfn.IFNA(VLOOKUP('Rock Climbing Log'!H8,'RC Lookup'!$A$3:$B$9,2,FALSE),0.5),VLOOKUP('Rock Climbing Log'!H8,'RC Lookup'!$G$3:$H$5,2,FALSE)),0)*VLOOKUP(G$7,'RC Lookup'!$D$3:$E$18,2,FALSE)</f>
        <v>0</v>
      </c>
      <c r="I8" s="26">
        <f>_xlfn.IFNA(IF(LEFT('Rock Climbing Log'!I8)="C",_xlfn.IFNA(VLOOKUP('Rock Climbing Log'!I8,'RC Lookup'!$A$3:$B$9,2,FALSE),0.5),VLOOKUP('Rock Climbing Log'!I8,'RC Lookup'!$G$3:$H$5,2,FALSE)),0)*VLOOKUP(G$7,'RC Lookup'!$D$3:$E$18,2,FALSE)</f>
        <v>0</v>
      </c>
      <c r="J8" s="26">
        <f>_xlfn.IFNA(IF(LEFT('Rock Climbing Log'!J8)="C",_xlfn.IFNA(VLOOKUP('Rock Climbing Log'!J8,'RC Lookup'!$A$3:$B$9,2,FALSE),0.5),VLOOKUP('Rock Climbing Log'!J8,'RC Lookup'!$G$3:$H$5,2,FALSE)),0)*VLOOKUP(J$7,'RC Lookup'!$D$3:$E$18,2,FALSE)</f>
        <v>15.75</v>
      </c>
      <c r="K8" s="26">
        <f>_xlfn.IFNA(IF(LEFT('Rock Climbing Log'!K8)="C",_xlfn.IFNA(VLOOKUP('Rock Climbing Log'!K8,'RC Lookup'!$A$3:$B$9,2,FALSE),0.5),VLOOKUP('Rock Climbing Log'!K8,'RC Lookup'!$G$3:$H$5,2,FALSE)),0)*VLOOKUP(J$7,'RC Lookup'!$D$3:$E$18,2,FALSE)</f>
        <v>0</v>
      </c>
      <c r="L8" s="26">
        <f>_xlfn.IFNA(IF(LEFT('Rock Climbing Log'!L8)="C",_xlfn.IFNA(VLOOKUP('Rock Climbing Log'!L8,'RC Lookup'!$A$3:$B$9,2,FALSE),0.5),VLOOKUP('Rock Climbing Log'!L8,'RC Lookup'!$G$3:$H$5,2,FALSE)),0)*VLOOKUP(J$7,'RC Lookup'!$D$3:$E$18,2,FALSE)</f>
        <v>0</v>
      </c>
      <c r="M8" s="26">
        <f>_xlfn.IFNA(IF(LEFT('Rock Climbing Log'!M8)="C",_xlfn.IFNA(VLOOKUP('Rock Climbing Log'!M8,'RC Lookup'!$A$3:$B$9,2,FALSE),0.5),VLOOKUP('Rock Climbing Log'!M8,'RC Lookup'!$G$3:$H$5,2,FALSE)),0)*VLOOKUP(M$7,'RC Lookup'!$D$3:$E$18,2,FALSE)</f>
        <v>20.002500000000001</v>
      </c>
      <c r="N8" s="26">
        <f>_xlfn.IFNA(IF(LEFT('Rock Climbing Log'!N8)="C",_xlfn.IFNA(VLOOKUP('Rock Climbing Log'!N8,'RC Lookup'!$A$3:$B$9,2,FALSE),0.5),VLOOKUP('Rock Climbing Log'!N8,'RC Lookup'!$G$3:$H$5,2,FALSE)),0)*VLOOKUP(M$7,'RC Lookup'!$D$3:$E$18,2,FALSE)</f>
        <v>0</v>
      </c>
      <c r="O8" s="26">
        <f>_xlfn.IFNA(IF(LEFT('Rock Climbing Log'!O8)="C",_xlfn.IFNA(VLOOKUP('Rock Climbing Log'!O8,'RC Lookup'!$A$3:$B$9,2,FALSE),0.5),VLOOKUP('Rock Climbing Log'!O8,'RC Lookup'!$G$3:$H$5,2,FALSE)),0)*VLOOKUP(M$7,'RC Lookup'!$D$3:$E$18,2,FALSE)</f>
        <v>0</v>
      </c>
      <c r="P8" s="26">
        <f>_xlfn.IFNA(IF(LEFT('Rock Climbing Log'!P8)="C",_xlfn.IFNA(VLOOKUP('Rock Climbing Log'!P8,'RC Lookup'!$A$3:$B$9,2,FALSE),0.5),VLOOKUP('Rock Climbing Log'!P8,'RC Lookup'!$G$3:$H$5,2,FALSE)),0)*VLOOKUP(P$7,'RC Lookup'!$D$3:$E$18,2,FALSE)</f>
        <v>23.922990000000006</v>
      </c>
      <c r="Q8" s="26">
        <f>_xlfn.IFNA(IF(LEFT('Rock Climbing Log'!Q8)="C",_xlfn.IFNA(VLOOKUP('Rock Climbing Log'!Q8,'RC Lookup'!$A$3:$B$9,2,FALSE),0.5),VLOOKUP('Rock Climbing Log'!Q8,'RC Lookup'!$G$3:$H$5,2,FALSE)),0)*VLOOKUP(P$7,'RC Lookup'!$D$3:$E$18,2,FALSE)</f>
        <v>0</v>
      </c>
      <c r="R8" s="26">
        <f>_xlfn.IFNA(IF(LEFT('Rock Climbing Log'!R8)="C",_xlfn.IFNA(VLOOKUP('Rock Climbing Log'!R8,'RC Lookup'!$A$3:$B$9,2,FALSE),0.5),VLOOKUP('Rock Climbing Log'!R8,'RC Lookup'!$G$3:$H$5,2,FALSE)),0)*VLOOKUP(P$7,'RC Lookup'!$D$3:$E$18,2,FALSE)</f>
        <v>0</v>
      </c>
      <c r="S8" s="26">
        <f>_xlfn.IFNA(IF(LEFT('Rock Climbing Log'!S8)="C",_xlfn.IFNA(VLOOKUP('Rock Climbing Log'!S8,'RC Lookup'!$A$3:$B$9,2,FALSE),0.5),VLOOKUP('Rock Climbing Log'!S8,'RC Lookup'!$G$3:$H$5,2,FALSE)),0)*VLOOKUP(S$7,'RC Lookup'!$D$3:$E$18,2,FALSE)</f>
        <v>0</v>
      </c>
      <c r="T8" s="26">
        <f>_xlfn.IFNA(IF(LEFT('Rock Climbing Log'!T8)="C",_xlfn.IFNA(VLOOKUP('Rock Climbing Log'!T8,'RC Lookup'!$A$3:$B$9,2,FALSE),0.5),VLOOKUP('Rock Climbing Log'!T8,'RC Lookup'!$G$3:$H$5,2,FALSE)),0)*VLOOKUP(S$7,'RC Lookup'!$D$3:$E$18,2,FALSE)</f>
        <v>0</v>
      </c>
      <c r="U8" s="26">
        <f>_xlfn.IFNA(IF(LEFT('Rock Climbing Log'!U8)="C",_xlfn.IFNA(VLOOKUP('Rock Climbing Log'!U8,'RC Lookup'!$A$3:$B$9,2,FALSE),0.5),VLOOKUP('Rock Climbing Log'!U8,'RC Lookup'!$G$3:$H$5,2,FALSE)),0)*VLOOKUP(S$7,'RC Lookup'!$D$3:$E$18,2,FALSE)</f>
        <v>0</v>
      </c>
      <c r="V8" s="26">
        <f>_xlfn.IFNA(IF(LEFT('Rock Climbing Log'!V8)="C",_xlfn.IFNA(VLOOKUP('Rock Climbing Log'!V8,'RC Lookup'!$A$3:$B$9,2,FALSE),0.5),VLOOKUP('Rock Climbing Log'!V8,'RC Lookup'!$G$3:$H$5,2,FALSE)),0)*VLOOKUP(V$7,'RC Lookup'!$D$3:$E$18,2,FALSE)</f>
        <v>35.256745742400021</v>
      </c>
      <c r="W8" s="26">
        <f>_xlfn.IFNA(IF(LEFT('Rock Climbing Log'!W8)="C",_xlfn.IFNA(VLOOKUP('Rock Climbing Log'!W8,'RC Lookup'!$A$3:$B$9,2,FALSE),0.5),VLOOKUP('Rock Climbing Log'!W8,'RC Lookup'!$G$3:$H$5,2,FALSE)),0)*VLOOKUP(V$7,'RC Lookup'!$D$3:$E$18,2,FALSE)</f>
        <v>0</v>
      </c>
      <c r="X8" s="26">
        <f>_xlfn.IFNA(IF(LEFT('Rock Climbing Log'!X8)="C",_xlfn.IFNA(VLOOKUP('Rock Climbing Log'!X8,'RC Lookup'!$A$3:$B$9,2,FALSE),0.5),VLOOKUP('Rock Climbing Log'!X8,'RC Lookup'!$G$3:$H$5,2,FALSE)),0)*VLOOKUP(V$7,'RC Lookup'!$D$3:$E$18,2,FALSE)</f>
        <v>0</v>
      </c>
      <c r="Y8" s="26">
        <f>_xlfn.IFNA(IF(LEFT('Rock Climbing Log'!Y8)="C",_xlfn.IFNA(VLOOKUP('Rock Climbing Log'!Y8,'RC Lookup'!$A$3:$B$9,2,FALSE),0.5),VLOOKUP('Rock Climbing Log'!Y8,'RC Lookup'!$G$3:$H$5,2,FALSE)),0)*VLOOKUP(Y$7,'RC Lookup'!$D$3:$E$18,2,FALSE)</f>
        <v>0</v>
      </c>
      <c r="Z8" s="26">
        <f>_xlfn.IFNA(IF(LEFT('Rock Climbing Log'!Z8)="C",_xlfn.IFNA(VLOOKUP('Rock Climbing Log'!Z8,'RC Lookup'!$A$3:$B$9,2,FALSE),0.5),VLOOKUP('Rock Climbing Log'!Z8,'RC Lookup'!$G$3:$H$5,2,FALSE)),0)*VLOOKUP(Y$7,'RC Lookup'!$D$3:$E$18,2,FALSE)</f>
        <v>0</v>
      </c>
      <c r="AA8" s="26">
        <f>_xlfn.IFNA(IF(LEFT('Rock Climbing Log'!AA8)="C",_xlfn.IFNA(VLOOKUP('Rock Climbing Log'!AA8,'RC Lookup'!$A$3:$B$9,2,FALSE),0.5),VLOOKUP('Rock Climbing Log'!AA8,'RC Lookup'!$G$3:$H$5,2,FALSE)),0)*VLOOKUP(Y$7,'RC Lookup'!$D$3:$E$18,2,FALSE)</f>
        <v>0</v>
      </c>
      <c r="AB8" s="26">
        <f>_xlfn.IFNA(IF(LEFT('Rock Climbing Log'!AB8)="C",_xlfn.IFNA(VLOOKUP('Rock Climbing Log'!AB8,'RC Lookup'!$A$3:$B$9,2,FALSE),0.5),VLOOKUP('Rock Climbing Log'!AB8,'RC Lookup'!$G$3:$H$5,2,FALSE)),0)*VLOOKUP(AB$7,'RC Lookup'!$D$3:$E$18,2,FALSE)</f>
        <v>0</v>
      </c>
      <c r="AC8" s="26">
        <f>_xlfn.IFNA(IF(LEFT('Rock Climbing Log'!AC8)="C",_xlfn.IFNA(VLOOKUP('Rock Climbing Log'!AC8,'RC Lookup'!$A$3:$B$9,2,FALSE),0.5),VLOOKUP('Rock Climbing Log'!AC8,'RC Lookup'!$G$3:$H$5,2,FALSE)),0)*VLOOKUP(AB$7,'RC Lookup'!$D$3:$E$18,2,FALSE)</f>
        <v>0</v>
      </c>
      <c r="AD8" s="26">
        <f>_xlfn.IFNA(IF(LEFT('Rock Climbing Log'!AD8)="C",_xlfn.IFNA(VLOOKUP('Rock Climbing Log'!AD8,'RC Lookup'!$A$3:$B$9,2,FALSE),0.5),VLOOKUP('Rock Climbing Log'!AD8,'RC Lookup'!$G$3:$H$5,2,FALSE)),0)*VLOOKUP(AB$7,'RC Lookup'!$D$3:$E$18,2,FALSE)</f>
        <v>0</v>
      </c>
      <c r="AE8" s="26">
        <f>_xlfn.IFNA(IF(LEFT('Rock Climbing Log'!AE8)="C",_xlfn.IFNA(VLOOKUP('Rock Climbing Log'!AE8,'RC Lookup'!$A$3:$B$9,2,FALSE),0.5),VLOOKUP('Rock Climbing Log'!AE8,'RC Lookup'!$G$3:$H$5,2,FALSE)),0)*VLOOKUP(AE$7,'RC Lookup'!$D$3:$E$18,2,FALSE)</f>
        <v>0</v>
      </c>
      <c r="AF8" s="26">
        <f>_xlfn.IFNA(IF(LEFT('Rock Climbing Log'!AF8)="C",_xlfn.IFNA(VLOOKUP('Rock Climbing Log'!AF8,'RC Lookup'!$A$3:$B$9,2,FALSE),0.5),VLOOKUP('Rock Climbing Log'!AF8,'RC Lookup'!$G$3:$H$5,2,FALSE)),0)*VLOOKUP(AE$7,'RC Lookup'!$D$3:$E$18,2,FALSE)</f>
        <v>0</v>
      </c>
      <c r="AG8" s="26">
        <f>_xlfn.IFNA(IF(LEFT('Rock Climbing Log'!AG8)="C",_xlfn.IFNA(VLOOKUP('Rock Climbing Log'!AG8,'RC Lookup'!$A$3:$B$9,2,FALSE),0.5),VLOOKUP('Rock Climbing Log'!AG8,'RC Lookup'!$G$3:$H$5,2,FALSE)),0)*VLOOKUP(AE$7,'RC Lookup'!$D$3:$E$18,2,FALSE)</f>
        <v>0</v>
      </c>
      <c r="AH8" s="26">
        <f>_xlfn.IFNA(IF(LEFT('Rock Climbing Log'!AH8)="C",_xlfn.IFNA(VLOOKUP('Rock Climbing Log'!AH8,'RC Lookup'!$A$3:$B$9,2,FALSE),0.5),VLOOKUP('Rock Climbing Log'!AH8,'RC Lookup'!$G$3:$H$5,2,FALSE)),0)*VLOOKUP(AH$7,'RC Lookup'!$D$3:$E$18,2,FALSE)</f>
        <v>0</v>
      </c>
      <c r="AI8" s="26">
        <f>_xlfn.IFNA(IF(LEFT('Rock Climbing Log'!AI8)="C",_xlfn.IFNA(VLOOKUP('Rock Climbing Log'!AI8,'RC Lookup'!$A$3:$B$9,2,FALSE),0.5),VLOOKUP('Rock Climbing Log'!AI8,'RC Lookup'!$G$3:$H$5,2,FALSE)),0)*VLOOKUP(AH$7,'RC Lookup'!$D$3:$E$18,2,FALSE)</f>
        <v>0</v>
      </c>
      <c r="AJ8" s="26">
        <f>_xlfn.IFNA(IF(LEFT('Rock Climbing Log'!AJ8)="C",_xlfn.IFNA(VLOOKUP('Rock Climbing Log'!AJ8,'RC Lookup'!$A$3:$B$9,2,FALSE),0.5),VLOOKUP('Rock Climbing Log'!AJ8,'RC Lookup'!$G$3:$H$5,2,FALSE)),0)*VLOOKUP(AH$7,'RC Lookup'!$D$3:$E$18,2,FALSE)</f>
        <v>0</v>
      </c>
      <c r="AK8" s="26">
        <f>_xlfn.IFNA(IF(LEFT('Rock Climbing Log'!AK8)="C",_xlfn.IFNA(VLOOKUP('Rock Climbing Log'!AK8,'RC Lookup'!$A$3:$B$9,2,FALSE),0.5),VLOOKUP('Rock Climbing Log'!AK8,'RC Lookup'!$G$3:$H$5,2,FALSE)),0)*VLOOKUP(AK$7,'RC Lookup'!$D$3:$E$18,2,FALSE)</f>
        <v>0</v>
      </c>
      <c r="AL8" s="26">
        <f>_xlfn.IFNA(IF(LEFT('Rock Climbing Log'!AL8)="C",_xlfn.IFNA(VLOOKUP('Rock Climbing Log'!AL8,'RC Lookup'!$A$3:$B$9,2,FALSE),0.5),VLOOKUP('Rock Climbing Log'!AL8,'RC Lookup'!$G$3:$H$5,2,FALSE)),0)*VLOOKUP(AK$7,'RC Lookup'!$D$3:$E$18,2,FALSE)</f>
        <v>0</v>
      </c>
      <c r="AM8" s="26">
        <f>_xlfn.IFNA(IF(LEFT('Rock Climbing Log'!AM8)="C",_xlfn.IFNA(VLOOKUP('Rock Climbing Log'!AM8,'RC Lookup'!$A$3:$B$9,2,FALSE),0.5),VLOOKUP('Rock Climbing Log'!AM8,'RC Lookup'!$G$3:$H$5,2,FALSE)),0)*VLOOKUP(AK$7,'RC Lookup'!$D$3:$E$18,2,FALSE)</f>
        <v>0</v>
      </c>
      <c r="AN8" s="26">
        <f>_xlfn.IFNA(IF(LEFT('Rock Climbing Log'!AN8)="C",_xlfn.IFNA(VLOOKUP('Rock Climbing Log'!AN8,'RC Lookup'!$A$3:$B$9,2,FALSE),0.5),VLOOKUP('Rock Climbing Log'!AN8,'RC Lookup'!$G$3:$H$5,2,FALSE)),0)*VLOOKUP(AN$7,'RC Lookup'!$D$3:$E$18,2,FALSE)</f>
        <v>0</v>
      </c>
      <c r="AO8" s="26">
        <f>_xlfn.IFNA(IF(LEFT('Rock Climbing Log'!AO8)="C",_xlfn.IFNA(VLOOKUP('Rock Climbing Log'!AO8,'RC Lookup'!$A$3:$B$9,2,FALSE),0.5),VLOOKUP('Rock Climbing Log'!AO8,'RC Lookup'!$G$3:$H$5,2,FALSE)),0)*VLOOKUP(AN$7,'RC Lookup'!$D$3:$E$18,2,FALSE)</f>
        <v>0</v>
      </c>
      <c r="AP8" s="26">
        <f>_xlfn.IFNA(IF(LEFT('Rock Climbing Log'!AP8)="C",_xlfn.IFNA(VLOOKUP('Rock Climbing Log'!AP8,'RC Lookup'!$A$3:$B$9,2,FALSE),0.5),VLOOKUP('Rock Climbing Log'!AP8,'RC Lookup'!$G$3:$H$5,2,FALSE)),0)*VLOOKUP(AN$7,'RC Lookup'!$D$3:$E$18,2,FALSE)</f>
        <v>0</v>
      </c>
      <c r="AQ8" s="26">
        <f>_xlfn.IFNA(IF(LEFT('Rock Climbing Log'!AQ8)="C",_xlfn.IFNA(VLOOKUP('Rock Climbing Log'!AQ8,'RC Lookup'!$A$3:$B$9,2,FALSE),0.5),VLOOKUP('Rock Climbing Log'!AQ8,'RC Lookup'!$G$3:$H$5,2,FALSE)),0)*VLOOKUP(AQ$7,'RC Lookup'!$D$3:$E$18,2,FALSE)</f>
        <v>0</v>
      </c>
      <c r="AR8" s="26">
        <f>_xlfn.IFNA(IF(LEFT('Rock Climbing Log'!AR8)="C",_xlfn.IFNA(VLOOKUP('Rock Climbing Log'!AR8,'RC Lookup'!$A$3:$B$9,2,FALSE),0.5),VLOOKUP('Rock Climbing Log'!AR8,'RC Lookup'!$G$3:$H$5,2,FALSE)),0)*VLOOKUP(AQ$7,'RC Lookup'!$D$3:$E$18,2,FALSE)</f>
        <v>0</v>
      </c>
      <c r="AS8" s="26">
        <f>_xlfn.IFNA(IF(LEFT('Rock Climbing Log'!AS8)="C",_xlfn.IFNA(VLOOKUP('Rock Climbing Log'!AS8,'RC Lookup'!$A$3:$B$9,2,FALSE),0.5),VLOOKUP('Rock Climbing Log'!AS8,'RC Lookup'!$G$3:$H$5,2,FALSE)),0)*VLOOKUP(AQ$7,'RC Lookup'!$D$3:$E$18,2,FALSE)</f>
        <v>0</v>
      </c>
      <c r="AT8" s="26">
        <f>_xlfn.IFNA(IF(LEFT('Rock Climbing Log'!AT8)="C",_xlfn.IFNA(VLOOKUP('Rock Climbing Log'!AT8,'RC Lookup'!$A$3:$B$9,2,FALSE),0.5),VLOOKUP('Rock Climbing Log'!AT8,'RC Lookup'!$G$3:$H$5,2,FALSE)),0)*VLOOKUP(AT$7,'RC Lookup'!$D$3:$E$18,2,FALSE)</f>
        <v>0</v>
      </c>
      <c r="AU8" s="26">
        <f>_xlfn.IFNA(IF(LEFT('Rock Climbing Log'!AU8)="C",_xlfn.IFNA(VLOOKUP('Rock Climbing Log'!AU8,'RC Lookup'!$A$3:$B$9,2,FALSE),0.5),VLOOKUP('Rock Climbing Log'!AU8,'RC Lookup'!$G$3:$H$5,2,FALSE)),0)*VLOOKUP(AT$7,'RC Lookup'!$D$3:$E$18,2,FALSE)</f>
        <v>0</v>
      </c>
      <c r="AV8" s="26">
        <f>_xlfn.IFNA(IF(LEFT('Rock Climbing Log'!AV8)="C",_xlfn.IFNA(VLOOKUP('Rock Climbing Log'!AV8,'RC Lookup'!$A$3:$B$9,2,FALSE),0.5),VLOOKUP('Rock Climbing Log'!AV8,'RC Lookup'!$G$3:$H$5,2,FALSE)),0)*VLOOKUP(AT$7,'RC Lookup'!$D$3:$E$18,2,FALSE)</f>
        <v>0</v>
      </c>
      <c r="AW8" s="30">
        <f t="shared" ref="AW8:AW39" ca="1" si="0">SUMPRODUCT(LARGE($D8:$AV8,ROW(INDIRECT("1:3"))))</f>
        <v>79.182235742400024</v>
      </c>
      <c r="AX8" s="30">
        <f ca="1">_xlfn.IFNA(VLOOKUP(SUMPRODUCT(LARGE(($C$8:$C8=Table1[[#This Row],[Climber]])*$A$8:$A8,1)),$A$8:$AW8,MATCH($AW$7,$A$7:$AW$7,FALSE),FALSE),0)/LEFT($AX$7,FIND(" ",$AX$7))+_xlfn.IFNA(VLOOKUP(SUMPRODUCT(LARGE(($C$8:$C8=Table1[[#This Row],[Climber]])*$A$8:$A8,MIN(2,COUNTIFS($C$8:$C8,$C8)))),$A$8:$AW8,MATCH($AW$7,$A$7:$AW$7,FALSE),FALSE),0)/LEFT($AX$7,FIND(" ",$AX$7))+_xlfn.IFNA(VLOOKUP(SUMPRODUCT(LARGE(($C$8:$C8=Table1[[#This Row],[Climber]])*$A$8:$A8,MIN(3,COUNTIFS($C$8:$C8,$C8)))),$A$8:$AW8,MATCH($AW$7,$A$7:$AW$7,FALSE),FALSE),0)/LEFT($AX$7,FIND(" ",$AX$7))</f>
        <v>79.182235742400024</v>
      </c>
      <c r="AY8" s="30">
        <f ca="1">_xlfn.IFNA(VLOOKUP(SUMPRODUCT(LARGE(($C$8:$C8=Table1[[#This Row],[Climber]])*$A$8:$A8,1)),$A$8:$AW8,MATCH($AW$7,$A$7:$AW$7,FALSE),FALSE),0)/LEFT($AY$7,FIND(" ",$AY$7))+_xlfn.IFNA(VLOOKUP(SUMPRODUCT(LARGE(($C$8:$C8=Table1[[#This Row],[Climber]])*$A$8:$A8,MIN(2,COUNTIFS($C$8:$C8,$C8)))),$A$8:$AW8,MATCH($AW$7,$A$7:$AW$7,FALSE),FALSE),0)/LEFT($AY$7,FIND(" ",$AY$7))+_xlfn.IFNA(VLOOKUP(SUMPRODUCT(LARGE(($C$8:$C8=Table1[[#This Row],[Climber]])*$A$8:$A8,MIN(3,COUNTIFS($C$8:$C8,$C8)))),$A$8:$AW8,MATCH($AW$7,$A$7:$AW$7,FALSE),FALSE),0)/LEFT($AY$7,FIND(" ",$AY$7))+_xlfn.IFNA(VLOOKUP(SUMPRODUCT(LARGE(($C$8:$C8=Table1[[#This Row],[Climber]])*$A$8:$A8,MIN(4,COUNTIFS($C$8:$C8,$C8)))),$A$8:$AW8,MATCH($AW$7,$A$7:$AW$7,FALSE),FALSE),0)/LEFT($AY$7,FIND(" ",$AY$7))+_xlfn.IFNA(VLOOKUP(SUMPRODUCT(LARGE(($C$8:$C8=Table1[[#This Row],[Climber]])*$A$8:$A8,MIN(5,COUNTIFS($C$8:$C8,$C8)))),$A$8:$AW8,MATCH($AW$7,$A$7:$AW$7,FALSE),FALSE),0)/LEFT($AY$7,FIND(" ",$AY$7))</f>
        <v>79.182235742400024</v>
      </c>
      <c r="AZ8" s="30" t="e">
        <f>(_xlfn.IFNA(VLOOKUP(SUMPRODUCT(LARGE(($C$8:$C8=Table1[[#This Row],[Climber]])*$A$8:$A8,4)),$A$8:$AW8,MATCH($AW$7,$A$7:$AW$7,FALSE),FALSE),0)+_xlfn.IFNA(VLOOKUP(SUMPRODUCT(LARGE(($C$8:$C8=Table1[[#This Row],[Climber]])*$A$8:$A8,5)),$A$8:$AW8,MATCH($AW$7,$A$7:$AW$7,FALSE),FALSE),0)+_xlfn.IFNA(VLOOKUP(SUMPRODUCT(LARGE(($C$8:$C8=Table1[[#This Row],[Climber]])*$A$8:$A8,6)),$A$8:$AW8,MATCH($AW$7,$A$7:$AW$7,FALSE),FALSE),0))/3</f>
        <v>#NUM!</v>
      </c>
      <c r="BA8" s="6" t="e">
        <f ca="1">_xlfn.MAXIFS(INDIRECT("$AW"&amp;IF(SUMPRODUCT(LARGE(($C$8:$C8=$C8)*$A$8:$A8,LEFT($BA$7,FIND(" ",$BA$7)-1)))=0,8,SUMPRODUCT(LARGE(($C$8:$C8=$C8)*$A$8:$A8,LEFT($BA$7,FIND(" ",$BA$7)-1)))+7)&amp;":$AW"&amp;ROW()),INDIRECT("$C"&amp;IF(SUMPRODUCT(LARGE(($C$8:$C8=$C8)*$A$8:$A8,LEFT($BA$7,FIND(" ",$BA$7)-1)))=0,8,SUMPRODUCT(LARGE(($C$8:$C8=$C8)*$A$8:$A8,LEFT($BA$7,FIND(" ",$BA$7)-1)))+7)&amp;":$C"&amp;ROW()),$C8)</f>
        <v>#NUM!</v>
      </c>
      <c r="BB8" s="6" t="str">
        <f ca="1">VLOOKUP(MAX(BG8,$AX8),'RC Lookup'!$G$14:$J$20,2,TRUE)</f>
        <v>T2</v>
      </c>
      <c r="BC8" s="6">
        <f ca="1">_xlfn.IFNA(VLOOKUP(VLOOKUP($C8,'RC Lookup'!$O$3:$P$50,2,FALSE),'RC Lookup'!$H$14:$J$23,2,FALSE),0)*AW8</f>
        <v>23.961518168164748</v>
      </c>
      <c r="BD8" s="6">
        <f ca="1">_xlfn.IFNA(VLOOKUP(SUMPRODUCT(LARGE(($C$8:$C8=Table1[[#This Row],[Climber]])*$A$8:$A8,1)),$A$8:$BC8,55,FALSE),0)/LEFT($AX$7,FIND(" ",$AX$7))+_xlfn.IFNA(VLOOKUP(SUMPRODUCT(LARGE(($C$8:$C8=Table1[[#This Row],[Climber]])*$A$8:$A8,MIN(2,COUNTIFS($C$8:$C8,$C8)))),$A$8:$BC8,55,FALSE),0)/LEFT($AX$7,FIND(" ",$AX$7))+_xlfn.IFNA(VLOOKUP(SUMPRODUCT(LARGE(($C$8:$C8=Table1[[#This Row],[Climber]])*$A$8:$A8,MIN(3,COUNTIFS($C$8:$C8,$C8)))),$A$8:$BC8,55,FALSE),0)/LEFT($AX$7,FIND(" ",$AX$7))</f>
        <v>23.961518168164748</v>
      </c>
      <c r="BE8" s="6" t="e">
        <f>(_xlfn.IFNA(VLOOKUP(SUMPRODUCT(LARGE(($C$8:$C8=Table1[[#This Row],[Climber]])*$A$8:$A8,4)),$A$8:$BD8,55,FALSE),0)+_xlfn.IFNA(VLOOKUP(SUMPRODUCT(LARGE(($C$8:$C8=Table1[[#This Row],[Climber]])*$A$8:$A8,5)),$A$8:$BD8,55,FALSE),0)+_xlfn.IFNA(VLOOKUP(SUMPRODUCT(LARGE(($C$8:$C8=Table1[[#This Row],[Climber]])*$A$8:$A8,6)),$A$8:$BD8,55,FALSE),0))/3</f>
        <v>#NUM!</v>
      </c>
      <c r="BF8" s="46" t="e">
        <f ca="1">_xlfn.MAXIFS(INDIRECT("$BC"&amp;IF(SUMPRODUCT(LARGE(($C$8:$C8=$C8)*$A$8:$A8,LEFT($BA$7,FIND(" ",$BA$7)-1)))=0,8,SUMPRODUCT(LARGE(($C$8:$C8=$C8)*$A$8:$A8,LEFT($BA$7,FIND(" ",$BA$7)-1)))+7)&amp;":$BC"&amp;ROW()),INDIRECT("$C"&amp;IF(SUMPRODUCT(LARGE(($C$8:$C8=$C8)*$A$8:$A8,LEFT($BA$7,FIND(" ",$BA$7)-1)))=0,8,SUMPRODUCT(LARGE(($C$8:$C8=$C8)*$A$8:$A8,LEFT($BA$7,FIND(" ",$BA$7)-1)))+7)&amp;":$C"&amp;ROW()),$C8)</f>
        <v>#NUM!</v>
      </c>
      <c r="BG8" s="46">
        <f t="array" aca="1" ref="BG8" ca="1">IFERROR(SUMPRODUCT(LARGE(($C$8:$C8=Table1[[#This Row],[Climber]])*$AW$8:$AW8,ROW(INDIRECT("1:5")))),AW8)/MIN(COUNTIFS($C$8:$C8,C8),5)</f>
        <v>79.182235742400024</v>
      </c>
      <c r="BH8" s="46"/>
    </row>
    <row r="9" spans="1:60" x14ac:dyDescent="0.3">
      <c r="A9" s="125">
        <f>+A8+1</f>
        <v>2</v>
      </c>
      <c r="B9" s="25">
        <f>'Rock Climbing Log'!B9</f>
        <v>43106</v>
      </c>
      <c r="C9" s="126" t="str">
        <f>'Rock Climbing Log'!C9</f>
        <v>Jan</v>
      </c>
      <c r="D9" s="26">
        <f>_xlfn.IFNA(IF(LEFT('Rock Climbing Log'!D9)="C",_xlfn.IFNA(VLOOKUP('Rock Climbing Log'!D9,'RC Lookup'!$A$3:$B$9,2,FALSE),0.5),VLOOKUP('Rock Climbing Log'!D9,'RC Lookup'!$G$3:$H$5,2,FALSE)),0)*VLOOKUP(D$7,'RC Lookup'!$D$3:$E$18,2,FALSE)</f>
        <v>10</v>
      </c>
      <c r="E9" s="26">
        <f>_xlfn.IFNA(IF(LEFT('Rock Climbing Log'!E9)="C",_xlfn.IFNA(VLOOKUP('Rock Climbing Log'!E9,'RC Lookup'!$A$3:$B$9,2,FALSE),0.5),VLOOKUP('Rock Climbing Log'!E9,'RC Lookup'!$G$3:$H$5,2,FALSE)),0)*VLOOKUP(D$7,'RC Lookup'!$D$3:$E$18,2,FALSE)</f>
        <v>0</v>
      </c>
      <c r="F9" s="26">
        <f>_xlfn.IFNA(IF(LEFT('Rock Climbing Log'!F9)="C",_xlfn.IFNA(VLOOKUP('Rock Climbing Log'!F9,'RC Lookup'!$A$3:$B$9,2,FALSE),0.5),VLOOKUP('Rock Climbing Log'!F9,'RC Lookup'!$G$3:$H$5,2,FALSE)),0)*VLOOKUP(D$7,'RC Lookup'!$D$3:$E$18,2,FALSE)</f>
        <v>0</v>
      </c>
      <c r="G9" s="26">
        <f>_xlfn.IFNA(IF(LEFT('Rock Climbing Log'!G9)="C",_xlfn.IFNA(VLOOKUP('Rock Climbing Log'!G9,'RC Lookup'!$A$3:$B$9,2,FALSE),0.5),VLOOKUP('Rock Climbing Log'!G9,'RC Lookup'!$G$3:$H$5,2,FALSE)),0)*VLOOKUP(G$7,'RC Lookup'!$D$3:$E$18,2,FALSE)</f>
        <v>12.5</v>
      </c>
      <c r="H9" s="26">
        <f>_xlfn.IFNA(IF(LEFT('Rock Climbing Log'!H9)="C",_xlfn.IFNA(VLOOKUP('Rock Climbing Log'!H9,'RC Lookup'!$A$3:$B$9,2,FALSE),0.5),VLOOKUP('Rock Climbing Log'!H9,'RC Lookup'!$G$3:$H$5,2,FALSE)),0)*VLOOKUP(G$7,'RC Lookup'!$D$3:$E$18,2,FALSE)</f>
        <v>0</v>
      </c>
      <c r="I9" s="26">
        <f>_xlfn.IFNA(IF(LEFT('Rock Climbing Log'!I9)="C",_xlfn.IFNA(VLOOKUP('Rock Climbing Log'!I9,'RC Lookup'!$A$3:$B$9,2,FALSE),0.5),VLOOKUP('Rock Climbing Log'!I9,'RC Lookup'!$G$3:$H$5,2,FALSE)),0)*VLOOKUP(G$7,'RC Lookup'!$D$3:$E$18,2,FALSE)</f>
        <v>0</v>
      </c>
      <c r="J9" s="26">
        <f>_xlfn.IFNA(IF(LEFT('Rock Climbing Log'!J9)="C",_xlfn.IFNA(VLOOKUP('Rock Climbing Log'!J9,'RC Lookup'!$A$3:$B$9,2,FALSE),0.5),VLOOKUP('Rock Climbing Log'!J9,'RC Lookup'!$G$3:$H$5,2,FALSE)),0)*VLOOKUP(J$7,'RC Lookup'!$D$3:$E$18,2,FALSE)</f>
        <v>12.7575</v>
      </c>
      <c r="K9" s="26">
        <f>_xlfn.IFNA(IF(LEFT('Rock Climbing Log'!K9)="C",_xlfn.IFNA(VLOOKUP('Rock Climbing Log'!K9,'RC Lookup'!$A$3:$B$9,2,FALSE),0.5),VLOOKUP('Rock Climbing Log'!K9,'RC Lookup'!$G$3:$H$5,2,FALSE)),0)*VLOOKUP(J$7,'RC Lookup'!$D$3:$E$18,2,FALSE)</f>
        <v>0</v>
      </c>
      <c r="L9" s="26">
        <f>_xlfn.IFNA(IF(LEFT('Rock Climbing Log'!L9)="C",_xlfn.IFNA(VLOOKUP('Rock Climbing Log'!L9,'RC Lookup'!$A$3:$B$9,2,FALSE),0.5),VLOOKUP('Rock Climbing Log'!L9,'RC Lookup'!$G$3:$H$5,2,FALSE)),0)*VLOOKUP(J$7,'RC Lookup'!$D$3:$E$18,2,FALSE)</f>
        <v>0</v>
      </c>
      <c r="M9" s="26">
        <f>_xlfn.IFNA(IF(LEFT('Rock Climbing Log'!M9)="C",_xlfn.IFNA(VLOOKUP('Rock Climbing Log'!M9,'RC Lookup'!$A$3:$B$9,2,FALSE),0.5),VLOOKUP('Rock Climbing Log'!M9,'RC Lookup'!$G$3:$H$5,2,FALSE)),0)*VLOOKUP(M$7,'RC Lookup'!$D$3:$E$18,2,FALSE)</f>
        <v>0</v>
      </c>
      <c r="N9" s="26">
        <f>_xlfn.IFNA(IF(LEFT('Rock Climbing Log'!N9)="C",_xlfn.IFNA(VLOOKUP('Rock Climbing Log'!N9,'RC Lookup'!$A$3:$B$9,2,FALSE),0.5),VLOOKUP('Rock Climbing Log'!N9,'RC Lookup'!$G$3:$H$5,2,FALSE)),0)*VLOOKUP(M$7,'RC Lookup'!$D$3:$E$18,2,FALSE)</f>
        <v>0</v>
      </c>
      <c r="O9" s="26">
        <f>_xlfn.IFNA(IF(LEFT('Rock Climbing Log'!O9)="C",_xlfn.IFNA(VLOOKUP('Rock Climbing Log'!O9,'RC Lookup'!$A$3:$B$9,2,FALSE),0.5),VLOOKUP('Rock Climbing Log'!O9,'RC Lookup'!$G$3:$H$5,2,FALSE)),0)*VLOOKUP(M$7,'RC Lookup'!$D$3:$E$18,2,FALSE)</f>
        <v>0</v>
      </c>
      <c r="P9" s="26">
        <f>_xlfn.IFNA(IF(LEFT('Rock Climbing Log'!P9)="C",_xlfn.IFNA(VLOOKUP('Rock Climbing Log'!P9,'RC Lookup'!$A$3:$B$9,2,FALSE),0.5),VLOOKUP('Rock Climbing Log'!P9,'RC Lookup'!$G$3:$H$5,2,FALSE)),0)*VLOOKUP(P$7,'RC Lookup'!$D$3:$E$18,2,FALSE)</f>
        <v>0</v>
      </c>
      <c r="Q9" s="26">
        <f>_xlfn.IFNA(IF(LEFT('Rock Climbing Log'!Q9)="C",_xlfn.IFNA(VLOOKUP('Rock Climbing Log'!Q9,'RC Lookup'!$A$3:$B$9,2,FALSE),0.5),VLOOKUP('Rock Climbing Log'!Q9,'RC Lookup'!$G$3:$H$5,2,FALSE)),0)*VLOOKUP(P$7,'RC Lookup'!$D$3:$E$18,2,FALSE)</f>
        <v>0</v>
      </c>
      <c r="R9" s="26">
        <f>_xlfn.IFNA(IF(LEFT('Rock Climbing Log'!R9)="C",_xlfn.IFNA(VLOOKUP('Rock Climbing Log'!R9,'RC Lookup'!$A$3:$B$9,2,FALSE),0.5),VLOOKUP('Rock Climbing Log'!R9,'RC Lookup'!$G$3:$H$5,2,FALSE)),0)*VLOOKUP(P$7,'RC Lookup'!$D$3:$E$18,2,FALSE)</f>
        <v>0</v>
      </c>
      <c r="S9" s="26">
        <f>_xlfn.IFNA(IF(LEFT('Rock Climbing Log'!S9)="C",_xlfn.IFNA(VLOOKUP('Rock Climbing Log'!S9,'RC Lookup'!$A$3:$B$9,2,FALSE),0.5),VLOOKUP('Rock Climbing Log'!S9,'RC Lookup'!$G$3:$H$5,2,FALSE)),0)*VLOOKUP(S$7,'RC Lookup'!$D$3:$E$18,2,FALSE)</f>
        <v>0</v>
      </c>
      <c r="T9" s="26">
        <f>_xlfn.IFNA(IF(LEFT('Rock Climbing Log'!T9)="C",_xlfn.IFNA(VLOOKUP('Rock Climbing Log'!T9,'RC Lookup'!$A$3:$B$9,2,FALSE),0.5),VLOOKUP('Rock Climbing Log'!T9,'RC Lookup'!$G$3:$H$5,2,FALSE)),0)*VLOOKUP(S$7,'RC Lookup'!$D$3:$E$18,2,FALSE)</f>
        <v>0</v>
      </c>
      <c r="U9" s="26">
        <f>_xlfn.IFNA(IF(LEFT('Rock Climbing Log'!U9)="C",_xlfn.IFNA(VLOOKUP('Rock Climbing Log'!U9,'RC Lookup'!$A$3:$B$9,2,FALSE),0.5),VLOOKUP('Rock Climbing Log'!U9,'RC Lookup'!$G$3:$H$5,2,FALSE)),0)*VLOOKUP(S$7,'RC Lookup'!$D$3:$E$18,2,FALSE)</f>
        <v>0</v>
      </c>
      <c r="V9" s="26">
        <f>_xlfn.IFNA(IF(LEFT('Rock Climbing Log'!V9)="C",_xlfn.IFNA(VLOOKUP('Rock Climbing Log'!V9,'RC Lookup'!$A$3:$B$9,2,FALSE),0.5),VLOOKUP('Rock Climbing Log'!V9,'RC Lookup'!$G$3:$H$5,2,FALSE)),0)*VLOOKUP(V$7,'RC Lookup'!$D$3:$E$18,2,FALSE)</f>
        <v>0</v>
      </c>
      <c r="W9" s="26">
        <f>_xlfn.IFNA(IF(LEFT('Rock Climbing Log'!W9)="C",_xlfn.IFNA(VLOOKUP('Rock Climbing Log'!W9,'RC Lookup'!$A$3:$B$9,2,FALSE),0.5),VLOOKUP('Rock Climbing Log'!W9,'RC Lookup'!$G$3:$H$5,2,FALSE)),0)*VLOOKUP(V$7,'RC Lookup'!$D$3:$E$18,2,FALSE)</f>
        <v>0</v>
      </c>
      <c r="X9" s="26">
        <f>_xlfn.IFNA(IF(LEFT('Rock Climbing Log'!X9)="C",_xlfn.IFNA(VLOOKUP('Rock Climbing Log'!X9,'RC Lookup'!$A$3:$B$9,2,FALSE),0.5),VLOOKUP('Rock Climbing Log'!X9,'RC Lookup'!$G$3:$H$5,2,FALSE)),0)*VLOOKUP(V$7,'RC Lookup'!$D$3:$E$18,2,FALSE)</f>
        <v>0</v>
      </c>
      <c r="Y9" s="26">
        <f>_xlfn.IFNA(IF(LEFT('Rock Climbing Log'!Y9)="C",_xlfn.IFNA(VLOOKUP('Rock Climbing Log'!Y9,'RC Lookup'!$A$3:$B$9,2,FALSE),0.5),VLOOKUP('Rock Climbing Log'!Y9,'RC Lookup'!$G$3:$H$5,2,FALSE)),0)*VLOOKUP(Y$7,'RC Lookup'!$D$3:$E$18,2,FALSE)</f>
        <v>0</v>
      </c>
      <c r="Z9" s="26">
        <f>_xlfn.IFNA(IF(LEFT('Rock Climbing Log'!Z9)="C",_xlfn.IFNA(VLOOKUP('Rock Climbing Log'!Z9,'RC Lookup'!$A$3:$B$9,2,FALSE),0.5),VLOOKUP('Rock Climbing Log'!Z9,'RC Lookup'!$G$3:$H$5,2,FALSE)),0)*VLOOKUP(Y$7,'RC Lookup'!$D$3:$E$18,2,FALSE)</f>
        <v>0</v>
      </c>
      <c r="AA9" s="26">
        <f>_xlfn.IFNA(IF(LEFT('Rock Climbing Log'!AA9)="C",_xlfn.IFNA(VLOOKUP('Rock Climbing Log'!AA9,'RC Lookup'!$A$3:$B$9,2,FALSE),0.5),VLOOKUP('Rock Climbing Log'!AA9,'RC Lookup'!$G$3:$H$5,2,FALSE)),0)*VLOOKUP(Y$7,'RC Lookup'!$D$3:$E$18,2,FALSE)</f>
        <v>0</v>
      </c>
      <c r="AB9" s="26">
        <f>_xlfn.IFNA(IF(LEFT('Rock Climbing Log'!AB9)="C",_xlfn.IFNA(VLOOKUP('Rock Climbing Log'!AB9,'RC Lookup'!$A$3:$B$9,2,FALSE),0.5),VLOOKUP('Rock Climbing Log'!AB9,'RC Lookup'!$G$3:$H$5,2,FALSE)),0)*VLOOKUP(AB$7,'RC Lookup'!$D$3:$E$18,2,FALSE)</f>
        <v>0</v>
      </c>
      <c r="AC9" s="26">
        <f>_xlfn.IFNA(IF(LEFT('Rock Climbing Log'!AC9)="C",_xlfn.IFNA(VLOOKUP('Rock Climbing Log'!AC9,'RC Lookup'!$A$3:$B$9,2,FALSE),0.5),VLOOKUP('Rock Climbing Log'!AC9,'RC Lookup'!$G$3:$H$5,2,FALSE)),0)*VLOOKUP(AB$7,'RC Lookup'!$D$3:$E$18,2,FALSE)</f>
        <v>0</v>
      </c>
      <c r="AD9" s="26">
        <f>_xlfn.IFNA(IF(LEFT('Rock Climbing Log'!AD9)="C",_xlfn.IFNA(VLOOKUP('Rock Climbing Log'!AD9,'RC Lookup'!$A$3:$B$9,2,FALSE),0.5),VLOOKUP('Rock Climbing Log'!AD9,'RC Lookup'!$G$3:$H$5,2,FALSE)),0)*VLOOKUP(AB$7,'RC Lookup'!$D$3:$E$18,2,FALSE)</f>
        <v>0</v>
      </c>
      <c r="AE9" s="26">
        <f>_xlfn.IFNA(IF(LEFT('Rock Climbing Log'!AE9)="C",_xlfn.IFNA(VLOOKUP('Rock Climbing Log'!AE9,'RC Lookup'!$A$3:$B$9,2,FALSE),0.5),VLOOKUP('Rock Climbing Log'!AE9,'RC Lookup'!$G$3:$H$5,2,FALSE)),0)*VLOOKUP(AE$7,'RC Lookup'!$D$3:$E$18,2,FALSE)</f>
        <v>0</v>
      </c>
      <c r="AF9" s="26">
        <f>_xlfn.IFNA(IF(LEFT('Rock Climbing Log'!AF9)="C",_xlfn.IFNA(VLOOKUP('Rock Climbing Log'!AF9,'RC Lookup'!$A$3:$B$9,2,FALSE),0.5),VLOOKUP('Rock Climbing Log'!AF9,'RC Lookup'!$G$3:$H$5,2,FALSE)),0)*VLOOKUP(AE$7,'RC Lookup'!$D$3:$E$18,2,FALSE)</f>
        <v>0</v>
      </c>
      <c r="AG9" s="26">
        <f>_xlfn.IFNA(IF(LEFT('Rock Climbing Log'!AG9)="C",_xlfn.IFNA(VLOOKUP('Rock Climbing Log'!AG9,'RC Lookup'!$A$3:$B$9,2,FALSE),0.5),VLOOKUP('Rock Climbing Log'!AG9,'RC Lookup'!$G$3:$H$5,2,FALSE)),0)*VLOOKUP(AE$7,'RC Lookup'!$D$3:$E$18,2,FALSE)</f>
        <v>0</v>
      </c>
      <c r="AH9" s="26">
        <f>_xlfn.IFNA(IF(LEFT('Rock Climbing Log'!AH9)="C",_xlfn.IFNA(VLOOKUP('Rock Climbing Log'!AH9,'RC Lookup'!$A$3:$B$9,2,FALSE),0.5),VLOOKUP('Rock Climbing Log'!AH9,'RC Lookup'!$G$3:$H$5,2,FALSE)),0)*VLOOKUP(AH$7,'RC Lookup'!$D$3:$E$18,2,FALSE)</f>
        <v>0</v>
      </c>
      <c r="AI9" s="26">
        <f>_xlfn.IFNA(IF(LEFT('Rock Climbing Log'!AI9)="C",_xlfn.IFNA(VLOOKUP('Rock Climbing Log'!AI9,'RC Lookup'!$A$3:$B$9,2,FALSE),0.5),VLOOKUP('Rock Climbing Log'!AI9,'RC Lookup'!$G$3:$H$5,2,FALSE)),0)*VLOOKUP(AH$7,'RC Lookup'!$D$3:$E$18,2,FALSE)</f>
        <v>0</v>
      </c>
      <c r="AJ9" s="26">
        <f>_xlfn.IFNA(IF(LEFT('Rock Climbing Log'!AJ9)="C",_xlfn.IFNA(VLOOKUP('Rock Climbing Log'!AJ9,'RC Lookup'!$A$3:$B$9,2,FALSE),0.5),VLOOKUP('Rock Climbing Log'!AJ9,'RC Lookup'!$G$3:$H$5,2,FALSE)),0)*VLOOKUP(AH$7,'RC Lookup'!$D$3:$E$18,2,FALSE)</f>
        <v>0</v>
      </c>
      <c r="AK9" s="26">
        <f>_xlfn.IFNA(IF(LEFT('Rock Climbing Log'!AK9)="C",_xlfn.IFNA(VLOOKUP('Rock Climbing Log'!AK9,'RC Lookup'!$A$3:$B$9,2,FALSE),0.5),VLOOKUP('Rock Climbing Log'!AK9,'RC Lookup'!$G$3:$H$5,2,FALSE)),0)*VLOOKUP(AK$7,'RC Lookup'!$D$3:$E$18,2,FALSE)</f>
        <v>0</v>
      </c>
      <c r="AL9" s="26">
        <f>_xlfn.IFNA(IF(LEFT('Rock Climbing Log'!AL9)="C",_xlfn.IFNA(VLOOKUP('Rock Climbing Log'!AL9,'RC Lookup'!$A$3:$B$9,2,FALSE),0.5),VLOOKUP('Rock Climbing Log'!AL9,'RC Lookup'!$G$3:$H$5,2,FALSE)),0)*VLOOKUP(AK$7,'RC Lookup'!$D$3:$E$18,2,FALSE)</f>
        <v>0</v>
      </c>
      <c r="AM9" s="26">
        <f>_xlfn.IFNA(IF(LEFT('Rock Climbing Log'!AM9)="C",_xlfn.IFNA(VLOOKUP('Rock Climbing Log'!AM9,'RC Lookup'!$A$3:$B$9,2,FALSE),0.5),VLOOKUP('Rock Climbing Log'!AM9,'RC Lookup'!$G$3:$H$5,2,FALSE)),0)*VLOOKUP(AK$7,'RC Lookup'!$D$3:$E$18,2,FALSE)</f>
        <v>0</v>
      </c>
      <c r="AN9" s="26">
        <f>_xlfn.IFNA(IF(LEFT('Rock Climbing Log'!AN9)="C",_xlfn.IFNA(VLOOKUP('Rock Climbing Log'!AN9,'RC Lookup'!$A$3:$B$9,2,FALSE),0.5),VLOOKUP('Rock Climbing Log'!AN9,'RC Lookup'!$G$3:$H$5,2,FALSE)),0)*VLOOKUP(AN$7,'RC Lookup'!$D$3:$E$18,2,FALSE)</f>
        <v>0</v>
      </c>
      <c r="AO9" s="26">
        <f>_xlfn.IFNA(IF(LEFT('Rock Climbing Log'!AO9)="C",_xlfn.IFNA(VLOOKUP('Rock Climbing Log'!AO9,'RC Lookup'!$A$3:$B$9,2,FALSE),0.5),VLOOKUP('Rock Climbing Log'!AO9,'RC Lookup'!$G$3:$H$5,2,FALSE)),0)*VLOOKUP(AN$7,'RC Lookup'!$D$3:$E$18,2,FALSE)</f>
        <v>0</v>
      </c>
      <c r="AP9" s="26">
        <f>_xlfn.IFNA(IF(LEFT('Rock Climbing Log'!AP9)="C",_xlfn.IFNA(VLOOKUP('Rock Climbing Log'!AP9,'RC Lookup'!$A$3:$B$9,2,FALSE),0.5),VLOOKUP('Rock Climbing Log'!AP9,'RC Lookup'!$G$3:$H$5,2,FALSE)),0)*VLOOKUP(AN$7,'RC Lookup'!$D$3:$E$18,2,FALSE)</f>
        <v>0</v>
      </c>
      <c r="AQ9" s="26">
        <f>_xlfn.IFNA(IF(LEFT('Rock Climbing Log'!AQ9)="C",_xlfn.IFNA(VLOOKUP('Rock Climbing Log'!AQ9,'RC Lookup'!$A$3:$B$9,2,FALSE),0.5),VLOOKUP('Rock Climbing Log'!AQ9,'RC Lookup'!$G$3:$H$5,2,FALSE)),0)*VLOOKUP(AQ$7,'RC Lookup'!$D$3:$E$18,2,FALSE)</f>
        <v>0</v>
      </c>
      <c r="AR9" s="26">
        <f>_xlfn.IFNA(IF(LEFT('Rock Climbing Log'!AR9)="C",_xlfn.IFNA(VLOOKUP('Rock Climbing Log'!AR9,'RC Lookup'!$A$3:$B$9,2,FALSE),0.5),VLOOKUP('Rock Climbing Log'!AR9,'RC Lookup'!$G$3:$H$5,2,FALSE)),0)*VLOOKUP(AQ$7,'RC Lookup'!$D$3:$E$18,2,FALSE)</f>
        <v>0</v>
      </c>
      <c r="AS9" s="26">
        <f>_xlfn.IFNA(IF(LEFT('Rock Climbing Log'!AS9)="C",_xlfn.IFNA(VLOOKUP('Rock Climbing Log'!AS9,'RC Lookup'!$A$3:$B$9,2,FALSE),0.5),VLOOKUP('Rock Climbing Log'!AS9,'RC Lookup'!$G$3:$H$5,2,FALSE)),0)*VLOOKUP(AQ$7,'RC Lookup'!$D$3:$E$18,2,FALSE)</f>
        <v>0</v>
      </c>
      <c r="AT9" s="26">
        <f>_xlfn.IFNA(IF(LEFT('Rock Climbing Log'!AT9)="C",_xlfn.IFNA(VLOOKUP('Rock Climbing Log'!AT9,'RC Lookup'!$A$3:$B$9,2,FALSE),0.5),VLOOKUP('Rock Climbing Log'!AT9,'RC Lookup'!$G$3:$H$5,2,FALSE)),0)*VLOOKUP(AT$7,'RC Lookup'!$D$3:$E$18,2,FALSE)</f>
        <v>0</v>
      </c>
      <c r="AU9" s="26">
        <f>_xlfn.IFNA(IF(LEFT('Rock Climbing Log'!AU9)="C",_xlfn.IFNA(VLOOKUP('Rock Climbing Log'!AU9,'RC Lookup'!$A$3:$B$9,2,FALSE),0.5),VLOOKUP('Rock Climbing Log'!AU9,'RC Lookup'!$G$3:$H$5,2,FALSE)),0)*VLOOKUP(AT$7,'RC Lookup'!$D$3:$E$18,2,FALSE)</f>
        <v>0</v>
      </c>
      <c r="AV9" s="26">
        <f>_xlfn.IFNA(IF(LEFT('Rock Climbing Log'!AV9)="C",_xlfn.IFNA(VLOOKUP('Rock Climbing Log'!AV9,'RC Lookup'!$A$3:$B$9,2,FALSE),0.5),VLOOKUP('Rock Climbing Log'!AV9,'RC Lookup'!$G$3:$H$5,2,FALSE)),0)*VLOOKUP(AT$7,'RC Lookup'!$D$3:$E$18,2,FALSE)</f>
        <v>0</v>
      </c>
      <c r="AW9" s="30">
        <f t="shared" ca="1" si="0"/>
        <v>35.2575</v>
      </c>
      <c r="AX9" s="30">
        <f ca="1">_xlfn.IFNA(VLOOKUP(SUMPRODUCT(LARGE(($C$8:$C9=Table1[[#This Row],[Climber]])*$A$8:$A9,1)),$A$8:$AW9,MATCH($AW$7,$A$7:$AW$7,FALSE),FALSE),0)/LEFT($AX$7,FIND(" ",$AX$7))+_xlfn.IFNA(VLOOKUP(SUMPRODUCT(LARGE(($C$8:$C9=Table1[[#This Row],[Climber]])*$A$8:$A9,MIN(2,COUNTIFS($C$8:$C9,$C9)))),$A$8:$AW9,MATCH($AW$7,$A$7:$AW$7,FALSE),FALSE),0)/LEFT($AX$7,FIND(" ",$AX$7))+_xlfn.IFNA(VLOOKUP(SUMPRODUCT(LARGE(($C$8:$C9=Table1[[#This Row],[Climber]])*$A$8:$A9,MIN(3,COUNTIFS($C$8:$C9,$C9)))),$A$8:$AW9,MATCH($AW$7,$A$7:$AW$7,FALSE),FALSE),0)/LEFT($AX$7,FIND(" ",$AX$7))</f>
        <v>35.2575</v>
      </c>
      <c r="AY9" s="30">
        <f ca="1">_xlfn.IFNA(VLOOKUP(SUMPRODUCT(LARGE(($C$8:$C9=Table1[[#This Row],[Climber]])*$A$8:$A9,1)),$A$8:$AW9,MATCH($AW$7,$A$7:$AW$7,FALSE),FALSE),0)/LEFT($AY$7,FIND(" ",$AY$7))+_xlfn.IFNA(VLOOKUP(SUMPRODUCT(LARGE(($C$8:$C9=Table1[[#This Row],[Climber]])*$A$8:$A9,MIN(2,COUNTIFS($C$8:$C9,$C9)))),$A$8:$AW9,MATCH($AW$7,$A$7:$AW$7,FALSE),FALSE),0)/LEFT($AY$7,FIND(" ",$AY$7))+_xlfn.IFNA(VLOOKUP(SUMPRODUCT(LARGE(($C$8:$C9=Table1[[#This Row],[Climber]])*$A$8:$A9,MIN(3,COUNTIFS($C$8:$C9,$C9)))),$A$8:$AW9,MATCH($AW$7,$A$7:$AW$7,FALSE),FALSE),0)/LEFT($AY$7,FIND(" ",$AY$7))+_xlfn.IFNA(VLOOKUP(SUMPRODUCT(LARGE(($C$8:$C9=Table1[[#This Row],[Climber]])*$A$8:$A9,MIN(4,COUNTIFS($C$8:$C9,$C9)))),$A$8:$AW9,MATCH($AW$7,$A$7:$AW$7,FALSE),FALSE),0)/LEFT($AY$7,FIND(" ",$AY$7))+_xlfn.IFNA(VLOOKUP(SUMPRODUCT(LARGE(($C$8:$C9=Table1[[#This Row],[Climber]])*$A$8:$A9,MIN(5,COUNTIFS($C$8:$C9,$C9)))),$A$8:$AW9,MATCH($AW$7,$A$7:$AW$7,FALSE),FALSE),0)/LEFT($AY$7,FIND(" ",$AY$7))</f>
        <v>35.2575</v>
      </c>
      <c r="AZ9" s="30" t="e">
        <f>(_xlfn.IFNA(VLOOKUP(SUMPRODUCT(LARGE(($C$8:$C9=Table1[[#This Row],[Climber]])*$A$8:$A9,4)),$A$8:$AW9,MATCH($AW$7,$A$7:$AW$7,FALSE),FALSE),0)+_xlfn.IFNA(VLOOKUP(SUMPRODUCT(LARGE(($C$8:$C9=Table1[[#This Row],[Climber]])*$A$8:$A9,5)),$A$8:$AW9,MATCH($AW$7,$A$7:$AW$7,FALSE),FALSE),0)+_xlfn.IFNA(VLOOKUP(SUMPRODUCT(LARGE(($C$8:$C9=Table1[[#This Row],[Climber]])*$A$8:$A9,6)),$A$8:$AW9,MATCH($AW$7,$A$7:$AW$7,FALSE),FALSE),0))/3</f>
        <v>#NUM!</v>
      </c>
      <c r="BA9" s="6" t="e">
        <f ca="1">_xlfn.MAXIFS(INDIRECT("$AW"&amp;IF(SUMPRODUCT(LARGE(($C$8:$C9=$C9)*$A$8:$A9,LEFT($BA$7,FIND(" ",$BA$7)-1)))=0,8,SUMPRODUCT(LARGE(($C$8:$C9=$C9)*$A$8:$A9,LEFT($BA$7,FIND(" ",$BA$7)-1)))+7)&amp;":$AW"&amp;ROW()),INDIRECT("$C"&amp;IF(SUMPRODUCT(LARGE(($C$8:$C9=$C9)*$A$8:$A9,LEFT($BA$7,FIND(" ",$BA$7)-1)))=0,8,SUMPRODUCT(LARGE(($C$8:$C9=$C9)*$A$8:$A9,LEFT($BA$7,FIND(" ",$BA$7)-1)))+7)&amp;":$C"&amp;ROW()),$C9)</f>
        <v>#NUM!</v>
      </c>
      <c r="BB9" s="6" t="str">
        <f ca="1">VLOOKUP(MAX(BG9,$AX9),'RC Lookup'!$G$14:$J$20,2,TRUE)</f>
        <v>T1</v>
      </c>
      <c r="BC9" s="6">
        <f ca="1">_xlfn.IFNA(VLOOKUP(VLOOKUP($C9,'RC Lookup'!$O$3:$P$50,2,FALSE),'RC Lookup'!$H$14:$J$23,2,FALSE),0)*AW9</f>
        <v>27.056855878915592</v>
      </c>
      <c r="BD9" s="6">
        <f ca="1">_xlfn.IFNA(VLOOKUP(SUMPRODUCT(LARGE(($C$8:$C9=Table1[[#This Row],[Climber]])*$A$8:$A9,1)),$A$8:$BC9,55,FALSE),0)/LEFT($AX$7,FIND(" ",$AX$7))+_xlfn.IFNA(VLOOKUP(SUMPRODUCT(LARGE(($C$8:$C9=Table1[[#This Row],[Climber]])*$A$8:$A9,MIN(2,COUNTIFS($C$8:$C9,$C9)))),$A$8:$BC9,55,FALSE),0)/LEFT($AX$7,FIND(" ",$AX$7))+_xlfn.IFNA(VLOOKUP(SUMPRODUCT(LARGE(($C$8:$C9=Table1[[#This Row],[Climber]])*$A$8:$A9,MIN(3,COUNTIFS($C$8:$C9,$C9)))),$A$8:$BC9,55,FALSE),0)/LEFT($AX$7,FIND(" ",$AX$7))</f>
        <v>27.056855878915592</v>
      </c>
      <c r="BE9" s="6" t="e">
        <f>(_xlfn.IFNA(VLOOKUP(SUMPRODUCT(LARGE(($C$8:$C9=Table1[[#This Row],[Climber]])*$A$8:$A9,4)),$A$8:$BD9,55,FALSE),0)+_xlfn.IFNA(VLOOKUP(SUMPRODUCT(LARGE(($C$8:$C9=Table1[[#This Row],[Climber]])*$A$8:$A9,5)),$A$8:$BD9,55,FALSE),0)+_xlfn.IFNA(VLOOKUP(SUMPRODUCT(LARGE(($C$8:$C9=Table1[[#This Row],[Climber]])*$A$8:$A9,6)),$A$8:$BD9,55,FALSE),0))/3</f>
        <v>#NUM!</v>
      </c>
      <c r="BF9" s="46" t="e">
        <f ca="1">_xlfn.MAXIFS(INDIRECT("$BC"&amp;IF(SUMPRODUCT(LARGE(($C$8:$C9=$C9)*$A$8:$A9,LEFT($BA$7,FIND(" ",$BA$7)-1)))=0,8,SUMPRODUCT(LARGE(($C$8:$C9=$C9)*$A$8:$A9,LEFT($BA$7,FIND(" ",$BA$7)-1)))+7)&amp;":$BC"&amp;ROW()),INDIRECT("$C"&amp;IF(SUMPRODUCT(LARGE(($C$8:$C9=$C9)*$A$8:$A9,LEFT($BA$7,FIND(" ",$BA$7)-1)))=0,8,SUMPRODUCT(LARGE(($C$8:$C9=$C9)*$A$8:$A9,LEFT($BA$7,FIND(" ",$BA$7)-1)))+7)&amp;":$C"&amp;ROW()),$C9)</f>
        <v>#NUM!</v>
      </c>
      <c r="BG9" s="46">
        <f t="array" aca="1" ref="BG9" ca="1">IFERROR(SUMPRODUCT(LARGE(($C$8:$C9=Table1[[#This Row],[Climber]])*$AW$8:$AW9,ROW(INDIRECT("1:5")))),AW9)/MIN(COUNTIFS($C$8:$C9,C9),5)</f>
        <v>35.2575</v>
      </c>
      <c r="BH9" s="46"/>
    </row>
    <row r="10" spans="1:60" x14ac:dyDescent="0.3">
      <c r="A10" s="125">
        <f t="shared" ref="A10:A157" si="1">+A9+1</f>
        <v>3</v>
      </c>
      <c r="B10" s="25">
        <f>'Rock Climbing Log'!B10</f>
        <v>43106</v>
      </c>
      <c r="C10" s="126" t="str">
        <f>'Rock Climbing Log'!C10</f>
        <v>Sameena</v>
      </c>
      <c r="D10" s="26">
        <f>_xlfn.IFNA(IF(LEFT('Rock Climbing Log'!D10)="C",_xlfn.IFNA(VLOOKUP('Rock Climbing Log'!D10,'RC Lookup'!$A$3:$B$9,2,FALSE),0.5),VLOOKUP('Rock Climbing Log'!D10,'RC Lookup'!$G$3:$H$5,2,FALSE)),0)*VLOOKUP(D$7,'RC Lookup'!$D$3:$E$18,2,FALSE)</f>
        <v>0</v>
      </c>
      <c r="E10" s="26">
        <f>_xlfn.IFNA(IF(LEFT('Rock Climbing Log'!E10)="C",_xlfn.IFNA(VLOOKUP('Rock Climbing Log'!E10,'RC Lookup'!$A$3:$B$9,2,FALSE),0.5),VLOOKUP('Rock Climbing Log'!E10,'RC Lookup'!$G$3:$H$5,2,FALSE)),0)*VLOOKUP(D$7,'RC Lookup'!$D$3:$E$18,2,FALSE)</f>
        <v>0</v>
      </c>
      <c r="F10" s="26">
        <f>_xlfn.IFNA(IF(LEFT('Rock Climbing Log'!F10)="C",_xlfn.IFNA(VLOOKUP('Rock Climbing Log'!F10,'RC Lookup'!$A$3:$B$9,2,FALSE),0.5),VLOOKUP('Rock Climbing Log'!F10,'RC Lookup'!$G$3:$H$5,2,FALSE)),0)*VLOOKUP(D$7,'RC Lookup'!$D$3:$E$18,2,FALSE)</f>
        <v>0</v>
      </c>
      <c r="G10" s="26">
        <f>_xlfn.IFNA(IF(LEFT('Rock Climbing Log'!G10)="C",_xlfn.IFNA(VLOOKUP('Rock Climbing Log'!G10,'RC Lookup'!$A$3:$B$9,2,FALSE),0.5),VLOOKUP('Rock Climbing Log'!G10,'RC Lookup'!$G$3:$H$5,2,FALSE)),0)*VLOOKUP(G$7,'RC Lookup'!$D$3:$E$18,2,FALSE)</f>
        <v>0</v>
      </c>
      <c r="H10" s="26">
        <f>_xlfn.IFNA(IF(LEFT('Rock Climbing Log'!H10)="C",_xlfn.IFNA(VLOOKUP('Rock Climbing Log'!H10,'RC Lookup'!$A$3:$B$9,2,FALSE),0.5),VLOOKUP('Rock Climbing Log'!H10,'RC Lookup'!$G$3:$H$5,2,FALSE)),0)*VLOOKUP(G$7,'RC Lookup'!$D$3:$E$18,2,FALSE)</f>
        <v>0</v>
      </c>
      <c r="I10" s="26">
        <f>_xlfn.IFNA(IF(LEFT('Rock Climbing Log'!I10)="C",_xlfn.IFNA(VLOOKUP('Rock Climbing Log'!I10,'RC Lookup'!$A$3:$B$9,2,FALSE),0.5),VLOOKUP('Rock Climbing Log'!I10,'RC Lookup'!$G$3:$H$5,2,FALSE)),0)*VLOOKUP(G$7,'RC Lookup'!$D$3:$E$18,2,FALSE)</f>
        <v>0</v>
      </c>
      <c r="J10" s="26">
        <f>_xlfn.IFNA(IF(LEFT('Rock Climbing Log'!J10)="C",_xlfn.IFNA(VLOOKUP('Rock Climbing Log'!J10,'RC Lookup'!$A$3:$B$9,2,FALSE),0.5),VLOOKUP('Rock Climbing Log'!J10,'RC Lookup'!$G$3:$H$5,2,FALSE)),0)*VLOOKUP(J$7,'RC Lookup'!$D$3:$E$18,2,FALSE)</f>
        <v>15.75</v>
      </c>
      <c r="K10" s="26">
        <f>_xlfn.IFNA(IF(LEFT('Rock Climbing Log'!K10)="C",_xlfn.IFNA(VLOOKUP('Rock Climbing Log'!K10,'RC Lookup'!$A$3:$B$9,2,FALSE),0.5),VLOOKUP('Rock Climbing Log'!K10,'RC Lookup'!$G$3:$H$5,2,FALSE)),0)*VLOOKUP(J$7,'RC Lookup'!$D$3:$E$18,2,FALSE)</f>
        <v>0</v>
      </c>
      <c r="L10" s="26">
        <f>_xlfn.IFNA(IF(LEFT('Rock Climbing Log'!L10)="C",_xlfn.IFNA(VLOOKUP('Rock Climbing Log'!L10,'RC Lookup'!$A$3:$B$9,2,FALSE),0.5),VLOOKUP('Rock Climbing Log'!L10,'RC Lookup'!$G$3:$H$5,2,FALSE)),0)*VLOOKUP(J$7,'RC Lookup'!$D$3:$E$18,2,FALSE)</f>
        <v>0</v>
      </c>
      <c r="M10" s="26">
        <f>_xlfn.IFNA(IF(LEFT('Rock Climbing Log'!M10)="C",_xlfn.IFNA(VLOOKUP('Rock Climbing Log'!M10,'RC Lookup'!$A$3:$B$9,2,FALSE),0.5),VLOOKUP('Rock Climbing Log'!M10,'RC Lookup'!$G$3:$H$5,2,FALSE)),0)*VLOOKUP(M$7,'RC Lookup'!$D$3:$E$18,2,FALSE)</f>
        <v>20.002500000000001</v>
      </c>
      <c r="N10" s="26">
        <f>_xlfn.IFNA(IF(LEFT('Rock Climbing Log'!N10)="C",_xlfn.IFNA(VLOOKUP('Rock Climbing Log'!N10,'RC Lookup'!$A$3:$B$9,2,FALSE),0.5),VLOOKUP('Rock Climbing Log'!N10,'RC Lookup'!$G$3:$H$5,2,FALSE)),0)*VLOOKUP(M$7,'RC Lookup'!$D$3:$E$18,2,FALSE)</f>
        <v>0</v>
      </c>
      <c r="O10" s="26">
        <f>_xlfn.IFNA(IF(LEFT('Rock Climbing Log'!O10)="C",_xlfn.IFNA(VLOOKUP('Rock Climbing Log'!O10,'RC Lookup'!$A$3:$B$9,2,FALSE),0.5),VLOOKUP('Rock Climbing Log'!O10,'RC Lookup'!$G$3:$H$5,2,FALSE)),0)*VLOOKUP(M$7,'RC Lookup'!$D$3:$E$18,2,FALSE)</f>
        <v>0</v>
      </c>
      <c r="P10" s="26">
        <f>_xlfn.IFNA(IF(LEFT('Rock Climbing Log'!P10)="C",_xlfn.IFNA(VLOOKUP('Rock Climbing Log'!P10,'RC Lookup'!$A$3:$B$9,2,FALSE),0.5),VLOOKUP('Rock Climbing Log'!P10,'RC Lookup'!$G$3:$H$5,2,FALSE)),0)*VLOOKUP(P$7,'RC Lookup'!$D$3:$E$18,2,FALSE)</f>
        <v>0</v>
      </c>
      <c r="Q10" s="26">
        <f>_xlfn.IFNA(IF(LEFT('Rock Climbing Log'!Q10)="C",_xlfn.IFNA(VLOOKUP('Rock Climbing Log'!Q10,'RC Lookup'!$A$3:$B$9,2,FALSE),0.5),VLOOKUP('Rock Climbing Log'!Q10,'RC Lookup'!$G$3:$H$5,2,FALSE)),0)*VLOOKUP(P$7,'RC Lookup'!$D$3:$E$18,2,FALSE)</f>
        <v>0</v>
      </c>
      <c r="R10" s="26">
        <f>_xlfn.IFNA(IF(LEFT('Rock Climbing Log'!R10)="C",_xlfn.IFNA(VLOOKUP('Rock Climbing Log'!R10,'RC Lookup'!$A$3:$B$9,2,FALSE),0.5),VLOOKUP('Rock Climbing Log'!R10,'RC Lookup'!$G$3:$H$5,2,FALSE)),0)*VLOOKUP(P$7,'RC Lookup'!$D$3:$E$18,2,FALSE)</f>
        <v>0</v>
      </c>
      <c r="S10" s="26">
        <f>_xlfn.IFNA(IF(LEFT('Rock Climbing Log'!S10)="C",_xlfn.IFNA(VLOOKUP('Rock Climbing Log'!S10,'RC Lookup'!$A$3:$B$9,2,FALSE),0.5),VLOOKUP('Rock Climbing Log'!S10,'RC Lookup'!$G$3:$H$5,2,FALSE)),0)*VLOOKUP(S$7,'RC Lookup'!$D$3:$E$18,2,FALSE)</f>
        <v>28.898971920000012</v>
      </c>
      <c r="T10" s="26">
        <f>_xlfn.IFNA(IF(LEFT('Rock Climbing Log'!T10)="C",_xlfn.IFNA(VLOOKUP('Rock Climbing Log'!T10,'RC Lookup'!$A$3:$B$9,2,FALSE),0.5),VLOOKUP('Rock Climbing Log'!T10,'RC Lookup'!$G$3:$H$5,2,FALSE)),0)*VLOOKUP(S$7,'RC Lookup'!$D$3:$E$18,2,FALSE)</f>
        <v>0</v>
      </c>
      <c r="U10" s="26">
        <f>_xlfn.IFNA(IF(LEFT('Rock Climbing Log'!U10)="C",_xlfn.IFNA(VLOOKUP('Rock Climbing Log'!U10,'RC Lookup'!$A$3:$B$9,2,FALSE),0.5),VLOOKUP('Rock Climbing Log'!U10,'RC Lookup'!$G$3:$H$5,2,FALSE)),0)*VLOOKUP(S$7,'RC Lookup'!$D$3:$E$18,2,FALSE)</f>
        <v>0</v>
      </c>
      <c r="V10" s="26">
        <f>_xlfn.IFNA(IF(LEFT('Rock Climbing Log'!V10)="C",_xlfn.IFNA(VLOOKUP('Rock Climbing Log'!V10,'RC Lookup'!$A$3:$B$9,2,FALSE),0.5),VLOOKUP('Rock Climbing Log'!V10,'RC Lookup'!$G$3:$H$5,2,FALSE)),0)*VLOOKUP(V$7,'RC Lookup'!$D$3:$E$18,2,FALSE)</f>
        <v>35.256745742400021</v>
      </c>
      <c r="W10" s="26">
        <f>_xlfn.IFNA(IF(LEFT('Rock Climbing Log'!W10)="C",_xlfn.IFNA(VLOOKUP('Rock Climbing Log'!W10,'RC Lookup'!$A$3:$B$9,2,FALSE),0.5),VLOOKUP('Rock Climbing Log'!W10,'RC Lookup'!$G$3:$H$5,2,FALSE)),0)*VLOOKUP(V$7,'RC Lookup'!$D$3:$E$18,2,FALSE)</f>
        <v>0</v>
      </c>
      <c r="X10" s="26">
        <f>_xlfn.IFNA(IF(LEFT('Rock Climbing Log'!X10)="C",_xlfn.IFNA(VLOOKUP('Rock Climbing Log'!X10,'RC Lookup'!$A$3:$B$9,2,FALSE),0.5),VLOOKUP('Rock Climbing Log'!X10,'RC Lookup'!$G$3:$H$5,2,FALSE)),0)*VLOOKUP(V$7,'RC Lookup'!$D$3:$E$18,2,FALSE)</f>
        <v>0</v>
      </c>
      <c r="Y10" s="26">
        <f>_xlfn.IFNA(IF(LEFT('Rock Climbing Log'!Y10)="C",_xlfn.IFNA(VLOOKUP('Rock Climbing Log'!Y10,'RC Lookup'!$A$3:$B$9,2,FALSE),0.5),VLOOKUP('Rock Climbing Log'!Y10,'RC Lookup'!$G$3:$H$5,2,FALSE)),0)*VLOOKUP(Y$7,'RC Lookup'!$D$3:$E$18,2,FALSE)</f>
        <v>39.092679679173152</v>
      </c>
      <c r="Z10" s="26">
        <f>_xlfn.IFNA(IF(LEFT('Rock Climbing Log'!Z10)="C",_xlfn.IFNA(VLOOKUP('Rock Climbing Log'!Z10,'RC Lookup'!$A$3:$B$9,2,FALSE),0.5),VLOOKUP('Rock Climbing Log'!Z10,'RC Lookup'!$G$3:$H$5,2,FALSE)),0)*VLOOKUP(Y$7,'RC Lookup'!$D$3:$E$18,2,FALSE)</f>
        <v>0</v>
      </c>
      <c r="AA10" s="26">
        <f>_xlfn.IFNA(IF(LEFT('Rock Climbing Log'!AA10)="C",_xlfn.IFNA(VLOOKUP('Rock Climbing Log'!AA10,'RC Lookup'!$A$3:$B$9,2,FALSE),0.5),VLOOKUP('Rock Climbing Log'!AA10,'RC Lookup'!$G$3:$H$5,2,FALSE)),0)*VLOOKUP(Y$7,'RC Lookup'!$D$3:$E$18,2,FALSE)</f>
        <v>0</v>
      </c>
      <c r="AB10" s="26">
        <f>_xlfn.IFNA(IF(LEFT('Rock Climbing Log'!AB10)="C",_xlfn.IFNA(VLOOKUP('Rock Climbing Log'!AB10,'RC Lookup'!$A$3:$B$9,2,FALSE),0.5),VLOOKUP('Rock Climbing Log'!AB10,'RC Lookup'!$G$3:$H$5,2,FALSE)),0)*VLOOKUP(AB$7,'RC Lookup'!$D$3:$E$18,2,FALSE)</f>
        <v>0</v>
      </c>
      <c r="AC10" s="26">
        <f>_xlfn.IFNA(IF(LEFT('Rock Climbing Log'!AC10)="C",_xlfn.IFNA(VLOOKUP('Rock Climbing Log'!AC10,'RC Lookup'!$A$3:$B$9,2,FALSE),0.5),VLOOKUP('Rock Climbing Log'!AC10,'RC Lookup'!$G$3:$H$5,2,FALSE)),0)*VLOOKUP(AB$7,'RC Lookup'!$D$3:$E$18,2,FALSE)</f>
        <v>0</v>
      </c>
      <c r="AD10" s="26">
        <f>_xlfn.IFNA(IF(LEFT('Rock Climbing Log'!AD10)="C",_xlfn.IFNA(VLOOKUP('Rock Climbing Log'!AD10,'RC Lookup'!$A$3:$B$9,2,FALSE),0.5),VLOOKUP('Rock Climbing Log'!AD10,'RC Lookup'!$G$3:$H$5,2,FALSE)),0)*VLOOKUP(AB$7,'RC Lookup'!$D$3:$E$18,2,FALSE)</f>
        <v>0</v>
      </c>
      <c r="AE10" s="26">
        <f>_xlfn.IFNA(IF(LEFT('Rock Climbing Log'!AE10)="C",_xlfn.IFNA(VLOOKUP('Rock Climbing Log'!AE10,'RC Lookup'!$A$3:$B$9,2,FALSE),0.5),VLOOKUP('Rock Climbing Log'!AE10,'RC Lookup'!$G$3:$H$5,2,FALSE)),0)*VLOOKUP(AE$7,'RC Lookup'!$D$3:$E$18,2,FALSE)</f>
        <v>0</v>
      </c>
      <c r="AF10" s="26">
        <f>_xlfn.IFNA(IF(LEFT('Rock Climbing Log'!AF10)="C",_xlfn.IFNA(VLOOKUP('Rock Climbing Log'!AF10,'RC Lookup'!$A$3:$B$9,2,FALSE),0.5),VLOOKUP('Rock Climbing Log'!AF10,'RC Lookup'!$G$3:$H$5,2,FALSE)),0)*VLOOKUP(AE$7,'RC Lookup'!$D$3:$E$18,2,FALSE)</f>
        <v>0</v>
      </c>
      <c r="AG10" s="26">
        <f>_xlfn.IFNA(IF(LEFT('Rock Climbing Log'!AG10)="C",_xlfn.IFNA(VLOOKUP('Rock Climbing Log'!AG10,'RC Lookup'!$A$3:$B$9,2,FALSE),0.5),VLOOKUP('Rock Climbing Log'!AG10,'RC Lookup'!$G$3:$H$5,2,FALSE)),0)*VLOOKUP(AE$7,'RC Lookup'!$D$3:$E$18,2,FALSE)</f>
        <v>0</v>
      </c>
      <c r="AH10" s="26">
        <f>_xlfn.IFNA(IF(LEFT('Rock Climbing Log'!AH10)="C",_xlfn.IFNA(VLOOKUP('Rock Climbing Log'!AH10,'RC Lookup'!$A$3:$B$9,2,FALSE),0.5),VLOOKUP('Rock Climbing Log'!AH10,'RC Lookup'!$G$3:$H$5,2,FALSE)),0)*VLOOKUP(AH$7,'RC Lookup'!$D$3:$E$18,2,FALSE)</f>
        <v>0</v>
      </c>
      <c r="AI10" s="26">
        <f>_xlfn.IFNA(IF(LEFT('Rock Climbing Log'!AI10)="C",_xlfn.IFNA(VLOOKUP('Rock Climbing Log'!AI10,'RC Lookup'!$A$3:$B$9,2,FALSE),0.5),VLOOKUP('Rock Climbing Log'!AI10,'RC Lookup'!$G$3:$H$5,2,FALSE)),0)*VLOOKUP(AH$7,'RC Lookup'!$D$3:$E$18,2,FALSE)</f>
        <v>0</v>
      </c>
      <c r="AJ10" s="26">
        <f>_xlfn.IFNA(IF(LEFT('Rock Climbing Log'!AJ10)="C",_xlfn.IFNA(VLOOKUP('Rock Climbing Log'!AJ10,'RC Lookup'!$A$3:$B$9,2,FALSE),0.5),VLOOKUP('Rock Climbing Log'!AJ10,'RC Lookup'!$G$3:$H$5,2,FALSE)),0)*VLOOKUP(AH$7,'RC Lookup'!$D$3:$E$18,2,FALSE)</f>
        <v>0</v>
      </c>
      <c r="AK10" s="26">
        <f>_xlfn.IFNA(IF(LEFT('Rock Climbing Log'!AK10)="C",_xlfn.IFNA(VLOOKUP('Rock Climbing Log'!AK10,'RC Lookup'!$A$3:$B$9,2,FALSE),0.5),VLOOKUP('Rock Climbing Log'!AK10,'RC Lookup'!$G$3:$H$5,2,FALSE)),0)*VLOOKUP(AK$7,'RC Lookup'!$D$3:$E$18,2,FALSE)</f>
        <v>0</v>
      </c>
      <c r="AL10" s="26">
        <f>_xlfn.IFNA(IF(LEFT('Rock Climbing Log'!AL10)="C",_xlfn.IFNA(VLOOKUP('Rock Climbing Log'!AL10,'RC Lookup'!$A$3:$B$9,2,FALSE),0.5),VLOOKUP('Rock Climbing Log'!AL10,'RC Lookup'!$G$3:$H$5,2,FALSE)),0)*VLOOKUP(AK$7,'RC Lookup'!$D$3:$E$18,2,FALSE)</f>
        <v>0</v>
      </c>
      <c r="AM10" s="26">
        <f>_xlfn.IFNA(IF(LEFT('Rock Climbing Log'!AM10)="C",_xlfn.IFNA(VLOOKUP('Rock Climbing Log'!AM10,'RC Lookup'!$A$3:$B$9,2,FALSE),0.5),VLOOKUP('Rock Climbing Log'!AM10,'RC Lookup'!$G$3:$H$5,2,FALSE)),0)*VLOOKUP(AK$7,'RC Lookup'!$D$3:$E$18,2,FALSE)</f>
        <v>0</v>
      </c>
      <c r="AN10" s="26">
        <f>_xlfn.IFNA(IF(LEFT('Rock Climbing Log'!AN10)="C",_xlfn.IFNA(VLOOKUP('Rock Climbing Log'!AN10,'RC Lookup'!$A$3:$B$9,2,FALSE),0.5),VLOOKUP('Rock Climbing Log'!AN10,'RC Lookup'!$G$3:$H$5,2,FALSE)),0)*VLOOKUP(AN$7,'RC Lookup'!$D$3:$E$18,2,FALSE)</f>
        <v>0</v>
      </c>
      <c r="AO10" s="26">
        <f>_xlfn.IFNA(IF(LEFT('Rock Climbing Log'!AO10)="C",_xlfn.IFNA(VLOOKUP('Rock Climbing Log'!AO10,'RC Lookup'!$A$3:$B$9,2,FALSE),0.5),VLOOKUP('Rock Climbing Log'!AO10,'RC Lookup'!$G$3:$H$5,2,FALSE)),0)*VLOOKUP(AN$7,'RC Lookup'!$D$3:$E$18,2,FALSE)</f>
        <v>0</v>
      </c>
      <c r="AP10" s="26">
        <f>_xlfn.IFNA(IF(LEFT('Rock Climbing Log'!AP10)="C",_xlfn.IFNA(VLOOKUP('Rock Climbing Log'!AP10,'RC Lookup'!$A$3:$B$9,2,FALSE),0.5),VLOOKUP('Rock Climbing Log'!AP10,'RC Lookup'!$G$3:$H$5,2,FALSE)),0)*VLOOKUP(AN$7,'RC Lookup'!$D$3:$E$18,2,FALSE)</f>
        <v>0</v>
      </c>
      <c r="AQ10" s="26">
        <f>_xlfn.IFNA(IF(LEFT('Rock Climbing Log'!AQ10)="C",_xlfn.IFNA(VLOOKUP('Rock Climbing Log'!AQ10,'RC Lookup'!$A$3:$B$9,2,FALSE),0.5),VLOOKUP('Rock Climbing Log'!AQ10,'RC Lookup'!$G$3:$H$5,2,FALSE)),0)*VLOOKUP(AQ$7,'RC Lookup'!$D$3:$E$18,2,FALSE)</f>
        <v>0</v>
      </c>
      <c r="AR10" s="26">
        <f>_xlfn.IFNA(IF(LEFT('Rock Climbing Log'!AR10)="C",_xlfn.IFNA(VLOOKUP('Rock Climbing Log'!AR10,'RC Lookup'!$A$3:$B$9,2,FALSE),0.5),VLOOKUP('Rock Climbing Log'!AR10,'RC Lookup'!$G$3:$H$5,2,FALSE)),0)*VLOOKUP(AQ$7,'RC Lookup'!$D$3:$E$18,2,FALSE)</f>
        <v>0</v>
      </c>
      <c r="AS10" s="26">
        <f>_xlfn.IFNA(IF(LEFT('Rock Climbing Log'!AS10)="C",_xlfn.IFNA(VLOOKUP('Rock Climbing Log'!AS10,'RC Lookup'!$A$3:$B$9,2,FALSE),0.5),VLOOKUP('Rock Climbing Log'!AS10,'RC Lookup'!$G$3:$H$5,2,FALSE)),0)*VLOOKUP(AQ$7,'RC Lookup'!$D$3:$E$18,2,FALSE)</f>
        <v>0</v>
      </c>
      <c r="AT10" s="26">
        <f>_xlfn.IFNA(IF(LEFT('Rock Climbing Log'!AT10)="C",_xlfn.IFNA(VLOOKUP('Rock Climbing Log'!AT10,'RC Lookup'!$A$3:$B$9,2,FALSE),0.5),VLOOKUP('Rock Climbing Log'!AT10,'RC Lookup'!$G$3:$H$5,2,FALSE)),0)*VLOOKUP(AT$7,'RC Lookup'!$D$3:$E$18,2,FALSE)</f>
        <v>0</v>
      </c>
      <c r="AU10" s="26">
        <f>_xlfn.IFNA(IF(LEFT('Rock Climbing Log'!AU10)="C",_xlfn.IFNA(VLOOKUP('Rock Climbing Log'!AU10,'RC Lookup'!$A$3:$B$9,2,FALSE),0.5),VLOOKUP('Rock Climbing Log'!AU10,'RC Lookup'!$G$3:$H$5,2,FALSE)),0)*VLOOKUP(AT$7,'RC Lookup'!$D$3:$E$18,2,FALSE)</f>
        <v>0</v>
      </c>
      <c r="AV10" s="26">
        <f>_xlfn.IFNA(IF(LEFT('Rock Climbing Log'!AV10)="C",_xlfn.IFNA(VLOOKUP('Rock Climbing Log'!AV10,'RC Lookup'!$A$3:$B$9,2,FALSE),0.5),VLOOKUP('Rock Climbing Log'!AV10,'RC Lookup'!$G$3:$H$5,2,FALSE)),0)*VLOOKUP(AT$7,'RC Lookup'!$D$3:$E$18,2,FALSE)</f>
        <v>0</v>
      </c>
      <c r="AW10" s="30">
        <f t="shared" ca="1" si="0"/>
        <v>103.24839734157318</v>
      </c>
      <c r="AX10" s="30">
        <f ca="1">_xlfn.IFNA(VLOOKUP(SUMPRODUCT(LARGE(($C$8:$C10=Table1[[#This Row],[Climber]])*$A$8:$A10,1)),$A$8:$AW10,MATCH($AW$7,$A$7:$AW$7,FALSE),FALSE),0)/LEFT($AX$7,FIND(" ",$AX$7))+_xlfn.IFNA(VLOOKUP(SUMPRODUCT(LARGE(($C$8:$C10=Table1[[#This Row],[Climber]])*$A$8:$A10,MIN(2,COUNTIFS($C$8:$C10,$C10)))),$A$8:$AW10,MATCH($AW$7,$A$7:$AW$7,FALSE),FALSE),0)/LEFT($AX$7,FIND(" ",$AX$7))+_xlfn.IFNA(VLOOKUP(SUMPRODUCT(LARGE(($C$8:$C10=Table1[[#This Row],[Climber]])*$A$8:$A10,MIN(3,COUNTIFS($C$8:$C10,$C10)))),$A$8:$AW10,MATCH($AW$7,$A$7:$AW$7,FALSE),FALSE),0)/LEFT($AX$7,FIND(" ",$AX$7))</f>
        <v>103.24839734157318</v>
      </c>
      <c r="AY10" s="30">
        <f ca="1">_xlfn.IFNA(VLOOKUP(SUMPRODUCT(LARGE(($C$8:$C10=Table1[[#This Row],[Climber]])*$A$8:$A10,1)),$A$8:$AW10,MATCH($AW$7,$A$7:$AW$7,FALSE),FALSE),0)/LEFT($AY$7,FIND(" ",$AY$7))+_xlfn.IFNA(VLOOKUP(SUMPRODUCT(LARGE(($C$8:$C10=Table1[[#This Row],[Climber]])*$A$8:$A10,MIN(2,COUNTIFS($C$8:$C10,$C10)))),$A$8:$AW10,MATCH($AW$7,$A$7:$AW$7,FALSE),FALSE),0)/LEFT($AY$7,FIND(" ",$AY$7))+_xlfn.IFNA(VLOOKUP(SUMPRODUCT(LARGE(($C$8:$C10=Table1[[#This Row],[Climber]])*$A$8:$A10,MIN(3,COUNTIFS($C$8:$C10,$C10)))),$A$8:$AW10,MATCH($AW$7,$A$7:$AW$7,FALSE),FALSE),0)/LEFT($AY$7,FIND(" ",$AY$7))+_xlfn.IFNA(VLOOKUP(SUMPRODUCT(LARGE(($C$8:$C10=Table1[[#This Row],[Climber]])*$A$8:$A10,MIN(4,COUNTIFS($C$8:$C10,$C10)))),$A$8:$AW10,MATCH($AW$7,$A$7:$AW$7,FALSE),FALSE),0)/LEFT($AY$7,FIND(" ",$AY$7))+_xlfn.IFNA(VLOOKUP(SUMPRODUCT(LARGE(($C$8:$C10=Table1[[#This Row],[Climber]])*$A$8:$A10,MIN(5,COUNTIFS($C$8:$C10,$C10)))),$A$8:$AW10,MATCH($AW$7,$A$7:$AW$7,FALSE),FALSE),0)/LEFT($AY$7,FIND(" ",$AY$7))</f>
        <v>103.2483973415732</v>
      </c>
      <c r="AZ10" s="30" t="e">
        <f>(_xlfn.IFNA(VLOOKUP(SUMPRODUCT(LARGE(($C$8:$C10=Table1[[#This Row],[Climber]])*$A$8:$A10,4)),$A$8:$AW10,MATCH($AW$7,$A$7:$AW$7,FALSE),FALSE),0)+_xlfn.IFNA(VLOOKUP(SUMPRODUCT(LARGE(($C$8:$C10=Table1[[#This Row],[Climber]])*$A$8:$A10,5)),$A$8:$AW10,MATCH($AW$7,$A$7:$AW$7,FALSE),FALSE),0)+_xlfn.IFNA(VLOOKUP(SUMPRODUCT(LARGE(($C$8:$C10=Table1[[#This Row],[Climber]])*$A$8:$A10,6)),$A$8:$AW10,MATCH($AW$7,$A$7:$AW$7,FALSE),FALSE),0))/3</f>
        <v>#NUM!</v>
      </c>
      <c r="BA10" s="6">
        <f ca="1">_xlfn.MAXIFS(INDIRECT("$AW"&amp;IF(SUMPRODUCT(LARGE(($C$8:$C10=$C10)*$A$8:$A10,LEFT($BA$7,FIND(" ",$BA$7)-1)))=0,8,SUMPRODUCT(LARGE(($C$8:$C10=$C10)*$A$8:$A10,LEFT($BA$7,FIND(" ",$BA$7)-1)))+7)&amp;":$AW"&amp;ROW()),INDIRECT("$C"&amp;IF(SUMPRODUCT(LARGE(($C$8:$C10=$C10)*$A$8:$A10,LEFT($BA$7,FIND(" ",$BA$7)-1)))=0,8,SUMPRODUCT(LARGE(($C$8:$C10=$C10)*$A$8:$A10,LEFT($BA$7,FIND(" ",$BA$7)-1)))+7)&amp;":$C"&amp;ROW()),$C10)</f>
        <v>103.24839734157318</v>
      </c>
      <c r="BB10" s="6" t="str">
        <f ca="1">VLOOKUP(MAX(BG10,$AX10),'RC Lookup'!$G$14:$J$20,2,TRUE)</f>
        <v>T3</v>
      </c>
      <c r="BC10" s="6">
        <f ca="1">_xlfn.IFNA(VLOOKUP(VLOOKUP($C10,'RC Lookup'!$O$3:$P$50,2,FALSE),'RC Lookup'!$H$14:$J$23,2,FALSE),0)*AW10</f>
        <v>50.710642505628265</v>
      </c>
      <c r="BD10" s="6">
        <f ca="1">_xlfn.IFNA(VLOOKUP(SUMPRODUCT(LARGE(($C$8:$C10=Table1[[#This Row],[Climber]])*$A$8:$A10,1)),$A$8:$BC10,55,FALSE),0)/LEFT($AX$7,FIND(" ",$AX$7))+_xlfn.IFNA(VLOOKUP(SUMPRODUCT(LARGE(($C$8:$C10=Table1[[#This Row],[Climber]])*$A$8:$A10,MIN(2,COUNTIFS($C$8:$C10,$C10)))),$A$8:$BC10,55,FALSE),0)/LEFT($AX$7,FIND(" ",$AX$7))+_xlfn.IFNA(VLOOKUP(SUMPRODUCT(LARGE(($C$8:$C10=Table1[[#This Row],[Climber]])*$A$8:$A10,MIN(3,COUNTIFS($C$8:$C10,$C10)))),$A$8:$BC10,55,FALSE),0)/LEFT($AX$7,FIND(" ",$AX$7))</f>
        <v>50.710642505628257</v>
      </c>
      <c r="BE10" s="6" t="e">
        <f>(_xlfn.IFNA(VLOOKUP(SUMPRODUCT(LARGE(($C$8:$C10=Table1[[#This Row],[Climber]])*$A$8:$A10,4)),$A$8:$BD10,55,FALSE),0)+_xlfn.IFNA(VLOOKUP(SUMPRODUCT(LARGE(($C$8:$C10=Table1[[#This Row],[Climber]])*$A$8:$A10,5)),$A$8:$BD10,55,FALSE),0)+_xlfn.IFNA(VLOOKUP(SUMPRODUCT(LARGE(($C$8:$C10=Table1[[#This Row],[Climber]])*$A$8:$A10,6)),$A$8:$BD10,55,FALSE),0))/3</f>
        <v>#NUM!</v>
      </c>
      <c r="BF10" s="46">
        <f ca="1">_xlfn.MAXIFS(INDIRECT("$BC"&amp;IF(SUMPRODUCT(LARGE(($C$8:$C10=$C10)*$A$8:$A10,LEFT($BA$7,FIND(" ",$BA$7)-1)))=0,8,SUMPRODUCT(LARGE(($C$8:$C10=$C10)*$A$8:$A10,LEFT($BA$7,FIND(" ",$BA$7)-1)))+7)&amp;":$BC"&amp;ROW()),INDIRECT("$C"&amp;IF(SUMPRODUCT(LARGE(($C$8:$C10=$C10)*$A$8:$A10,LEFT($BA$7,FIND(" ",$BA$7)-1)))=0,8,SUMPRODUCT(LARGE(($C$8:$C10=$C10)*$A$8:$A10,LEFT($BA$7,FIND(" ",$BA$7)-1)))+7)&amp;":$C"&amp;ROW()),$C10)</f>
        <v>50.710642505628265</v>
      </c>
      <c r="BG10" s="46">
        <f t="array" aca="1" ref="BG10" ca="1">IFERROR(SUMPRODUCT(LARGE(($C$8:$C10=Table1[[#This Row],[Climber]])*$AW$8:$AW10,ROW(INDIRECT("1:5")))),AW10)/MIN(COUNTIFS($C$8:$C10,C10),5)</f>
        <v>103.24839734157318</v>
      </c>
      <c r="BH10" s="46"/>
    </row>
    <row r="11" spans="1:60" x14ac:dyDescent="0.3">
      <c r="A11" s="125">
        <f t="shared" si="1"/>
        <v>4</v>
      </c>
      <c r="B11" s="25">
        <f>'Rock Climbing Log'!B11</f>
        <v>43106</v>
      </c>
      <c r="C11" s="126" t="str">
        <f>'Rock Climbing Log'!C11</f>
        <v>Mark Guste</v>
      </c>
      <c r="D11" s="26">
        <f>_xlfn.IFNA(IF(LEFT('Rock Climbing Log'!D11)="C",_xlfn.IFNA(VLOOKUP('Rock Climbing Log'!D11,'RC Lookup'!$A$3:$B$9,2,FALSE),0.5),VLOOKUP('Rock Climbing Log'!D11,'RC Lookup'!$G$3:$H$5,2,FALSE)),0)*VLOOKUP(D$7,'RC Lookup'!$D$3:$E$18,2,FALSE)</f>
        <v>0</v>
      </c>
      <c r="E11" s="26">
        <f>_xlfn.IFNA(IF(LEFT('Rock Climbing Log'!E11)="C",_xlfn.IFNA(VLOOKUP('Rock Climbing Log'!E11,'RC Lookup'!$A$3:$B$9,2,FALSE),0.5),VLOOKUP('Rock Climbing Log'!E11,'RC Lookup'!$G$3:$H$5,2,FALSE)),0)*VLOOKUP(D$7,'RC Lookup'!$D$3:$E$18,2,FALSE)</f>
        <v>0</v>
      </c>
      <c r="F11" s="26">
        <f>_xlfn.IFNA(IF(LEFT('Rock Climbing Log'!F11)="C",_xlfn.IFNA(VLOOKUP('Rock Climbing Log'!F11,'RC Lookup'!$A$3:$B$9,2,FALSE),0.5),VLOOKUP('Rock Climbing Log'!F11,'RC Lookup'!$G$3:$H$5,2,FALSE)),0)*VLOOKUP(D$7,'RC Lookup'!$D$3:$E$18,2,FALSE)</f>
        <v>0</v>
      </c>
      <c r="G11" s="26">
        <f>_xlfn.IFNA(IF(LEFT('Rock Climbing Log'!G11)="C",_xlfn.IFNA(VLOOKUP('Rock Climbing Log'!G11,'RC Lookup'!$A$3:$B$9,2,FALSE),0.5),VLOOKUP('Rock Climbing Log'!G11,'RC Lookup'!$G$3:$H$5,2,FALSE)),0)*VLOOKUP(G$7,'RC Lookup'!$D$3:$E$18,2,FALSE)</f>
        <v>12.5</v>
      </c>
      <c r="H11" s="26">
        <f>_xlfn.IFNA(IF(LEFT('Rock Climbing Log'!H11)="C",_xlfn.IFNA(VLOOKUP('Rock Climbing Log'!H11,'RC Lookup'!$A$3:$B$9,2,FALSE),0.5),VLOOKUP('Rock Climbing Log'!H11,'RC Lookup'!$G$3:$H$5,2,FALSE)),0)*VLOOKUP(G$7,'RC Lookup'!$D$3:$E$18,2,FALSE)</f>
        <v>0</v>
      </c>
      <c r="I11" s="26">
        <f>_xlfn.IFNA(IF(LEFT('Rock Climbing Log'!I11)="C",_xlfn.IFNA(VLOOKUP('Rock Climbing Log'!I11,'RC Lookup'!$A$3:$B$9,2,FALSE),0.5),VLOOKUP('Rock Climbing Log'!I11,'RC Lookup'!$G$3:$H$5,2,FALSE)),0)*VLOOKUP(G$7,'RC Lookup'!$D$3:$E$18,2,FALSE)</f>
        <v>0</v>
      </c>
      <c r="J11" s="26">
        <f>_xlfn.IFNA(IF(LEFT('Rock Climbing Log'!J11)="C",_xlfn.IFNA(VLOOKUP('Rock Climbing Log'!J11,'RC Lookup'!$A$3:$B$9,2,FALSE),0.5),VLOOKUP('Rock Climbing Log'!J11,'RC Lookup'!$G$3:$H$5,2,FALSE)),0)*VLOOKUP(J$7,'RC Lookup'!$D$3:$E$18,2,FALSE)</f>
        <v>15.75</v>
      </c>
      <c r="K11" s="26">
        <f>_xlfn.IFNA(IF(LEFT('Rock Climbing Log'!K11)="C",_xlfn.IFNA(VLOOKUP('Rock Climbing Log'!K11,'RC Lookup'!$A$3:$B$9,2,FALSE),0.5),VLOOKUP('Rock Climbing Log'!K11,'RC Lookup'!$G$3:$H$5,2,FALSE)),0)*VLOOKUP(J$7,'RC Lookup'!$D$3:$E$18,2,FALSE)</f>
        <v>0</v>
      </c>
      <c r="L11" s="26">
        <f>_xlfn.IFNA(IF(LEFT('Rock Climbing Log'!L11)="C",_xlfn.IFNA(VLOOKUP('Rock Climbing Log'!L11,'RC Lookup'!$A$3:$B$9,2,FALSE),0.5),VLOOKUP('Rock Climbing Log'!L11,'RC Lookup'!$G$3:$H$5,2,FALSE)),0)*VLOOKUP(J$7,'RC Lookup'!$D$3:$E$18,2,FALSE)</f>
        <v>0</v>
      </c>
      <c r="M11" s="26">
        <f>_xlfn.IFNA(IF(LEFT('Rock Climbing Log'!M11)="C",_xlfn.IFNA(VLOOKUP('Rock Climbing Log'!M11,'RC Lookup'!$A$3:$B$9,2,FALSE),0.5),VLOOKUP('Rock Climbing Log'!M11,'RC Lookup'!$G$3:$H$5,2,FALSE)),0)*VLOOKUP(M$7,'RC Lookup'!$D$3:$E$18,2,FALSE)</f>
        <v>14.581822500000003</v>
      </c>
      <c r="N11" s="26">
        <f>_xlfn.IFNA(IF(LEFT('Rock Climbing Log'!N11)="C",_xlfn.IFNA(VLOOKUP('Rock Climbing Log'!N11,'RC Lookup'!$A$3:$B$9,2,FALSE),0.5),VLOOKUP('Rock Climbing Log'!N11,'RC Lookup'!$G$3:$H$5,2,FALSE)),0)*VLOOKUP(M$7,'RC Lookup'!$D$3:$E$18,2,FALSE)</f>
        <v>0</v>
      </c>
      <c r="O11" s="26">
        <f>_xlfn.IFNA(IF(LEFT('Rock Climbing Log'!O11)="C",_xlfn.IFNA(VLOOKUP('Rock Climbing Log'!O11,'RC Lookup'!$A$3:$B$9,2,FALSE),0.5),VLOOKUP('Rock Climbing Log'!O11,'RC Lookup'!$G$3:$H$5,2,FALSE)),0)*VLOOKUP(M$7,'RC Lookup'!$D$3:$E$18,2,FALSE)</f>
        <v>0</v>
      </c>
      <c r="P11" s="26">
        <f>_xlfn.IFNA(IF(LEFT('Rock Climbing Log'!P11)="C",_xlfn.IFNA(VLOOKUP('Rock Climbing Log'!P11,'RC Lookup'!$A$3:$B$9,2,FALSE),0.5),VLOOKUP('Rock Climbing Log'!P11,'RC Lookup'!$G$3:$H$5,2,FALSE)),0)*VLOOKUP(P$7,'RC Lookup'!$D$3:$E$18,2,FALSE)</f>
        <v>0</v>
      </c>
      <c r="Q11" s="26">
        <f>_xlfn.IFNA(IF(LEFT('Rock Climbing Log'!Q11)="C",_xlfn.IFNA(VLOOKUP('Rock Climbing Log'!Q11,'RC Lookup'!$A$3:$B$9,2,FALSE),0.5),VLOOKUP('Rock Climbing Log'!Q11,'RC Lookup'!$G$3:$H$5,2,FALSE)),0)*VLOOKUP(P$7,'RC Lookup'!$D$3:$E$18,2,FALSE)</f>
        <v>0</v>
      </c>
      <c r="R11" s="26">
        <f>_xlfn.IFNA(IF(LEFT('Rock Climbing Log'!R11)="C",_xlfn.IFNA(VLOOKUP('Rock Climbing Log'!R11,'RC Lookup'!$A$3:$B$9,2,FALSE),0.5),VLOOKUP('Rock Climbing Log'!R11,'RC Lookup'!$G$3:$H$5,2,FALSE)),0)*VLOOKUP(P$7,'RC Lookup'!$D$3:$E$18,2,FALSE)</f>
        <v>0</v>
      </c>
      <c r="S11" s="26">
        <f>_xlfn.IFNA(IF(LEFT('Rock Climbing Log'!S11)="C",_xlfn.IFNA(VLOOKUP('Rock Climbing Log'!S11,'RC Lookup'!$A$3:$B$9,2,FALSE),0.5),VLOOKUP('Rock Climbing Log'!S11,'RC Lookup'!$G$3:$H$5,2,FALSE)),0)*VLOOKUP(S$7,'RC Lookup'!$D$3:$E$18,2,FALSE)</f>
        <v>0</v>
      </c>
      <c r="T11" s="26">
        <f>_xlfn.IFNA(IF(LEFT('Rock Climbing Log'!T11)="C",_xlfn.IFNA(VLOOKUP('Rock Climbing Log'!T11,'RC Lookup'!$A$3:$B$9,2,FALSE),0.5),VLOOKUP('Rock Climbing Log'!T11,'RC Lookup'!$G$3:$H$5,2,FALSE)),0)*VLOOKUP(S$7,'RC Lookup'!$D$3:$E$18,2,FALSE)</f>
        <v>0</v>
      </c>
      <c r="U11" s="26">
        <f>_xlfn.IFNA(IF(LEFT('Rock Climbing Log'!U11)="C",_xlfn.IFNA(VLOOKUP('Rock Climbing Log'!U11,'RC Lookup'!$A$3:$B$9,2,FALSE),0.5),VLOOKUP('Rock Climbing Log'!U11,'RC Lookup'!$G$3:$H$5,2,FALSE)),0)*VLOOKUP(S$7,'RC Lookup'!$D$3:$E$18,2,FALSE)</f>
        <v>0</v>
      </c>
      <c r="V11" s="26">
        <f>_xlfn.IFNA(IF(LEFT('Rock Climbing Log'!V11)="C",_xlfn.IFNA(VLOOKUP('Rock Climbing Log'!V11,'RC Lookup'!$A$3:$B$9,2,FALSE),0.5),VLOOKUP('Rock Climbing Log'!V11,'RC Lookup'!$G$3:$H$5,2,FALSE)),0)*VLOOKUP(V$7,'RC Lookup'!$D$3:$E$18,2,FALSE)</f>
        <v>17.628372871200011</v>
      </c>
      <c r="W11" s="26">
        <f>_xlfn.IFNA(IF(LEFT('Rock Climbing Log'!W11)="C",_xlfn.IFNA(VLOOKUP('Rock Climbing Log'!W11,'RC Lookup'!$A$3:$B$9,2,FALSE),0.5),VLOOKUP('Rock Climbing Log'!W11,'RC Lookup'!$G$3:$H$5,2,FALSE)),0)*VLOOKUP(V$7,'RC Lookup'!$D$3:$E$18,2,FALSE)</f>
        <v>0</v>
      </c>
      <c r="X11" s="26">
        <f>_xlfn.IFNA(IF(LEFT('Rock Climbing Log'!X11)="C",_xlfn.IFNA(VLOOKUP('Rock Climbing Log'!X11,'RC Lookup'!$A$3:$B$9,2,FALSE),0.5),VLOOKUP('Rock Climbing Log'!X11,'RC Lookup'!$G$3:$H$5,2,FALSE)),0)*VLOOKUP(V$7,'RC Lookup'!$D$3:$E$18,2,FALSE)</f>
        <v>0</v>
      </c>
      <c r="Y11" s="26">
        <f>_xlfn.IFNA(IF(LEFT('Rock Climbing Log'!Y11)="C",_xlfn.IFNA(VLOOKUP('Rock Climbing Log'!Y11,'RC Lookup'!$A$3:$B$9,2,FALSE),0.5),VLOOKUP('Rock Climbing Log'!Y11,'RC Lookup'!$G$3:$H$5,2,FALSE)),0)*VLOOKUP(Y$7,'RC Lookup'!$D$3:$E$18,2,FALSE)</f>
        <v>0</v>
      </c>
      <c r="Z11" s="26">
        <f>_xlfn.IFNA(IF(LEFT('Rock Climbing Log'!Z11)="C",_xlfn.IFNA(VLOOKUP('Rock Climbing Log'!Z11,'RC Lookup'!$A$3:$B$9,2,FALSE),0.5),VLOOKUP('Rock Climbing Log'!Z11,'RC Lookup'!$G$3:$H$5,2,FALSE)),0)*VLOOKUP(Y$7,'RC Lookup'!$D$3:$E$18,2,FALSE)</f>
        <v>0</v>
      </c>
      <c r="AA11" s="26">
        <f>_xlfn.IFNA(IF(LEFT('Rock Climbing Log'!AA11)="C",_xlfn.IFNA(VLOOKUP('Rock Climbing Log'!AA11,'RC Lookup'!$A$3:$B$9,2,FALSE),0.5),VLOOKUP('Rock Climbing Log'!AA11,'RC Lookup'!$G$3:$H$5,2,FALSE)),0)*VLOOKUP(Y$7,'RC Lookup'!$D$3:$E$18,2,FALSE)</f>
        <v>0</v>
      </c>
      <c r="AB11" s="26">
        <f>_xlfn.IFNA(IF(LEFT('Rock Climbing Log'!AB11)="C",_xlfn.IFNA(VLOOKUP('Rock Climbing Log'!AB11,'RC Lookup'!$A$3:$B$9,2,FALSE),0.5),VLOOKUP('Rock Climbing Log'!AB11,'RC Lookup'!$G$3:$H$5,2,FALSE)),0)*VLOOKUP(AB$7,'RC Lookup'!$D$3:$E$18,2,FALSE)</f>
        <v>0</v>
      </c>
      <c r="AC11" s="26">
        <f>_xlfn.IFNA(IF(LEFT('Rock Climbing Log'!AC11)="C",_xlfn.IFNA(VLOOKUP('Rock Climbing Log'!AC11,'RC Lookup'!$A$3:$B$9,2,FALSE),0.5),VLOOKUP('Rock Climbing Log'!AC11,'RC Lookup'!$G$3:$H$5,2,FALSE)),0)*VLOOKUP(AB$7,'RC Lookup'!$D$3:$E$18,2,FALSE)</f>
        <v>0</v>
      </c>
      <c r="AD11" s="26">
        <f>_xlfn.IFNA(IF(LEFT('Rock Climbing Log'!AD11)="C",_xlfn.IFNA(VLOOKUP('Rock Climbing Log'!AD11,'RC Lookup'!$A$3:$B$9,2,FALSE),0.5),VLOOKUP('Rock Climbing Log'!AD11,'RC Lookup'!$G$3:$H$5,2,FALSE)),0)*VLOOKUP(AB$7,'RC Lookup'!$D$3:$E$18,2,FALSE)</f>
        <v>0</v>
      </c>
      <c r="AE11" s="26">
        <f>_xlfn.IFNA(IF(LEFT('Rock Climbing Log'!AE11)="C",_xlfn.IFNA(VLOOKUP('Rock Climbing Log'!AE11,'RC Lookup'!$A$3:$B$9,2,FALSE),0.5),VLOOKUP('Rock Climbing Log'!AE11,'RC Lookup'!$G$3:$H$5,2,FALSE)),0)*VLOOKUP(AE$7,'RC Lookup'!$D$3:$E$18,2,FALSE)</f>
        <v>0</v>
      </c>
      <c r="AF11" s="26">
        <f>_xlfn.IFNA(IF(LEFT('Rock Climbing Log'!AF11)="C",_xlfn.IFNA(VLOOKUP('Rock Climbing Log'!AF11,'RC Lookup'!$A$3:$B$9,2,FALSE),0.5),VLOOKUP('Rock Climbing Log'!AF11,'RC Lookup'!$G$3:$H$5,2,FALSE)),0)*VLOOKUP(AE$7,'RC Lookup'!$D$3:$E$18,2,FALSE)</f>
        <v>0</v>
      </c>
      <c r="AG11" s="26">
        <f>_xlfn.IFNA(IF(LEFT('Rock Climbing Log'!AG11)="C",_xlfn.IFNA(VLOOKUP('Rock Climbing Log'!AG11,'RC Lookup'!$A$3:$B$9,2,FALSE),0.5),VLOOKUP('Rock Climbing Log'!AG11,'RC Lookup'!$G$3:$H$5,2,FALSE)),0)*VLOOKUP(AE$7,'RC Lookup'!$D$3:$E$18,2,FALSE)</f>
        <v>0</v>
      </c>
      <c r="AH11" s="26">
        <f>_xlfn.IFNA(IF(LEFT('Rock Climbing Log'!AH11)="C",_xlfn.IFNA(VLOOKUP('Rock Climbing Log'!AH11,'RC Lookup'!$A$3:$B$9,2,FALSE),0.5),VLOOKUP('Rock Climbing Log'!AH11,'RC Lookup'!$G$3:$H$5,2,FALSE)),0)*VLOOKUP(AH$7,'RC Lookup'!$D$3:$E$18,2,FALSE)</f>
        <v>0</v>
      </c>
      <c r="AI11" s="26">
        <f>_xlfn.IFNA(IF(LEFT('Rock Climbing Log'!AI11)="C",_xlfn.IFNA(VLOOKUP('Rock Climbing Log'!AI11,'RC Lookup'!$A$3:$B$9,2,FALSE),0.5),VLOOKUP('Rock Climbing Log'!AI11,'RC Lookup'!$G$3:$H$5,2,FALSE)),0)*VLOOKUP(AH$7,'RC Lookup'!$D$3:$E$18,2,FALSE)</f>
        <v>0</v>
      </c>
      <c r="AJ11" s="26">
        <f>_xlfn.IFNA(IF(LEFT('Rock Climbing Log'!AJ11)="C",_xlfn.IFNA(VLOOKUP('Rock Climbing Log'!AJ11,'RC Lookup'!$A$3:$B$9,2,FALSE),0.5),VLOOKUP('Rock Climbing Log'!AJ11,'RC Lookup'!$G$3:$H$5,2,FALSE)),0)*VLOOKUP(AH$7,'RC Lookup'!$D$3:$E$18,2,FALSE)</f>
        <v>0</v>
      </c>
      <c r="AK11" s="26">
        <f>_xlfn.IFNA(IF(LEFT('Rock Climbing Log'!AK11)="C",_xlfn.IFNA(VLOOKUP('Rock Climbing Log'!AK11,'RC Lookup'!$A$3:$B$9,2,FALSE),0.5),VLOOKUP('Rock Climbing Log'!AK11,'RC Lookup'!$G$3:$H$5,2,FALSE)),0)*VLOOKUP(AK$7,'RC Lookup'!$D$3:$E$18,2,FALSE)</f>
        <v>0</v>
      </c>
      <c r="AL11" s="26">
        <f>_xlfn.IFNA(IF(LEFT('Rock Climbing Log'!AL11)="C",_xlfn.IFNA(VLOOKUP('Rock Climbing Log'!AL11,'RC Lookup'!$A$3:$B$9,2,FALSE),0.5),VLOOKUP('Rock Climbing Log'!AL11,'RC Lookup'!$G$3:$H$5,2,FALSE)),0)*VLOOKUP(AK$7,'RC Lookup'!$D$3:$E$18,2,FALSE)</f>
        <v>0</v>
      </c>
      <c r="AM11" s="26">
        <f>_xlfn.IFNA(IF(LEFT('Rock Climbing Log'!AM11)="C",_xlfn.IFNA(VLOOKUP('Rock Climbing Log'!AM11,'RC Lookup'!$A$3:$B$9,2,FALSE),0.5),VLOOKUP('Rock Climbing Log'!AM11,'RC Lookup'!$G$3:$H$5,2,FALSE)),0)*VLOOKUP(AK$7,'RC Lookup'!$D$3:$E$18,2,FALSE)</f>
        <v>0</v>
      </c>
      <c r="AN11" s="26">
        <f>_xlfn.IFNA(IF(LEFT('Rock Climbing Log'!AN11)="C",_xlfn.IFNA(VLOOKUP('Rock Climbing Log'!AN11,'RC Lookup'!$A$3:$B$9,2,FALSE),0.5),VLOOKUP('Rock Climbing Log'!AN11,'RC Lookup'!$G$3:$H$5,2,FALSE)),0)*VLOOKUP(AN$7,'RC Lookup'!$D$3:$E$18,2,FALSE)</f>
        <v>0</v>
      </c>
      <c r="AO11" s="26">
        <f>_xlfn.IFNA(IF(LEFT('Rock Climbing Log'!AO11)="C",_xlfn.IFNA(VLOOKUP('Rock Climbing Log'!AO11,'RC Lookup'!$A$3:$B$9,2,FALSE),0.5),VLOOKUP('Rock Climbing Log'!AO11,'RC Lookup'!$G$3:$H$5,2,FALSE)),0)*VLOOKUP(AN$7,'RC Lookup'!$D$3:$E$18,2,FALSE)</f>
        <v>0</v>
      </c>
      <c r="AP11" s="26">
        <f>_xlfn.IFNA(IF(LEFT('Rock Climbing Log'!AP11)="C",_xlfn.IFNA(VLOOKUP('Rock Climbing Log'!AP11,'RC Lookup'!$A$3:$B$9,2,FALSE),0.5),VLOOKUP('Rock Climbing Log'!AP11,'RC Lookup'!$G$3:$H$5,2,FALSE)),0)*VLOOKUP(AN$7,'RC Lookup'!$D$3:$E$18,2,FALSE)</f>
        <v>0</v>
      </c>
      <c r="AQ11" s="26">
        <f>_xlfn.IFNA(IF(LEFT('Rock Climbing Log'!AQ11)="C",_xlfn.IFNA(VLOOKUP('Rock Climbing Log'!AQ11,'RC Lookup'!$A$3:$B$9,2,FALSE),0.5),VLOOKUP('Rock Climbing Log'!AQ11,'RC Lookup'!$G$3:$H$5,2,FALSE)),0)*VLOOKUP(AQ$7,'RC Lookup'!$D$3:$E$18,2,FALSE)</f>
        <v>0</v>
      </c>
      <c r="AR11" s="26">
        <f>_xlfn.IFNA(IF(LEFT('Rock Climbing Log'!AR11)="C",_xlfn.IFNA(VLOOKUP('Rock Climbing Log'!AR11,'RC Lookup'!$A$3:$B$9,2,FALSE),0.5),VLOOKUP('Rock Climbing Log'!AR11,'RC Lookup'!$G$3:$H$5,2,FALSE)),0)*VLOOKUP(AQ$7,'RC Lookup'!$D$3:$E$18,2,FALSE)</f>
        <v>0</v>
      </c>
      <c r="AS11" s="26">
        <f>_xlfn.IFNA(IF(LEFT('Rock Climbing Log'!AS11)="C",_xlfn.IFNA(VLOOKUP('Rock Climbing Log'!AS11,'RC Lookup'!$A$3:$B$9,2,FALSE),0.5),VLOOKUP('Rock Climbing Log'!AS11,'RC Lookup'!$G$3:$H$5,2,FALSE)),0)*VLOOKUP(AQ$7,'RC Lookup'!$D$3:$E$18,2,FALSE)</f>
        <v>0</v>
      </c>
      <c r="AT11" s="26">
        <f>_xlfn.IFNA(IF(LEFT('Rock Climbing Log'!AT11)="C",_xlfn.IFNA(VLOOKUP('Rock Climbing Log'!AT11,'RC Lookup'!$A$3:$B$9,2,FALSE),0.5),VLOOKUP('Rock Climbing Log'!AT11,'RC Lookup'!$G$3:$H$5,2,FALSE)),0)*VLOOKUP(AT$7,'RC Lookup'!$D$3:$E$18,2,FALSE)</f>
        <v>0</v>
      </c>
      <c r="AU11" s="26">
        <f>_xlfn.IFNA(IF(LEFT('Rock Climbing Log'!AU11)="C",_xlfn.IFNA(VLOOKUP('Rock Climbing Log'!AU11,'RC Lookup'!$A$3:$B$9,2,FALSE),0.5),VLOOKUP('Rock Climbing Log'!AU11,'RC Lookup'!$G$3:$H$5,2,FALSE)),0)*VLOOKUP(AT$7,'RC Lookup'!$D$3:$E$18,2,FALSE)</f>
        <v>0</v>
      </c>
      <c r="AV11" s="26">
        <f>_xlfn.IFNA(IF(LEFT('Rock Climbing Log'!AV11)="C",_xlfn.IFNA(VLOOKUP('Rock Climbing Log'!AV11,'RC Lookup'!$A$3:$B$9,2,FALSE),0.5),VLOOKUP('Rock Climbing Log'!AV11,'RC Lookup'!$G$3:$H$5,2,FALSE)),0)*VLOOKUP(AT$7,'RC Lookup'!$D$3:$E$18,2,FALSE)</f>
        <v>0</v>
      </c>
      <c r="AW11" s="30">
        <f t="shared" ca="1" si="0"/>
        <v>47.960195371200015</v>
      </c>
      <c r="AX11" s="30">
        <f ca="1">_xlfn.IFNA(VLOOKUP(SUMPRODUCT(LARGE(($C$8:$C11=Table1[[#This Row],[Climber]])*$A$8:$A11,1)),$A$8:$AW11,MATCH($AW$7,$A$7:$AW$7,FALSE),FALSE),0)/LEFT($AX$7,FIND(" ",$AX$7))+_xlfn.IFNA(VLOOKUP(SUMPRODUCT(LARGE(($C$8:$C11=Table1[[#This Row],[Climber]])*$A$8:$A11,MIN(2,COUNTIFS($C$8:$C11,$C11)))),$A$8:$AW11,MATCH($AW$7,$A$7:$AW$7,FALSE),FALSE),0)/LEFT($AX$7,FIND(" ",$AX$7))+_xlfn.IFNA(VLOOKUP(SUMPRODUCT(LARGE(($C$8:$C11=Table1[[#This Row],[Climber]])*$A$8:$A11,MIN(3,COUNTIFS($C$8:$C11,$C11)))),$A$8:$AW11,MATCH($AW$7,$A$7:$AW$7,FALSE),FALSE),0)/LEFT($AX$7,FIND(" ",$AX$7))</f>
        <v>47.960195371200015</v>
      </c>
      <c r="AY11" s="30">
        <f ca="1">_xlfn.IFNA(VLOOKUP(SUMPRODUCT(LARGE(($C$8:$C11=Table1[[#This Row],[Climber]])*$A$8:$A11,1)),$A$8:$AW11,MATCH($AW$7,$A$7:$AW$7,FALSE),FALSE),0)/LEFT($AY$7,FIND(" ",$AY$7))+_xlfn.IFNA(VLOOKUP(SUMPRODUCT(LARGE(($C$8:$C11=Table1[[#This Row],[Climber]])*$A$8:$A11,MIN(2,COUNTIFS($C$8:$C11,$C11)))),$A$8:$AW11,MATCH($AW$7,$A$7:$AW$7,FALSE),FALSE),0)/LEFT($AY$7,FIND(" ",$AY$7))+_xlfn.IFNA(VLOOKUP(SUMPRODUCT(LARGE(($C$8:$C11=Table1[[#This Row],[Climber]])*$A$8:$A11,MIN(3,COUNTIFS($C$8:$C11,$C11)))),$A$8:$AW11,MATCH($AW$7,$A$7:$AW$7,FALSE),FALSE),0)/LEFT($AY$7,FIND(" ",$AY$7))+_xlfn.IFNA(VLOOKUP(SUMPRODUCT(LARGE(($C$8:$C11=Table1[[#This Row],[Climber]])*$A$8:$A11,MIN(4,COUNTIFS($C$8:$C11,$C11)))),$A$8:$AW11,MATCH($AW$7,$A$7:$AW$7,FALSE),FALSE),0)/LEFT($AY$7,FIND(" ",$AY$7))+_xlfn.IFNA(VLOOKUP(SUMPRODUCT(LARGE(($C$8:$C11=Table1[[#This Row],[Climber]])*$A$8:$A11,MIN(5,COUNTIFS($C$8:$C11,$C11)))),$A$8:$AW11,MATCH($AW$7,$A$7:$AW$7,FALSE),FALSE),0)/LEFT($AY$7,FIND(" ",$AY$7))</f>
        <v>47.960195371200015</v>
      </c>
      <c r="AZ11" s="30" t="e">
        <f>(_xlfn.IFNA(VLOOKUP(SUMPRODUCT(LARGE(($C$8:$C11=Table1[[#This Row],[Climber]])*$A$8:$A11,4)),$A$8:$AW11,MATCH($AW$7,$A$7:$AW$7,FALSE),FALSE),0)+_xlfn.IFNA(VLOOKUP(SUMPRODUCT(LARGE(($C$8:$C11=Table1[[#This Row],[Climber]])*$A$8:$A11,5)),$A$8:$AW11,MATCH($AW$7,$A$7:$AW$7,FALSE),FALSE),0)+_xlfn.IFNA(VLOOKUP(SUMPRODUCT(LARGE(($C$8:$C11=Table1[[#This Row],[Climber]])*$A$8:$A11,6)),$A$8:$AW11,MATCH($AW$7,$A$7:$AW$7,FALSE),FALSE),0))/3</f>
        <v>#NUM!</v>
      </c>
      <c r="BA11" s="6">
        <f ca="1">_xlfn.MAXIFS(INDIRECT("$AW"&amp;IF(SUMPRODUCT(LARGE(($C$8:$C11=$C11)*$A$8:$A11,LEFT($BA$7,FIND(" ",$BA$7)-1)))=0,8,SUMPRODUCT(LARGE(($C$8:$C11=$C11)*$A$8:$A11,LEFT($BA$7,FIND(" ",$BA$7)-1)))+7)&amp;":$AW"&amp;ROW()),INDIRECT("$C"&amp;IF(SUMPRODUCT(LARGE(($C$8:$C11=$C11)*$A$8:$A11,LEFT($BA$7,FIND(" ",$BA$7)-1)))=0,8,SUMPRODUCT(LARGE(($C$8:$C11=$C11)*$A$8:$A11,LEFT($BA$7,FIND(" ",$BA$7)-1)))+7)&amp;":$C"&amp;ROW()),$C11)</f>
        <v>47.960195371200015</v>
      </c>
      <c r="BB11" s="6" t="str">
        <f ca="1">VLOOKUP(MAX(BG11,$AX11),'RC Lookup'!$G$14:$J$20,2,TRUE)</f>
        <v>T1</v>
      </c>
      <c r="BC11" s="6">
        <f ca="1">_xlfn.IFNA(VLOOKUP(VLOOKUP($C11,'RC Lookup'!$O$3:$P$50,2,FALSE),'RC Lookup'!$H$14:$J$23,2,FALSE),0)*AW11</f>
        <v>79.923668493438342</v>
      </c>
      <c r="BD11" s="6">
        <f ca="1">_xlfn.IFNA(VLOOKUP(SUMPRODUCT(LARGE(($C$8:$C11=Table1[[#This Row],[Climber]])*$A$8:$A11,1)),$A$8:$BC11,55,FALSE),0)/LEFT($AX$7,FIND(" ",$AX$7))+_xlfn.IFNA(VLOOKUP(SUMPRODUCT(LARGE(($C$8:$C11=Table1[[#This Row],[Climber]])*$A$8:$A11,MIN(2,COUNTIFS($C$8:$C11,$C11)))),$A$8:$BC11,55,FALSE),0)/LEFT($AX$7,FIND(" ",$AX$7))+_xlfn.IFNA(VLOOKUP(SUMPRODUCT(LARGE(($C$8:$C11=Table1[[#This Row],[Climber]])*$A$8:$A11,MIN(3,COUNTIFS($C$8:$C11,$C11)))),$A$8:$BC11,55,FALSE),0)/LEFT($AX$7,FIND(" ",$AX$7))</f>
        <v>79.923668493438342</v>
      </c>
      <c r="BE11" s="6" t="e">
        <f>(_xlfn.IFNA(VLOOKUP(SUMPRODUCT(LARGE(($C$8:$C11=Table1[[#This Row],[Climber]])*$A$8:$A11,4)),$A$8:$BD11,55,FALSE),0)+_xlfn.IFNA(VLOOKUP(SUMPRODUCT(LARGE(($C$8:$C11=Table1[[#This Row],[Climber]])*$A$8:$A11,5)),$A$8:$BD11,55,FALSE),0)+_xlfn.IFNA(VLOOKUP(SUMPRODUCT(LARGE(($C$8:$C11=Table1[[#This Row],[Climber]])*$A$8:$A11,6)),$A$8:$BD11,55,FALSE),0))/3</f>
        <v>#NUM!</v>
      </c>
      <c r="BF11" s="46">
        <f ca="1">_xlfn.MAXIFS(INDIRECT("$BC"&amp;IF(SUMPRODUCT(LARGE(($C$8:$C11=$C11)*$A$8:$A11,LEFT($BA$7,FIND(" ",$BA$7)-1)))=0,8,SUMPRODUCT(LARGE(($C$8:$C11=$C11)*$A$8:$A11,LEFT($BA$7,FIND(" ",$BA$7)-1)))+7)&amp;":$BC"&amp;ROW()),INDIRECT("$C"&amp;IF(SUMPRODUCT(LARGE(($C$8:$C11=$C11)*$A$8:$A11,LEFT($BA$7,FIND(" ",$BA$7)-1)))=0,8,SUMPRODUCT(LARGE(($C$8:$C11=$C11)*$A$8:$A11,LEFT($BA$7,FIND(" ",$BA$7)-1)))+7)&amp;":$C"&amp;ROW()),$C11)</f>
        <v>79.923668493438342</v>
      </c>
      <c r="BG11" s="46">
        <f t="array" aca="1" ref="BG11" ca="1">IFERROR(SUMPRODUCT(LARGE(($C$8:$C11=Table1[[#This Row],[Climber]])*$AW$8:$AW11,ROW(INDIRECT("1:5")))),AW11)/MIN(COUNTIFS($C$8:$C11,C11),5)</f>
        <v>47.960195371200015</v>
      </c>
      <c r="BH11" s="46"/>
    </row>
    <row r="12" spans="1:60" x14ac:dyDescent="0.3">
      <c r="A12" s="125">
        <f t="shared" si="1"/>
        <v>5</v>
      </c>
      <c r="B12" s="25">
        <f>'Rock Climbing Log'!B12</f>
        <v>43108</v>
      </c>
      <c r="C12" s="126" t="str">
        <f>'Rock Climbing Log'!C12</f>
        <v>Lester</v>
      </c>
      <c r="D12" s="26">
        <f>_xlfn.IFNA(IF(LEFT('Rock Climbing Log'!D12)="C",_xlfn.IFNA(VLOOKUP('Rock Climbing Log'!D12,'RC Lookup'!$A$3:$B$9,2,FALSE),0.5),VLOOKUP('Rock Climbing Log'!D12,'RC Lookup'!$G$3:$H$5,2,FALSE)),0)*VLOOKUP(D$7,'RC Lookup'!$D$3:$E$18,2,FALSE)</f>
        <v>0</v>
      </c>
      <c r="E12" s="26">
        <f>_xlfn.IFNA(IF(LEFT('Rock Climbing Log'!E12)="C",_xlfn.IFNA(VLOOKUP('Rock Climbing Log'!E12,'RC Lookup'!$A$3:$B$9,2,FALSE),0.5),VLOOKUP('Rock Climbing Log'!E12,'RC Lookup'!$G$3:$H$5,2,FALSE)),0)*VLOOKUP(D$7,'RC Lookup'!$D$3:$E$18,2,FALSE)</f>
        <v>0</v>
      </c>
      <c r="F12" s="26">
        <f>_xlfn.IFNA(IF(LEFT('Rock Climbing Log'!F12)="C",_xlfn.IFNA(VLOOKUP('Rock Climbing Log'!F12,'RC Lookup'!$A$3:$B$9,2,FALSE),0.5),VLOOKUP('Rock Climbing Log'!F12,'RC Lookup'!$G$3:$H$5,2,FALSE)),0)*VLOOKUP(D$7,'RC Lookup'!$D$3:$E$18,2,FALSE)</f>
        <v>0</v>
      </c>
      <c r="G12" s="26">
        <f>_xlfn.IFNA(IF(LEFT('Rock Climbing Log'!G12)="C",_xlfn.IFNA(VLOOKUP('Rock Climbing Log'!G12,'RC Lookup'!$A$3:$B$9,2,FALSE),0.5),VLOOKUP('Rock Climbing Log'!G12,'RC Lookup'!$G$3:$H$5,2,FALSE)),0)*VLOOKUP(G$7,'RC Lookup'!$D$3:$E$18,2,FALSE)</f>
        <v>12.5</v>
      </c>
      <c r="H12" s="26">
        <f>_xlfn.IFNA(IF(LEFT('Rock Climbing Log'!H12)="C",_xlfn.IFNA(VLOOKUP('Rock Climbing Log'!H12,'RC Lookup'!$A$3:$B$9,2,FALSE),0.5),VLOOKUP('Rock Climbing Log'!H12,'RC Lookup'!$G$3:$H$5,2,FALSE)),0)*VLOOKUP(G$7,'RC Lookup'!$D$3:$E$18,2,FALSE)</f>
        <v>0</v>
      </c>
      <c r="I12" s="26">
        <f>_xlfn.IFNA(IF(LEFT('Rock Climbing Log'!I12)="C",_xlfn.IFNA(VLOOKUP('Rock Climbing Log'!I12,'RC Lookup'!$A$3:$B$9,2,FALSE),0.5),VLOOKUP('Rock Climbing Log'!I12,'RC Lookup'!$G$3:$H$5,2,FALSE)),0)*VLOOKUP(G$7,'RC Lookup'!$D$3:$E$18,2,FALSE)</f>
        <v>0</v>
      </c>
      <c r="J12" s="26">
        <f>_xlfn.IFNA(IF(LEFT('Rock Climbing Log'!J12)="C",_xlfn.IFNA(VLOOKUP('Rock Climbing Log'!J12,'RC Lookup'!$A$3:$B$9,2,FALSE),0.5),VLOOKUP('Rock Climbing Log'!J12,'RC Lookup'!$G$3:$H$5,2,FALSE)),0)*VLOOKUP(J$7,'RC Lookup'!$D$3:$E$18,2,FALSE)</f>
        <v>15.75</v>
      </c>
      <c r="K12" s="26">
        <f>_xlfn.IFNA(IF(LEFT('Rock Climbing Log'!K12)="C",_xlfn.IFNA(VLOOKUP('Rock Climbing Log'!K12,'RC Lookup'!$A$3:$B$9,2,FALSE),0.5),VLOOKUP('Rock Climbing Log'!K12,'RC Lookup'!$G$3:$H$5,2,FALSE)),0)*VLOOKUP(J$7,'RC Lookup'!$D$3:$E$18,2,FALSE)</f>
        <v>0</v>
      </c>
      <c r="L12" s="26">
        <f>_xlfn.IFNA(IF(LEFT('Rock Climbing Log'!L12)="C",_xlfn.IFNA(VLOOKUP('Rock Climbing Log'!L12,'RC Lookup'!$A$3:$B$9,2,FALSE),0.5),VLOOKUP('Rock Climbing Log'!L12,'RC Lookup'!$G$3:$H$5,2,FALSE)),0)*VLOOKUP(J$7,'RC Lookup'!$D$3:$E$18,2,FALSE)</f>
        <v>0</v>
      </c>
      <c r="M12" s="26">
        <f>_xlfn.IFNA(IF(LEFT('Rock Climbing Log'!M12)="C",_xlfn.IFNA(VLOOKUP('Rock Climbing Log'!M12,'RC Lookup'!$A$3:$B$9,2,FALSE),0.5),VLOOKUP('Rock Climbing Log'!M12,'RC Lookup'!$G$3:$H$5,2,FALSE)),0)*VLOOKUP(M$7,'RC Lookup'!$D$3:$E$18,2,FALSE)</f>
        <v>20.002500000000001</v>
      </c>
      <c r="N12" s="26">
        <f>_xlfn.IFNA(IF(LEFT('Rock Climbing Log'!N12)="C",_xlfn.IFNA(VLOOKUP('Rock Climbing Log'!N12,'RC Lookup'!$A$3:$B$9,2,FALSE),0.5),VLOOKUP('Rock Climbing Log'!N12,'RC Lookup'!$G$3:$H$5,2,FALSE)),0)*VLOOKUP(M$7,'RC Lookup'!$D$3:$E$18,2,FALSE)</f>
        <v>0</v>
      </c>
      <c r="O12" s="26">
        <f>_xlfn.IFNA(IF(LEFT('Rock Climbing Log'!O12)="C",_xlfn.IFNA(VLOOKUP('Rock Climbing Log'!O12,'RC Lookup'!$A$3:$B$9,2,FALSE),0.5),VLOOKUP('Rock Climbing Log'!O12,'RC Lookup'!$G$3:$H$5,2,FALSE)),0)*VLOOKUP(M$7,'RC Lookup'!$D$3:$E$18,2,FALSE)</f>
        <v>0</v>
      </c>
      <c r="P12" s="26">
        <f>_xlfn.IFNA(IF(LEFT('Rock Climbing Log'!P12)="C",_xlfn.IFNA(VLOOKUP('Rock Climbing Log'!P12,'RC Lookup'!$A$3:$B$9,2,FALSE),0.5),VLOOKUP('Rock Climbing Log'!P12,'RC Lookup'!$G$3:$H$5,2,FALSE)),0)*VLOOKUP(P$7,'RC Lookup'!$D$3:$E$18,2,FALSE)</f>
        <v>23.922990000000006</v>
      </c>
      <c r="Q12" s="26">
        <f>_xlfn.IFNA(IF(LEFT('Rock Climbing Log'!Q12)="C",_xlfn.IFNA(VLOOKUP('Rock Climbing Log'!Q12,'RC Lookup'!$A$3:$B$9,2,FALSE),0.5),VLOOKUP('Rock Climbing Log'!Q12,'RC Lookup'!$G$3:$H$5,2,FALSE)),0)*VLOOKUP(P$7,'RC Lookup'!$D$3:$E$18,2,FALSE)</f>
        <v>0</v>
      </c>
      <c r="R12" s="26">
        <f>_xlfn.IFNA(IF(LEFT('Rock Climbing Log'!R12)="C",_xlfn.IFNA(VLOOKUP('Rock Climbing Log'!R12,'RC Lookup'!$A$3:$B$9,2,FALSE),0.5),VLOOKUP('Rock Climbing Log'!R12,'RC Lookup'!$G$3:$H$5,2,FALSE)),0)*VLOOKUP(P$7,'RC Lookup'!$D$3:$E$18,2,FALSE)</f>
        <v>0</v>
      </c>
      <c r="S12" s="26">
        <f>_xlfn.IFNA(IF(LEFT('Rock Climbing Log'!S12)="C",_xlfn.IFNA(VLOOKUP('Rock Climbing Log'!S12,'RC Lookup'!$A$3:$B$9,2,FALSE),0.5),VLOOKUP('Rock Climbing Log'!S12,'RC Lookup'!$G$3:$H$5,2,FALSE)),0)*VLOOKUP(S$7,'RC Lookup'!$D$3:$E$18,2,FALSE)</f>
        <v>0</v>
      </c>
      <c r="T12" s="26">
        <f>_xlfn.IFNA(IF(LEFT('Rock Climbing Log'!T12)="C",_xlfn.IFNA(VLOOKUP('Rock Climbing Log'!T12,'RC Lookup'!$A$3:$B$9,2,FALSE),0.5),VLOOKUP('Rock Climbing Log'!T12,'RC Lookup'!$G$3:$H$5,2,FALSE)),0)*VLOOKUP(S$7,'RC Lookup'!$D$3:$E$18,2,FALSE)</f>
        <v>0</v>
      </c>
      <c r="U12" s="26">
        <f>_xlfn.IFNA(IF(LEFT('Rock Climbing Log'!U12)="C",_xlfn.IFNA(VLOOKUP('Rock Climbing Log'!U12,'RC Lookup'!$A$3:$B$9,2,FALSE),0.5),VLOOKUP('Rock Climbing Log'!U12,'RC Lookup'!$G$3:$H$5,2,FALSE)),0)*VLOOKUP(S$7,'RC Lookup'!$D$3:$E$18,2,FALSE)</f>
        <v>0</v>
      </c>
      <c r="V12" s="26">
        <f>_xlfn.IFNA(IF(LEFT('Rock Climbing Log'!V12)="C",_xlfn.IFNA(VLOOKUP('Rock Climbing Log'!V12,'RC Lookup'!$A$3:$B$9,2,FALSE),0.5),VLOOKUP('Rock Climbing Log'!V12,'RC Lookup'!$G$3:$H$5,2,FALSE)),0)*VLOOKUP(V$7,'RC Lookup'!$D$3:$E$18,2,FALSE)</f>
        <v>35.256745742400021</v>
      </c>
      <c r="W12" s="26">
        <f>_xlfn.IFNA(IF(LEFT('Rock Climbing Log'!W12)="C",_xlfn.IFNA(VLOOKUP('Rock Climbing Log'!W12,'RC Lookup'!$A$3:$B$9,2,FALSE),0.5),VLOOKUP('Rock Climbing Log'!W12,'RC Lookup'!$G$3:$H$5,2,FALSE)),0)*VLOOKUP(V$7,'RC Lookup'!$D$3:$E$18,2,FALSE)</f>
        <v>0</v>
      </c>
      <c r="X12" s="26">
        <f>_xlfn.IFNA(IF(LEFT('Rock Climbing Log'!X12)="C",_xlfn.IFNA(VLOOKUP('Rock Climbing Log'!X12,'RC Lookup'!$A$3:$B$9,2,FALSE),0.5),VLOOKUP('Rock Climbing Log'!X12,'RC Lookup'!$G$3:$H$5,2,FALSE)),0)*VLOOKUP(V$7,'RC Lookup'!$D$3:$E$18,2,FALSE)</f>
        <v>0</v>
      </c>
      <c r="Y12" s="26">
        <f>_xlfn.IFNA(IF(LEFT('Rock Climbing Log'!Y12)="C",_xlfn.IFNA(VLOOKUP('Rock Climbing Log'!Y12,'RC Lookup'!$A$3:$B$9,2,FALSE),0.5),VLOOKUP('Rock Climbing Log'!Y12,'RC Lookup'!$G$3:$H$5,2,FALSE)),0)*VLOOKUP(Y$7,'RC Lookup'!$D$3:$E$18,2,FALSE)</f>
        <v>0</v>
      </c>
      <c r="Z12" s="26">
        <f>_xlfn.IFNA(IF(LEFT('Rock Climbing Log'!Z12)="C",_xlfn.IFNA(VLOOKUP('Rock Climbing Log'!Z12,'RC Lookup'!$A$3:$B$9,2,FALSE),0.5),VLOOKUP('Rock Climbing Log'!Z12,'RC Lookup'!$G$3:$H$5,2,FALSE)),0)*VLOOKUP(Y$7,'RC Lookup'!$D$3:$E$18,2,FALSE)</f>
        <v>0</v>
      </c>
      <c r="AA12" s="26">
        <f>_xlfn.IFNA(IF(LEFT('Rock Climbing Log'!AA12)="C",_xlfn.IFNA(VLOOKUP('Rock Climbing Log'!AA12,'RC Lookup'!$A$3:$B$9,2,FALSE),0.5),VLOOKUP('Rock Climbing Log'!AA12,'RC Lookup'!$G$3:$H$5,2,FALSE)),0)*VLOOKUP(Y$7,'RC Lookup'!$D$3:$E$18,2,FALSE)</f>
        <v>0</v>
      </c>
      <c r="AB12" s="26">
        <f>_xlfn.IFNA(IF(LEFT('Rock Climbing Log'!AB12)="C",_xlfn.IFNA(VLOOKUP('Rock Climbing Log'!AB12,'RC Lookup'!$A$3:$B$9,2,FALSE),0.5),VLOOKUP('Rock Climbing Log'!AB12,'RC Lookup'!$G$3:$H$5,2,FALSE)),0)*VLOOKUP(AB$7,'RC Lookup'!$D$3:$E$18,2,FALSE)</f>
        <v>0</v>
      </c>
      <c r="AC12" s="26">
        <f>_xlfn.IFNA(IF(LEFT('Rock Climbing Log'!AC12)="C",_xlfn.IFNA(VLOOKUP('Rock Climbing Log'!AC12,'RC Lookup'!$A$3:$B$9,2,FALSE),0.5),VLOOKUP('Rock Climbing Log'!AC12,'RC Lookup'!$G$3:$H$5,2,FALSE)),0)*VLOOKUP(AB$7,'RC Lookup'!$D$3:$E$18,2,FALSE)</f>
        <v>0</v>
      </c>
      <c r="AD12" s="26">
        <f>_xlfn.IFNA(IF(LEFT('Rock Climbing Log'!AD12)="C",_xlfn.IFNA(VLOOKUP('Rock Climbing Log'!AD12,'RC Lookup'!$A$3:$B$9,2,FALSE),0.5),VLOOKUP('Rock Climbing Log'!AD12,'RC Lookup'!$G$3:$H$5,2,FALSE)),0)*VLOOKUP(AB$7,'RC Lookup'!$D$3:$E$18,2,FALSE)</f>
        <v>0</v>
      </c>
      <c r="AE12" s="26">
        <f>_xlfn.IFNA(IF(LEFT('Rock Climbing Log'!AE12)="C",_xlfn.IFNA(VLOOKUP('Rock Climbing Log'!AE12,'RC Lookup'!$A$3:$B$9,2,FALSE),0.5),VLOOKUP('Rock Climbing Log'!AE12,'RC Lookup'!$G$3:$H$5,2,FALSE)),0)*VLOOKUP(AE$7,'RC Lookup'!$D$3:$E$18,2,FALSE)</f>
        <v>0</v>
      </c>
      <c r="AF12" s="26">
        <f>_xlfn.IFNA(IF(LEFT('Rock Climbing Log'!AF12)="C",_xlfn.IFNA(VLOOKUP('Rock Climbing Log'!AF12,'RC Lookup'!$A$3:$B$9,2,FALSE),0.5),VLOOKUP('Rock Climbing Log'!AF12,'RC Lookup'!$G$3:$H$5,2,FALSE)),0)*VLOOKUP(AE$7,'RC Lookup'!$D$3:$E$18,2,FALSE)</f>
        <v>0</v>
      </c>
      <c r="AG12" s="26">
        <f>_xlfn.IFNA(IF(LEFT('Rock Climbing Log'!AG12)="C",_xlfn.IFNA(VLOOKUP('Rock Climbing Log'!AG12,'RC Lookup'!$A$3:$B$9,2,FALSE),0.5),VLOOKUP('Rock Climbing Log'!AG12,'RC Lookup'!$G$3:$H$5,2,FALSE)),0)*VLOOKUP(AE$7,'RC Lookup'!$D$3:$E$18,2,FALSE)</f>
        <v>0</v>
      </c>
      <c r="AH12" s="26">
        <f>_xlfn.IFNA(IF(LEFT('Rock Climbing Log'!AH12)="C",_xlfn.IFNA(VLOOKUP('Rock Climbing Log'!AH12,'RC Lookup'!$A$3:$B$9,2,FALSE),0.5),VLOOKUP('Rock Climbing Log'!AH12,'RC Lookup'!$G$3:$H$5,2,FALSE)),0)*VLOOKUP(AH$7,'RC Lookup'!$D$3:$E$18,2,FALSE)</f>
        <v>0</v>
      </c>
      <c r="AI12" s="26">
        <f>_xlfn.IFNA(IF(LEFT('Rock Climbing Log'!AI12)="C",_xlfn.IFNA(VLOOKUP('Rock Climbing Log'!AI12,'RC Lookup'!$A$3:$B$9,2,FALSE),0.5),VLOOKUP('Rock Climbing Log'!AI12,'RC Lookup'!$G$3:$H$5,2,FALSE)),0)*VLOOKUP(AH$7,'RC Lookup'!$D$3:$E$18,2,FALSE)</f>
        <v>0</v>
      </c>
      <c r="AJ12" s="26">
        <f>_xlfn.IFNA(IF(LEFT('Rock Climbing Log'!AJ12)="C",_xlfn.IFNA(VLOOKUP('Rock Climbing Log'!AJ12,'RC Lookup'!$A$3:$B$9,2,FALSE),0.5),VLOOKUP('Rock Climbing Log'!AJ12,'RC Lookup'!$G$3:$H$5,2,FALSE)),0)*VLOOKUP(AH$7,'RC Lookup'!$D$3:$E$18,2,FALSE)</f>
        <v>0</v>
      </c>
      <c r="AK12" s="26">
        <f>_xlfn.IFNA(IF(LEFT('Rock Climbing Log'!AK12)="C",_xlfn.IFNA(VLOOKUP('Rock Climbing Log'!AK12,'RC Lookup'!$A$3:$B$9,2,FALSE),0.5),VLOOKUP('Rock Climbing Log'!AK12,'RC Lookup'!$G$3:$H$5,2,FALSE)),0)*VLOOKUP(AK$7,'RC Lookup'!$D$3:$E$18,2,FALSE)</f>
        <v>0</v>
      </c>
      <c r="AL12" s="26">
        <f>_xlfn.IFNA(IF(LEFT('Rock Climbing Log'!AL12)="C",_xlfn.IFNA(VLOOKUP('Rock Climbing Log'!AL12,'RC Lookup'!$A$3:$B$9,2,FALSE),0.5),VLOOKUP('Rock Climbing Log'!AL12,'RC Lookup'!$G$3:$H$5,2,FALSE)),0)*VLOOKUP(AK$7,'RC Lookup'!$D$3:$E$18,2,FALSE)</f>
        <v>0</v>
      </c>
      <c r="AM12" s="26">
        <f>_xlfn.IFNA(IF(LEFT('Rock Climbing Log'!AM12)="C",_xlfn.IFNA(VLOOKUP('Rock Climbing Log'!AM12,'RC Lookup'!$A$3:$B$9,2,FALSE),0.5),VLOOKUP('Rock Climbing Log'!AM12,'RC Lookup'!$G$3:$H$5,2,FALSE)),0)*VLOOKUP(AK$7,'RC Lookup'!$D$3:$E$18,2,FALSE)</f>
        <v>0</v>
      </c>
      <c r="AN12" s="26">
        <f>_xlfn.IFNA(IF(LEFT('Rock Climbing Log'!AN12)="C",_xlfn.IFNA(VLOOKUP('Rock Climbing Log'!AN12,'RC Lookup'!$A$3:$B$9,2,FALSE),0.5),VLOOKUP('Rock Climbing Log'!AN12,'RC Lookup'!$G$3:$H$5,2,FALSE)),0)*VLOOKUP(AN$7,'RC Lookup'!$D$3:$E$18,2,FALSE)</f>
        <v>0</v>
      </c>
      <c r="AO12" s="26">
        <f>_xlfn.IFNA(IF(LEFT('Rock Climbing Log'!AO12)="C",_xlfn.IFNA(VLOOKUP('Rock Climbing Log'!AO12,'RC Lookup'!$A$3:$B$9,2,FALSE),0.5),VLOOKUP('Rock Climbing Log'!AO12,'RC Lookup'!$G$3:$H$5,2,FALSE)),0)*VLOOKUP(AN$7,'RC Lookup'!$D$3:$E$18,2,FALSE)</f>
        <v>0</v>
      </c>
      <c r="AP12" s="26">
        <f>_xlfn.IFNA(IF(LEFT('Rock Climbing Log'!AP12)="C",_xlfn.IFNA(VLOOKUP('Rock Climbing Log'!AP12,'RC Lookup'!$A$3:$B$9,2,FALSE),0.5),VLOOKUP('Rock Climbing Log'!AP12,'RC Lookup'!$G$3:$H$5,2,FALSE)),0)*VLOOKUP(AN$7,'RC Lookup'!$D$3:$E$18,2,FALSE)</f>
        <v>0</v>
      </c>
      <c r="AQ12" s="26">
        <f>_xlfn.IFNA(IF(LEFT('Rock Climbing Log'!AQ12)="C",_xlfn.IFNA(VLOOKUP('Rock Climbing Log'!AQ12,'RC Lookup'!$A$3:$B$9,2,FALSE),0.5),VLOOKUP('Rock Climbing Log'!AQ12,'RC Lookup'!$G$3:$H$5,2,FALSE)),0)*VLOOKUP(AQ$7,'RC Lookup'!$D$3:$E$18,2,FALSE)</f>
        <v>0</v>
      </c>
      <c r="AR12" s="26">
        <f>_xlfn.IFNA(IF(LEFT('Rock Climbing Log'!AR12)="C",_xlfn.IFNA(VLOOKUP('Rock Climbing Log'!AR12,'RC Lookup'!$A$3:$B$9,2,FALSE),0.5),VLOOKUP('Rock Climbing Log'!AR12,'RC Lookup'!$G$3:$H$5,2,FALSE)),0)*VLOOKUP(AQ$7,'RC Lookup'!$D$3:$E$18,2,FALSE)</f>
        <v>0</v>
      </c>
      <c r="AS12" s="26">
        <f>_xlfn.IFNA(IF(LEFT('Rock Climbing Log'!AS12)="C",_xlfn.IFNA(VLOOKUP('Rock Climbing Log'!AS12,'RC Lookup'!$A$3:$B$9,2,FALSE),0.5),VLOOKUP('Rock Climbing Log'!AS12,'RC Lookup'!$G$3:$H$5,2,FALSE)),0)*VLOOKUP(AQ$7,'RC Lookup'!$D$3:$E$18,2,FALSE)</f>
        <v>0</v>
      </c>
      <c r="AT12" s="26">
        <f>_xlfn.IFNA(IF(LEFT('Rock Climbing Log'!AT12)="C",_xlfn.IFNA(VLOOKUP('Rock Climbing Log'!AT12,'RC Lookup'!$A$3:$B$9,2,FALSE),0.5),VLOOKUP('Rock Climbing Log'!AT12,'RC Lookup'!$G$3:$H$5,2,FALSE)),0)*VLOOKUP(AT$7,'RC Lookup'!$D$3:$E$18,2,FALSE)</f>
        <v>0</v>
      </c>
      <c r="AU12" s="26">
        <f>_xlfn.IFNA(IF(LEFT('Rock Climbing Log'!AU12)="C",_xlfn.IFNA(VLOOKUP('Rock Climbing Log'!AU12,'RC Lookup'!$A$3:$B$9,2,FALSE),0.5),VLOOKUP('Rock Climbing Log'!AU12,'RC Lookup'!$G$3:$H$5,2,FALSE)),0)*VLOOKUP(AT$7,'RC Lookup'!$D$3:$E$18,2,FALSE)</f>
        <v>0</v>
      </c>
      <c r="AV12" s="26">
        <f>_xlfn.IFNA(IF(LEFT('Rock Climbing Log'!AV12)="C",_xlfn.IFNA(VLOOKUP('Rock Climbing Log'!AV12,'RC Lookup'!$A$3:$B$9,2,FALSE),0.5),VLOOKUP('Rock Climbing Log'!AV12,'RC Lookup'!$G$3:$H$5,2,FALSE)),0)*VLOOKUP(AT$7,'RC Lookup'!$D$3:$E$18,2,FALSE)</f>
        <v>0</v>
      </c>
      <c r="AW12" s="30">
        <f t="shared" ca="1" si="0"/>
        <v>79.182235742400024</v>
      </c>
      <c r="AX12" s="30">
        <f ca="1">_xlfn.IFNA(VLOOKUP(SUMPRODUCT(LARGE(($C$8:$C12=Table1[[#This Row],[Climber]])*$A$8:$A12,1)),$A$8:$AW12,MATCH($AW$7,$A$7:$AW$7,FALSE),FALSE),0)/LEFT($AX$7,FIND(" ",$AX$7))+_xlfn.IFNA(VLOOKUP(SUMPRODUCT(LARGE(($C$8:$C12=Table1[[#This Row],[Climber]])*$A$8:$A12,MIN(2,COUNTIFS($C$8:$C12,$C12)))),$A$8:$AW12,MATCH($AW$7,$A$7:$AW$7,FALSE),FALSE),0)/LEFT($AX$7,FIND(" ",$AX$7))+_xlfn.IFNA(VLOOKUP(SUMPRODUCT(LARGE(($C$8:$C12=Table1[[#This Row],[Climber]])*$A$8:$A12,MIN(3,COUNTIFS($C$8:$C12,$C12)))),$A$8:$AW12,MATCH($AW$7,$A$7:$AW$7,FALSE),FALSE),0)/LEFT($AX$7,FIND(" ",$AX$7))</f>
        <v>79.182235742400024</v>
      </c>
      <c r="AY12" s="30">
        <f ca="1">_xlfn.IFNA(VLOOKUP(SUMPRODUCT(LARGE(($C$8:$C12=Table1[[#This Row],[Climber]])*$A$8:$A12,1)),$A$8:$AW12,MATCH($AW$7,$A$7:$AW$7,FALSE),FALSE),0)/LEFT($AY$7,FIND(" ",$AY$7))+_xlfn.IFNA(VLOOKUP(SUMPRODUCT(LARGE(($C$8:$C12=Table1[[#This Row],[Climber]])*$A$8:$A12,MIN(2,COUNTIFS($C$8:$C12,$C12)))),$A$8:$AW12,MATCH($AW$7,$A$7:$AW$7,FALSE),FALSE),0)/LEFT($AY$7,FIND(" ",$AY$7))+_xlfn.IFNA(VLOOKUP(SUMPRODUCT(LARGE(($C$8:$C12=Table1[[#This Row],[Climber]])*$A$8:$A12,MIN(3,COUNTIFS($C$8:$C12,$C12)))),$A$8:$AW12,MATCH($AW$7,$A$7:$AW$7,FALSE),FALSE),0)/LEFT($AY$7,FIND(" ",$AY$7))+_xlfn.IFNA(VLOOKUP(SUMPRODUCT(LARGE(($C$8:$C12=Table1[[#This Row],[Climber]])*$A$8:$A12,MIN(4,COUNTIFS($C$8:$C12,$C12)))),$A$8:$AW12,MATCH($AW$7,$A$7:$AW$7,FALSE),FALSE),0)/LEFT($AY$7,FIND(" ",$AY$7))+_xlfn.IFNA(VLOOKUP(SUMPRODUCT(LARGE(($C$8:$C12=Table1[[#This Row],[Climber]])*$A$8:$A12,MIN(5,COUNTIFS($C$8:$C12,$C12)))),$A$8:$AW12,MATCH($AW$7,$A$7:$AW$7,FALSE),FALSE),0)/LEFT($AY$7,FIND(" ",$AY$7))</f>
        <v>79.182235742400024</v>
      </c>
      <c r="AZ12" s="30" t="e">
        <f>(_xlfn.IFNA(VLOOKUP(SUMPRODUCT(LARGE(($C$8:$C12=Table1[[#This Row],[Climber]])*$A$8:$A12,4)),$A$8:$AW12,MATCH($AW$7,$A$7:$AW$7,FALSE),FALSE),0)+_xlfn.IFNA(VLOOKUP(SUMPRODUCT(LARGE(($C$8:$C12=Table1[[#This Row],[Climber]])*$A$8:$A12,5)),$A$8:$AW12,MATCH($AW$7,$A$7:$AW$7,FALSE),FALSE),0)+_xlfn.IFNA(VLOOKUP(SUMPRODUCT(LARGE(($C$8:$C12=Table1[[#This Row],[Climber]])*$A$8:$A12,6)),$A$8:$AW12,MATCH($AW$7,$A$7:$AW$7,FALSE),FALSE),0))/3</f>
        <v>#NUM!</v>
      </c>
      <c r="BA12" s="6">
        <f ca="1">_xlfn.MAXIFS(INDIRECT("$AW"&amp;IF(SUMPRODUCT(LARGE(($C$8:$C12=$C12)*$A$8:$A12,LEFT($BA$7,FIND(" ",$BA$7)-1)))=0,8,SUMPRODUCT(LARGE(($C$8:$C12=$C12)*$A$8:$A12,LEFT($BA$7,FIND(" ",$BA$7)-1)))+7)&amp;":$AW"&amp;ROW()),INDIRECT("$C"&amp;IF(SUMPRODUCT(LARGE(($C$8:$C12=$C12)*$A$8:$A12,LEFT($BA$7,FIND(" ",$BA$7)-1)))=0,8,SUMPRODUCT(LARGE(($C$8:$C12=$C12)*$A$8:$A12,LEFT($BA$7,FIND(" ",$BA$7)-1)))+7)&amp;":$C"&amp;ROW()),$C12)</f>
        <v>79.182235742400024</v>
      </c>
      <c r="BB12" s="6" t="str">
        <f ca="1">VLOOKUP(MAX(BG12,$AX12),'RC Lookup'!$G$14:$J$20,2,TRUE)</f>
        <v>T2</v>
      </c>
      <c r="BC12" s="6">
        <f ca="1">_xlfn.IFNA(VLOOKUP(VLOOKUP($C12,'RC Lookup'!$O$3:$P$50,2,FALSE),'RC Lookup'!$H$14:$J$23,2,FALSE),0)*AW12</f>
        <v>23.961518168164748</v>
      </c>
      <c r="BD12" s="6">
        <f ca="1">_xlfn.IFNA(VLOOKUP(SUMPRODUCT(LARGE(($C$8:$C12=Table1[[#This Row],[Climber]])*$A$8:$A12,1)),$A$8:$BC12,55,FALSE),0)/LEFT($AX$7,FIND(" ",$AX$7))+_xlfn.IFNA(VLOOKUP(SUMPRODUCT(LARGE(($C$8:$C12=Table1[[#This Row],[Climber]])*$A$8:$A12,MIN(2,COUNTIFS($C$8:$C12,$C12)))),$A$8:$BC12,55,FALSE),0)/LEFT($AX$7,FIND(" ",$AX$7))+_xlfn.IFNA(VLOOKUP(SUMPRODUCT(LARGE(($C$8:$C12=Table1[[#This Row],[Climber]])*$A$8:$A12,MIN(3,COUNTIFS($C$8:$C12,$C12)))),$A$8:$BC12,55,FALSE),0)/LEFT($AX$7,FIND(" ",$AX$7))</f>
        <v>23.961518168164748</v>
      </c>
      <c r="BE12" s="6" t="e">
        <f>(_xlfn.IFNA(VLOOKUP(SUMPRODUCT(LARGE(($C$8:$C12=Table1[[#This Row],[Climber]])*$A$8:$A12,4)),$A$8:$BD12,55,FALSE),0)+_xlfn.IFNA(VLOOKUP(SUMPRODUCT(LARGE(($C$8:$C12=Table1[[#This Row],[Climber]])*$A$8:$A12,5)),$A$8:$BD12,55,FALSE),0)+_xlfn.IFNA(VLOOKUP(SUMPRODUCT(LARGE(($C$8:$C12=Table1[[#This Row],[Climber]])*$A$8:$A12,6)),$A$8:$BD12,55,FALSE),0))/3</f>
        <v>#NUM!</v>
      </c>
      <c r="BF12" s="46">
        <f ca="1">_xlfn.MAXIFS(INDIRECT("$BC"&amp;IF(SUMPRODUCT(LARGE(($C$8:$C12=$C12)*$A$8:$A12,LEFT($BA$7,FIND(" ",$BA$7)-1)))=0,8,SUMPRODUCT(LARGE(($C$8:$C12=$C12)*$A$8:$A12,LEFT($BA$7,FIND(" ",$BA$7)-1)))+7)&amp;":$BC"&amp;ROW()),INDIRECT("$C"&amp;IF(SUMPRODUCT(LARGE(($C$8:$C12=$C12)*$A$8:$A12,LEFT($BA$7,FIND(" ",$BA$7)-1)))=0,8,SUMPRODUCT(LARGE(($C$8:$C12=$C12)*$A$8:$A12,LEFT($BA$7,FIND(" ",$BA$7)-1)))+7)&amp;":$C"&amp;ROW()),$C12)</f>
        <v>23.961518168164748</v>
      </c>
      <c r="BG12" s="46">
        <f t="array" aca="1" ref="BG12" ca="1">IFERROR(SUMPRODUCT(LARGE(($C$8:$C12=Table1[[#This Row],[Climber]])*$AW$8:$AW12,ROW(INDIRECT("1:5")))),AW12)/MIN(COUNTIFS($C$8:$C12,C12),5)</f>
        <v>79.182235742400024</v>
      </c>
      <c r="BH12" s="46"/>
    </row>
    <row r="13" spans="1:60" x14ac:dyDescent="0.3">
      <c r="A13" s="125">
        <f t="shared" si="1"/>
        <v>6</v>
      </c>
      <c r="B13" s="25">
        <f>'Rock Climbing Log'!B13</f>
        <v>43108</v>
      </c>
      <c r="C13" s="126" t="str">
        <f>'Rock Climbing Log'!C13</f>
        <v>Edwin</v>
      </c>
      <c r="D13" s="26">
        <f>_xlfn.IFNA(IF(LEFT('Rock Climbing Log'!D13)="C",_xlfn.IFNA(VLOOKUP('Rock Climbing Log'!D13,'RC Lookup'!$A$3:$B$9,2,FALSE),0.5),VLOOKUP('Rock Climbing Log'!D13,'RC Lookup'!$G$3:$H$5,2,FALSE)),0)*VLOOKUP(D$7,'RC Lookup'!$D$3:$E$18,2,FALSE)</f>
        <v>0</v>
      </c>
      <c r="E13" s="26">
        <f>_xlfn.IFNA(IF(LEFT('Rock Climbing Log'!E13)="C",_xlfn.IFNA(VLOOKUP('Rock Climbing Log'!E13,'RC Lookup'!$A$3:$B$9,2,FALSE),0.5),VLOOKUP('Rock Climbing Log'!E13,'RC Lookup'!$G$3:$H$5,2,FALSE)),0)*VLOOKUP(D$7,'RC Lookup'!$D$3:$E$18,2,FALSE)</f>
        <v>0</v>
      </c>
      <c r="F13" s="26">
        <f>_xlfn.IFNA(IF(LEFT('Rock Climbing Log'!F13)="C",_xlfn.IFNA(VLOOKUP('Rock Climbing Log'!F13,'RC Lookup'!$A$3:$B$9,2,FALSE),0.5),VLOOKUP('Rock Climbing Log'!F13,'RC Lookup'!$G$3:$H$5,2,FALSE)),0)*VLOOKUP(D$7,'RC Lookup'!$D$3:$E$18,2,FALSE)</f>
        <v>0</v>
      </c>
      <c r="G13" s="26">
        <f>_xlfn.IFNA(IF(LEFT('Rock Climbing Log'!G13)="C",_xlfn.IFNA(VLOOKUP('Rock Climbing Log'!G13,'RC Lookup'!$A$3:$B$9,2,FALSE),0.5),VLOOKUP('Rock Climbing Log'!G13,'RC Lookup'!$G$3:$H$5,2,FALSE)),0)*VLOOKUP(G$7,'RC Lookup'!$D$3:$E$18,2,FALSE)</f>
        <v>12.5</v>
      </c>
      <c r="H13" s="26">
        <f>_xlfn.IFNA(IF(LEFT('Rock Climbing Log'!H13)="C",_xlfn.IFNA(VLOOKUP('Rock Climbing Log'!H13,'RC Lookup'!$A$3:$B$9,2,FALSE),0.5),VLOOKUP('Rock Climbing Log'!H13,'RC Lookup'!$G$3:$H$5,2,FALSE)),0)*VLOOKUP(G$7,'RC Lookup'!$D$3:$E$18,2,FALSE)</f>
        <v>0</v>
      </c>
      <c r="I13" s="26">
        <f>_xlfn.IFNA(IF(LEFT('Rock Climbing Log'!I13)="C",_xlfn.IFNA(VLOOKUP('Rock Climbing Log'!I13,'RC Lookup'!$A$3:$B$9,2,FALSE),0.5),VLOOKUP('Rock Climbing Log'!I13,'RC Lookup'!$G$3:$H$5,2,FALSE)),0)*VLOOKUP(G$7,'RC Lookup'!$D$3:$E$18,2,FALSE)</f>
        <v>0</v>
      </c>
      <c r="J13" s="26">
        <f>_xlfn.IFNA(IF(LEFT('Rock Climbing Log'!J13)="C",_xlfn.IFNA(VLOOKUP('Rock Climbing Log'!J13,'RC Lookup'!$A$3:$B$9,2,FALSE),0.5),VLOOKUP('Rock Climbing Log'!J13,'RC Lookup'!$G$3:$H$5,2,FALSE)),0)*VLOOKUP(J$7,'RC Lookup'!$D$3:$E$18,2,FALSE)</f>
        <v>15.75</v>
      </c>
      <c r="K13" s="26">
        <f>_xlfn.IFNA(IF(LEFT('Rock Climbing Log'!K13)="C",_xlfn.IFNA(VLOOKUP('Rock Climbing Log'!K13,'RC Lookup'!$A$3:$B$9,2,FALSE),0.5),VLOOKUP('Rock Climbing Log'!K13,'RC Lookup'!$G$3:$H$5,2,FALSE)),0)*VLOOKUP(J$7,'RC Lookup'!$D$3:$E$18,2,FALSE)</f>
        <v>0</v>
      </c>
      <c r="L13" s="26">
        <f>_xlfn.IFNA(IF(LEFT('Rock Climbing Log'!L13)="C",_xlfn.IFNA(VLOOKUP('Rock Climbing Log'!L13,'RC Lookup'!$A$3:$B$9,2,FALSE),0.5),VLOOKUP('Rock Climbing Log'!L13,'RC Lookup'!$G$3:$H$5,2,FALSE)),0)*VLOOKUP(J$7,'RC Lookup'!$D$3:$E$18,2,FALSE)</f>
        <v>0</v>
      </c>
      <c r="M13" s="26">
        <f>_xlfn.IFNA(IF(LEFT('Rock Climbing Log'!M13)="C",_xlfn.IFNA(VLOOKUP('Rock Climbing Log'!M13,'RC Lookup'!$A$3:$B$9,2,FALSE),0.5),VLOOKUP('Rock Climbing Log'!M13,'RC Lookup'!$G$3:$H$5,2,FALSE)),0)*VLOOKUP(M$7,'RC Lookup'!$D$3:$E$18,2,FALSE)</f>
        <v>20.002500000000001</v>
      </c>
      <c r="N13" s="26">
        <f>_xlfn.IFNA(IF(LEFT('Rock Climbing Log'!N13)="C",_xlfn.IFNA(VLOOKUP('Rock Climbing Log'!N13,'RC Lookup'!$A$3:$B$9,2,FALSE),0.5),VLOOKUP('Rock Climbing Log'!N13,'RC Lookup'!$G$3:$H$5,2,FALSE)),0)*VLOOKUP(M$7,'RC Lookup'!$D$3:$E$18,2,FALSE)</f>
        <v>0</v>
      </c>
      <c r="O13" s="26">
        <f>_xlfn.IFNA(IF(LEFT('Rock Climbing Log'!O13)="C",_xlfn.IFNA(VLOOKUP('Rock Climbing Log'!O13,'RC Lookup'!$A$3:$B$9,2,FALSE),0.5),VLOOKUP('Rock Climbing Log'!O13,'RC Lookup'!$G$3:$H$5,2,FALSE)),0)*VLOOKUP(M$7,'RC Lookup'!$D$3:$E$18,2,FALSE)</f>
        <v>0</v>
      </c>
      <c r="P13" s="26">
        <f>_xlfn.IFNA(IF(LEFT('Rock Climbing Log'!P13)="C",_xlfn.IFNA(VLOOKUP('Rock Climbing Log'!P13,'RC Lookup'!$A$3:$B$9,2,FALSE),0.5),VLOOKUP('Rock Climbing Log'!P13,'RC Lookup'!$G$3:$H$5,2,FALSE)),0)*VLOOKUP(P$7,'RC Lookup'!$D$3:$E$18,2,FALSE)</f>
        <v>23.922990000000006</v>
      </c>
      <c r="Q13" s="26">
        <f>_xlfn.IFNA(IF(LEFT('Rock Climbing Log'!Q13)="C",_xlfn.IFNA(VLOOKUP('Rock Climbing Log'!Q13,'RC Lookup'!$A$3:$B$9,2,FALSE),0.5),VLOOKUP('Rock Climbing Log'!Q13,'RC Lookup'!$G$3:$H$5,2,FALSE)),0)*VLOOKUP(P$7,'RC Lookup'!$D$3:$E$18,2,FALSE)</f>
        <v>0</v>
      </c>
      <c r="R13" s="26">
        <f>_xlfn.IFNA(IF(LEFT('Rock Climbing Log'!R13)="C",_xlfn.IFNA(VLOOKUP('Rock Climbing Log'!R13,'RC Lookup'!$A$3:$B$9,2,FALSE),0.5),VLOOKUP('Rock Climbing Log'!R13,'RC Lookup'!$G$3:$H$5,2,FALSE)),0)*VLOOKUP(P$7,'RC Lookup'!$D$3:$E$18,2,FALSE)</f>
        <v>0</v>
      </c>
      <c r="S13" s="26">
        <f>_xlfn.IFNA(IF(LEFT('Rock Climbing Log'!S13)="C",_xlfn.IFNA(VLOOKUP('Rock Climbing Log'!S13,'RC Lookup'!$A$3:$B$9,2,FALSE),0.5),VLOOKUP('Rock Climbing Log'!S13,'RC Lookup'!$G$3:$H$5,2,FALSE)),0)*VLOOKUP(S$7,'RC Lookup'!$D$3:$E$18,2,FALSE)</f>
        <v>0</v>
      </c>
      <c r="T13" s="26">
        <f>_xlfn.IFNA(IF(LEFT('Rock Climbing Log'!T13)="C",_xlfn.IFNA(VLOOKUP('Rock Climbing Log'!T13,'RC Lookup'!$A$3:$B$9,2,FALSE),0.5),VLOOKUP('Rock Climbing Log'!T13,'RC Lookup'!$G$3:$H$5,2,FALSE)),0)*VLOOKUP(S$7,'RC Lookup'!$D$3:$E$18,2,FALSE)</f>
        <v>0</v>
      </c>
      <c r="U13" s="26">
        <f>_xlfn.IFNA(IF(LEFT('Rock Climbing Log'!U13)="C",_xlfn.IFNA(VLOOKUP('Rock Climbing Log'!U13,'RC Lookup'!$A$3:$B$9,2,FALSE),0.5),VLOOKUP('Rock Climbing Log'!U13,'RC Lookup'!$G$3:$H$5,2,FALSE)),0)*VLOOKUP(S$7,'RC Lookup'!$D$3:$E$18,2,FALSE)</f>
        <v>0</v>
      </c>
      <c r="V13" s="26">
        <f>_xlfn.IFNA(IF(LEFT('Rock Climbing Log'!V13)="C",_xlfn.IFNA(VLOOKUP('Rock Climbing Log'!V13,'RC Lookup'!$A$3:$B$9,2,FALSE),0.5),VLOOKUP('Rock Climbing Log'!V13,'RC Lookup'!$G$3:$H$5,2,FALSE)),0)*VLOOKUP(V$7,'RC Lookup'!$D$3:$E$18,2,FALSE)</f>
        <v>17.628372871200011</v>
      </c>
      <c r="W13" s="26">
        <f>_xlfn.IFNA(IF(LEFT('Rock Climbing Log'!W13)="C",_xlfn.IFNA(VLOOKUP('Rock Climbing Log'!W13,'RC Lookup'!$A$3:$B$9,2,FALSE),0.5),VLOOKUP('Rock Climbing Log'!W13,'RC Lookup'!$G$3:$H$5,2,FALSE)),0)*VLOOKUP(V$7,'RC Lookup'!$D$3:$E$18,2,FALSE)</f>
        <v>0</v>
      </c>
      <c r="X13" s="26">
        <f>_xlfn.IFNA(IF(LEFT('Rock Climbing Log'!X13)="C",_xlfn.IFNA(VLOOKUP('Rock Climbing Log'!X13,'RC Lookup'!$A$3:$B$9,2,FALSE),0.5),VLOOKUP('Rock Climbing Log'!X13,'RC Lookup'!$G$3:$H$5,2,FALSE)),0)*VLOOKUP(V$7,'RC Lookup'!$D$3:$E$18,2,FALSE)</f>
        <v>0</v>
      </c>
      <c r="Y13" s="26">
        <f>_xlfn.IFNA(IF(LEFT('Rock Climbing Log'!Y13)="C",_xlfn.IFNA(VLOOKUP('Rock Climbing Log'!Y13,'RC Lookup'!$A$3:$B$9,2,FALSE),0.5),VLOOKUP('Rock Climbing Log'!Y13,'RC Lookup'!$G$3:$H$5,2,FALSE)),0)*VLOOKUP(Y$7,'RC Lookup'!$D$3:$E$18,2,FALSE)</f>
        <v>0</v>
      </c>
      <c r="Z13" s="26">
        <f>_xlfn.IFNA(IF(LEFT('Rock Climbing Log'!Z13)="C",_xlfn.IFNA(VLOOKUP('Rock Climbing Log'!Z13,'RC Lookup'!$A$3:$B$9,2,FALSE),0.5),VLOOKUP('Rock Climbing Log'!Z13,'RC Lookup'!$G$3:$H$5,2,FALSE)),0)*VLOOKUP(Y$7,'RC Lookup'!$D$3:$E$18,2,FALSE)</f>
        <v>0</v>
      </c>
      <c r="AA13" s="26">
        <f>_xlfn.IFNA(IF(LEFT('Rock Climbing Log'!AA13)="C",_xlfn.IFNA(VLOOKUP('Rock Climbing Log'!AA13,'RC Lookup'!$A$3:$B$9,2,FALSE),0.5),VLOOKUP('Rock Climbing Log'!AA13,'RC Lookup'!$G$3:$H$5,2,FALSE)),0)*VLOOKUP(Y$7,'RC Lookup'!$D$3:$E$18,2,FALSE)</f>
        <v>0</v>
      </c>
      <c r="AB13" s="26">
        <f>_xlfn.IFNA(IF(LEFT('Rock Climbing Log'!AB13)="C",_xlfn.IFNA(VLOOKUP('Rock Climbing Log'!AB13,'RC Lookup'!$A$3:$B$9,2,FALSE),0.5),VLOOKUP('Rock Climbing Log'!AB13,'RC Lookup'!$G$3:$H$5,2,FALSE)),0)*VLOOKUP(AB$7,'RC Lookup'!$D$3:$E$18,2,FALSE)</f>
        <v>0</v>
      </c>
      <c r="AC13" s="26">
        <f>_xlfn.IFNA(IF(LEFT('Rock Climbing Log'!AC13)="C",_xlfn.IFNA(VLOOKUP('Rock Climbing Log'!AC13,'RC Lookup'!$A$3:$B$9,2,FALSE),0.5),VLOOKUP('Rock Climbing Log'!AC13,'RC Lookup'!$G$3:$H$5,2,FALSE)),0)*VLOOKUP(AB$7,'RC Lookup'!$D$3:$E$18,2,FALSE)</f>
        <v>0</v>
      </c>
      <c r="AD13" s="26">
        <f>_xlfn.IFNA(IF(LEFT('Rock Climbing Log'!AD13)="C",_xlfn.IFNA(VLOOKUP('Rock Climbing Log'!AD13,'RC Lookup'!$A$3:$B$9,2,FALSE),0.5),VLOOKUP('Rock Climbing Log'!AD13,'RC Lookup'!$G$3:$H$5,2,FALSE)),0)*VLOOKUP(AB$7,'RC Lookup'!$D$3:$E$18,2,FALSE)</f>
        <v>0</v>
      </c>
      <c r="AE13" s="26">
        <f>_xlfn.IFNA(IF(LEFT('Rock Climbing Log'!AE13)="C",_xlfn.IFNA(VLOOKUP('Rock Climbing Log'!AE13,'RC Lookup'!$A$3:$B$9,2,FALSE),0.5),VLOOKUP('Rock Climbing Log'!AE13,'RC Lookup'!$G$3:$H$5,2,FALSE)),0)*VLOOKUP(AE$7,'RC Lookup'!$D$3:$E$18,2,FALSE)</f>
        <v>0</v>
      </c>
      <c r="AF13" s="26">
        <f>_xlfn.IFNA(IF(LEFT('Rock Climbing Log'!AF13)="C",_xlfn.IFNA(VLOOKUP('Rock Climbing Log'!AF13,'RC Lookup'!$A$3:$B$9,2,FALSE),0.5),VLOOKUP('Rock Climbing Log'!AF13,'RC Lookup'!$G$3:$H$5,2,FALSE)),0)*VLOOKUP(AE$7,'RC Lookup'!$D$3:$E$18,2,FALSE)</f>
        <v>0</v>
      </c>
      <c r="AG13" s="26">
        <f>_xlfn.IFNA(IF(LEFT('Rock Climbing Log'!AG13)="C",_xlfn.IFNA(VLOOKUP('Rock Climbing Log'!AG13,'RC Lookup'!$A$3:$B$9,2,FALSE),0.5),VLOOKUP('Rock Climbing Log'!AG13,'RC Lookup'!$G$3:$H$5,2,FALSE)),0)*VLOOKUP(AE$7,'RC Lookup'!$D$3:$E$18,2,FALSE)</f>
        <v>0</v>
      </c>
      <c r="AH13" s="26">
        <f>_xlfn.IFNA(IF(LEFT('Rock Climbing Log'!AH13)="C",_xlfn.IFNA(VLOOKUP('Rock Climbing Log'!AH13,'RC Lookup'!$A$3:$B$9,2,FALSE),0.5),VLOOKUP('Rock Climbing Log'!AH13,'RC Lookup'!$G$3:$H$5,2,FALSE)),0)*VLOOKUP(AH$7,'RC Lookup'!$D$3:$E$18,2,FALSE)</f>
        <v>0</v>
      </c>
      <c r="AI13" s="26">
        <f>_xlfn.IFNA(IF(LEFT('Rock Climbing Log'!AI13)="C",_xlfn.IFNA(VLOOKUP('Rock Climbing Log'!AI13,'RC Lookup'!$A$3:$B$9,2,FALSE),0.5),VLOOKUP('Rock Climbing Log'!AI13,'RC Lookup'!$G$3:$H$5,2,FALSE)),0)*VLOOKUP(AH$7,'RC Lookup'!$D$3:$E$18,2,FALSE)</f>
        <v>0</v>
      </c>
      <c r="AJ13" s="26">
        <f>_xlfn.IFNA(IF(LEFT('Rock Climbing Log'!AJ13)="C",_xlfn.IFNA(VLOOKUP('Rock Climbing Log'!AJ13,'RC Lookup'!$A$3:$B$9,2,FALSE),0.5),VLOOKUP('Rock Climbing Log'!AJ13,'RC Lookup'!$G$3:$H$5,2,FALSE)),0)*VLOOKUP(AH$7,'RC Lookup'!$D$3:$E$18,2,FALSE)</f>
        <v>0</v>
      </c>
      <c r="AK13" s="26">
        <f>_xlfn.IFNA(IF(LEFT('Rock Climbing Log'!AK13)="C",_xlfn.IFNA(VLOOKUP('Rock Climbing Log'!AK13,'RC Lookup'!$A$3:$B$9,2,FALSE),0.5),VLOOKUP('Rock Climbing Log'!AK13,'RC Lookup'!$G$3:$H$5,2,FALSE)),0)*VLOOKUP(AK$7,'RC Lookup'!$D$3:$E$18,2,FALSE)</f>
        <v>0</v>
      </c>
      <c r="AL13" s="26">
        <f>_xlfn.IFNA(IF(LEFT('Rock Climbing Log'!AL13)="C",_xlfn.IFNA(VLOOKUP('Rock Climbing Log'!AL13,'RC Lookup'!$A$3:$B$9,2,FALSE),0.5),VLOOKUP('Rock Climbing Log'!AL13,'RC Lookup'!$G$3:$H$5,2,FALSE)),0)*VLOOKUP(AK$7,'RC Lookup'!$D$3:$E$18,2,FALSE)</f>
        <v>0</v>
      </c>
      <c r="AM13" s="26">
        <f>_xlfn.IFNA(IF(LEFT('Rock Climbing Log'!AM13)="C",_xlfn.IFNA(VLOOKUP('Rock Climbing Log'!AM13,'RC Lookup'!$A$3:$B$9,2,FALSE),0.5),VLOOKUP('Rock Climbing Log'!AM13,'RC Lookup'!$G$3:$H$5,2,FALSE)),0)*VLOOKUP(AK$7,'RC Lookup'!$D$3:$E$18,2,FALSE)</f>
        <v>0</v>
      </c>
      <c r="AN13" s="26">
        <f>_xlfn.IFNA(IF(LEFT('Rock Climbing Log'!AN13)="C",_xlfn.IFNA(VLOOKUP('Rock Climbing Log'!AN13,'RC Lookup'!$A$3:$B$9,2,FALSE),0.5),VLOOKUP('Rock Climbing Log'!AN13,'RC Lookup'!$G$3:$H$5,2,FALSE)),0)*VLOOKUP(AN$7,'RC Lookup'!$D$3:$E$18,2,FALSE)</f>
        <v>0</v>
      </c>
      <c r="AO13" s="26">
        <f>_xlfn.IFNA(IF(LEFT('Rock Climbing Log'!AO13)="C",_xlfn.IFNA(VLOOKUP('Rock Climbing Log'!AO13,'RC Lookup'!$A$3:$B$9,2,FALSE),0.5),VLOOKUP('Rock Climbing Log'!AO13,'RC Lookup'!$G$3:$H$5,2,FALSE)),0)*VLOOKUP(AN$7,'RC Lookup'!$D$3:$E$18,2,FALSE)</f>
        <v>0</v>
      </c>
      <c r="AP13" s="26">
        <f>_xlfn.IFNA(IF(LEFT('Rock Climbing Log'!AP13)="C",_xlfn.IFNA(VLOOKUP('Rock Climbing Log'!AP13,'RC Lookup'!$A$3:$B$9,2,FALSE),0.5),VLOOKUP('Rock Climbing Log'!AP13,'RC Lookup'!$G$3:$H$5,2,FALSE)),0)*VLOOKUP(AN$7,'RC Lookup'!$D$3:$E$18,2,FALSE)</f>
        <v>0</v>
      </c>
      <c r="AQ13" s="26">
        <f>_xlfn.IFNA(IF(LEFT('Rock Climbing Log'!AQ13)="C",_xlfn.IFNA(VLOOKUP('Rock Climbing Log'!AQ13,'RC Lookup'!$A$3:$B$9,2,FALSE),0.5),VLOOKUP('Rock Climbing Log'!AQ13,'RC Lookup'!$G$3:$H$5,2,FALSE)),0)*VLOOKUP(AQ$7,'RC Lookup'!$D$3:$E$18,2,FALSE)</f>
        <v>0</v>
      </c>
      <c r="AR13" s="26">
        <f>_xlfn.IFNA(IF(LEFT('Rock Climbing Log'!AR13)="C",_xlfn.IFNA(VLOOKUP('Rock Climbing Log'!AR13,'RC Lookup'!$A$3:$B$9,2,FALSE),0.5),VLOOKUP('Rock Climbing Log'!AR13,'RC Lookup'!$G$3:$H$5,2,FALSE)),0)*VLOOKUP(AQ$7,'RC Lookup'!$D$3:$E$18,2,FALSE)</f>
        <v>0</v>
      </c>
      <c r="AS13" s="26">
        <f>_xlfn.IFNA(IF(LEFT('Rock Climbing Log'!AS13)="C",_xlfn.IFNA(VLOOKUP('Rock Climbing Log'!AS13,'RC Lookup'!$A$3:$B$9,2,FALSE),0.5),VLOOKUP('Rock Climbing Log'!AS13,'RC Lookup'!$G$3:$H$5,2,FALSE)),0)*VLOOKUP(AQ$7,'RC Lookup'!$D$3:$E$18,2,FALSE)</f>
        <v>0</v>
      </c>
      <c r="AT13" s="26">
        <f>_xlfn.IFNA(IF(LEFT('Rock Climbing Log'!AT13)="C",_xlfn.IFNA(VLOOKUP('Rock Climbing Log'!AT13,'RC Lookup'!$A$3:$B$9,2,FALSE),0.5),VLOOKUP('Rock Climbing Log'!AT13,'RC Lookup'!$G$3:$H$5,2,FALSE)),0)*VLOOKUP(AT$7,'RC Lookup'!$D$3:$E$18,2,FALSE)</f>
        <v>0</v>
      </c>
      <c r="AU13" s="26">
        <f>_xlfn.IFNA(IF(LEFT('Rock Climbing Log'!AU13)="C",_xlfn.IFNA(VLOOKUP('Rock Climbing Log'!AU13,'RC Lookup'!$A$3:$B$9,2,FALSE),0.5),VLOOKUP('Rock Climbing Log'!AU13,'RC Lookup'!$G$3:$H$5,2,FALSE)),0)*VLOOKUP(AT$7,'RC Lookup'!$D$3:$E$18,2,FALSE)</f>
        <v>0</v>
      </c>
      <c r="AV13" s="26">
        <f>_xlfn.IFNA(IF(LEFT('Rock Climbing Log'!AV13)="C",_xlfn.IFNA(VLOOKUP('Rock Climbing Log'!AV13,'RC Lookup'!$A$3:$B$9,2,FALSE),0.5),VLOOKUP('Rock Climbing Log'!AV13,'RC Lookup'!$G$3:$H$5,2,FALSE)),0)*VLOOKUP(AT$7,'RC Lookup'!$D$3:$E$18,2,FALSE)</f>
        <v>0</v>
      </c>
      <c r="AW13" s="30">
        <f t="shared" ca="1" si="0"/>
        <v>61.553862871200025</v>
      </c>
      <c r="AX13" s="30">
        <f ca="1">_xlfn.IFNA(VLOOKUP(SUMPRODUCT(LARGE(($C$8:$C13=Table1[[#This Row],[Climber]])*$A$8:$A13,1)),$A$8:$AW13,MATCH($AW$7,$A$7:$AW$7,FALSE),FALSE),0)/LEFT($AX$7,FIND(" ",$AX$7))+_xlfn.IFNA(VLOOKUP(SUMPRODUCT(LARGE(($C$8:$C13=Table1[[#This Row],[Climber]])*$A$8:$A13,MIN(2,COUNTIFS($C$8:$C13,$C13)))),$A$8:$AW13,MATCH($AW$7,$A$7:$AW$7,FALSE),FALSE),0)/LEFT($AX$7,FIND(" ",$AX$7))+_xlfn.IFNA(VLOOKUP(SUMPRODUCT(LARGE(($C$8:$C13=Table1[[#This Row],[Climber]])*$A$8:$A13,MIN(3,COUNTIFS($C$8:$C13,$C13)))),$A$8:$AW13,MATCH($AW$7,$A$7:$AW$7,FALSE),FALSE),0)/LEFT($AX$7,FIND(" ",$AX$7))</f>
        <v>61.553862871200025</v>
      </c>
      <c r="AY13" s="30">
        <f ca="1">_xlfn.IFNA(VLOOKUP(SUMPRODUCT(LARGE(($C$8:$C13=Table1[[#This Row],[Climber]])*$A$8:$A13,1)),$A$8:$AW13,MATCH($AW$7,$A$7:$AW$7,FALSE),FALSE),0)/LEFT($AY$7,FIND(" ",$AY$7))+_xlfn.IFNA(VLOOKUP(SUMPRODUCT(LARGE(($C$8:$C13=Table1[[#This Row],[Climber]])*$A$8:$A13,MIN(2,COUNTIFS($C$8:$C13,$C13)))),$A$8:$AW13,MATCH($AW$7,$A$7:$AW$7,FALSE),FALSE),0)/LEFT($AY$7,FIND(" ",$AY$7))+_xlfn.IFNA(VLOOKUP(SUMPRODUCT(LARGE(($C$8:$C13=Table1[[#This Row],[Climber]])*$A$8:$A13,MIN(3,COUNTIFS($C$8:$C13,$C13)))),$A$8:$AW13,MATCH($AW$7,$A$7:$AW$7,FALSE),FALSE),0)/LEFT($AY$7,FIND(" ",$AY$7))+_xlfn.IFNA(VLOOKUP(SUMPRODUCT(LARGE(($C$8:$C13=Table1[[#This Row],[Climber]])*$A$8:$A13,MIN(4,COUNTIFS($C$8:$C13,$C13)))),$A$8:$AW13,MATCH($AW$7,$A$7:$AW$7,FALSE),FALSE),0)/LEFT($AY$7,FIND(" ",$AY$7))+_xlfn.IFNA(VLOOKUP(SUMPRODUCT(LARGE(($C$8:$C13=Table1[[#This Row],[Climber]])*$A$8:$A13,MIN(5,COUNTIFS($C$8:$C13,$C13)))),$A$8:$AW13,MATCH($AW$7,$A$7:$AW$7,FALSE),FALSE),0)/LEFT($AY$7,FIND(" ",$AY$7))</f>
        <v>61.553862871200025</v>
      </c>
      <c r="AZ13" s="30">
        <f>(_xlfn.IFNA(VLOOKUP(SUMPRODUCT(LARGE(($C$8:$C13=Table1[[#This Row],[Climber]])*$A$8:$A13,4)),$A$8:$AW13,MATCH($AW$7,$A$7:$AW$7,FALSE),FALSE),0)+_xlfn.IFNA(VLOOKUP(SUMPRODUCT(LARGE(($C$8:$C13=Table1[[#This Row],[Climber]])*$A$8:$A13,5)),$A$8:$AW13,MATCH($AW$7,$A$7:$AW$7,FALSE),FALSE),0)+_xlfn.IFNA(VLOOKUP(SUMPRODUCT(LARGE(($C$8:$C13=Table1[[#This Row],[Climber]])*$A$8:$A13,6)),$A$8:$AW13,MATCH($AW$7,$A$7:$AW$7,FALSE),FALSE),0))/3</f>
        <v>0</v>
      </c>
      <c r="BA13" s="6">
        <f ca="1">_xlfn.MAXIFS(INDIRECT("$AW"&amp;IF(SUMPRODUCT(LARGE(($C$8:$C13=$C13)*$A$8:$A13,LEFT($BA$7,FIND(" ",$BA$7)-1)))=0,8,SUMPRODUCT(LARGE(($C$8:$C13=$C13)*$A$8:$A13,LEFT($BA$7,FIND(" ",$BA$7)-1)))+7)&amp;":$AW"&amp;ROW()),INDIRECT("$C"&amp;IF(SUMPRODUCT(LARGE(($C$8:$C13=$C13)*$A$8:$A13,LEFT($BA$7,FIND(" ",$BA$7)-1)))=0,8,SUMPRODUCT(LARGE(($C$8:$C13=$C13)*$A$8:$A13,LEFT($BA$7,FIND(" ",$BA$7)-1)))+7)&amp;":$C"&amp;ROW()),$C13)</f>
        <v>61.553862871200025</v>
      </c>
      <c r="BB13" s="6" t="str">
        <f ca="1">VLOOKUP(MAX(BG13,$AX13),'RC Lookup'!$G$14:$J$20,2,TRUE)</f>
        <v>T2</v>
      </c>
      <c r="BC13" s="6">
        <f ca="1">_xlfn.IFNA(VLOOKUP(VLOOKUP($C13,'RC Lookup'!$O$3:$P$50,2,FALSE),'RC Lookup'!$H$14:$J$23,2,FALSE),0)*AW13</f>
        <v>47.236871488239167</v>
      </c>
      <c r="BD13" s="6">
        <f ca="1">_xlfn.IFNA(VLOOKUP(SUMPRODUCT(LARGE(($C$8:$C13=Table1[[#This Row],[Climber]])*$A$8:$A13,1)),$A$8:$BC13,55,FALSE),0)/LEFT($AX$7,FIND(" ",$AX$7))+_xlfn.IFNA(VLOOKUP(SUMPRODUCT(LARGE(($C$8:$C13=Table1[[#This Row],[Climber]])*$A$8:$A13,MIN(2,COUNTIFS($C$8:$C13,$C13)))),$A$8:$BC13,55,FALSE),0)/LEFT($AX$7,FIND(" ",$AX$7))+_xlfn.IFNA(VLOOKUP(SUMPRODUCT(LARGE(($C$8:$C13=Table1[[#This Row],[Climber]])*$A$8:$A13,MIN(3,COUNTIFS($C$8:$C13,$C13)))),$A$8:$BC13,55,FALSE),0)/LEFT($AX$7,FIND(" ",$AX$7))</f>
        <v>47.236871488239167</v>
      </c>
      <c r="BE13" s="6">
        <f>(_xlfn.IFNA(VLOOKUP(SUMPRODUCT(LARGE(($C$8:$C13=Table1[[#This Row],[Climber]])*$A$8:$A13,4)),$A$8:$BD13,55,FALSE),0)+_xlfn.IFNA(VLOOKUP(SUMPRODUCT(LARGE(($C$8:$C13=Table1[[#This Row],[Climber]])*$A$8:$A13,5)),$A$8:$BD13,55,FALSE),0)+_xlfn.IFNA(VLOOKUP(SUMPRODUCT(LARGE(($C$8:$C13=Table1[[#This Row],[Climber]])*$A$8:$A13,6)),$A$8:$BD13,55,FALSE),0))/3</f>
        <v>0</v>
      </c>
      <c r="BF13" s="46">
        <f ca="1">_xlfn.MAXIFS(INDIRECT("$BC"&amp;IF(SUMPRODUCT(LARGE(($C$8:$C13=$C13)*$A$8:$A13,LEFT($BA$7,FIND(" ",$BA$7)-1)))=0,8,SUMPRODUCT(LARGE(($C$8:$C13=$C13)*$A$8:$A13,LEFT($BA$7,FIND(" ",$BA$7)-1)))+7)&amp;":$BC"&amp;ROW()),INDIRECT("$C"&amp;IF(SUMPRODUCT(LARGE(($C$8:$C13=$C13)*$A$8:$A13,LEFT($BA$7,FIND(" ",$BA$7)-1)))=0,8,SUMPRODUCT(LARGE(($C$8:$C13=$C13)*$A$8:$A13,LEFT($BA$7,FIND(" ",$BA$7)-1)))+7)&amp;":$C"&amp;ROW()),$C13)</f>
        <v>47.236871488239167</v>
      </c>
      <c r="BG13" s="46">
        <f t="array" aca="1" ref="BG13" ca="1">IFERROR(SUMPRODUCT(LARGE(($C$8:$C13=Table1[[#This Row],[Climber]])*$AW$8:$AW13,ROW(INDIRECT("1:5")))),AW13)/MIN(COUNTIFS($C$8:$C13,C13),5)</f>
        <v>61.553862871200025</v>
      </c>
      <c r="BH13" s="46"/>
    </row>
    <row r="14" spans="1:60" x14ac:dyDescent="0.3">
      <c r="A14" s="125">
        <f t="shared" si="1"/>
        <v>7</v>
      </c>
      <c r="B14" s="25">
        <f>'Rock Climbing Log'!B14</f>
        <v>43111</v>
      </c>
      <c r="C14" s="126" t="str">
        <f>'Rock Climbing Log'!C14</f>
        <v>Lester</v>
      </c>
      <c r="D14" s="26">
        <f>_xlfn.IFNA(IF(LEFT('Rock Climbing Log'!D14)="C",_xlfn.IFNA(VLOOKUP('Rock Climbing Log'!D14,'RC Lookup'!$A$3:$B$9,2,FALSE),0.5),VLOOKUP('Rock Climbing Log'!D14,'RC Lookup'!$G$3:$H$5,2,FALSE)),0)*VLOOKUP(D$7,'RC Lookup'!$D$3:$E$18,2,FALSE)</f>
        <v>0</v>
      </c>
      <c r="E14" s="26">
        <f>_xlfn.IFNA(IF(LEFT('Rock Climbing Log'!E14)="C",_xlfn.IFNA(VLOOKUP('Rock Climbing Log'!E14,'RC Lookup'!$A$3:$B$9,2,FALSE),0.5),VLOOKUP('Rock Climbing Log'!E14,'RC Lookup'!$G$3:$H$5,2,FALSE)),0)*VLOOKUP(D$7,'RC Lookup'!$D$3:$E$18,2,FALSE)</f>
        <v>0</v>
      </c>
      <c r="F14" s="26">
        <f>_xlfn.IFNA(IF(LEFT('Rock Climbing Log'!F14)="C",_xlfn.IFNA(VLOOKUP('Rock Climbing Log'!F14,'RC Lookup'!$A$3:$B$9,2,FALSE),0.5),VLOOKUP('Rock Climbing Log'!F14,'RC Lookup'!$G$3:$H$5,2,FALSE)),0)*VLOOKUP(D$7,'RC Lookup'!$D$3:$E$18,2,FALSE)</f>
        <v>0</v>
      </c>
      <c r="G14" s="26">
        <f>_xlfn.IFNA(IF(LEFT('Rock Climbing Log'!G14)="C",_xlfn.IFNA(VLOOKUP('Rock Climbing Log'!G14,'RC Lookup'!$A$3:$B$9,2,FALSE),0.5),VLOOKUP('Rock Climbing Log'!G14,'RC Lookup'!$G$3:$H$5,2,FALSE)),0)*VLOOKUP(G$7,'RC Lookup'!$D$3:$E$18,2,FALSE)</f>
        <v>12.5</v>
      </c>
      <c r="H14" s="26">
        <f>_xlfn.IFNA(IF(LEFT('Rock Climbing Log'!H14)="C",_xlfn.IFNA(VLOOKUP('Rock Climbing Log'!H14,'RC Lookup'!$A$3:$B$9,2,FALSE),0.5),VLOOKUP('Rock Climbing Log'!H14,'RC Lookup'!$G$3:$H$5,2,FALSE)),0)*VLOOKUP(G$7,'RC Lookup'!$D$3:$E$18,2,FALSE)</f>
        <v>0</v>
      </c>
      <c r="I14" s="26">
        <f>_xlfn.IFNA(IF(LEFT('Rock Climbing Log'!I14)="C",_xlfn.IFNA(VLOOKUP('Rock Climbing Log'!I14,'RC Lookup'!$A$3:$B$9,2,FALSE),0.5),VLOOKUP('Rock Climbing Log'!I14,'RC Lookup'!$G$3:$H$5,2,FALSE)),0)*VLOOKUP(G$7,'RC Lookup'!$D$3:$E$18,2,FALSE)</f>
        <v>0</v>
      </c>
      <c r="J14" s="26">
        <f>_xlfn.IFNA(IF(LEFT('Rock Climbing Log'!J14)="C",_xlfn.IFNA(VLOOKUP('Rock Climbing Log'!J14,'RC Lookup'!$A$3:$B$9,2,FALSE),0.5),VLOOKUP('Rock Climbing Log'!J14,'RC Lookup'!$G$3:$H$5,2,FALSE)),0)*VLOOKUP(J$7,'RC Lookup'!$D$3:$E$18,2,FALSE)</f>
        <v>15.75</v>
      </c>
      <c r="K14" s="26">
        <f>_xlfn.IFNA(IF(LEFT('Rock Climbing Log'!K14)="C",_xlfn.IFNA(VLOOKUP('Rock Climbing Log'!K14,'RC Lookup'!$A$3:$B$9,2,FALSE),0.5),VLOOKUP('Rock Climbing Log'!K14,'RC Lookup'!$G$3:$H$5,2,FALSE)),0)*VLOOKUP(J$7,'RC Lookup'!$D$3:$E$18,2,FALSE)</f>
        <v>0</v>
      </c>
      <c r="L14" s="26">
        <f>_xlfn.IFNA(IF(LEFT('Rock Climbing Log'!L14)="C",_xlfn.IFNA(VLOOKUP('Rock Climbing Log'!L14,'RC Lookup'!$A$3:$B$9,2,FALSE),0.5),VLOOKUP('Rock Climbing Log'!L14,'RC Lookup'!$G$3:$H$5,2,FALSE)),0)*VLOOKUP(J$7,'RC Lookup'!$D$3:$E$18,2,FALSE)</f>
        <v>0</v>
      </c>
      <c r="M14" s="26">
        <f>_xlfn.IFNA(IF(LEFT('Rock Climbing Log'!M14)="C",_xlfn.IFNA(VLOOKUP('Rock Climbing Log'!M14,'RC Lookup'!$A$3:$B$9,2,FALSE),0.5),VLOOKUP('Rock Climbing Log'!M14,'RC Lookup'!$G$3:$H$5,2,FALSE)),0)*VLOOKUP(M$7,'RC Lookup'!$D$3:$E$18,2,FALSE)</f>
        <v>20.002500000000001</v>
      </c>
      <c r="N14" s="26">
        <f>_xlfn.IFNA(IF(LEFT('Rock Climbing Log'!N14)="C",_xlfn.IFNA(VLOOKUP('Rock Climbing Log'!N14,'RC Lookup'!$A$3:$B$9,2,FALSE),0.5),VLOOKUP('Rock Climbing Log'!N14,'RC Lookup'!$G$3:$H$5,2,FALSE)),0)*VLOOKUP(M$7,'RC Lookup'!$D$3:$E$18,2,FALSE)</f>
        <v>0</v>
      </c>
      <c r="O14" s="26">
        <f>_xlfn.IFNA(IF(LEFT('Rock Climbing Log'!O14)="C",_xlfn.IFNA(VLOOKUP('Rock Climbing Log'!O14,'RC Lookup'!$A$3:$B$9,2,FALSE),0.5),VLOOKUP('Rock Climbing Log'!O14,'RC Lookup'!$G$3:$H$5,2,FALSE)),0)*VLOOKUP(M$7,'RC Lookup'!$D$3:$E$18,2,FALSE)</f>
        <v>0</v>
      </c>
      <c r="P14" s="26">
        <f>_xlfn.IFNA(IF(LEFT('Rock Climbing Log'!P14)="C",_xlfn.IFNA(VLOOKUP('Rock Climbing Log'!P14,'RC Lookup'!$A$3:$B$9,2,FALSE),0.5),VLOOKUP('Rock Climbing Log'!P14,'RC Lookup'!$G$3:$H$5,2,FALSE)),0)*VLOOKUP(P$7,'RC Lookup'!$D$3:$E$18,2,FALSE)</f>
        <v>0</v>
      </c>
      <c r="Q14" s="26">
        <f>_xlfn.IFNA(IF(LEFT('Rock Climbing Log'!Q14)="C",_xlfn.IFNA(VLOOKUP('Rock Climbing Log'!Q14,'RC Lookup'!$A$3:$B$9,2,FALSE),0.5),VLOOKUP('Rock Climbing Log'!Q14,'RC Lookup'!$G$3:$H$5,2,FALSE)),0)*VLOOKUP(P$7,'RC Lookup'!$D$3:$E$18,2,FALSE)</f>
        <v>0</v>
      </c>
      <c r="R14" s="26">
        <f>_xlfn.IFNA(IF(LEFT('Rock Climbing Log'!R14)="C",_xlfn.IFNA(VLOOKUP('Rock Climbing Log'!R14,'RC Lookup'!$A$3:$B$9,2,FALSE),0.5),VLOOKUP('Rock Climbing Log'!R14,'RC Lookup'!$G$3:$H$5,2,FALSE)),0)*VLOOKUP(P$7,'RC Lookup'!$D$3:$E$18,2,FALSE)</f>
        <v>0</v>
      </c>
      <c r="S14" s="26">
        <f>_xlfn.IFNA(IF(LEFT('Rock Climbing Log'!S14)="C",_xlfn.IFNA(VLOOKUP('Rock Climbing Log'!S14,'RC Lookup'!$A$3:$B$9,2,FALSE),0.5),VLOOKUP('Rock Climbing Log'!S14,'RC Lookup'!$G$3:$H$5,2,FALSE)),0)*VLOOKUP(S$7,'RC Lookup'!$D$3:$E$18,2,FALSE)</f>
        <v>0</v>
      </c>
      <c r="T14" s="26">
        <f>_xlfn.IFNA(IF(LEFT('Rock Climbing Log'!T14)="C",_xlfn.IFNA(VLOOKUP('Rock Climbing Log'!T14,'RC Lookup'!$A$3:$B$9,2,FALSE),0.5),VLOOKUP('Rock Climbing Log'!T14,'RC Lookup'!$G$3:$H$5,2,FALSE)),0)*VLOOKUP(S$7,'RC Lookup'!$D$3:$E$18,2,FALSE)</f>
        <v>0</v>
      </c>
      <c r="U14" s="26">
        <f>_xlfn.IFNA(IF(LEFT('Rock Climbing Log'!U14)="C",_xlfn.IFNA(VLOOKUP('Rock Climbing Log'!U14,'RC Lookup'!$A$3:$B$9,2,FALSE),0.5),VLOOKUP('Rock Climbing Log'!U14,'RC Lookup'!$G$3:$H$5,2,FALSE)),0)*VLOOKUP(S$7,'RC Lookup'!$D$3:$E$18,2,FALSE)</f>
        <v>0</v>
      </c>
      <c r="V14" s="26">
        <f>_xlfn.IFNA(IF(LEFT('Rock Climbing Log'!V14)="C",_xlfn.IFNA(VLOOKUP('Rock Climbing Log'!V14,'RC Lookup'!$A$3:$B$9,2,FALSE),0.5),VLOOKUP('Rock Climbing Log'!V14,'RC Lookup'!$G$3:$H$5,2,FALSE)),0)*VLOOKUP(V$7,'RC Lookup'!$D$3:$E$18,2,FALSE)</f>
        <v>35.256745742400021</v>
      </c>
      <c r="W14" s="26">
        <f>_xlfn.IFNA(IF(LEFT('Rock Climbing Log'!W14)="C",_xlfn.IFNA(VLOOKUP('Rock Climbing Log'!W14,'RC Lookup'!$A$3:$B$9,2,FALSE),0.5),VLOOKUP('Rock Climbing Log'!W14,'RC Lookup'!$G$3:$H$5,2,FALSE)),0)*VLOOKUP(V$7,'RC Lookup'!$D$3:$E$18,2,FALSE)</f>
        <v>0</v>
      </c>
      <c r="X14" s="26">
        <f>_xlfn.IFNA(IF(LEFT('Rock Climbing Log'!X14)="C",_xlfn.IFNA(VLOOKUP('Rock Climbing Log'!X14,'RC Lookup'!$A$3:$B$9,2,FALSE),0.5),VLOOKUP('Rock Climbing Log'!X14,'RC Lookup'!$G$3:$H$5,2,FALSE)),0)*VLOOKUP(V$7,'RC Lookup'!$D$3:$E$18,2,FALSE)</f>
        <v>0</v>
      </c>
      <c r="Y14" s="26">
        <f>_xlfn.IFNA(IF(LEFT('Rock Climbing Log'!Y14)="C",_xlfn.IFNA(VLOOKUP('Rock Climbing Log'!Y14,'RC Lookup'!$A$3:$B$9,2,FALSE),0.5),VLOOKUP('Rock Climbing Log'!Y14,'RC Lookup'!$G$3:$H$5,2,FALSE)),0)*VLOOKUP(Y$7,'RC Lookup'!$D$3:$E$18,2,FALSE)</f>
        <v>0</v>
      </c>
      <c r="Z14" s="26">
        <f>_xlfn.IFNA(IF(LEFT('Rock Climbing Log'!Z14)="C",_xlfn.IFNA(VLOOKUP('Rock Climbing Log'!Z14,'RC Lookup'!$A$3:$B$9,2,FALSE),0.5),VLOOKUP('Rock Climbing Log'!Z14,'RC Lookup'!$G$3:$H$5,2,FALSE)),0)*VLOOKUP(Y$7,'RC Lookup'!$D$3:$E$18,2,FALSE)</f>
        <v>0</v>
      </c>
      <c r="AA14" s="26">
        <f>_xlfn.IFNA(IF(LEFT('Rock Climbing Log'!AA14)="C",_xlfn.IFNA(VLOOKUP('Rock Climbing Log'!AA14,'RC Lookup'!$A$3:$B$9,2,FALSE),0.5),VLOOKUP('Rock Climbing Log'!AA14,'RC Lookup'!$G$3:$H$5,2,FALSE)),0)*VLOOKUP(Y$7,'RC Lookup'!$D$3:$E$18,2,FALSE)</f>
        <v>0</v>
      </c>
      <c r="AB14" s="26">
        <f>_xlfn.IFNA(IF(LEFT('Rock Climbing Log'!AB14)="C",_xlfn.IFNA(VLOOKUP('Rock Climbing Log'!AB14,'RC Lookup'!$A$3:$B$9,2,FALSE),0.5),VLOOKUP('Rock Climbing Log'!AB14,'RC Lookup'!$G$3:$H$5,2,FALSE)),0)*VLOOKUP(AB$7,'RC Lookup'!$D$3:$E$18,2,FALSE)</f>
        <v>0</v>
      </c>
      <c r="AC14" s="26">
        <f>_xlfn.IFNA(IF(LEFT('Rock Climbing Log'!AC14)="C",_xlfn.IFNA(VLOOKUP('Rock Climbing Log'!AC14,'RC Lookup'!$A$3:$B$9,2,FALSE),0.5),VLOOKUP('Rock Climbing Log'!AC14,'RC Lookup'!$G$3:$H$5,2,FALSE)),0)*VLOOKUP(AB$7,'RC Lookup'!$D$3:$E$18,2,FALSE)</f>
        <v>0</v>
      </c>
      <c r="AD14" s="26">
        <f>_xlfn.IFNA(IF(LEFT('Rock Climbing Log'!AD14)="C",_xlfn.IFNA(VLOOKUP('Rock Climbing Log'!AD14,'RC Lookup'!$A$3:$B$9,2,FALSE),0.5),VLOOKUP('Rock Climbing Log'!AD14,'RC Lookup'!$G$3:$H$5,2,FALSE)),0)*VLOOKUP(AB$7,'RC Lookup'!$D$3:$E$18,2,FALSE)</f>
        <v>0</v>
      </c>
      <c r="AE14" s="26">
        <f>_xlfn.IFNA(IF(LEFT('Rock Climbing Log'!AE14)="C",_xlfn.IFNA(VLOOKUP('Rock Climbing Log'!AE14,'RC Lookup'!$A$3:$B$9,2,FALSE),0.5),VLOOKUP('Rock Climbing Log'!AE14,'RC Lookup'!$G$3:$H$5,2,FALSE)),0)*VLOOKUP(AE$7,'RC Lookup'!$D$3:$E$18,2,FALSE)</f>
        <v>61.080904662239604</v>
      </c>
      <c r="AF14" s="26">
        <f>_xlfn.IFNA(IF(LEFT('Rock Climbing Log'!AF14)="C",_xlfn.IFNA(VLOOKUP('Rock Climbing Log'!AF14,'RC Lookup'!$A$3:$B$9,2,FALSE),0.5),VLOOKUP('Rock Climbing Log'!AF14,'RC Lookup'!$G$3:$H$5,2,FALSE)),0)*VLOOKUP(AE$7,'RC Lookup'!$D$3:$E$18,2,FALSE)</f>
        <v>0</v>
      </c>
      <c r="AG14" s="26">
        <f>_xlfn.IFNA(IF(LEFT('Rock Climbing Log'!AG14)="C",_xlfn.IFNA(VLOOKUP('Rock Climbing Log'!AG14,'RC Lookup'!$A$3:$B$9,2,FALSE),0.5),VLOOKUP('Rock Climbing Log'!AG14,'RC Lookup'!$G$3:$H$5,2,FALSE)),0)*VLOOKUP(AE$7,'RC Lookup'!$D$3:$E$18,2,FALSE)</f>
        <v>0</v>
      </c>
      <c r="AH14" s="26">
        <f>_xlfn.IFNA(IF(LEFT('Rock Climbing Log'!AH14)="C",_xlfn.IFNA(VLOOKUP('Rock Climbing Log'!AH14,'RC Lookup'!$A$3:$B$9,2,FALSE),0.5),VLOOKUP('Rock Climbing Log'!AH14,'RC Lookup'!$G$3:$H$5,2,FALSE)),0)*VLOOKUP(AH$7,'RC Lookup'!$D$3:$E$18,2,FALSE)</f>
        <v>0</v>
      </c>
      <c r="AI14" s="26">
        <f>_xlfn.IFNA(IF(LEFT('Rock Climbing Log'!AI14)="C",_xlfn.IFNA(VLOOKUP('Rock Climbing Log'!AI14,'RC Lookup'!$A$3:$B$9,2,FALSE),0.5),VLOOKUP('Rock Climbing Log'!AI14,'RC Lookup'!$G$3:$H$5,2,FALSE)),0)*VLOOKUP(AH$7,'RC Lookup'!$D$3:$E$18,2,FALSE)</f>
        <v>0</v>
      </c>
      <c r="AJ14" s="26">
        <f>_xlfn.IFNA(IF(LEFT('Rock Climbing Log'!AJ14)="C",_xlfn.IFNA(VLOOKUP('Rock Climbing Log'!AJ14,'RC Lookup'!$A$3:$B$9,2,FALSE),0.5),VLOOKUP('Rock Climbing Log'!AJ14,'RC Lookup'!$G$3:$H$5,2,FALSE)),0)*VLOOKUP(AH$7,'RC Lookup'!$D$3:$E$18,2,FALSE)</f>
        <v>0</v>
      </c>
      <c r="AK14" s="26">
        <f>_xlfn.IFNA(IF(LEFT('Rock Climbing Log'!AK14)="C",_xlfn.IFNA(VLOOKUP('Rock Climbing Log'!AK14,'RC Lookup'!$A$3:$B$9,2,FALSE),0.5),VLOOKUP('Rock Climbing Log'!AK14,'RC Lookup'!$G$3:$H$5,2,FALSE)),0)*VLOOKUP(AK$7,'RC Lookup'!$D$3:$E$18,2,FALSE)</f>
        <v>0</v>
      </c>
      <c r="AL14" s="26">
        <f>_xlfn.IFNA(IF(LEFT('Rock Climbing Log'!AL14)="C",_xlfn.IFNA(VLOOKUP('Rock Climbing Log'!AL14,'RC Lookup'!$A$3:$B$9,2,FALSE),0.5),VLOOKUP('Rock Climbing Log'!AL14,'RC Lookup'!$G$3:$H$5,2,FALSE)),0)*VLOOKUP(AK$7,'RC Lookup'!$D$3:$E$18,2,FALSE)</f>
        <v>0</v>
      </c>
      <c r="AM14" s="26">
        <f>_xlfn.IFNA(IF(LEFT('Rock Climbing Log'!AM14)="C",_xlfn.IFNA(VLOOKUP('Rock Climbing Log'!AM14,'RC Lookup'!$A$3:$B$9,2,FALSE),0.5),VLOOKUP('Rock Climbing Log'!AM14,'RC Lookup'!$G$3:$H$5,2,FALSE)),0)*VLOOKUP(AK$7,'RC Lookup'!$D$3:$E$18,2,FALSE)</f>
        <v>0</v>
      </c>
      <c r="AN14" s="26">
        <f>_xlfn.IFNA(IF(LEFT('Rock Climbing Log'!AN14)="C",_xlfn.IFNA(VLOOKUP('Rock Climbing Log'!AN14,'RC Lookup'!$A$3:$B$9,2,FALSE),0.5),VLOOKUP('Rock Climbing Log'!AN14,'RC Lookup'!$G$3:$H$5,2,FALSE)),0)*VLOOKUP(AN$7,'RC Lookup'!$D$3:$E$18,2,FALSE)</f>
        <v>0</v>
      </c>
      <c r="AO14" s="26">
        <f>_xlfn.IFNA(IF(LEFT('Rock Climbing Log'!AO14)="C",_xlfn.IFNA(VLOOKUP('Rock Climbing Log'!AO14,'RC Lookup'!$A$3:$B$9,2,FALSE),0.5),VLOOKUP('Rock Climbing Log'!AO14,'RC Lookup'!$G$3:$H$5,2,FALSE)),0)*VLOOKUP(AN$7,'RC Lookup'!$D$3:$E$18,2,FALSE)</f>
        <v>0</v>
      </c>
      <c r="AP14" s="26">
        <f>_xlfn.IFNA(IF(LEFT('Rock Climbing Log'!AP14)="C",_xlfn.IFNA(VLOOKUP('Rock Climbing Log'!AP14,'RC Lookup'!$A$3:$B$9,2,FALSE),0.5),VLOOKUP('Rock Climbing Log'!AP14,'RC Lookup'!$G$3:$H$5,2,FALSE)),0)*VLOOKUP(AN$7,'RC Lookup'!$D$3:$E$18,2,FALSE)</f>
        <v>0</v>
      </c>
      <c r="AQ14" s="26">
        <f>_xlfn.IFNA(IF(LEFT('Rock Climbing Log'!AQ14)="C",_xlfn.IFNA(VLOOKUP('Rock Climbing Log'!AQ14,'RC Lookup'!$A$3:$B$9,2,FALSE),0.5),VLOOKUP('Rock Climbing Log'!AQ14,'RC Lookup'!$G$3:$H$5,2,FALSE)),0)*VLOOKUP(AQ$7,'RC Lookup'!$D$3:$E$18,2,FALSE)</f>
        <v>0</v>
      </c>
      <c r="AR14" s="26">
        <f>_xlfn.IFNA(IF(LEFT('Rock Climbing Log'!AR14)="C",_xlfn.IFNA(VLOOKUP('Rock Climbing Log'!AR14,'RC Lookup'!$A$3:$B$9,2,FALSE),0.5),VLOOKUP('Rock Climbing Log'!AR14,'RC Lookup'!$G$3:$H$5,2,FALSE)),0)*VLOOKUP(AQ$7,'RC Lookup'!$D$3:$E$18,2,FALSE)</f>
        <v>0</v>
      </c>
      <c r="AS14" s="26">
        <f>_xlfn.IFNA(IF(LEFT('Rock Climbing Log'!AS14)="C",_xlfn.IFNA(VLOOKUP('Rock Climbing Log'!AS14,'RC Lookup'!$A$3:$B$9,2,FALSE),0.5),VLOOKUP('Rock Climbing Log'!AS14,'RC Lookup'!$G$3:$H$5,2,FALSE)),0)*VLOOKUP(AQ$7,'RC Lookup'!$D$3:$E$18,2,FALSE)</f>
        <v>0</v>
      </c>
      <c r="AT14" s="26">
        <f>_xlfn.IFNA(IF(LEFT('Rock Climbing Log'!AT14)="C",_xlfn.IFNA(VLOOKUP('Rock Climbing Log'!AT14,'RC Lookup'!$A$3:$B$9,2,FALSE),0.5),VLOOKUP('Rock Climbing Log'!AT14,'RC Lookup'!$G$3:$H$5,2,FALSE)),0)*VLOOKUP(AT$7,'RC Lookup'!$D$3:$E$18,2,FALSE)</f>
        <v>0</v>
      </c>
      <c r="AU14" s="26">
        <f>_xlfn.IFNA(IF(LEFT('Rock Climbing Log'!AU14)="C",_xlfn.IFNA(VLOOKUP('Rock Climbing Log'!AU14,'RC Lookup'!$A$3:$B$9,2,FALSE),0.5),VLOOKUP('Rock Climbing Log'!AU14,'RC Lookup'!$G$3:$H$5,2,FALSE)),0)*VLOOKUP(AT$7,'RC Lookup'!$D$3:$E$18,2,FALSE)</f>
        <v>0</v>
      </c>
      <c r="AV14" s="26">
        <f>_xlfn.IFNA(IF(LEFT('Rock Climbing Log'!AV14)="C",_xlfn.IFNA(VLOOKUP('Rock Climbing Log'!AV14,'RC Lookup'!$A$3:$B$9,2,FALSE),0.5),VLOOKUP('Rock Climbing Log'!AV14,'RC Lookup'!$G$3:$H$5,2,FALSE)),0)*VLOOKUP(AT$7,'RC Lookup'!$D$3:$E$18,2,FALSE)</f>
        <v>0</v>
      </c>
      <c r="AW14" s="30">
        <f t="shared" ca="1" si="0"/>
        <v>116.34015040463962</v>
      </c>
      <c r="AX14" s="30">
        <f ca="1">_xlfn.IFNA(VLOOKUP(SUMPRODUCT(LARGE(($C$8:$C14=Table1[[#This Row],[Climber]])*$A$8:$A14,1)),$A$8:$AW14,MATCH($AW$7,$A$7:$AW$7,FALSE),FALSE),0)/LEFT($AX$7,FIND(" ",$AX$7))+_xlfn.IFNA(VLOOKUP(SUMPRODUCT(LARGE(($C$8:$C14=Table1[[#This Row],[Climber]])*$A$8:$A14,MIN(2,COUNTIFS($C$8:$C14,$C14)))),$A$8:$AW14,MATCH($AW$7,$A$7:$AW$7,FALSE),FALSE),0)/LEFT($AX$7,FIND(" ",$AX$7))+_xlfn.IFNA(VLOOKUP(SUMPRODUCT(LARGE(($C$8:$C14=Table1[[#This Row],[Climber]])*$A$8:$A14,MIN(3,COUNTIFS($C$8:$C14,$C14)))),$A$8:$AW14,MATCH($AW$7,$A$7:$AW$7,FALSE),FALSE),0)/LEFT($AX$7,FIND(" ",$AX$7))</f>
        <v>91.568207296479898</v>
      </c>
      <c r="AY14" s="30">
        <f ca="1">_xlfn.IFNA(VLOOKUP(SUMPRODUCT(LARGE(($C$8:$C14=Table1[[#This Row],[Climber]])*$A$8:$A14,1)),$A$8:$AW14,MATCH($AW$7,$A$7:$AW$7,FALSE),FALSE),0)/LEFT($AY$7,FIND(" ",$AY$7))+_xlfn.IFNA(VLOOKUP(SUMPRODUCT(LARGE(($C$8:$C14=Table1[[#This Row],[Climber]])*$A$8:$A14,MIN(2,COUNTIFS($C$8:$C14,$C14)))),$A$8:$AW14,MATCH($AW$7,$A$7:$AW$7,FALSE),FALSE),0)/LEFT($AY$7,FIND(" ",$AY$7))+_xlfn.IFNA(VLOOKUP(SUMPRODUCT(LARGE(($C$8:$C14=Table1[[#This Row],[Climber]])*$A$8:$A14,MIN(3,COUNTIFS($C$8:$C14,$C14)))),$A$8:$AW14,MATCH($AW$7,$A$7:$AW$7,FALSE),FALSE),0)/LEFT($AY$7,FIND(" ",$AY$7))+_xlfn.IFNA(VLOOKUP(SUMPRODUCT(LARGE(($C$8:$C14=Table1[[#This Row],[Climber]])*$A$8:$A14,MIN(4,COUNTIFS($C$8:$C14,$C14)))),$A$8:$AW14,MATCH($AW$7,$A$7:$AW$7,FALSE),FALSE),0)/LEFT($AY$7,FIND(" ",$AY$7))+_xlfn.IFNA(VLOOKUP(SUMPRODUCT(LARGE(($C$8:$C14=Table1[[#This Row],[Climber]])*$A$8:$A14,MIN(5,COUNTIFS($C$8:$C14,$C14)))),$A$8:$AW14,MATCH($AW$7,$A$7:$AW$7,FALSE),FALSE),0)/LEFT($AY$7,FIND(" ",$AY$7))</f>
        <v>86.613818674847948</v>
      </c>
      <c r="AZ14" s="30">
        <f>(_xlfn.IFNA(VLOOKUP(SUMPRODUCT(LARGE(($C$8:$C14=Table1[[#This Row],[Climber]])*$A$8:$A14,4)),$A$8:$AW14,MATCH($AW$7,$A$7:$AW$7,FALSE),FALSE),0)+_xlfn.IFNA(VLOOKUP(SUMPRODUCT(LARGE(($C$8:$C14=Table1[[#This Row],[Climber]])*$A$8:$A14,5)),$A$8:$AW14,MATCH($AW$7,$A$7:$AW$7,FALSE),FALSE),0)+_xlfn.IFNA(VLOOKUP(SUMPRODUCT(LARGE(($C$8:$C14=Table1[[#This Row],[Climber]])*$A$8:$A14,6)),$A$8:$AW14,MATCH($AW$7,$A$7:$AW$7,FALSE),FALSE),0))/3</f>
        <v>0</v>
      </c>
      <c r="BA14" s="6">
        <f ca="1">_xlfn.MAXIFS(INDIRECT("$AW"&amp;IF(SUMPRODUCT(LARGE(($C$8:$C14=$C14)*$A$8:$A14,LEFT($BA$7,FIND(" ",$BA$7)-1)))=0,8,SUMPRODUCT(LARGE(($C$8:$C14=$C14)*$A$8:$A14,LEFT($BA$7,FIND(" ",$BA$7)-1)))+7)&amp;":$AW"&amp;ROW()),INDIRECT("$C"&amp;IF(SUMPRODUCT(LARGE(($C$8:$C14=$C14)*$A$8:$A14,LEFT($BA$7,FIND(" ",$BA$7)-1)))=0,8,SUMPRODUCT(LARGE(($C$8:$C14=$C14)*$A$8:$A14,LEFT($BA$7,FIND(" ",$BA$7)-1)))+7)&amp;":$C"&amp;ROW()),$C14)</f>
        <v>116.34015040463962</v>
      </c>
      <c r="BB14" s="6" t="str">
        <f ca="1">VLOOKUP(MAX(BG14,$AX14),'RC Lookup'!$G$14:$J$20,2,TRUE)</f>
        <v>T3</v>
      </c>
      <c r="BC14" s="6">
        <f ca="1">_xlfn.IFNA(VLOOKUP(VLOOKUP($C14,'RC Lookup'!$O$3:$P$50,2,FALSE),'RC Lookup'!$H$14:$J$23,2,FALSE),0)*AW14</f>
        <v>35.205960042311077</v>
      </c>
      <c r="BD14" s="6">
        <f ca="1">_xlfn.IFNA(VLOOKUP(SUMPRODUCT(LARGE(($C$8:$C14=Table1[[#This Row],[Climber]])*$A$8:$A14,1)),$A$8:$BC14,55,FALSE),0)/LEFT($AX$7,FIND(" ",$AX$7))+_xlfn.IFNA(VLOOKUP(SUMPRODUCT(LARGE(($C$8:$C14=Table1[[#This Row],[Climber]])*$A$8:$A14,MIN(2,COUNTIFS($C$8:$C14,$C14)))),$A$8:$BC14,55,FALSE),0)/LEFT($AX$7,FIND(" ",$AX$7))+_xlfn.IFNA(VLOOKUP(SUMPRODUCT(LARGE(($C$8:$C14=Table1[[#This Row],[Climber]])*$A$8:$A14,MIN(3,COUNTIFS($C$8:$C14,$C14)))),$A$8:$BC14,55,FALSE),0)/LEFT($AX$7,FIND(" ",$AX$7))</f>
        <v>27.709665459546855</v>
      </c>
      <c r="BE14" s="6">
        <f>(_xlfn.IFNA(VLOOKUP(SUMPRODUCT(LARGE(($C$8:$C14=Table1[[#This Row],[Climber]])*$A$8:$A14,4)),$A$8:$BD14,55,FALSE),0)+_xlfn.IFNA(VLOOKUP(SUMPRODUCT(LARGE(($C$8:$C14=Table1[[#This Row],[Climber]])*$A$8:$A14,5)),$A$8:$BD14,55,FALSE),0)+_xlfn.IFNA(VLOOKUP(SUMPRODUCT(LARGE(($C$8:$C14=Table1[[#This Row],[Climber]])*$A$8:$A14,6)),$A$8:$BD14,55,FALSE),0))/3</f>
        <v>0</v>
      </c>
      <c r="BF14" s="46">
        <f ca="1">_xlfn.MAXIFS(INDIRECT("$BC"&amp;IF(SUMPRODUCT(LARGE(($C$8:$C14=$C14)*$A$8:$A14,LEFT($BA$7,FIND(" ",$BA$7)-1)))=0,8,SUMPRODUCT(LARGE(($C$8:$C14=$C14)*$A$8:$A14,LEFT($BA$7,FIND(" ",$BA$7)-1)))+7)&amp;":$BC"&amp;ROW()),INDIRECT("$C"&amp;IF(SUMPRODUCT(LARGE(($C$8:$C14=$C14)*$A$8:$A14,LEFT($BA$7,FIND(" ",$BA$7)-1)))=0,8,SUMPRODUCT(LARGE(($C$8:$C14=$C14)*$A$8:$A14,LEFT($BA$7,FIND(" ",$BA$7)-1)))+7)&amp;":$C"&amp;ROW()),$C14)</f>
        <v>35.205960042311077</v>
      </c>
      <c r="BG14" s="46">
        <f t="array" aca="1" ref="BG14" ca="1">IFERROR(SUMPRODUCT(LARGE(($C$8:$C14=Table1[[#This Row],[Climber]])*$AW$8:$AW14,ROW(INDIRECT("1:5")))),AW14)/MIN(COUNTIFS($C$8:$C14,C14),5)</f>
        <v>91.568207296479883</v>
      </c>
      <c r="BH14" s="46"/>
    </row>
    <row r="15" spans="1:60" x14ac:dyDescent="0.3">
      <c r="A15" s="125">
        <f t="shared" si="1"/>
        <v>8</v>
      </c>
      <c r="B15" s="25">
        <f>'Rock Climbing Log'!B15</f>
        <v>43111</v>
      </c>
      <c r="C15" s="126" t="str">
        <f>'Rock Climbing Log'!C15</f>
        <v>Jan</v>
      </c>
      <c r="D15" s="26">
        <f>_xlfn.IFNA(IF(LEFT('Rock Climbing Log'!D15)="C",_xlfn.IFNA(VLOOKUP('Rock Climbing Log'!D15,'RC Lookup'!$A$3:$B$9,2,FALSE),0.5),VLOOKUP('Rock Climbing Log'!D15,'RC Lookup'!$G$3:$H$5,2,FALSE)),0)*VLOOKUP(D$7,'RC Lookup'!$D$3:$E$18,2,FALSE)</f>
        <v>10</v>
      </c>
      <c r="E15" s="26">
        <f>_xlfn.IFNA(IF(LEFT('Rock Climbing Log'!E15)="C",_xlfn.IFNA(VLOOKUP('Rock Climbing Log'!E15,'RC Lookup'!$A$3:$B$9,2,FALSE),0.5),VLOOKUP('Rock Climbing Log'!E15,'RC Lookup'!$G$3:$H$5,2,FALSE)),0)*VLOOKUP(D$7,'RC Lookup'!$D$3:$E$18,2,FALSE)</f>
        <v>0</v>
      </c>
      <c r="F15" s="26">
        <f>_xlfn.IFNA(IF(LEFT('Rock Climbing Log'!F15)="C",_xlfn.IFNA(VLOOKUP('Rock Climbing Log'!F15,'RC Lookup'!$A$3:$B$9,2,FALSE),0.5),VLOOKUP('Rock Climbing Log'!F15,'RC Lookup'!$G$3:$H$5,2,FALSE)),0)*VLOOKUP(D$7,'RC Lookup'!$D$3:$E$18,2,FALSE)</f>
        <v>0</v>
      </c>
      <c r="G15" s="26">
        <f>_xlfn.IFNA(IF(LEFT('Rock Climbing Log'!G15)="C",_xlfn.IFNA(VLOOKUP('Rock Climbing Log'!G15,'RC Lookup'!$A$3:$B$9,2,FALSE),0.5),VLOOKUP('Rock Climbing Log'!G15,'RC Lookup'!$G$3:$H$5,2,FALSE)),0)*VLOOKUP(G$7,'RC Lookup'!$D$3:$E$18,2,FALSE)</f>
        <v>12.5</v>
      </c>
      <c r="H15" s="26">
        <f>_xlfn.IFNA(IF(LEFT('Rock Climbing Log'!H15)="C",_xlfn.IFNA(VLOOKUP('Rock Climbing Log'!H15,'RC Lookup'!$A$3:$B$9,2,FALSE),0.5),VLOOKUP('Rock Climbing Log'!H15,'RC Lookup'!$G$3:$H$5,2,FALSE)),0)*VLOOKUP(G$7,'RC Lookup'!$D$3:$E$18,2,FALSE)</f>
        <v>0</v>
      </c>
      <c r="I15" s="26">
        <f>_xlfn.IFNA(IF(LEFT('Rock Climbing Log'!I15)="C",_xlfn.IFNA(VLOOKUP('Rock Climbing Log'!I15,'RC Lookup'!$A$3:$B$9,2,FALSE),0.5),VLOOKUP('Rock Climbing Log'!I15,'RC Lookup'!$G$3:$H$5,2,FALSE)),0)*VLOOKUP(G$7,'RC Lookup'!$D$3:$E$18,2,FALSE)</f>
        <v>0</v>
      </c>
      <c r="J15" s="26">
        <f>_xlfn.IFNA(IF(LEFT('Rock Climbing Log'!J15)="C",_xlfn.IFNA(VLOOKUP('Rock Climbing Log'!J15,'RC Lookup'!$A$3:$B$9,2,FALSE),0.5),VLOOKUP('Rock Climbing Log'!J15,'RC Lookup'!$G$3:$H$5,2,FALSE)),0)*VLOOKUP(J$7,'RC Lookup'!$D$3:$E$18,2,FALSE)</f>
        <v>10.333575000000002</v>
      </c>
      <c r="K15" s="26">
        <f>_xlfn.IFNA(IF(LEFT('Rock Climbing Log'!K15)="C",_xlfn.IFNA(VLOOKUP('Rock Climbing Log'!K15,'RC Lookup'!$A$3:$B$9,2,FALSE),0.5),VLOOKUP('Rock Climbing Log'!K15,'RC Lookup'!$G$3:$H$5,2,FALSE)),0)*VLOOKUP(J$7,'RC Lookup'!$D$3:$E$18,2,FALSE)</f>
        <v>0</v>
      </c>
      <c r="L15" s="26">
        <f>_xlfn.IFNA(IF(LEFT('Rock Climbing Log'!L15)="C",_xlfn.IFNA(VLOOKUP('Rock Climbing Log'!L15,'RC Lookup'!$A$3:$B$9,2,FALSE),0.5),VLOOKUP('Rock Climbing Log'!L15,'RC Lookup'!$G$3:$H$5,2,FALSE)),0)*VLOOKUP(J$7,'RC Lookup'!$D$3:$E$18,2,FALSE)</f>
        <v>0</v>
      </c>
      <c r="M15" s="26">
        <f>_xlfn.IFNA(IF(LEFT('Rock Climbing Log'!M15)="C",_xlfn.IFNA(VLOOKUP('Rock Climbing Log'!M15,'RC Lookup'!$A$3:$B$9,2,FALSE),0.5),VLOOKUP('Rock Climbing Log'!M15,'RC Lookup'!$G$3:$H$5,2,FALSE)),0)*VLOOKUP(M$7,'RC Lookup'!$D$3:$E$18,2,FALSE)</f>
        <v>0</v>
      </c>
      <c r="N15" s="26">
        <f>_xlfn.IFNA(IF(LEFT('Rock Climbing Log'!N15)="C",_xlfn.IFNA(VLOOKUP('Rock Climbing Log'!N15,'RC Lookup'!$A$3:$B$9,2,FALSE),0.5),VLOOKUP('Rock Climbing Log'!N15,'RC Lookup'!$G$3:$H$5,2,FALSE)),0)*VLOOKUP(M$7,'RC Lookup'!$D$3:$E$18,2,FALSE)</f>
        <v>0</v>
      </c>
      <c r="O15" s="26">
        <f>_xlfn.IFNA(IF(LEFT('Rock Climbing Log'!O15)="C",_xlfn.IFNA(VLOOKUP('Rock Climbing Log'!O15,'RC Lookup'!$A$3:$B$9,2,FALSE),0.5),VLOOKUP('Rock Climbing Log'!O15,'RC Lookup'!$G$3:$H$5,2,FALSE)),0)*VLOOKUP(M$7,'RC Lookup'!$D$3:$E$18,2,FALSE)</f>
        <v>0</v>
      </c>
      <c r="P15" s="26">
        <f>_xlfn.IFNA(IF(LEFT('Rock Climbing Log'!P15)="C",_xlfn.IFNA(VLOOKUP('Rock Climbing Log'!P15,'RC Lookup'!$A$3:$B$9,2,FALSE),0.5),VLOOKUP('Rock Climbing Log'!P15,'RC Lookup'!$G$3:$H$5,2,FALSE)),0)*VLOOKUP(P$7,'RC Lookup'!$D$3:$E$18,2,FALSE)</f>
        <v>0</v>
      </c>
      <c r="Q15" s="26">
        <f>_xlfn.IFNA(IF(LEFT('Rock Climbing Log'!Q15)="C",_xlfn.IFNA(VLOOKUP('Rock Climbing Log'!Q15,'RC Lookup'!$A$3:$B$9,2,FALSE),0.5),VLOOKUP('Rock Climbing Log'!Q15,'RC Lookup'!$G$3:$H$5,2,FALSE)),0)*VLOOKUP(P$7,'RC Lookup'!$D$3:$E$18,2,FALSE)</f>
        <v>0</v>
      </c>
      <c r="R15" s="26">
        <f>_xlfn.IFNA(IF(LEFT('Rock Climbing Log'!R15)="C",_xlfn.IFNA(VLOOKUP('Rock Climbing Log'!R15,'RC Lookup'!$A$3:$B$9,2,FALSE),0.5),VLOOKUP('Rock Climbing Log'!R15,'RC Lookup'!$G$3:$H$5,2,FALSE)),0)*VLOOKUP(P$7,'RC Lookup'!$D$3:$E$18,2,FALSE)</f>
        <v>0</v>
      </c>
      <c r="S15" s="26">
        <f>_xlfn.IFNA(IF(LEFT('Rock Climbing Log'!S15)="C",_xlfn.IFNA(VLOOKUP('Rock Climbing Log'!S15,'RC Lookup'!$A$3:$B$9,2,FALSE),0.5),VLOOKUP('Rock Climbing Log'!S15,'RC Lookup'!$G$3:$H$5,2,FALSE)),0)*VLOOKUP(S$7,'RC Lookup'!$D$3:$E$18,2,FALSE)</f>
        <v>0</v>
      </c>
      <c r="T15" s="26">
        <f>_xlfn.IFNA(IF(LEFT('Rock Climbing Log'!T15)="C",_xlfn.IFNA(VLOOKUP('Rock Climbing Log'!T15,'RC Lookup'!$A$3:$B$9,2,FALSE),0.5),VLOOKUP('Rock Climbing Log'!T15,'RC Lookup'!$G$3:$H$5,2,FALSE)),0)*VLOOKUP(S$7,'RC Lookup'!$D$3:$E$18,2,FALSE)</f>
        <v>0</v>
      </c>
      <c r="U15" s="26">
        <f>_xlfn.IFNA(IF(LEFT('Rock Climbing Log'!U15)="C",_xlfn.IFNA(VLOOKUP('Rock Climbing Log'!U15,'RC Lookup'!$A$3:$B$9,2,FALSE),0.5),VLOOKUP('Rock Climbing Log'!U15,'RC Lookup'!$G$3:$H$5,2,FALSE)),0)*VLOOKUP(S$7,'RC Lookup'!$D$3:$E$18,2,FALSE)</f>
        <v>0</v>
      </c>
      <c r="V15" s="26">
        <f>_xlfn.IFNA(IF(LEFT('Rock Climbing Log'!V15)="C",_xlfn.IFNA(VLOOKUP('Rock Climbing Log'!V15,'RC Lookup'!$A$3:$B$9,2,FALSE),0.5),VLOOKUP('Rock Climbing Log'!V15,'RC Lookup'!$G$3:$H$5,2,FALSE)),0)*VLOOKUP(V$7,'RC Lookup'!$D$3:$E$18,2,FALSE)</f>
        <v>17.628372871200011</v>
      </c>
      <c r="W15" s="26">
        <f>_xlfn.IFNA(IF(LEFT('Rock Climbing Log'!W15)="C",_xlfn.IFNA(VLOOKUP('Rock Climbing Log'!W15,'RC Lookup'!$A$3:$B$9,2,FALSE),0.5),VLOOKUP('Rock Climbing Log'!W15,'RC Lookup'!$G$3:$H$5,2,FALSE)),0)*VLOOKUP(V$7,'RC Lookup'!$D$3:$E$18,2,FALSE)</f>
        <v>0</v>
      </c>
      <c r="X15" s="26">
        <f>_xlfn.IFNA(IF(LEFT('Rock Climbing Log'!X15)="C",_xlfn.IFNA(VLOOKUP('Rock Climbing Log'!X15,'RC Lookup'!$A$3:$B$9,2,FALSE),0.5),VLOOKUP('Rock Climbing Log'!X15,'RC Lookup'!$G$3:$H$5,2,FALSE)),0)*VLOOKUP(V$7,'RC Lookup'!$D$3:$E$18,2,FALSE)</f>
        <v>0</v>
      </c>
      <c r="Y15" s="26">
        <f>_xlfn.IFNA(IF(LEFT('Rock Climbing Log'!Y15)="C",_xlfn.IFNA(VLOOKUP('Rock Climbing Log'!Y15,'RC Lookup'!$A$3:$B$9,2,FALSE),0.5),VLOOKUP('Rock Climbing Log'!Y15,'RC Lookup'!$G$3:$H$5,2,FALSE)),0)*VLOOKUP(Y$7,'RC Lookup'!$D$3:$E$18,2,FALSE)</f>
        <v>0</v>
      </c>
      <c r="Z15" s="26">
        <f>_xlfn.IFNA(IF(LEFT('Rock Climbing Log'!Z15)="C",_xlfn.IFNA(VLOOKUP('Rock Climbing Log'!Z15,'RC Lookup'!$A$3:$B$9,2,FALSE),0.5),VLOOKUP('Rock Climbing Log'!Z15,'RC Lookup'!$G$3:$H$5,2,FALSE)),0)*VLOOKUP(Y$7,'RC Lookup'!$D$3:$E$18,2,FALSE)</f>
        <v>0</v>
      </c>
      <c r="AA15" s="26">
        <f>_xlfn.IFNA(IF(LEFT('Rock Climbing Log'!AA15)="C",_xlfn.IFNA(VLOOKUP('Rock Climbing Log'!AA15,'RC Lookup'!$A$3:$B$9,2,FALSE),0.5),VLOOKUP('Rock Climbing Log'!AA15,'RC Lookup'!$G$3:$H$5,2,FALSE)),0)*VLOOKUP(Y$7,'RC Lookup'!$D$3:$E$18,2,FALSE)</f>
        <v>0</v>
      </c>
      <c r="AB15" s="26">
        <f>_xlfn.IFNA(IF(LEFT('Rock Climbing Log'!AB15)="C",_xlfn.IFNA(VLOOKUP('Rock Climbing Log'!AB15,'RC Lookup'!$A$3:$B$9,2,FALSE),0.5),VLOOKUP('Rock Climbing Log'!AB15,'RC Lookup'!$G$3:$H$5,2,FALSE)),0)*VLOOKUP(AB$7,'RC Lookup'!$D$3:$E$18,2,FALSE)</f>
        <v>0</v>
      </c>
      <c r="AC15" s="26">
        <f>_xlfn.IFNA(IF(LEFT('Rock Climbing Log'!AC15)="C",_xlfn.IFNA(VLOOKUP('Rock Climbing Log'!AC15,'RC Lookup'!$A$3:$B$9,2,FALSE),0.5),VLOOKUP('Rock Climbing Log'!AC15,'RC Lookup'!$G$3:$H$5,2,FALSE)),0)*VLOOKUP(AB$7,'RC Lookup'!$D$3:$E$18,2,FALSE)</f>
        <v>0</v>
      </c>
      <c r="AD15" s="26">
        <f>_xlfn.IFNA(IF(LEFT('Rock Climbing Log'!AD15)="C",_xlfn.IFNA(VLOOKUP('Rock Climbing Log'!AD15,'RC Lookup'!$A$3:$B$9,2,FALSE),0.5),VLOOKUP('Rock Climbing Log'!AD15,'RC Lookup'!$G$3:$H$5,2,FALSE)),0)*VLOOKUP(AB$7,'RC Lookup'!$D$3:$E$18,2,FALSE)</f>
        <v>0</v>
      </c>
      <c r="AE15" s="26">
        <f>_xlfn.IFNA(IF(LEFT('Rock Climbing Log'!AE15)="C",_xlfn.IFNA(VLOOKUP('Rock Climbing Log'!AE15,'RC Lookup'!$A$3:$B$9,2,FALSE),0.5),VLOOKUP('Rock Climbing Log'!AE15,'RC Lookup'!$G$3:$H$5,2,FALSE)),0)*VLOOKUP(AE$7,'RC Lookup'!$D$3:$E$18,2,FALSE)</f>
        <v>0</v>
      </c>
      <c r="AF15" s="26">
        <f>_xlfn.IFNA(IF(LEFT('Rock Climbing Log'!AF15)="C",_xlfn.IFNA(VLOOKUP('Rock Climbing Log'!AF15,'RC Lookup'!$A$3:$B$9,2,FALSE),0.5),VLOOKUP('Rock Climbing Log'!AF15,'RC Lookup'!$G$3:$H$5,2,FALSE)),0)*VLOOKUP(AE$7,'RC Lookup'!$D$3:$E$18,2,FALSE)</f>
        <v>0</v>
      </c>
      <c r="AG15" s="26">
        <f>_xlfn.IFNA(IF(LEFT('Rock Climbing Log'!AG15)="C",_xlfn.IFNA(VLOOKUP('Rock Climbing Log'!AG15,'RC Lookup'!$A$3:$B$9,2,FALSE),0.5),VLOOKUP('Rock Climbing Log'!AG15,'RC Lookup'!$G$3:$H$5,2,FALSE)),0)*VLOOKUP(AE$7,'RC Lookup'!$D$3:$E$18,2,FALSE)</f>
        <v>0</v>
      </c>
      <c r="AH15" s="26">
        <f>_xlfn.IFNA(IF(LEFT('Rock Climbing Log'!AH15)="C",_xlfn.IFNA(VLOOKUP('Rock Climbing Log'!AH15,'RC Lookup'!$A$3:$B$9,2,FALSE),0.5),VLOOKUP('Rock Climbing Log'!AH15,'RC Lookup'!$G$3:$H$5,2,FALSE)),0)*VLOOKUP(AH$7,'RC Lookup'!$D$3:$E$18,2,FALSE)</f>
        <v>0</v>
      </c>
      <c r="AI15" s="26">
        <f>_xlfn.IFNA(IF(LEFT('Rock Climbing Log'!AI15)="C",_xlfn.IFNA(VLOOKUP('Rock Climbing Log'!AI15,'RC Lookup'!$A$3:$B$9,2,FALSE),0.5),VLOOKUP('Rock Climbing Log'!AI15,'RC Lookup'!$G$3:$H$5,2,FALSE)),0)*VLOOKUP(AH$7,'RC Lookup'!$D$3:$E$18,2,FALSE)</f>
        <v>0</v>
      </c>
      <c r="AJ15" s="26">
        <f>_xlfn.IFNA(IF(LEFT('Rock Climbing Log'!AJ15)="C",_xlfn.IFNA(VLOOKUP('Rock Climbing Log'!AJ15,'RC Lookup'!$A$3:$B$9,2,FALSE),0.5),VLOOKUP('Rock Climbing Log'!AJ15,'RC Lookup'!$G$3:$H$5,2,FALSE)),0)*VLOOKUP(AH$7,'RC Lookup'!$D$3:$E$18,2,FALSE)</f>
        <v>0</v>
      </c>
      <c r="AK15" s="26">
        <f>_xlfn.IFNA(IF(LEFT('Rock Climbing Log'!AK15)="C",_xlfn.IFNA(VLOOKUP('Rock Climbing Log'!AK15,'RC Lookup'!$A$3:$B$9,2,FALSE),0.5),VLOOKUP('Rock Climbing Log'!AK15,'RC Lookup'!$G$3:$H$5,2,FALSE)),0)*VLOOKUP(AK$7,'RC Lookup'!$D$3:$E$18,2,FALSE)</f>
        <v>0</v>
      </c>
      <c r="AL15" s="26">
        <f>_xlfn.IFNA(IF(LEFT('Rock Climbing Log'!AL15)="C",_xlfn.IFNA(VLOOKUP('Rock Climbing Log'!AL15,'RC Lookup'!$A$3:$B$9,2,FALSE),0.5),VLOOKUP('Rock Climbing Log'!AL15,'RC Lookup'!$G$3:$H$5,2,FALSE)),0)*VLOOKUP(AK$7,'RC Lookup'!$D$3:$E$18,2,FALSE)</f>
        <v>0</v>
      </c>
      <c r="AM15" s="26">
        <f>_xlfn.IFNA(IF(LEFT('Rock Climbing Log'!AM15)="C",_xlfn.IFNA(VLOOKUP('Rock Climbing Log'!AM15,'RC Lookup'!$A$3:$B$9,2,FALSE),0.5),VLOOKUP('Rock Climbing Log'!AM15,'RC Lookup'!$G$3:$H$5,2,FALSE)),0)*VLOOKUP(AK$7,'RC Lookup'!$D$3:$E$18,2,FALSE)</f>
        <v>0</v>
      </c>
      <c r="AN15" s="26">
        <f>_xlfn.IFNA(IF(LEFT('Rock Climbing Log'!AN15)="C",_xlfn.IFNA(VLOOKUP('Rock Climbing Log'!AN15,'RC Lookup'!$A$3:$B$9,2,FALSE),0.5),VLOOKUP('Rock Climbing Log'!AN15,'RC Lookup'!$G$3:$H$5,2,FALSE)),0)*VLOOKUP(AN$7,'RC Lookup'!$D$3:$E$18,2,FALSE)</f>
        <v>0</v>
      </c>
      <c r="AO15" s="26">
        <f>_xlfn.IFNA(IF(LEFT('Rock Climbing Log'!AO15)="C",_xlfn.IFNA(VLOOKUP('Rock Climbing Log'!AO15,'RC Lookup'!$A$3:$B$9,2,FALSE),0.5),VLOOKUP('Rock Climbing Log'!AO15,'RC Lookup'!$G$3:$H$5,2,FALSE)),0)*VLOOKUP(AN$7,'RC Lookup'!$D$3:$E$18,2,FALSE)</f>
        <v>0</v>
      </c>
      <c r="AP15" s="26">
        <f>_xlfn.IFNA(IF(LEFT('Rock Climbing Log'!AP15)="C",_xlfn.IFNA(VLOOKUP('Rock Climbing Log'!AP15,'RC Lookup'!$A$3:$B$9,2,FALSE),0.5),VLOOKUP('Rock Climbing Log'!AP15,'RC Lookup'!$G$3:$H$5,2,FALSE)),0)*VLOOKUP(AN$7,'RC Lookup'!$D$3:$E$18,2,FALSE)</f>
        <v>0</v>
      </c>
      <c r="AQ15" s="26">
        <f>_xlfn.IFNA(IF(LEFT('Rock Climbing Log'!AQ15)="C",_xlfn.IFNA(VLOOKUP('Rock Climbing Log'!AQ15,'RC Lookup'!$A$3:$B$9,2,FALSE),0.5),VLOOKUP('Rock Climbing Log'!AQ15,'RC Lookup'!$G$3:$H$5,2,FALSE)),0)*VLOOKUP(AQ$7,'RC Lookup'!$D$3:$E$18,2,FALSE)</f>
        <v>0</v>
      </c>
      <c r="AR15" s="26">
        <f>_xlfn.IFNA(IF(LEFT('Rock Climbing Log'!AR15)="C",_xlfn.IFNA(VLOOKUP('Rock Climbing Log'!AR15,'RC Lookup'!$A$3:$B$9,2,FALSE),0.5),VLOOKUP('Rock Climbing Log'!AR15,'RC Lookup'!$G$3:$H$5,2,FALSE)),0)*VLOOKUP(AQ$7,'RC Lookup'!$D$3:$E$18,2,FALSE)</f>
        <v>0</v>
      </c>
      <c r="AS15" s="26">
        <f>_xlfn.IFNA(IF(LEFT('Rock Climbing Log'!AS15)="C",_xlfn.IFNA(VLOOKUP('Rock Climbing Log'!AS15,'RC Lookup'!$A$3:$B$9,2,FALSE),0.5),VLOOKUP('Rock Climbing Log'!AS15,'RC Lookup'!$G$3:$H$5,2,FALSE)),0)*VLOOKUP(AQ$7,'RC Lookup'!$D$3:$E$18,2,FALSE)</f>
        <v>0</v>
      </c>
      <c r="AT15" s="26">
        <f>_xlfn.IFNA(IF(LEFT('Rock Climbing Log'!AT15)="C",_xlfn.IFNA(VLOOKUP('Rock Climbing Log'!AT15,'RC Lookup'!$A$3:$B$9,2,FALSE),0.5),VLOOKUP('Rock Climbing Log'!AT15,'RC Lookup'!$G$3:$H$5,2,FALSE)),0)*VLOOKUP(AT$7,'RC Lookup'!$D$3:$E$18,2,FALSE)</f>
        <v>0</v>
      </c>
      <c r="AU15" s="26">
        <f>_xlfn.IFNA(IF(LEFT('Rock Climbing Log'!AU15)="C",_xlfn.IFNA(VLOOKUP('Rock Climbing Log'!AU15,'RC Lookup'!$A$3:$B$9,2,FALSE),0.5),VLOOKUP('Rock Climbing Log'!AU15,'RC Lookup'!$G$3:$H$5,2,FALSE)),0)*VLOOKUP(AT$7,'RC Lookup'!$D$3:$E$18,2,FALSE)</f>
        <v>0</v>
      </c>
      <c r="AV15" s="26">
        <f>_xlfn.IFNA(IF(LEFT('Rock Climbing Log'!AV15)="C",_xlfn.IFNA(VLOOKUP('Rock Climbing Log'!AV15,'RC Lookup'!$A$3:$B$9,2,FALSE),0.5),VLOOKUP('Rock Climbing Log'!AV15,'RC Lookup'!$G$3:$H$5,2,FALSE)),0)*VLOOKUP(AT$7,'RC Lookup'!$D$3:$E$18,2,FALSE)</f>
        <v>0</v>
      </c>
      <c r="AW15" s="30">
        <f t="shared" ca="1" si="0"/>
        <v>40.46194787120001</v>
      </c>
      <c r="AX15" s="30">
        <f ca="1">_xlfn.IFNA(VLOOKUP(SUMPRODUCT(LARGE(($C$8:$C15=Table1[[#This Row],[Climber]])*$A$8:$A15,1)),$A$8:$AW15,MATCH($AW$7,$A$7:$AW$7,FALSE),FALSE),0)/LEFT($AX$7,FIND(" ",$AX$7))+_xlfn.IFNA(VLOOKUP(SUMPRODUCT(LARGE(($C$8:$C15=Table1[[#This Row],[Climber]])*$A$8:$A15,MIN(2,COUNTIFS($C$8:$C15,$C15)))),$A$8:$AW15,MATCH($AW$7,$A$7:$AW$7,FALSE),FALSE),0)/LEFT($AX$7,FIND(" ",$AX$7))+_xlfn.IFNA(VLOOKUP(SUMPRODUCT(LARGE(($C$8:$C15=Table1[[#This Row],[Climber]])*$A$8:$A15,MIN(3,COUNTIFS($C$8:$C15,$C15)))),$A$8:$AW15,MATCH($AW$7,$A$7:$AW$7,FALSE),FALSE),0)/LEFT($AX$7,FIND(" ",$AX$7))</f>
        <v>36.992315957066666</v>
      </c>
      <c r="AY15" s="30">
        <f ca="1">_xlfn.IFNA(VLOOKUP(SUMPRODUCT(LARGE(($C$8:$C15=Table1[[#This Row],[Climber]])*$A$8:$A15,1)),$A$8:$AW15,MATCH($AW$7,$A$7:$AW$7,FALSE),FALSE),0)/LEFT($AY$7,FIND(" ",$AY$7))+_xlfn.IFNA(VLOOKUP(SUMPRODUCT(LARGE(($C$8:$C15=Table1[[#This Row],[Climber]])*$A$8:$A15,MIN(2,COUNTIFS($C$8:$C15,$C15)))),$A$8:$AW15,MATCH($AW$7,$A$7:$AW$7,FALSE),FALSE),0)/LEFT($AY$7,FIND(" ",$AY$7))+_xlfn.IFNA(VLOOKUP(SUMPRODUCT(LARGE(($C$8:$C15=Table1[[#This Row],[Climber]])*$A$8:$A15,MIN(3,COUNTIFS($C$8:$C15,$C15)))),$A$8:$AW15,MATCH($AW$7,$A$7:$AW$7,FALSE),FALSE),0)/LEFT($AY$7,FIND(" ",$AY$7))+_xlfn.IFNA(VLOOKUP(SUMPRODUCT(LARGE(($C$8:$C15=Table1[[#This Row],[Climber]])*$A$8:$A15,MIN(4,COUNTIFS($C$8:$C15,$C15)))),$A$8:$AW15,MATCH($AW$7,$A$7:$AW$7,FALSE),FALSE),0)/LEFT($AY$7,FIND(" ",$AY$7))+_xlfn.IFNA(VLOOKUP(SUMPRODUCT(LARGE(($C$8:$C15=Table1[[#This Row],[Climber]])*$A$8:$A15,MIN(5,COUNTIFS($C$8:$C15,$C15)))),$A$8:$AW15,MATCH($AW$7,$A$7:$AW$7,FALSE),FALSE),0)/LEFT($AY$7,FIND(" ",$AY$7))</f>
        <v>36.298389574240005</v>
      </c>
      <c r="AZ15" s="30">
        <f>(_xlfn.IFNA(VLOOKUP(SUMPRODUCT(LARGE(($C$8:$C15=Table1[[#This Row],[Climber]])*$A$8:$A15,4)),$A$8:$AW15,MATCH($AW$7,$A$7:$AW$7,FALSE),FALSE),0)+_xlfn.IFNA(VLOOKUP(SUMPRODUCT(LARGE(($C$8:$C15=Table1[[#This Row],[Climber]])*$A$8:$A15,5)),$A$8:$AW15,MATCH($AW$7,$A$7:$AW$7,FALSE),FALSE),0)+_xlfn.IFNA(VLOOKUP(SUMPRODUCT(LARGE(($C$8:$C15=Table1[[#This Row],[Climber]])*$A$8:$A15,6)),$A$8:$AW15,MATCH($AW$7,$A$7:$AW$7,FALSE),FALSE),0))/3</f>
        <v>0</v>
      </c>
      <c r="BA15" s="6">
        <f ca="1">_xlfn.MAXIFS(INDIRECT("$AW"&amp;IF(SUMPRODUCT(LARGE(($C$8:$C15=$C15)*$A$8:$A15,LEFT($BA$7,FIND(" ",$BA$7)-1)))=0,8,SUMPRODUCT(LARGE(($C$8:$C15=$C15)*$A$8:$A15,LEFT($BA$7,FIND(" ",$BA$7)-1)))+7)&amp;":$AW"&amp;ROW()),INDIRECT("$C"&amp;IF(SUMPRODUCT(LARGE(($C$8:$C15=$C15)*$A$8:$A15,LEFT($BA$7,FIND(" ",$BA$7)-1)))=0,8,SUMPRODUCT(LARGE(($C$8:$C15=$C15)*$A$8:$A15,LEFT($BA$7,FIND(" ",$BA$7)-1)))+7)&amp;":$C"&amp;ROW()),$C15)</f>
        <v>40.46194787120001</v>
      </c>
      <c r="BB15" s="6" t="str">
        <f ca="1">VLOOKUP(MAX(BG15,$AX15),'RC Lookup'!$G$14:$J$20,2,TRUE)</f>
        <v>T1</v>
      </c>
      <c r="BC15" s="6">
        <f ca="1">_xlfn.IFNA(VLOOKUP(VLOOKUP($C15,'RC Lookup'!$O$3:$P$50,2,FALSE),'RC Lookup'!$H$14:$J$23,2,FALSE),0)*AW15</f>
        <v>31.050786134333237</v>
      </c>
      <c r="BD15" s="6">
        <f ca="1">_xlfn.IFNA(VLOOKUP(SUMPRODUCT(LARGE(($C$8:$C15=Table1[[#This Row],[Climber]])*$A$8:$A15,1)),$A$8:$BC15,55,FALSE),0)/LEFT($AX$7,FIND(" ",$AX$7))+_xlfn.IFNA(VLOOKUP(SUMPRODUCT(LARGE(($C$8:$C15=Table1[[#This Row],[Climber]])*$A$8:$A15,MIN(2,COUNTIFS($C$8:$C15,$C15)))),$A$8:$BC15,55,FALSE),0)/LEFT($AX$7,FIND(" ",$AX$7))+_xlfn.IFNA(VLOOKUP(SUMPRODUCT(LARGE(($C$8:$C15=Table1[[#This Row],[Climber]])*$A$8:$A15,MIN(3,COUNTIFS($C$8:$C15,$C15)))),$A$8:$BC15,55,FALSE),0)/LEFT($AX$7,FIND(" ",$AX$7))</f>
        <v>28.388165964054807</v>
      </c>
      <c r="BE15" s="6">
        <f>(_xlfn.IFNA(VLOOKUP(SUMPRODUCT(LARGE(($C$8:$C15=Table1[[#This Row],[Climber]])*$A$8:$A15,4)),$A$8:$BD15,55,FALSE),0)+_xlfn.IFNA(VLOOKUP(SUMPRODUCT(LARGE(($C$8:$C15=Table1[[#This Row],[Climber]])*$A$8:$A15,5)),$A$8:$BD15,55,FALSE),0)+_xlfn.IFNA(VLOOKUP(SUMPRODUCT(LARGE(($C$8:$C15=Table1[[#This Row],[Climber]])*$A$8:$A15,6)),$A$8:$BD15,55,FALSE),0))/3</f>
        <v>0</v>
      </c>
      <c r="BF15" s="46">
        <f ca="1">_xlfn.MAXIFS(INDIRECT("$BC"&amp;IF(SUMPRODUCT(LARGE(($C$8:$C15=$C15)*$A$8:$A15,LEFT($BA$7,FIND(" ",$BA$7)-1)))=0,8,SUMPRODUCT(LARGE(($C$8:$C15=$C15)*$A$8:$A15,LEFT($BA$7,FIND(" ",$BA$7)-1)))+7)&amp;":$BC"&amp;ROW()),INDIRECT("$C"&amp;IF(SUMPRODUCT(LARGE(($C$8:$C15=$C15)*$A$8:$A15,LEFT($BA$7,FIND(" ",$BA$7)-1)))=0,8,SUMPRODUCT(LARGE(($C$8:$C15=$C15)*$A$8:$A15,LEFT($BA$7,FIND(" ",$BA$7)-1)))+7)&amp;":$C"&amp;ROW()),$C15)</f>
        <v>31.050786134333237</v>
      </c>
      <c r="BG15" s="46">
        <f t="array" aca="1" ref="BG15" ca="1">IFERROR(SUMPRODUCT(LARGE(($C$8:$C15=Table1[[#This Row],[Climber]])*$AW$8:$AW15,ROW(INDIRECT("1:5")))),AW15)/MIN(COUNTIFS($C$8:$C15,C15),5)</f>
        <v>37.859723935600002</v>
      </c>
      <c r="BH15" s="46"/>
    </row>
    <row r="16" spans="1:60" x14ac:dyDescent="0.3">
      <c r="A16" s="125">
        <f t="shared" si="1"/>
        <v>9</v>
      </c>
      <c r="B16" s="25">
        <f>'Rock Climbing Log'!B16</f>
        <v>43111</v>
      </c>
      <c r="C16" s="126" t="str">
        <f>'Rock Climbing Log'!C16</f>
        <v>Edwin</v>
      </c>
      <c r="D16" s="26">
        <f>_xlfn.IFNA(IF(LEFT('Rock Climbing Log'!D16)="C",_xlfn.IFNA(VLOOKUP('Rock Climbing Log'!D16,'RC Lookup'!$A$3:$B$9,2,FALSE),0.5),VLOOKUP('Rock Climbing Log'!D16,'RC Lookup'!$G$3:$H$5,2,FALSE)),0)*VLOOKUP(D$7,'RC Lookup'!$D$3:$E$18,2,FALSE)</f>
        <v>10</v>
      </c>
      <c r="E16" s="26">
        <f>_xlfn.IFNA(IF(LEFT('Rock Climbing Log'!E16)="C",_xlfn.IFNA(VLOOKUP('Rock Climbing Log'!E16,'RC Lookup'!$A$3:$B$9,2,FALSE),0.5),VLOOKUP('Rock Climbing Log'!E16,'RC Lookup'!$G$3:$H$5,2,FALSE)),0)*VLOOKUP(D$7,'RC Lookup'!$D$3:$E$18,2,FALSE)</f>
        <v>0</v>
      </c>
      <c r="F16" s="26">
        <f>_xlfn.IFNA(IF(LEFT('Rock Climbing Log'!F16)="C",_xlfn.IFNA(VLOOKUP('Rock Climbing Log'!F16,'RC Lookup'!$A$3:$B$9,2,FALSE),0.5),VLOOKUP('Rock Climbing Log'!F16,'RC Lookup'!$G$3:$H$5,2,FALSE)),0)*VLOOKUP(D$7,'RC Lookup'!$D$3:$E$18,2,FALSE)</f>
        <v>0</v>
      </c>
      <c r="G16" s="26">
        <f>_xlfn.IFNA(IF(LEFT('Rock Climbing Log'!G16)="C",_xlfn.IFNA(VLOOKUP('Rock Climbing Log'!G16,'RC Lookup'!$A$3:$B$9,2,FALSE),0.5),VLOOKUP('Rock Climbing Log'!G16,'RC Lookup'!$G$3:$H$5,2,FALSE)),0)*VLOOKUP(G$7,'RC Lookup'!$D$3:$E$18,2,FALSE)</f>
        <v>12.5</v>
      </c>
      <c r="H16" s="26">
        <f>_xlfn.IFNA(IF(LEFT('Rock Climbing Log'!H16)="C",_xlfn.IFNA(VLOOKUP('Rock Climbing Log'!H16,'RC Lookup'!$A$3:$B$9,2,FALSE),0.5),VLOOKUP('Rock Climbing Log'!H16,'RC Lookup'!$G$3:$H$5,2,FALSE)),0)*VLOOKUP(G$7,'RC Lookup'!$D$3:$E$18,2,FALSE)</f>
        <v>0</v>
      </c>
      <c r="I16" s="26">
        <f>_xlfn.IFNA(IF(LEFT('Rock Climbing Log'!I16)="C",_xlfn.IFNA(VLOOKUP('Rock Climbing Log'!I16,'RC Lookup'!$A$3:$B$9,2,FALSE),0.5),VLOOKUP('Rock Climbing Log'!I16,'RC Lookup'!$G$3:$H$5,2,FALSE)),0)*VLOOKUP(G$7,'RC Lookup'!$D$3:$E$18,2,FALSE)</f>
        <v>0</v>
      </c>
      <c r="J16" s="26">
        <f>_xlfn.IFNA(IF(LEFT('Rock Climbing Log'!J16)="C",_xlfn.IFNA(VLOOKUP('Rock Climbing Log'!J16,'RC Lookup'!$A$3:$B$9,2,FALSE),0.5),VLOOKUP('Rock Climbing Log'!J16,'RC Lookup'!$G$3:$H$5,2,FALSE)),0)*VLOOKUP(J$7,'RC Lookup'!$D$3:$E$18,2,FALSE)</f>
        <v>0</v>
      </c>
      <c r="K16" s="26">
        <f>_xlfn.IFNA(IF(LEFT('Rock Climbing Log'!K16)="C",_xlfn.IFNA(VLOOKUP('Rock Climbing Log'!K16,'RC Lookup'!$A$3:$B$9,2,FALSE),0.5),VLOOKUP('Rock Climbing Log'!K16,'RC Lookup'!$G$3:$H$5,2,FALSE)),0)*VLOOKUP(J$7,'RC Lookup'!$D$3:$E$18,2,FALSE)</f>
        <v>0</v>
      </c>
      <c r="L16" s="26">
        <f>_xlfn.IFNA(IF(LEFT('Rock Climbing Log'!L16)="C",_xlfn.IFNA(VLOOKUP('Rock Climbing Log'!L16,'RC Lookup'!$A$3:$B$9,2,FALSE),0.5),VLOOKUP('Rock Climbing Log'!L16,'RC Lookup'!$G$3:$H$5,2,FALSE)),0)*VLOOKUP(J$7,'RC Lookup'!$D$3:$E$18,2,FALSE)</f>
        <v>0</v>
      </c>
      <c r="M16" s="26">
        <f>_xlfn.IFNA(IF(LEFT('Rock Climbing Log'!M16)="C",_xlfn.IFNA(VLOOKUP('Rock Climbing Log'!M16,'RC Lookup'!$A$3:$B$9,2,FALSE),0.5),VLOOKUP('Rock Climbing Log'!M16,'RC Lookup'!$G$3:$H$5,2,FALSE)),0)*VLOOKUP(M$7,'RC Lookup'!$D$3:$E$18,2,FALSE)</f>
        <v>20.002500000000001</v>
      </c>
      <c r="N16" s="26">
        <f>_xlfn.IFNA(IF(LEFT('Rock Climbing Log'!N16)="C",_xlfn.IFNA(VLOOKUP('Rock Climbing Log'!N16,'RC Lookup'!$A$3:$B$9,2,FALSE),0.5),VLOOKUP('Rock Climbing Log'!N16,'RC Lookup'!$G$3:$H$5,2,FALSE)),0)*VLOOKUP(M$7,'RC Lookup'!$D$3:$E$18,2,FALSE)</f>
        <v>0</v>
      </c>
      <c r="O16" s="26">
        <f>_xlfn.IFNA(IF(LEFT('Rock Climbing Log'!O16)="C",_xlfn.IFNA(VLOOKUP('Rock Climbing Log'!O16,'RC Lookup'!$A$3:$B$9,2,FALSE),0.5),VLOOKUP('Rock Climbing Log'!O16,'RC Lookup'!$G$3:$H$5,2,FALSE)),0)*VLOOKUP(M$7,'RC Lookup'!$D$3:$E$18,2,FALSE)</f>
        <v>0</v>
      </c>
      <c r="P16" s="26">
        <f>_xlfn.IFNA(IF(LEFT('Rock Climbing Log'!P16)="C",_xlfn.IFNA(VLOOKUP('Rock Climbing Log'!P16,'RC Lookup'!$A$3:$B$9,2,FALSE),0.5),VLOOKUP('Rock Climbing Log'!P16,'RC Lookup'!$G$3:$H$5,2,FALSE)),0)*VLOOKUP(P$7,'RC Lookup'!$D$3:$E$18,2,FALSE)</f>
        <v>0</v>
      </c>
      <c r="Q16" s="26">
        <f>_xlfn.IFNA(IF(LEFT('Rock Climbing Log'!Q16)="C",_xlfn.IFNA(VLOOKUP('Rock Climbing Log'!Q16,'RC Lookup'!$A$3:$B$9,2,FALSE),0.5),VLOOKUP('Rock Climbing Log'!Q16,'RC Lookup'!$G$3:$H$5,2,FALSE)),0)*VLOOKUP(P$7,'RC Lookup'!$D$3:$E$18,2,FALSE)</f>
        <v>0</v>
      </c>
      <c r="R16" s="26">
        <f>_xlfn.IFNA(IF(LEFT('Rock Climbing Log'!R16)="C",_xlfn.IFNA(VLOOKUP('Rock Climbing Log'!R16,'RC Lookup'!$A$3:$B$9,2,FALSE),0.5),VLOOKUP('Rock Climbing Log'!R16,'RC Lookup'!$G$3:$H$5,2,FALSE)),0)*VLOOKUP(P$7,'RC Lookup'!$D$3:$E$18,2,FALSE)</f>
        <v>0</v>
      </c>
      <c r="S16" s="26">
        <f>_xlfn.IFNA(IF(LEFT('Rock Climbing Log'!S16)="C",_xlfn.IFNA(VLOOKUP('Rock Climbing Log'!S16,'RC Lookup'!$A$3:$B$9,2,FALSE),0.5),VLOOKUP('Rock Climbing Log'!S16,'RC Lookup'!$G$3:$H$5,2,FALSE)),0)*VLOOKUP(S$7,'RC Lookup'!$D$3:$E$18,2,FALSE)</f>
        <v>0</v>
      </c>
      <c r="T16" s="26">
        <f>_xlfn.IFNA(IF(LEFT('Rock Climbing Log'!T16)="C",_xlfn.IFNA(VLOOKUP('Rock Climbing Log'!T16,'RC Lookup'!$A$3:$B$9,2,FALSE),0.5),VLOOKUP('Rock Climbing Log'!T16,'RC Lookup'!$G$3:$H$5,2,FALSE)),0)*VLOOKUP(S$7,'RC Lookup'!$D$3:$E$18,2,FALSE)</f>
        <v>0</v>
      </c>
      <c r="U16" s="26">
        <f>_xlfn.IFNA(IF(LEFT('Rock Climbing Log'!U16)="C",_xlfn.IFNA(VLOOKUP('Rock Climbing Log'!U16,'RC Lookup'!$A$3:$B$9,2,FALSE),0.5),VLOOKUP('Rock Climbing Log'!U16,'RC Lookup'!$G$3:$H$5,2,FALSE)),0)*VLOOKUP(S$7,'RC Lookup'!$D$3:$E$18,2,FALSE)</f>
        <v>0</v>
      </c>
      <c r="V16" s="26">
        <f>_xlfn.IFNA(IF(LEFT('Rock Climbing Log'!V16)="C",_xlfn.IFNA(VLOOKUP('Rock Climbing Log'!V16,'RC Lookup'!$A$3:$B$9,2,FALSE),0.5),VLOOKUP('Rock Climbing Log'!V16,'RC Lookup'!$G$3:$H$5,2,FALSE)),0)*VLOOKUP(V$7,'RC Lookup'!$D$3:$E$18,2,FALSE)</f>
        <v>25.70216764620962</v>
      </c>
      <c r="W16" s="26">
        <f>_xlfn.IFNA(IF(LEFT('Rock Climbing Log'!W16)="C",_xlfn.IFNA(VLOOKUP('Rock Climbing Log'!W16,'RC Lookup'!$A$3:$B$9,2,FALSE),0.5),VLOOKUP('Rock Climbing Log'!W16,'RC Lookup'!$G$3:$H$5,2,FALSE)),0)*VLOOKUP(V$7,'RC Lookup'!$D$3:$E$18,2,FALSE)</f>
        <v>0</v>
      </c>
      <c r="X16" s="26">
        <f>_xlfn.IFNA(IF(LEFT('Rock Climbing Log'!X16)="C",_xlfn.IFNA(VLOOKUP('Rock Climbing Log'!X16,'RC Lookup'!$A$3:$B$9,2,FALSE),0.5),VLOOKUP('Rock Climbing Log'!X16,'RC Lookup'!$G$3:$H$5,2,FALSE)),0)*VLOOKUP(V$7,'RC Lookup'!$D$3:$E$18,2,FALSE)</f>
        <v>0</v>
      </c>
      <c r="Y16" s="26">
        <f>_xlfn.IFNA(IF(LEFT('Rock Climbing Log'!Y16)="C",_xlfn.IFNA(VLOOKUP('Rock Climbing Log'!Y16,'RC Lookup'!$A$3:$B$9,2,FALSE),0.5),VLOOKUP('Rock Climbing Log'!Y16,'RC Lookup'!$G$3:$H$5,2,FALSE)),0)*VLOOKUP(Y$7,'RC Lookup'!$D$3:$E$18,2,FALSE)</f>
        <v>0</v>
      </c>
      <c r="Z16" s="26">
        <f>_xlfn.IFNA(IF(LEFT('Rock Climbing Log'!Z16)="C",_xlfn.IFNA(VLOOKUP('Rock Climbing Log'!Z16,'RC Lookup'!$A$3:$B$9,2,FALSE),0.5),VLOOKUP('Rock Climbing Log'!Z16,'RC Lookup'!$G$3:$H$5,2,FALSE)),0)*VLOOKUP(Y$7,'RC Lookup'!$D$3:$E$18,2,FALSE)</f>
        <v>0</v>
      </c>
      <c r="AA16" s="26">
        <f>_xlfn.IFNA(IF(LEFT('Rock Climbing Log'!AA16)="C",_xlfn.IFNA(VLOOKUP('Rock Climbing Log'!AA16,'RC Lookup'!$A$3:$B$9,2,FALSE),0.5),VLOOKUP('Rock Climbing Log'!AA16,'RC Lookup'!$G$3:$H$5,2,FALSE)),0)*VLOOKUP(Y$7,'RC Lookup'!$D$3:$E$18,2,FALSE)</f>
        <v>0</v>
      </c>
      <c r="AB16" s="26">
        <f>_xlfn.IFNA(IF(LEFT('Rock Climbing Log'!AB16)="C",_xlfn.IFNA(VLOOKUP('Rock Climbing Log'!AB16,'RC Lookup'!$A$3:$B$9,2,FALSE),0.5),VLOOKUP('Rock Climbing Log'!AB16,'RC Lookup'!$G$3:$H$5,2,FALSE)),0)*VLOOKUP(AB$7,'RC Lookup'!$D$3:$E$18,2,FALSE)</f>
        <v>0</v>
      </c>
      <c r="AC16" s="26">
        <f>_xlfn.IFNA(IF(LEFT('Rock Climbing Log'!AC16)="C",_xlfn.IFNA(VLOOKUP('Rock Climbing Log'!AC16,'RC Lookup'!$A$3:$B$9,2,FALSE),0.5),VLOOKUP('Rock Climbing Log'!AC16,'RC Lookup'!$G$3:$H$5,2,FALSE)),0)*VLOOKUP(AB$7,'RC Lookup'!$D$3:$E$18,2,FALSE)</f>
        <v>0</v>
      </c>
      <c r="AD16" s="26">
        <f>_xlfn.IFNA(IF(LEFT('Rock Climbing Log'!AD16)="C",_xlfn.IFNA(VLOOKUP('Rock Climbing Log'!AD16,'RC Lookup'!$A$3:$B$9,2,FALSE),0.5),VLOOKUP('Rock Climbing Log'!AD16,'RC Lookup'!$G$3:$H$5,2,FALSE)),0)*VLOOKUP(AB$7,'RC Lookup'!$D$3:$E$18,2,FALSE)</f>
        <v>0</v>
      </c>
      <c r="AE16" s="26">
        <f>_xlfn.IFNA(IF(LEFT('Rock Climbing Log'!AE16)="C",_xlfn.IFNA(VLOOKUP('Rock Climbing Log'!AE16,'RC Lookup'!$A$3:$B$9,2,FALSE),0.5),VLOOKUP('Rock Climbing Log'!AE16,'RC Lookup'!$G$3:$H$5,2,FALSE)),0)*VLOOKUP(AE$7,'RC Lookup'!$D$3:$E$18,2,FALSE)</f>
        <v>0</v>
      </c>
      <c r="AF16" s="26">
        <f>_xlfn.IFNA(IF(LEFT('Rock Climbing Log'!AF16)="C",_xlfn.IFNA(VLOOKUP('Rock Climbing Log'!AF16,'RC Lookup'!$A$3:$B$9,2,FALSE),0.5),VLOOKUP('Rock Climbing Log'!AF16,'RC Lookup'!$G$3:$H$5,2,FALSE)),0)*VLOOKUP(AE$7,'RC Lookup'!$D$3:$E$18,2,FALSE)</f>
        <v>0</v>
      </c>
      <c r="AG16" s="26">
        <f>_xlfn.IFNA(IF(LEFT('Rock Climbing Log'!AG16)="C",_xlfn.IFNA(VLOOKUP('Rock Climbing Log'!AG16,'RC Lookup'!$A$3:$B$9,2,FALSE),0.5),VLOOKUP('Rock Climbing Log'!AG16,'RC Lookup'!$G$3:$H$5,2,FALSE)),0)*VLOOKUP(AE$7,'RC Lookup'!$D$3:$E$18,2,FALSE)</f>
        <v>0</v>
      </c>
      <c r="AH16" s="26">
        <f>_xlfn.IFNA(IF(LEFT('Rock Climbing Log'!AH16)="C",_xlfn.IFNA(VLOOKUP('Rock Climbing Log'!AH16,'RC Lookup'!$A$3:$B$9,2,FALSE),0.5),VLOOKUP('Rock Climbing Log'!AH16,'RC Lookup'!$G$3:$H$5,2,FALSE)),0)*VLOOKUP(AH$7,'RC Lookup'!$D$3:$E$18,2,FALSE)</f>
        <v>0</v>
      </c>
      <c r="AI16" s="26">
        <f>_xlfn.IFNA(IF(LEFT('Rock Climbing Log'!AI16)="C",_xlfn.IFNA(VLOOKUP('Rock Climbing Log'!AI16,'RC Lookup'!$A$3:$B$9,2,FALSE),0.5),VLOOKUP('Rock Climbing Log'!AI16,'RC Lookup'!$G$3:$H$5,2,FALSE)),0)*VLOOKUP(AH$7,'RC Lookup'!$D$3:$E$18,2,FALSE)</f>
        <v>0</v>
      </c>
      <c r="AJ16" s="26">
        <f>_xlfn.IFNA(IF(LEFT('Rock Climbing Log'!AJ16)="C",_xlfn.IFNA(VLOOKUP('Rock Climbing Log'!AJ16,'RC Lookup'!$A$3:$B$9,2,FALSE),0.5),VLOOKUP('Rock Climbing Log'!AJ16,'RC Lookup'!$G$3:$H$5,2,FALSE)),0)*VLOOKUP(AH$7,'RC Lookup'!$D$3:$E$18,2,FALSE)</f>
        <v>0</v>
      </c>
      <c r="AK16" s="26">
        <f>_xlfn.IFNA(IF(LEFT('Rock Climbing Log'!AK16)="C",_xlfn.IFNA(VLOOKUP('Rock Climbing Log'!AK16,'RC Lookup'!$A$3:$B$9,2,FALSE),0.5),VLOOKUP('Rock Climbing Log'!AK16,'RC Lookup'!$G$3:$H$5,2,FALSE)),0)*VLOOKUP(AK$7,'RC Lookup'!$D$3:$E$18,2,FALSE)</f>
        <v>0</v>
      </c>
      <c r="AL16" s="26">
        <f>_xlfn.IFNA(IF(LEFT('Rock Climbing Log'!AL16)="C",_xlfn.IFNA(VLOOKUP('Rock Climbing Log'!AL16,'RC Lookup'!$A$3:$B$9,2,FALSE),0.5),VLOOKUP('Rock Climbing Log'!AL16,'RC Lookup'!$G$3:$H$5,2,FALSE)),0)*VLOOKUP(AK$7,'RC Lookup'!$D$3:$E$18,2,FALSE)</f>
        <v>0</v>
      </c>
      <c r="AM16" s="26">
        <f>_xlfn.IFNA(IF(LEFT('Rock Climbing Log'!AM16)="C",_xlfn.IFNA(VLOOKUP('Rock Climbing Log'!AM16,'RC Lookup'!$A$3:$B$9,2,FALSE),0.5),VLOOKUP('Rock Climbing Log'!AM16,'RC Lookup'!$G$3:$H$5,2,FALSE)),0)*VLOOKUP(AK$7,'RC Lookup'!$D$3:$E$18,2,FALSE)</f>
        <v>0</v>
      </c>
      <c r="AN16" s="26">
        <f>_xlfn.IFNA(IF(LEFT('Rock Climbing Log'!AN16)="C",_xlfn.IFNA(VLOOKUP('Rock Climbing Log'!AN16,'RC Lookup'!$A$3:$B$9,2,FALSE),0.5),VLOOKUP('Rock Climbing Log'!AN16,'RC Lookup'!$G$3:$H$5,2,FALSE)),0)*VLOOKUP(AN$7,'RC Lookup'!$D$3:$E$18,2,FALSE)</f>
        <v>0</v>
      </c>
      <c r="AO16" s="26">
        <f>_xlfn.IFNA(IF(LEFT('Rock Climbing Log'!AO16)="C",_xlfn.IFNA(VLOOKUP('Rock Climbing Log'!AO16,'RC Lookup'!$A$3:$B$9,2,FALSE),0.5),VLOOKUP('Rock Climbing Log'!AO16,'RC Lookup'!$G$3:$H$5,2,FALSE)),0)*VLOOKUP(AN$7,'RC Lookup'!$D$3:$E$18,2,FALSE)</f>
        <v>0</v>
      </c>
      <c r="AP16" s="26">
        <f>_xlfn.IFNA(IF(LEFT('Rock Climbing Log'!AP16)="C",_xlfn.IFNA(VLOOKUP('Rock Climbing Log'!AP16,'RC Lookup'!$A$3:$B$9,2,FALSE),0.5),VLOOKUP('Rock Climbing Log'!AP16,'RC Lookup'!$G$3:$H$5,2,FALSE)),0)*VLOOKUP(AN$7,'RC Lookup'!$D$3:$E$18,2,FALSE)</f>
        <v>0</v>
      </c>
      <c r="AQ16" s="26">
        <f>_xlfn.IFNA(IF(LEFT('Rock Climbing Log'!AQ16)="C",_xlfn.IFNA(VLOOKUP('Rock Climbing Log'!AQ16,'RC Lookup'!$A$3:$B$9,2,FALSE),0.5),VLOOKUP('Rock Climbing Log'!AQ16,'RC Lookup'!$G$3:$H$5,2,FALSE)),0)*VLOOKUP(AQ$7,'RC Lookup'!$D$3:$E$18,2,FALSE)</f>
        <v>0</v>
      </c>
      <c r="AR16" s="26">
        <f>_xlfn.IFNA(IF(LEFT('Rock Climbing Log'!AR16)="C",_xlfn.IFNA(VLOOKUP('Rock Climbing Log'!AR16,'RC Lookup'!$A$3:$B$9,2,FALSE),0.5),VLOOKUP('Rock Climbing Log'!AR16,'RC Lookup'!$G$3:$H$5,2,FALSE)),0)*VLOOKUP(AQ$7,'RC Lookup'!$D$3:$E$18,2,FALSE)</f>
        <v>0</v>
      </c>
      <c r="AS16" s="26">
        <f>_xlfn.IFNA(IF(LEFT('Rock Climbing Log'!AS16)="C",_xlfn.IFNA(VLOOKUP('Rock Climbing Log'!AS16,'RC Lookup'!$A$3:$B$9,2,FALSE),0.5),VLOOKUP('Rock Climbing Log'!AS16,'RC Lookup'!$G$3:$H$5,2,FALSE)),0)*VLOOKUP(AQ$7,'RC Lookup'!$D$3:$E$18,2,FALSE)</f>
        <v>0</v>
      </c>
      <c r="AT16" s="26">
        <f>_xlfn.IFNA(IF(LEFT('Rock Climbing Log'!AT16)="C",_xlfn.IFNA(VLOOKUP('Rock Climbing Log'!AT16,'RC Lookup'!$A$3:$B$9,2,FALSE),0.5),VLOOKUP('Rock Climbing Log'!AT16,'RC Lookup'!$G$3:$H$5,2,FALSE)),0)*VLOOKUP(AT$7,'RC Lookup'!$D$3:$E$18,2,FALSE)</f>
        <v>0</v>
      </c>
      <c r="AU16" s="26">
        <f>_xlfn.IFNA(IF(LEFT('Rock Climbing Log'!AU16)="C",_xlfn.IFNA(VLOOKUP('Rock Climbing Log'!AU16,'RC Lookup'!$A$3:$B$9,2,FALSE),0.5),VLOOKUP('Rock Climbing Log'!AU16,'RC Lookup'!$G$3:$H$5,2,FALSE)),0)*VLOOKUP(AT$7,'RC Lookup'!$D$3:$E$18,2,FALSE)</f>
        <v>0</v>
      </c>
      <c r="AV16" s="26">
        <f>_xlfn.IFNA(IF(LEFT('Rock Climbing Log'!AV16)="C",_xlfn.IFNA(VLOOKUP('Rock Climbing Log'!AV16,'RC Lookup'!$A$3:$B$9,2,FALSE),0.5),VLOOKUP('Rock Climbing Log'!AV16,'RC Lookup'!$G$3:$H$5,2,FALSE)),0)*VLOOKUP(AT$7,'RC Lookup'!$D$3:$E$18,2,FALSE)</f>
        <v>0</v>
      </c>
      <c r="AW16" s="30">
        <f t="shared" ca="1" si="0"/>
        <v>58.204667646209622</v>
      </c>
      <c r="AX16" s="30">
        <f ca="1">_xlfn.IFNA(VLOOKUP(SUMPRODUCT(LARGE(($C$8:$C16=Table1[[#This Row],[Climber]])*$A$8:$A16,1)),$A$8:$AW16,MATCH($AW$7,$A$7:$AW$7,FALSE),FALSE),0)/LEFT($AX$7,FIND(" ",$AX$7))+_xlfn.IFNA(VLOOKUP(SUMPRODUCT(LARGE(($C$8:$C16=Table1[[#This Row],[Climber]])*$A$8:$A16,MIN(2,COUNTIFS($C$8:$C16,$C16)))),$A$8:$AW16,MATCH($AW$7,$A$7:$AW$7,FALSE),FALSE),0)/LEFT($AX$7,FIND(" ",$AX$7))+_xlfn.IFNA(VLOOKUP(SUMPRODUCT(LARGE(($C$8:$C16=Table1[[#This Row],[Climber]])*$A$8:$A16,MIN(3,COUNTIFS($C$8:$C16,$C16)))),$A$8:$AW16,MATCH($AW$7,$A$7:$AW$7,FALSE),FALSE),0)/LEFT($AX$7,FIND(" ",$AX$7))</f>
        <v>60.437464462869897</v>
      </c>
      <c r="AY16" s="30">
        <f ca="1">_xlfn.IFNA(VLOOKUP(SUMPRODUCT(LARGE(($C$8:$C16=Table1[[#This Row],[Climber]])*$A$8:$A16,1)),$A$8:$AW16,MATCH($AW$7,$A$7:$AW$7,FALSE),FALSE),0)/LEFT($AY$7,FIND(" ",$AY$7))+_xlfn.IFNA(VLOOKUP(SUMPRODUCT(LARGE(($C$8:$C16=Table1[[#This Row],[Climber]])*$A$8:$A16,MIN(2,COUNTIFS($C$8:$C16,$C16)))),$A$8:$AW16,MATCH($AW$7,$A$7:$AW$7,FALSE),FALSE),0)/LEFT($AY$7,FIND(" ",$AY$7))+_xlfn.IFNA(VLOOKUP(SUMPRODUCT(LARGE(($C$8:$C16=Table1[[#This Row],[Climber]])*$A$8:$A16,MIN(3,COUNTIFS($C$8:$C16,$C16)))),$A$8:$AW16,MATCH($AW$7,$A$7:$AW$7,FALSE),FALSE),0)/LEFT($AY$7,FIND(" ",$AY$7))+_xlfn.IFNA(VLOOKUP(SUMPRODUCT(LARGE(($C$8:$C16=Table1[[#This Row],[Climber]])*$A$8:$A16,MIN(4,COUNTIFS($C$8:$C16,$C16)))),$A$8:$AW16,MATCH($AW$7,$A$7:$AW$7,FALSE),FALSE),0)/LEFT($AY$7,FIND(" ",$AY$7))+_xlfn.IFNA(VLOOKUP(SUMPRODUCT(LARGE(($C$8:$C16=Table1[[#This Row],[Climber]])*$A$8:$A16,MIN(5,COUNTIFS($C$8:$C16,$C16)))),$A$8:$AW16,MATCH($AW$7,$A$7:$AW$7,FALSE),FALSE),0)/LEFT($AY$7,FIND(" ",$AY$7))</f>
        <v>60.88402382620194</v>
      </c>
      <c r="AZ16" s="30">
        <f>(_xlfn.IFNA(VLOOKUP(SUMPRODUCT(LARGE(($C$8:$C16=Table1[[#This Row],[Climber]])*$A$8:$A16,4)),$A$8:$AW16,MATCH($AW$7,$A$7:$AW$7,FALSE),FALSE),0)+_xlfn.IFNA(VLOOKUP(SUMPRODUCT(LARGE(($C$8:$C16=Table1[[#This Row],[Climber]])*$A$8:$A16,5)),$A$8:$AW16,MATCH($AW$7,$A$7:$AW$7,FALSE),FALSE),0)+_xlfn.IFNA(VLOOKUP(SUMPRODUCT(LARGE(($C$8:$C16=Table1[[#This Row],[Climber]])*$A$8:$A16,6)),$A$8:$AW16,MATCH($AW$7,$A$7:$AW$7,FALSE),FALSE),0))/3</f>
        <v>0</v>
      </c>
      <c r="BA16" s="6">
        <f ca="1">_xlfn.MAXIFS(INDIRECT("$AW"&amp;IF(SUMPRODUCT(LARGE(($C$8:$C16=$C16)*$A$8:$A16,LEFT($BA$7,FIND(" ",$BA$7)-1)))=0,8,SUMPRODUCT(LARGE(($C$8:$C16=$C16)*$A$8:$A16,LEFT($BA$7,FIND(" ",$BA$7)-1)))+7)&amp;":$AW"&amp;ROW()),INDIRECT("$C"&amp;IF(SUMPRODUCT(LARGE(($C$8:$C16=$C16)*$A$8:$A16,LEFT($BA$7,FIND(" ",$BA$7)-1)))=0,8,SUMPRODUCT(LARGE(($C$8:$C16=$C16)*$A$8:$A16,LEFT($BA$7,FIND(" ",$BA$7)-1)))+7)&amp;":$C"&amp;ROW()),$C16)</f>
        <v>61.553862871200025</v>
      </c>
      <c r="BB16" s="6" t="str">
        <f ca="1">VLOOKUP(MAX(BG16,$AX16),'RC Lookup'!$G$14:$J$20,2,TRUE)</f>
        <v>T2</v>
      </c>
      <c r="BC16" s="6">
        <f ca="1">_xlfn.IFNA(VLOOKUP(VLOOKUP($C16,'RC Lookup'!$O$3:$P$50,2,FALSE),'RC Lookup'!$H$14:$J$23,2,FALSE),0)*AW16</f>
        <v>44.666675288482587</v>
      </c>
      <c r="BD16" s="6">
        <f ca="1">_xlfn.IFNA(VLOOKUP(SUMPRODUCT(LARGE(($C$8:$C16=Table1[[#This Row],[Climber]])*$A$8:$A16,1)),$A$8:$BC16,55,FALSE),0)/LEFT($AX$7,FIND(" ",$AX$7))+_xlfn.IFNA(VLOOKUP(SUMPRODUCT(LARGE(($C$8:$C16=Table1[[#This Row],[Climber]])*$A$8:$A16,MIN(2,COUNTIFS($C$8:$C16,$C16)))),$A$8:$BC16,55,FALSE),0)/LEFT($AX$7,FIND(" ",$AX$7))+_xlfn.IFNA(VLOOKUP(SUMPRODUCT(LARGE(($C$8:$C16=Table1[[#This Row],[Climber]])*$A$8:$A16,MIN(3,COUNTIFS($C$8:$C16,$C16)))),$A$8:$BC16,55,FALSE),0)/LEFT($AX$7,FIND(" ",$AX$7))</f>
        <v>46.380139421653638</v>
      </c>
      <c r="BE16" s="6">
        <f>(_xlfn.IFNA(VLOOKUP(SUMPRODUCT(LARGE(($C$8:$C16=Table1[[#This Row],[Climber]])*$A$8:$A16,4)),$A$8:$BD16,55,FALSE),0)+_xlfn.IFNA(VLOOKUP(SUMPRODUCT(LARGE(($C$8:$C16=Table1[[#This Row],[Climber]])*$A$8:$A16,5)),$A$8:$BD16,55,FALSE),0)+_xlfn.IFNA(VLOOKUP(SUMPRODUCT(LARGE(($C$8:$C16=Table1[[#This Row],[Climber]])*$A$8:$A16,6)),$A$8:$BD16,55,FALSE),0))/3</f>
        <v>0</v>
      </c>
      <c r="BF16" s="46">
        <f ca="1">_xlfn.MAXIFS(INDIRECT("$BC"&amp;IF(SUMPRODUCT(LARGE(($C$8:$C16=$C16)*$A$8:$A16,LEFT($BA$7,FIND(" ",$BA$7)-1)))=0,8,SUMPRODUCT(LARGE(($C$8:$C16=$C16)*$A$8:$A16,LEFT($BA$7,FIND(" ",$BA$7)-1)))+7)&amp;":$BC"&amp;ROW()),INDIRECT("$C"&amp;IF(SUMPRODUCT(LARGE(($C$8:$C16=$C16)*$A$8:$A16,LEFT($BA$7,FIND(" ",$BA$7)-1)))=0,8,SUMPRODUCT(LARGE(($C$8:$C16=$C16)*$A$8:$A16,LEFT($BA$7,FIND(" ",$BA$7)-1)))+7)&amp;":$C"&amp;ROW()),$C16)</f>
        <v>47.236871488239167</v>
      </c>
      <c r="BG16" s="46">
        <f t="array" aca="1" ref="BG16" ca="1">IFERROR(SUMPRODUCT(LARGE(($C$8:$C16=Table1[[#This Row],[Climber]])*$AW$8:$AW16,ROW(INDIRECT("1:5")))),AW16)/MIN(COUNTIFS($C$8:$C16,C16),5)</f>
        <v>59.87926525870482</v>
      </c>
      <c r="BH16" s="46"/>
    </row>
    <row r="17" spans="1:61" x14ac:dyDescent="0.3">
      <c r="A17" s="125">
        <f t="shared" si="1"/>
        <v>10</v>
      </c>
      <c r="B17" s="25">
        <f>'Rock Climbing Log'!B17</f>
        <v>43113</v>
      </c>
      <c r="C17" s="126" t="str">
        <f>'Rock Climbing Log'!C17</f>
        <v>Lester</v>
      </c>
      <c r="D17" s="26">
        <f>_xlfn.IFNA(IF(LEFT('Rock Climbing Log'!D17)="C",_xlfn.IFNA(VLOOKUP('Rock Climbing Log'!D17,'RC Lookup'!$A$3:$B$9,2,FALSE),0.5),VLOOKUP('Rock Climbing Log'!D17,'RC Lookup'!$G$3:$H$5,2,FALSE)),0)*VLOOKUP(D$7,'RC Lookup'!$D$3:$E$18,2,FALSE)</f>
        <v>0</v>
      </c>
      <c r="E17" s="26">
        <f>_xlfn.IFNA(IF(LEFT('Rock Climbing Log'!E17)="C",_xlfn.IFNA(VLOOKUP('Rock Climbing Log'!E17,'RC Lookup'!$A$3:$B$9,2,FALSE),0.5),VLOOKUP('Rock Climbing Log'!E17,'RC Lookup'!$G$3:$H$5,2,FALSE)),0)*VLOOKUP(D$7,'RC Lookup'!$D$3:$E$18,2,FALSE)</f>
        <v>0</v>
      </c>
      <c r="F17" s="26">
        <f>_xlfn.IFNA(IF(LEFT('Rock Climbing Log'!F17)="C",_xlfn.IFNA(VLOOKUP('Rock Climbing Log'!F17,'RC Lookup'!$A$3:$B$9,2,FALSE),0.5),VLOOKUP('Rock Climbing Log'!F17,'RC Lookup'!$G$3:$H$5,2,FALSE)),0)*VLOOKUP(D$7,'RC Lookup'!$D$3:$E$18,2,FALSE)</f>
        <v>0</v>
      </c>
      <c r="G17" s="26">
        <f>_xlfn.IFNA(IF(LEFT('Rock Climbing Log'!G17)="C",_xlfn.IFNA(VLOOKUP('Rock Climbing Log'!G17,'RC Lookup'!$A$3:$B$9,2,FALSE),0.5),VLOOKUP('Rock Climbing Log'!G17,'RC Lookup'!$G$3:$H$5,2,FALSE)),0)*VLOOKUP(G$7,'RC Lookup'!$D$3:$E$18,2,FALSE)</f>
        <v>12.5</v>
      </c>
      <c r="H17" s="26">
        <f>_xlfn.IFNA(IF(LEFT('Rock Climbing Log'!H17)="C",_xlfn.IFNA(VLOOKUP('Rock Climbing Log'!H17,'RC Lookup'!$A$3:$B$9,2,FALSE),0.5),VLOOKUP('Rock Climbing Log'!H17,'RC Lookup'!$G$3:$H$5,2,FALSE)),0)*VLOOKUP(G$7,'RC Lookup'!$D$3:$E$18,2,FALSE)</f>
        <v>0</v>
      </c>
      <c r="I17" s="26">
        <f>_xlfn.IFNA(IF(LEFT('Rock Climbing Log'!I17)="C",_xlfn.IFNA(VLOOKUP('Rock Climbing Log'!I17,'RC Lookup'!$A$3:$B$9,2,FALSE),0.5),VLOOKUP('Rock Climbing Log'!I17,'RC Lookup'!$G$3:$H$5,2,FALSE)),0)*VLOOKUP(G$7,'RC Lookup'!$D$3:$E$18,2,FALSE)</f>
        <v>0</v>
      </c>
      <c r="J17" s="26">
        <f>_xlfn.IFNA(IF(LEFT('Rock Climbing Log'!J17)="C",_xlfn.IFNA(VLOOKUP('Rock Climbing Log'!J17,'RC Lookup'!$A$3:$B$9,2,FALSE),0.5),VLOOKUP('Rock Climbing Log'!J17,'RC Lookup'!$G$3:$H$5,2,FALSE)),0)*VLOOKUP(J$7,'RC Lookup'!$D$3:$E$18,2,FALSE)</f>
        <v>15.75</v>
      </c>
      <c r="K17" s="26">
        <f>_xlfn.IFNA(IF(LEFT('Rock Climbing Log'!K17)="C",_xlfn.IFNA(VLOOKUP('Rock Climbing Log'!K17,'RC Lookup'!$A$3:$B$9,2,FALSE),0.5),VLOOKUP('Rock Climbing Log'!K17,'RC Lookup'!$G$3:$H$5,2,FALSE)),0)*VLOOKUP(J$7,'RC Lookup'!$D$3:$E$18,2,FALSE)</f>
        <v>0</v>
      </c>
      <c r="L17" s="26">
        <f>_xlfn.IFNA(IF(LEFT('Rock Climbing Log'!L17)="C",_xlfn.IFNA(VLOOKUP('Rock Climbing Log'!L17,'RC Lookup'!$A$3:$B$9,2,FALSE),0.5),VLOOKUP('Rock Climbing Log'!L17,'RC Lookup'!$G$3:$H$5,2,FALSE)),0)*VLOOKUP(J$7,'RC Lookup'!$D$3:$E$18,2,FALSE)</f>
        <v>0</v>
      </c>
      <c r="M17" s="26">
        <f>_xlfn.IFNA(IF(LEFT('Rock Climbing Log'!M17)="C",_xlfn.IFNA(VLOOKUP('Rock Climbing Log'!M17,'RC Lookup'!$A$3:$B$9,2,FALSE),0.5),VLOOKUP('Rock Climbing Log'!M17,'RC Lookup'!$G$3:$H$5,2,FALSE)),0)*VLOOKUP(M$7,'RC Lookup'!$D$3:$E$18,2,FALSE)</f>
        <v>20.002500000000001</v>
      </c>
      <c r="N17" s="26">
        <f>_xlfn.IFNA(IF(LEFT('Rock Climbing Log'!N17)="C",_xlfn.IFNA(VLOOKUP('Rock Climbing Log'!N17,'RC Lookup'!$A$3:$B$9,2,FALSE),0.5),VLOOKUP('Rock Climbing Log'!N17,'RC Lookup'!$G$3:$H$5,2,FALSE)),0)*VLOOKUP(M$7,'RC Lookup'!$D$3:$E$18,2,FALSE)</f>
        <v>0</v>
      </c>
      <c r="O17" s="26">
        <f>_xlfn.IFNA(IF(LEFT('Rock Climbing Log'!O17)="C",_xlfn.IFNA(VLOOKUP('Rock Climbing Log'!O17,'RC Lookup'!$A$3:$B$9,2,FALSE),0.5),VLOOKUP('Rock Climbing Log'!O17,'RC Lookup'!$G$3:$H$5,2,FALSE)),0)*VLOOKUP(M$7,'RC Lookup'!$D$3:$E$18,2,FALSE)</f>
        <v>0</v>
      </c>
      <c r="P17" s="26">
        <f>_xlfn.IFNA(IF(LEFT('Rock Climbing Log'!P17)="C",_xlfn.IFNA(VLOOKUP('Rock Climbing Log'!P17,'RC Lookup'!$A$3:$B$9,2,FALSE),0.5),VLOOKUP('Rock Climbing Log'!P17,'RC Lookup'!$G$3:$H$5,2,FALSE)),0)*VLOOKUP(P$7,'RC Lookup'!$D$3:$E$18,2,FALSE)</f>
        <v>0</v>
      </c>
      <c r="Q17" s="26">
        <f>_xlfn.IFNA(IF(LEFT('Rock Climbing Log'!Q17)="C",_xlfn.IFNA(VLOOKUP('Rock Climbing Log'!Q17,'RC Lookup'!$A$3:$B$9,2,FALSE),0.5),VLOOKUP('Rock Climbing Log'!Q17,'RC Lookup'!$G$3:$H$5,2,FALSE)),0)*VLOOKUP(P$7,'RC Lookup'!$D$3:$E$18,2,FALSE)</f>
        <v>0</v>
      </c>
      <c r="R17" s="26">
        <f>_xlfn.IFNA(IF(LEFT('Rock Climbing Log'!R17)="C",_xlfn.IFNA(VLOOKUP('Rock Climbing Log'!R17,'RC Lookup'!$A$3:$B$9,2,FALSE),0.5),VLOOKUP('Rock Climbing Log'!R17,'RC Lookup'!$G$3:$H$5,2,FALSE)),0)*VLOOKUP(P$7,'RC Lookup'!$D$3:$E$18,2,FALSE)</f>
        <v>0</v>
      </c>
      <c r="S17" s="26">
        <f>_xlfn.IFNA(IF(LEFT('Rock Climbing Log'!S17)="C",_xlfn.IFNA(VLOOKUP('Rock Climbing Log'!S17,'RC Lookup'!$A$3:$B$9,2,FALSE),0.5),VLOOKUP('Rock Climbing Log'!S17,'RC Lookup'!$G$3:$H$5,2,FALSE)),0)*VLOOKUP(S$7,'RC Lookup'!$D$3:$E$18,2,FALSE)</f>
        <v>28.898971920000012</v>
      </c>
      <c r="T17" s="26">
        <f>_xlfn.IFNA(IF(LEFT('Rock Climbing Log'!T17)="C",_xlfn.IFNA(VLOOKUP('Rock Climbing Log'!T17,'RC Lookup'!$A$3:$B$9,2,FALSE),0.5),VLOOKUP('Rock Climbing Log'!T17,'RC Lookup'!$G$3:$H$5,2,FALSE)),0)*VLOOKUP(S$7,'RC Lookup'!$D$3:$E$18,2,FALSE)</f>
        <v>0</v>
      </c>
      <c r="U17" s="26">
        <f>_xlfn.IFNA(IF(LEFT('Rock Climbing Log'!U17)="C",_xlfn.IFNA(VLOOKUP('Rock Climbing Log'!U17,'RC Lookup'!$A$3:$B$9,2,FALSE),0.5),VLOOKUP('Rock Climbing Log'!U17,'RC Lookup'!$G$3:$H$5,2,FALSE)),0)*VLOOKUP(S$7,'RC Lookup'!$D$3:$E$18,2,FALSE)</f>
        <v>0</v>
      </c>
      <c r="V17" s="26">
        <f>_xlfn.IFNA(IF(LEFT('Rock Climbing Log'!V17)="C",_xlfn.IFNA(VLOOKUP('Rock Climbing Log'!V17,'RC Lookup'!$A$3:$B$9,2,FALSE),0.5),VLOOKUP('Rock Climbing Log'!V17,'RC Lookup'!$G$3:$H$5,2,FALSE)),0)*VLOOKUP(V$7,'RC Lookup'!$D$3:$E$18,2,FALSE)</f>
        <v>35.256745742400021</v>
      </c>
      <c r="W17" s="26">
        <f>_xlfn.IFNA(IF(LEFT('Rock Climbing Log'!W17)="C",_xlfn.IFNA(VLOOKUP('Rock Climbing Log'!W17,'RC Lookup'!$A$3:$B$9,2,FALSE),0.5),VLOOKUP('Rock Climbing Log'!W17,'RC Lookup'!$G$3:$H$5,2,FALSE)),0)*VLOOKUP(V$7,'RC Lookup'!$D$3:$E$18,2,FALSE)</f>
        <v>0</v>
      </c>
      <c r="X17" s="26">
        <f>_xlfn.IFNA(IF(LEFT('Rock Climbing Log'!X17)="C",_xlfn.IFNA(VLOOKUP('Rock Climbing Log'!X17,'RC Lookup'!$A$3:$B$9,2,FALSE),0.5),VLOOKUP('Rock Climbing Log'!X17,'RC Lookup'!$G$3:$H$5,2,FALSE)),0)*VLOOKUP(V$7,'RC Lookup'!$D$3:$E$18,2,FALSE)</f>
        <v>0</v>
      </c>
      <c r="Y17" s="26">
        <f>_xlfn.IFNA(IF(LEFT('Rock Climbing Log'!Y17)="C",_xlfn.IFNA(VLOOKUP('Rock Climbing Log'!Y17,'RC Lookup'!$A$3:$B$9,2,FALSE),0.5),VLOOKUP('Rock Climbing Log'!Y17,'RC Lookup'!$G$3:$H$5,2,FALSE)),0)*VLOOKUP(Y$7,'RC Lookup'!$D$3:$E$18,2,FALSE)</f>
        <v>0</v>
      </c>
      <c r="Z17" s="26">
        <f>_xlfn.IFNA(IF(LEFT('Rock Climbing Log'!Z17)="C",_xlfn.IFNA(VLOOKUP('Rock Climbing Log'!Z17,'RC Lookup'!$A$3:$B$9,2,FALSE),0.5),VLOOKUP('Rock Climbing Log'!Z17,'RC Lookup'!$G$3:$H$5,2,FALSE)),0)*VLOOKUP(Y$7,'RC Lookup'!$D$3:$E$18,2,FALSE)</f>
        <v>0</v>
      </c>
      <c r="AA17" s="26">
        <f>_xlfn.IFNA(IF(LEFT('Rock Climbing Log'!AA17)="C",_xlfn.IFNA(VLOOKUP('Rock Climbing Log'!AA17,'RC Lookup'!$A$3:$B$9,2,FALSE),0.5),VLOOKUP('Rock Climbing Log'!AA17,'RC Lookup'!$G$3:$H$5,2,FALSE)),0)*VLOOKUP(Y$7,'RC Lookup'!$D$3:$E$18,2,FALSE)</f>
        <v>0</v>
      </c>
      <c r="AB17" s="26">
        <f>_xlfn.IFNA(IF(LEFT('Rock Climbing Log'!AB17)="C",_xlfn.IFNA(VLOOKUP('Rock Climbing Log'!AB17,'RC Lookup'!$A$3:$B$9,2,FALSE),0.5),VLOOKUP('Rock Climbing Log'!AB17,'RC Lookup'!$G$3:$H$5,2,FALSE)),0)*VLOOKUP(AB$7,'RC Lookup'!$D$3:$E$18,2,FALSE)</f>
        <v>0</v>
      </c>
      <c r="AC17" s="26">
        <f>_xlfn.IFNA(IF(LEFT('Rock Climbing Log'!AC17)="C",_xlfn.IFNA(VLOOKUP('Rock Climbing Log'!AC17,'RC Lookup'!$A$3:$B$9,2,FALSE),0.5),VLOOKUP('Rock Climbing Log'!AC17,'RC Lookup'!$G$3:$H$5,2,FALSE)),0)*VLOOKUP(AB$7,'RC Lookup'!$D$3:$E$18,2,FALSE)</f>
        <v>0</v>
      </c>
      <c r="AD17" s="26">
        <f>_xlfn.IFNA(IF(LEFT('Rock Climbing Log'!AD17)="C",_xlfn.IFNA(VLOOKUP('Rock Climbing Log'!AD17,'RC Lookup'!$A$3:$B$9,2,FALSE),0.5),VLOOKUP('Rock Climbing Log'!AD17,'RC Lookup'!$G$3:$H$5,2,FALSE)),0)*VLOOKUP(AB$7,'RC Lookup'!$D$3:$E$18,2,FALSE)</f>
        <v>0</v>
      </c>
      <c r="AE17" s="26">
        <f>_xlfn.IFNA(IF(LEFT('Rock Climbing Log'!AE17)="C",_xlfn.IFNA(VLOOKUP('Rock Climbing Log'!AE17,'RC Lookup'!$A$3:$B$9,2,FALSE),0.5),VLOOKUP('Rock Climbing Log'!AE17,'RC Lookup'!$G$3:$H$5,2,FALSE)),0)*VLOOKUP(AE$7,'RC Lookup'!$D$3:$E$18,2,FALSE)</f>
        <v>67.867671846932893</v>
      </c>
      <c r="AF17" s="26">
        <f>_xlfn.IFNA(IF(LEFT('Rock Climbing Log'!AF17)="C",_xlfn.IFNA(VLOOKUP('Rock Climbing Log'!AF17,'RC Lookup'!$A$3:$B$9,2,FALSE),0.5),VLOOKUP('Rock Climbing Log'!AF17,'RC Lookup'!$G$3:$H$5,2,FALSE)),0)*VLOOKUP(AE$7,'RC Lookup'!$D$3:$E$18,2,FALSE)</f>
        <v>0</v>
      </c>
      <c r="AG17" s="26">
        <f>_xlfn.IFNA(IF(LEFT('Rock Climbing Log'!AG17)="C",_xlfn.IFNA(VLOOKUP('Rock Climbing Log'!AG17,'RC Lookup'!$A$3:$B$9,2,FALSE),0.5),VLOOKUP('Rock Climbing Log'!AG17,'RC Lookup'!$G$3:$H$5,2,FALSE)),0)*VLOOKUP(AE$7,'RC Lookup'!$D$3:$E$18,2,FALSE)</f>
        <v>0</v>
      </c>
      <c r="AH17" s="26">
        <f>_xlfn.IFNA(IF(LEFT('Rock Climbing Log'!AH17)="C",_xlfn.IFNA(VLOOKUP('Rock Climbing Log'!AH17,'RC Lookup'!$A$3:$B$9,2,FALSE),0.5),VLOOKUP('Rock Climbing Log'!AH17,'RC Lookup'!$G$3:$H$5,2,FALSE)),0)*VLOOKUP(AH$7,'RC Lookup'!$D$3:$E$18,2,FALSE)</f>
        <v>0</v>
      </c>
      <c r="AI17" s="26">
        <f>_xlfn.IFNA(IF(LEFT('Rock Climbing Log'!AI17)="C",_xlfn.IFNA(VLOOKUP('Rock Climbing Log'!AI17,'RC Lookup'!$A$3:$B$9,2,FALSE),0.5),VLOOKUP('Rock Climbing Log'!AI17,'RC Lookup'!$G$3:$H$5,2,FALSE)),0)*VLOOKUP(AH$7,'RC Lookup'!$D$3:$E$18,2,FALSE)</f>
        <v>0</v>
      </c>
      <c r="AJ17" s="26">
        <f>_xlfn.IFNA(IF(LEFT('Rock Climbing Log'!AJ17)="C",_xlfn.IFNA(VLOOKUP('Rock Climbing Log'!AJ17,'RC Lookup'!$A$3:$B$9,2,FALSE),0.5),VLOOKUP('Rock Climbing Log'!AJ17,'RC Lookup'!$G$3:$H$5,2,FALSE)),0)*VLOOKUP(AH$7,'RC Lookup'!$D$3:$E$18,2,FALSE)</f>
        <v>0</v>
      </c>
      <c r="AK17" s="26">
        <f>_xlfn.IFNA(IF(LEFT('Rock Climbing Log'!AK17)="C",_xlfn.IFNA(VLOOKUP('Rock Climbing Log'!AK17,'RC Lookup'!$A$3:$B$9,2,FALSE),0.5),VLOOKUP('Rock Climbing Log'!AK17,'RC Lookup'!$G$3:$H$5,2,FALSE)),0)*VLOOKUP(AK$7,'RC Lookup'!$D$3:$E$18,2,FALSE)</f>
        <v>0</v>
      </c>
      <c r="AL17" s="26">
        <f>_xlfn.IFNA(IF(LEFT('Rock Climbing Log'!AL17)="C",_xlfn.IFNA(VLOOKUP('Rock Climbing Log'!AL17,'RC Lookup'!$A$3:$B$9,2,FALSE),0.5),VLOOKUP('Rock Climbing Log'!AL17,'RC Lookup'!$G$3:$H$5,2,FALSE)),0)*VLOOKUP(AK$7,'RC Lookup'!$D$3:$E$18,2,FALSE)</f>
        <v>0</v>
      </c>
      <c r="AM17" s="26">
        <f>_xlfn.IFNA(IF(LEFT('Rock Climbing Log'!AM17)="C",_xlfn.IFNA(VLOOKUP('Rock Climbing Log'!AM17,'RC Lookup'!$A$3:$B$9,2,FALSE),0.5),VLOOKUP('Rock Climbing Log'!AM17,'RC Lookup'!$G$3:$H$5,2,FALSE)),0)*VLOOKUP(AK$7,'RC Lookup'!$D$3:$E$18,2,FALSE)</f>
        <v>0</v>
      </c>
      <c r="AN17" s="26">
        <f>_xlfn.IFNA(IF(LEFT('Rock Climbing Log'!AN17)="C",_xlfn.IFNA(VLOOKUP('Rock Climbing Log'!AN17,'RC Lookup'!$A$3:$B$9,2,FALSE),0.5),VLOOKUP('Rock Climbing Log'!AN17,'RC Lookup'!$G$3:$H$5,2,FALSE)),0)*VLOOKUP(AN$7,'RC Lookup'!$D$3:$E$18,2,FALSE)</f>
        <v>0</v>
      </c>
      <c r="AO17" s="26">
        <f>_xlfn.IFNA(IF(LEFT('Rock Climbing Log'!AO17)="C",_xlfn.IFNA(VLOOKUP('Rock Climbing Log'!AO17,'RC Lookup'!$A$3:$B$9,2,FALSE),0.5),VLOOKUP('Rock Climbing Log'!AO17,'RC Lookup'!$G$3:$H$5,2,FALSE)),0)*VLOOKUP(AN$7,'RC Lookup'!$D$3:$E$18,2,FALSE)</f>
        <v>0</v>
      </c>
      <c r="AP17" s="26">
        <f>_xlfn.IFNA(IF(LEFT('Rock Climbing Log'!AP17)="C",_xlfn.IFNA(VLOOKUP('Rock Climbing Log'!AP17,'RC Lookup'!$A$3:$B$9,2,FALSE),0.5),VLOOKUP('Rock Climbing Log'!AP17,'RC Lookup'!$G$3:$H$5,2,FALSE)),0)*VLOOKUP(AN$7,'RC Lookup'!$D$3:$E$18,2,FALSE)</f>
        <v>0</v>
      </c>
      <c r="AQ17" s="26">
        <f>_xlfn.IFNA(IF(LEFT('Rock Climbing Log'!AQ17)="C",_xlfn.IFNA(VLOOKUP('Rock Climbing Log'!AQ17,'RC Lookup'!$A$3:$B$9,2,FALSE),0.5),VLOOKUP('Rock Climbing Log'!AQ17,'RC Lookup'!$G$3:$H$5,2,FALSE)),0)*VLOOKUP(AQ$7,'RC Lookup'!$D$3:$E$18,2,FALSE)</f>
        <v>0</v>
      </c>
      <c r="AR17" s="26">
        <f>_xlfn.IFNA(IF(LEFT('Rock Climbing Log'!AR17)="C",_xlfn.IFNA(VLOOKUP('Rock Climbing Log'!AR17,'RC Lookup'!$A$3:$B$9,2,FALSE),0.5),VLOOKUP('Rock Climbing Log'!AR17,'RC Lookup'!$G$3:$H$5,2,FALSE)),0)*VLOOKUP(AQ$7,'RC Lookup'!$D$3:$E$18,2,FALSE)</f>
        <v>0</v>
      </c>
      <c r="AS17" s="26">
        <f>_xlfn.IFNA(IF(LEFT('Rock Climbing Log'!AS17)="C",_xlfn.IFNA(VLOOKUP('Rock Climbing Log'!AS17,'RC Lookup'!$A$3:$B$9,2,FALSE),0.5),VLOOKUP('Rock Climbing Log'!AS17,'RC Lookup'!$G$3:$H$5,2,FALSE)),0)*VLOOKUP(AQ$7,'RC Lookup'!$D$3:$E$18,2,FALSE)</f>
        <v>0</v>
      </c>
      <c r="AT17" s="26">
        <f>_xlfn.IFNA(IF(LEFT('Rock Climbing Log'!AT17)="C",_xlfn.IFNA(VLOOKUP('Rock Climbing Log'!AT17,'RC Lookup'!$A$3:$B$9,2,FALSE),0.5),VLOOKUP('Rock Climbing Log'!AT17,'RC Lookup'!$G$3:$H$5,2,FALSE)),0)*VLOOKUP(AT$7,'RC Lookup'!$D$3:$E$18,2,FALSE)</f>
        <v>0</v>
      </c>
      <c r="AU17" s="26">
        <f>_xlfn.IFNA(IF(LEFT('Rock Climbing Log'!AU17)="C",_xlfn.IFNA(VLOOKUP('Rock Climbing Log'!AU17,'RC Lookup'!$A$3:$B$9,2,FALSE),0.5),VLOOKUP('Rock Climbing Log'!AU17,'RC Lookup'!$G$3:$H$5,2,FALSE)),0)*VLOOKUP(AT$7,'RC Lookup'!$D$3:$E$18,2,FALSE)</f>
        <v>0</v>
      </c>
      <c r="AV17" s="26">
        <f>_xlfn.IFNA(IF(LEFT('Rock Climbing Log'!AV17)="C",_xlfn.IFNA(VLOOKUP('Rock Climbing Log'!AV17,'RC Lookup'!$A$3:$B$9,2,FALSE),0.5),VLOOKUP('Rock Climbing Log'!AV17,'RC Lookup'!$G$3:$H$5,2,FALSE)),0)*VLOOKUP(AT$7,'RC Lookup'!$D$3:$E$18,2,FALSE)</f>
        <v>0</v>
      </c>
      <c r="AW17" s="30">
        <f t="shared" ca="1" si="0"/>
        <v>132.02338950933293</v>
      </c>
      <c r="AX17" s="30">
        <f ca="1">_xlfn.IFNA(VLOOKUP(SUMPRODUCT(LARGE(($C$8:$C17=Table1[[#This Row],[Climber]])*$A$8:$A17,1)),$A$8:$AW17,MATCH($AW$7,$A$7:$AW$7,FALSE),FALSE),0)/LEFT($AX$7,FIND(" ",$AX$7))+_xlfn.IFNA(VLOOKUP(SUMPRODUCT(LARGE(($C$8:$C17=Table1[[#This Row],[Climber]])*$A$8:$A17,MIN(2,COUNTIFS($C$8:$C17,$C17)))),$A$8:$AW17,MATCH($AW$7,$A$7:$AW$7,FALSE),FALSE),0)/LEFT($AX$7,FIND(" ",$AX$7))+_xlfn.IFNA(VLOOKUP(SUMPRODUCT(LARGE(($C$8:$C17=Table1[[#This Row],[Climber]])*$A$8:$A17,MIN(3,COUNTIFS($C$8:$C17,$C17)))),$A$8:$AW17,MATCH($AW$7,$A$7:$AW$7,FALSE),FALSE),0)/LEFT($AX$7,FIND(" ",$AX$7))</f>
        <v>109.18192521879085</v>
      </c>
      <c r="AY17" s="30">
        <f ca="1">_xlfn.IFNA(VLOOKUP(SUMPRODUCT(LARGE(($C$8:$C17=Table1[[#This Row],[Climber]])*$A$8:$A17,1)),$A$8:$AW17,MATCH($AW$7,$A$7:$AW$7,FALSE),FALSE),0)/LEFT($AY$7,FIND(" ",$AY$7))+_xlfn.IFNA(VLOOKUP(SUMPRODUCT(LARGE(($C$8:$C17=Table1[[#This Row],[Climber]])*$A$8:$A17,MIN(2,COUNTIFS($C$8:$C17,$C17)))),$A$8:$AW17,MATCH($AW$7,$A$7:$AW$7,FALSE),FALSE),0)/LEFT($AY$7,FIND(" ",$AY$7))+_xlfn.IFNA(VLOOKUP(SUMPRODUCT(LARGE(($C$8:$C17=Table1[[#This Row],[Climber]])*$A$8:$A17,MIN(3,COUNTIFS($C$8:$C17,$C17)))),$A$8:$AW17,MATCH($AW$7,$A$7:$AW$7,FALSE),FALSE),0)/LEFT($AY$7,FIND(" ",$AY$7))+_xlfn.IFNA(VLOOKUP(SUMPRODUCT(LARGE(($C$8:$C17=Table1[[#This Row],[Climber]])*$A$8:$A17,MIN(4,COUNTIFS($C$8:$C17,$C17)))),$A$8:$AW17,MATCH($AW$7,$A$7:$AW$7,FALSE),FALSE),0)/LEFT($AY$7,FIND(" ",$AY$7))+_xlfn.IFNA(VLOOKUP(SUMPRODUCT(LARGE(($C$8:$C17=Table1[[#This Row],[Climber]])*$A$8:$A17,MIN(5,COUNTIFS($C$8:$C17,$C17)))),$A$8:$AW17,MATCH($AW$7,$A$7:$AW$7,FALSE),FALSE),0)/LEFT($AY$7,FIND(" ",$AY$7))</f>
        <v>97.182049428234521</v>
      </c>
      <c r="AZ17" s="30">
        <f ca="1">(_xlfn.IFNA(VLOOKUP(SUMPRODUCT(LARGE(($C$8:$C17=Table1[[#This Row],[Climber]])*$A$8:$A17,4)),$A$8:$AW17,MATCH($AW$7,$A$7:$AW$7,FALSE),FALSE),0)+_xlfn.IFNA(VLOOKUP(SUMPRODUCT(LARGE(($C$8:$C17=Table1[[#This Row],[Climber]])*$A$8:$A17,5)),$A$8:$AW17,MATCH($AW$7,$A$7:$AW$7,FALSE),FALSE),0)+_xlfn.IFNA(VLOOKUP(SUMPRODUCT(LARGE(($C$8:$C17=Table1[[#This Row],[Climber]])*$A$8:$A17,6)),$A$8:$AW17,MATCH($AW$7,$A$7:$AW$7,FALSE),FALSE),0))/3</f>
        <v>26.394078580800009</v>
      </c>
      <c r="BA17" s="6">
        <f ca="1">_xlfn.MAXIFS(INDIRECT("$AW"&amp;IF(SUMPRODUCT(LARGE(($C$8:$C17=$C17)*$A$8:$A17,LEFT($BA$7,FIND(" ",$BA$7)-1)))=0,8,SUMPRODUCT(LARGE(($C$8:$C17=$C17)*$A$8:$A17,LEFT($BA$7,FIND(" ",$BA$7)-1)))+7)&amp;":$AW"&amp;ROW()),INDIRECT("$C"&amp;IF(SUMPRODUCT(LARGE(($C$8:$C17=$C17)*$A$8:$A17,LEFT($BA$7,FIND(" ",$BA$7)-1)))=0,8,SUMPRODUCT(LARGE(($C$8:$C17=$C17)*$A$8:$A17,LEFT($BA$7,FIND(" ",$BA$7)-1)))+7)&amp;":$C"&amp;ROW()),$C17)</f>
        <v>132.02338950933293</v>
      </c>
      <c r="BB17" s="6" t="str">
        <f ca="1">VLOOKUP(MAX(BG17,$AX17),'RC Lookup'!$G$14:$J$20,2,TRUE)</f>
        <v>T3</v>
      </c>
      <c r="BC17" s="6">
        <f ca="1">_xlfn.IFNA(VLOOKUP(VLOOKUP($C17,'RC Lookup'!$O$3:$P$50,2,FALSE),'RC Lookup'!$H$14:$J$23,2,FALSE),0)*AW17</f>
        <v>39.951901038033085</v>
      </c>
      <c r="BD17" s="6">
        <f ca="1">_xlfn.IFNA(VLOOKUP(SUMPRODUCT(LARGE(($C$8:$C17=Table1[[#This Row],[Climber]])*$A$8:$A17,1)),$A$8:$BC17,55,FALSE),0)/LEFT($AX$7,FIND(" ",$AX$7))+_xlfn.IFNA(VLOOKUP(SUMPRODUCT(LARGE(($C$8:$C17=Table1[[#This Row],[Climber]])*$A$8:$A17,MIN(2,COUNTIFS($C$8:$C17,$C17)))),$A$8:$BC17,55,FALSE),0)/LEFT($AX$7,FIND(" ",$AX$7))+_xlfn.IFNA(VLOOKUP(SUMPRODUCT(LARGE(($C$8:$C17=Table1[[#This Row],[Climber]])*$A$8:$A17,MIN(3,COUNTIFS($C$8:$C17,$C17)))),$A$8:$BC17,55,FALSE),0)/LEFT($AX$7,FIND(" ",$AX$7))</f>
        <v>33.039793082836304</v>
      </c>
      <c r="BE17" s="6">
        <f ca="1">(_xlfn.IFNA(VLOOKUP(SUMPRODUCT(LARGE(($C$8:$C17=Table1[[#This Row],[Climber]])*$A$8:$A17,4)),$A$8:$BD17,55,FALSE),0)+_xlfn.IFNA(VLOOKUP(SUMPRODUCT(LARGE(($C$8:$C17=Table1[[#This Row],[Climber]])*$A$8:$A17,5)),$A$8:$BD17,55,FALSE),0)+_xlfn.IFNA(VLOOKUP(SUMPRODUCT(LARGE(($C$8:$C17=Table1[[#This Row],[Climber]])*$A$8:$A17,6)),$A$8:$BD17,55,FALSE),0))/3</f>
        <v>7.9871727227215823</v>
      </c>
      <c r="BF17" s="46">
        <f ca="1">_xlfn.MAXIFS(INDIRECT("$BC"&amp;IF(SUMPRODUCT(LARGE(($C$8:$C17=$C17)*$A$8:$A17,LEFT($BA$7,FIND(" ",$BA$7)-1)))=0,8,SUMPRODUCT(LARGE(($C$8:$C17=$C17)*$A$8:$A17,LEFT($BA$7,FIND(" ",$BA$7)-1)))+7)&amp;":$BC"&amp;ROW()),INDIRECT("$C"&amp;IF(SUMPRODUCT(LARGE(($C$8:$C17=$C17)*$A$8:$A17,LEFT($BA$7,FIND(" ",$BA$7)-1)))=0,8,SUMPRODUCT(LARGE(($C$8:$C17=$C17)*$A$8:$A17,LEFT($BA$7,FIND(" ",$BA$7)-1)))+7)&amp;":$C"&amp;ROW()),$C17)</f>
        <v>39.951901038033085</v>
      </c>
      <c r="BG17" s="46">
        <f t="array" aca="1" ref="BG17" ca="1">IFERROR(SUMPRODUCT(LARGE(($C$8:$C17=Table1[[#This Row],[Climber]])*$AW$8:$AW17,ROW(INDIRECT("1:5")))),AW17)/MIN(COUNTIFS($C$8:$C17,C17),5)</f>
        <v>101.68200284969316</v>
      </c>
      <c r="BH17" s="46"/>
    </row>
    <row r="18" spans="1:61" x14ac:dyDescent="0.3">
      <c r="A18" s="125">
        <f t="shared" si="1"/>
        <v>11</v>
      </c>
      <c r="B18" s="25">
        <f>'Rock Climbing Log'!B18</f>
        <v>43113</v>
      </c>
      <c r="C18" s="126" t="str">
        <f>'Rock Climbing Log'!C18</f>
        <v>Sameena</v>
      </c>
      <c r="D18" s="26">
        <f>_xlfn.IFNA(IF(LEFT('Rock Climbing Log'!D18)="C",_xlfn.IFNA(VLOOKUP('Rock Climbing Log'!D18,'RC Lookup'!$A$3:$B$9,2,FALSE),0.5),VLOOKUP('Rock Climbing Log'!D18,'RC Lookup'!$G$3:$H$5,2,FALSE)),0)*VLOOKUP(D$7,'RC Lookup'!$D$3:$E$18,2,FALSE)</f>
        <v>10</v>
      </c>
      <c r="E18" s="26">
        <f>_xlfn.IFNA(IF(LEFT('Rock Climbing Log'!E18)="C",_xlfn.IFNA(VLOOKUP('Rock Climbing Log'!E18,'RC Lookup'!$A$3:$B$9,2,FALSE),0.5),VLOOKUP('Rock Climbing Log'!E18,'RC Lookup'!$G$3:$H$5,2,FALSE)),0)*VLOOKUP(D$7,'RC Lookup'!$D$3:$E$18,2,FALSE)</f>
        <v>0</v>
      </c>
      <c r="F18" s="26">
        <f>_xlfn.IFNA(IF(LEFT('Rock Climbing Log'!F18)="C",_xlfn.IFNA(VLOOKUP('Rock Climbing Log'!F18,'RC Lookup'!$A$3:$B$9,2,FALSE),0.5),VLOOKUP('Rock Climbing Log'!F18,'RC Lookup'!$G$3:$H$5,2,FALSE)),0)*VLOOKUP(D$7,'RC Lookup'!$D$3:$E$18,2,FALSE)</f>
        <v>0</v>
      </c>
      <c r="G18" s="26">
        <f>_xlfn.IFNA(IF(LEFT('Rock Climbing Log'!G18)="C",_xlfn.IFNA(VLOOKUP('Rock Climbing Log'!G18,'RC Lookup'!$A$3:$B$9,2,FALSE),0.5),VLOOKUP('Rock Climbing Log'!G18,'RC Lookup'!$G$3:$H$5,2,FALSE)),0)*VLOOKUP(G$7,'RC Lookup'!$D$3:$E$18,2,FALSE)</f>
        <v>12.5</v>
      </c>
      <c r="H18" s="26">
        <f>_xlfn.IFNA(IF(LEFT('Rock Climbing Log'!H18)="C",_xlfn.IFNA(VLOOKUP('Rock Climbing Log'!H18,'RC Lookup'!$A$3:$B$9,2,FALSE),0.5),VLOOKUP('Rock Climbing Log'!H18,'RC Lookup'!$G$3:$H$5,2,FALSE)),0)*VLOOKUP(G$7,'RC Lookup'!$D$3:$E$18,2,FALSE)</f>
        <v>0</v>
      </c>
      <c r="I18" s="26">
        <f>_xlfn.IFNA(IF(LEFT('Rock Climbing Log'!I18)="C",_xlfn.IFNA(VLOOKUP('Rock Climbing Log'!I18,'RC Lookup'!$A$3:$B$9,2,FALSE),0.5),VLOOKUP('Rock Climbing Log'!I18,'RC Lookup'!$G$3:$H$5,2,FALSE)),0)*VLOOKUP(G$7,'RC Lookup'!$D$3:$E$18,2,FALSE)</f>
        <v>0</v>
      </c>
      <c r="J18" s="26">
        <f>_xlfn.IFNA(IF(LEFT('Rock Climbing Log'!J18)="C",_xlfn.IFNA(VLOOKUP('Rock Climbing Log'!J18,'RC Lookup'!$A$3:$B$9,2,FALSE),0.5),VLOOKUP('Rock Climbing Log'!J18,'RC Lookup'!$G$3:$H$5,2,FALSE)),0)*VLOOKUP(J$7,'RC Lookup'!$D$3:$E$18,2,FALSE)</f>
        <v>15.75</v>
      </c>
      <c r="K18" s="26">
        <f>_xlfn.IFNA(IF(LEFT('Rock Climbing Log'!K18)="C",_xlfn.IFNA(VLOOKUP('Rock Climbing Log'!K18,'RC Lookup'!$A$3:$B$9,2,FALSE),0.5),VLOOKUP('Rock Climbing Log'!K18,'RC Lookup'!$G$3:$H$5,2,FALSE)),0)*VLOOKUP(J$7,'RC Lookup'!$D$3:$E$18,2,FALSE)</f>
        <v>0</v>
      </c>
      <c r="L18" s="26">
        <f>_xlfn.IFNA(IF(LEFT('Rock Climbing Log'!L18)="C",_xlfn.IFNA(VLOOKUP('Rock Climbing Log'!L18,'RC Lookup'!$A$3:$B$9,2,FALSE),0.5),VLOOKUP('Rock Climbing Log'!L18,'RC Lookup'!$G$3:$H$5,2,FALSE)),0)*VLOOKUP(J$7,'RC Lookup'!$D$3:$E$18,2,FALSE)</f>
        <v>0</v>
      </c>
      <c r="M18" s="26">
        <f>_xlfn.IFNA(IF(LEFT('Rock Climbing Log'!M18)="C",_xlfn.IFNA(VLOOKUP('Rock Climbing Log'!M18,'RC Lookup'!$A$3:$B$9,2,FALSE),0.5),VLOOKUP('Rock Climbing Log'!M18,'RC Lookup'!$G$3:$H$5,2,FALSE)),0)*VLOOKUP(M$7,'RC Lookup'!$D$3:$E$18,2,FALSE)</f>
        <v>20.002500000000001</v>
      </c>
      <c r="N18" s="26">
        <f>_xlfn.IFNA(IF(LEFT('Rock Climbing Log'!N18)="C",_xlfn.IFNA(VLOOKUP('Rock Climbing Log'!N18,'RC Lookup'!$A$3:$B$9,2,FALSE),0.5),VLOOKUP('Rock Climbing Log'!N18,'RC Lookup'!$G$3:$H$5,2,FALSE)),0)*VLOOKUP(M$7,'RC Lookup'!$D$3:$E$18,2,FALSE)</f>
        <v>0</v>
      </c>
      <c r="O18" s="26">
        <f>_xlfn.IFNA(IF(LEFT('Rock Climbing Log'!O18)="C",_xlfn.IFNA(VLOOKUP('Rock Climbing Log'!O18,'RC Lookup'!$A$3:$B$9,2,FALSE),0.5),VLOOKUP('Rock Climbing Log'!O18,'RC Lookup'!$G$3:$H$5,2,FALSE)),0)*VLOOKUP(M$7,'RC Lookup'!$D$3:$E$18,2,FALSE)</f>
        <v>0</v>
      </c>
      <c r="P18" s="26">
        <f>_xlfn.IFNA(IF(LEFT('Rock Climbing Log'!P18)="C",_xlfn.IFNA(VLOOKUP('Rock Climbing Log'!P18,'RC Lookup'!$A$3:$B$9,2,FALSE),0.5),VLOOKUP('Rock Climbing Log'!P18,'RC Lookup'!$G$3:$H$5,2,FALSE)),0)*VLOOKUP(P$7,'RC Lookup'!$D$3:$E$18,2,FALSE)</f>
        <v>23.922990000000006</v>
      </c>
      <c r="Q18" s="26">
        <f>_xlfn.IFNA(IF(LEFT('Rock Climbing Log'!Q18)="C",_xlfn.IFNA(VLOOKUP('Rock Climbing Log'!Q18,'RC Lookup'!$A$3:$B$9,2,FALSE),0.5),VLOOKUP('Rock Climbing Log'!Q18,'RC Lookup'!$G$3:$H$5,2,FALSE)),0)*VLOOKUP(P$7,'RC Lookup'!$D$3:$E$18,2,FALSE)</f>
        <v>0</v>
      </c>
      <c r="R18" s="26">
        <f>_xlfn.IFNA(IF(LEFT('Rock Climbing Log'!R18)="C",_xlfn.IFNA(VLOOKUP('Rock Climbing Log'!R18,'RC Lookup'!$A$3:$B$9,2,FALSE),0.5),VLOOKUP('Rock Climbing Log'!R18,'RC Lookup'!$G$3:$H$5,2,FALSE)),0)*VLOOKUP(P$7,'RC Lookup'!$D$3:$E$18,2,FALSE)</f>
        <v>0</v>
      </c>
      <c r="S18" s="26">
        <f>_xlfn.IFNA(IF(LEFT('Rock Climbing Log'!S18)="C",_xlfn.IFNA(VLOOKUP('Rock Climbing Log'!S18,'RC Lookup'!$A$3:$B$9,2,FALSE),0.5),VLOOKUP('Rock Climbing Log'!S18,'RC Lookup'!$G$3:$H$5,2,FALSE)),0)*VLOOKUP(S$7,'RC Lookup'!$D$3:$E$18,2,FALSE)</f>
        <v>0</v>
      </c>
      <c r="T18" s="26">
        <f>_xlfn.IFNA(IF(LEFT('Rock Climbing Log'!T18)="C",_xlfn.IFNA(VLOOKUP('Rock Climbing Log'!T18,'RC Lookup'!$A$3:$B$9,2,FALSE),0.5),VLOOKUP('Rock Climbing Log'!T18,'RC Lookup'!$G$3:$H$5,2,FALSE)),0)*VLOOKUP(S$7,'RC Lookup'!$D$3:$E$18,2,FALSE)</f>
        <v>0</v>
      </c>
      <c r="U18" s="26">
        <f>_xlfn.IFNA(IF(LEFT('Rock Climbing Log'!U18)="C",_xlfn.IFNA(VLOOKUP('Rock Climbing Log'!U18,'RC Lookup'!$A$3:$B$9,2,FALSE),0.5),VLOOKUP('Rock Climbing Log'!U18,'RC Lookup'!$G$3:$H$5,2,FALSE)),0)*VLOOKUP(S$7,'RC Lookup'!$D$3:$E$18,2,FALSE)</f>
        <v>0</v>
      </c>
      <c r="V18" s="26">
        <f>_xlfn.IFNA(IF(LEFT('Rock Climbing Log'!V18)="C",_xlfn.IFNA(VLOOKUP('Rock Climbing Log'!V18,'RC Lookup'!$A$3:$B$9,2,FALSE),0.5),VLOOKUP('Rock Climbing Log'!V18,'RC Lookup'!$G$3:$H$5,2,FALSE)),0)*VLOOKUP(V$7,'RC Lookup'!$D$3:$E$18,2,FALSE)</f>
        <v>23.131950881588658</v>
      </c>
      <c r="W18" s="26">
        <f>_xlfn.IFNA(IF(LEFT('Rock Climbing Log'!W18)="C",_xlfn.IFNA(VLOOKUP('Rock Climbing Log'!W18,'RC Lookup'!$A$3:$B$9,2,FALSE),0.5),VLOOKUP('Rock Climbing Log'!W18,'RC Lookup'!$G$3:$H$5,2,FALSE)),0)*VLOOKUP(V$7,'RC Lookup'!$D$3:$E$18,2,FALSE)</f>
        <v>0</v>
      </c>
      <c r="X18" s="26">
        <f>_xlfn.IFNA(IF(LEFT('Rock Climbing Log'!X18)="C",_xlfn.IFNA(VLOOKUP('Rock Climbing Log'!X18,'RC Lookup'!$A$3:$B$9,2,FALSE),0.5),VLOOKUP('Rock Climbing Log'!X18,'RC Lookup'!$G$3:$H$5,2,FALSE)),0)*VLOOKUP(V$7,'RC Lookup'!$D$3:$E$18,2,FALSE)</f>
        <v>0</v>
      </c>
      <c r="Y18" s="26">
        <f>_xlfn.IFNA(IF(LEFT('Rock Climbing Log'!Y18)="C",_xlfn.IFNA(VLOOKUP('Rock Climbing Log'!Y18,'RC Lookup'!$A$3:$B$9,2,FALSE),0.5),VLOOKUP('Rock Climbing Log'!Y18,'RC Lookup'!$G$3:$H$5,2,FALSE)),0)*VLOOKUP(Y$7,'RC Lookup'!$D$3:$E$18,2,FALSE)</f>
        <v>0</v>
      </c>
      <c r="Z18" s="26">
        <f>_xlfn.IFNA(IF(LEFT('Rock Climbing Log'!Z18)="C",_xlfn.IFNA(VLOOKUP('Rock Climbing Log'!Z18,'RC Lookup'!$A$3:$B$9,2,FALSE),0.5),VLOOKUP('Rock Climbing Log'!Z18,'RC Lookup'!$G$3:$H$5,2,FALSE)),0)*VLOOKUP(Y$7,'RC Lookup'!$D$3:$E$18,2,FALSE)</f>
        <v>0</v>
      </c>
      <c r="AA18" s="26">
        <f>_xlfn.IFNA(IF(LEFT('Rock Climbing Log'!AA18)="C",_xlfn.IFNA(VLOOKUP('Rock Climbing Log'!AA18,'RC Lookup'!$A$3:$B$9,2,FALSE),0.5),VLOOKUP('Rock Climbing Log'!AA18,'RC Lookup'!$G$3:$H$5,2,FALSE)),0)*VLOOKUP(Y$7,'RC Lookup'!$D$3:$E$18,2,FALSE)</f>
        <v>0</v>
      </c>
      <c r="AB18" s="26">
        <f>_xlfn.IFNA(IF(LEFT('Rock Climbing Log'!AB18)="C",_xlfn.IFNA(VLOOKUP('Rock Climbing Log'!AB18,'RC Lookup'!$A$3:$B$9,2,FALSE),0.5),VLOOKUP('Rock Climbing Log'!AB18,'RC Lookup'!$G$3:$H$5,2,FALSE)),0)*VLOOKUP(AB$7,'RC Lookup'!$D$3:$E$18,2,FALSE)</f>
        <v>0</v>
      </c>
      <c r="AC18" s="26">
        <f>_xlfn.IFNA(IF(LEFT('Rock Climbing Log'!AC18)="C",_xlfn.IFNA(VLOOKUP('Rock Climbing Log'!AC18,'RC Lookup'!$A$3:$B$9,2,FALSE),0.5),VLOOKUP('Rock Climbing Log'!AC18,'RC Lookup'!$G$3:$H$5,2,FALSE)),0)*VLOOKUP(AB$7,'RC Lookup'!$D$3:$E$18,2,FALSE)</f>
        <v>0</v>
      </c>
      <c r="AD18" s="26">
        <f>_xlfn.IFNA(IF(LEFT('Rock Climbing Log'!AD18)="C",_xlfn.IFNA(VLOOKUP('Rock Climbing Log'!AD18,'RC Lookup'!$A$3:$B$9,2,FALSE),0.5),VLOOKUP('Rock Climbing Log'!AD18,'RC Lookup'!$G$3:$H$5,2,FALSE)),0)*VLOOKUP(AB$7,'RC Lookup'!$D$3:$E$18,2,FALSE)</f>
        <v>0</v>
      </c>
      <c r="AE18" s="26">
        <f>_xlfn.IFNA(IF(LEFT('Rock Climbing Log'!AE18)="C",_xlfn.IFNA(VLOOKUP('Rock Climbing Log'!AE18,'RC Lookup'!$A$3:$B$9,2,FALSE),0.5),VLOOKUP('Rock Climbing Log'!AE18,'RC Lookup'!$G$3:$H$5,2,FALSE)),0)*VLOOKUP(AE$7,'RC Lookup'!$D$3:$E$18,2,FALSE)</f>
        <v>0</v>
      </c>
      <c r="AF18" s="26">
        <f>_xlfn.IFNA(IF(LEFT('Rock Climbing Log'!AF18)="C",_xlfn.IFNA(VLOOKUP('Rock Climbing Log'!AF18,'RC Lookup'!$A$3:$B$9,2,FALSE),0.5),VLOOKUP('Rock Climbing Log'!AF18,'RC Lookup'!$G$3:$H$5,2,FALSE)),0)*VLOOKUP(AE$7,'RC Lookup'!$D$3:$E$18,2,FALSE)</f>
        <v>0</v>
      </c>
      <c r="AG18" s="26">
        <f>_xlfn.IFNA(IF(LEFT('Rock Climbing Log'!AG18)="C",_xlfn.IFNA(VLOOKUP('Rock Climbing Log'!AG18,'RC Lookup'!$A$3:$B$9,2,FALSE),0.5),VLOOKUP('Rock Climbing Log'!AG18,'RC Lookup'!$G$3:$H$5,2,FALSE)),0)*VLOOKUP(AE$7,'RC Lookup'!$D$3:$E$18,2,FALSE)</f>
        <v>0</v>
      </c>
      <c r="AH18" s="26">
        <f>_xlfn.IFNA(IF(LEFT('Rock Climbing Log'!AH18)="C",_xlfn.IFNA(VLOOKUP('Rock Climbing Log'!AH18,'RC Lookup'!$A$3:$B$9,2,FALSE),0.5),VLOOKUP('Rock Climbing Log'!AH18,'RC Lookup'!$G$3:$H$5,2,FALSE)),0)*VLOOKUP(AH$7,'RC Lookup'!$D$3:$E$18,2,FALSE)</f>
        <v>0</v>
      </c>
      <c r="AI18" s="26">
        <f>_xlfn.IFNA(IF(LEFT('Rock Climbing Log'!AI18)="C",_xlfn.IFNA(VLOOKUP('Rock Climbing Log'!AI18,'RC Lookup'!$A$3:$B$9,2,FALSE),0.5),VLOOKUP('Rock Climbing Log'!AI18,'RC Lookup'!$G$3:$H$5,2,FALSE)),0)*VLOOKUP(AH$7,'RC Lookup'!$D$3:$E$18,2,FALSE)</f>
        <v>0</v>
      </c>
      <c r="AJ18" s="26">
        <f>_xlfn.IFNA(IF(LEFT('Rock Climbing Log'!AJ18)="C",_xlfn.IFNA(VLOOKUP('Rock Climbing Log'!AJ18,'RC Lookup'!$A$3:$B$9,2,FALSE),0.5),VLOOKUP('Rock Climbing Log'!AJ18,'RC Lookup'!$G$3:$H$5,2,FALSE)),0)*VLOOKUP(AH$7,'RC Lookup'!$D$3:$E$18,2,FALSE)</f>
        <v>0</v>
      </c>
      <c r="AK18" s="26">
        <f>_xlfn.IFNA(IF(LEFT('Rock Climbing Log'!AK18)="C",_xlfn.IFNA(VLOOKUP('Rock Climbing Log'!AK18,'RC Lookup'!$A$3:$B$9,2,FALSE),0.5),VLOOKUP('Rock Climbing Log'!AK18,'RC Lookup'!$G$3:$H$5,2,FALSE)),0)*VLOOKUP(AK$7,'RC Lookup'!$D$3:$E$18,2,FALSE)</f>
        <v>0</v>
      </c>
      <c r="AL18" s="26">
        <f>_xlfn.IFNA(IF(LEFT('Rock Climbing Log'!AL18)="C",_xlfn.IFNA(VLOOKUP('Rock Climbing Log'!AL18,'RC Lookup'!$A$3:$B$9,2,FALSE),0.5),VLOOKUP('Rock Climbing Log'!AL18,'RC Lookup'!$G$3:$H$5,2,FALSE)),0)*VLOOKUP(AK$7,'RC Lookup'!$D$3:$E$18,2,FALSE)</f>
        <v>0</v>
      </c>
      <c r="AM18" s="26">
        <f>_xlfn.IFNA(IF(LEFT('Rock Climbing Log'!AM18)="C",_xlfn.IFNA(VLOOKUP('Rock Climbing Log'!AM18,'RC Lookup'!$A$3:$B$9,2,FALSE),0.5),VLOOKUP('Rock Climbing Log'!AM18,'RC Lookup'!$G$3:$H$5,2,FALSE)),0)*VLOOKUP(AK$7,'RC Lookup'!$D$3:$E$18,2,FALSE)</f>
        <v>0</v>
      </c>
      <c r="AN18" s="26">
        <f>_xlfn.IFNA(IF(LEFT('Rock Climbing Log'!AN18)="C",_xlfn.IFNA(VLOOKUP('Rock Climbing Log'!AN18,'RC Lookup'!$A$3:$B$9,2,FALSE),0.5),VLOOKUP('Rock Climbing Log'!AN18,'RC Lookup'!$G$3:$H$5,2,FALSE)),0)*VLOOKUP(AN$7,'RC Lookup'!$D$3:$E$18,2,FALSE)</f>
        <v>0</v>
      </c>
      <c r="AO18" s="26">
        <f>_xlfn.IFNA(IF(LEFT('Rock Climbing Log'!AO18)="C",_xlfn.IFNA(VLOOKUP('Rock Climbing Log'!AO18,'RC Lookup'!$A$3:$B$9,2,FALSE),0.5),VLOOKUP('Rock Climbing Log'!AO18,'RC Lookup'!$G$3:$H$5,2,FALSE)),0)*VLOOKUP(AN$7,'RC Lookup'!$D$3:$E$18,2,FALSE)</f>
        <v>0</v>
      </c>
      <c r="AP18" s="26">
        <f>_xlfn.IFNA(IF(LEFT('Rock Climbing Log'!AP18)="C",_xlfn.IFNA(VLOOKUP('Rock Climbing Log'!AP18,'RC Lookup'!$A$3:$B$9,2,FALSE),0.5),VLOOKUP('Rock Climbing Log'!AP18,'RC Lookup'!$G$3:$H$5,2,FALSE)),0)*VLOOKUP(AN$7,'RC Lookup'!$D$3:$E$18,2,FALSE)</f>
        <v>0</v>
      </c>
      <c r="AQ18" s="26">
        <f>_xlfn.IFNA(IF(LEFT('Rock Climbing Log'!AQ18)="C",_xlfn.IFNA(VLOOKUP('Rock Climbing Log'!AQ18,'RC Lookup'!$A$3:$B$9,2,FALSE),0.5),VLOOKUP('Rock Climbing Log'!AQ18,'RC Lookup'!$G$3:$H$5,2,FALSE)),0)*VLOOKUP(AQ$7,'RC Lookup'!$D$3:$E$18,2,FALSE)</f>
        <v>0</v>
      </c>
      <c r="AR18" s="26">
        <f>_xlfn.IFNA(IF(LEFT('Rock Climbing Log'!AR18)="C",_xlfn.IFNA(VLOOKUP('Rock Climbing Log'!AR18,'RC Lookup'!$A$3:$B$9,2,FALSE),0.5),VLOOKUP('Rock Climbing Log'!AR18,'RC Lookup'!$G$3:$H$5,2,FALSE)),0)*VLOOKUP(AQ$7,'RC Lookup'!$D$3:$E$18,2,FALSE)</f>
        <v>0</v>
      </c>
      <c r="AS18" s="26">
        <f>_xlfn.IFNA(IF(LEFT('Rock Climbing Log'!AS18)="C",_xlfn.IFNA(VLOOKUP('Rock Climbing Log'!AS18,'RC Lookup'!$A$3:$B$9,2,FALSE),0.5),VLOOKUP('Rock Climbing Log'!AS18,'RC Lookup'!$G$3:$H$5,2,FALSE)),0)*VLOOKUP(AQ$7,'RC Lookup'!$D$3:$E$18,2,FALSE)</f>
        <v>0</v>
      </c>
      <c r="AT18" s="26">
        <f>_xlfn.IFNA(IF(LEFT('Rock Climbing Log'!AT18)="C",_xlfn.IFNA(VLOOKUP('Rock Climbing Log'!AT18,'RC Lookup'!$A$3:$B$9,2,FALSE),0.5),VLOOKUP('Rock Climbing Log'!AT18,'RC Lookup'!$G$3:$H$5,2,FALSE)),0)*VLOOKUP(AT$7,'RC Lookup'!$D$3:$E$18,2,FALSE)</f>
        <v>0</v>
      </c>
      <c r="AU18" s="26">
        <f>_xlfn.IFNA(IF(LEFT('Rock Climbing Log'!AU18)="C",_xlfn.IFNA(VLOOKUP('Rock Climbing Log'!AU18,'RC Lookup'!$A$3:$B$9,2,FALSE),0.5),VLOOKUP('Rock Climbing Log'!AU18,'RC Lookup'!$G$3:$H$5,2,FALSE)),0)*VLOOKUP(AT$7,'RC Lookup'!$D$3:$E$18,2,FALSE)</f>
        <v>0</v>
      </c>
      <c r="AV18" s="26">
        <f>_xlfn.IFNA(IF(LEFT('Rock Climbing Log'!AV18)="C",_xlfn.IFNA(VLOOKUP('Rock Climbing Log'!AV18,'RC Lookup'!$A$3:$B$9,2,FALSE),0.5),VLOOKUP('Rock Climbing Log'!AV18,'RC Lookup'!$G$3:$H$5,2,FALSE)),0)*VLOOKUP(AT$7,'RC Lookup'!$D$3:$E$18,2,FALSE)</f>
        <v>0</v>
      </c>
      <c r="AW18" s="30">
        <f t="shared" ca="1" si="0"/>
        <v>67.057440881588661</v>
      </c>
      <c r="AX18" s="30">
        <f ca="1">_xlfn.IFNA(VLOOKUP(SUMPRODUCT(LARGE(($C$8:$C18=Table1[[#This Row],[Climber]])*$A$8:$A18,1)),$A$8:$AW18,MATCH($AW$7,$A$7:$AW$7,FALSE),FALSE),0)/LEFT($AX$7,FIND(" ",$AX$7))+_xlfn.IFNA(VLOOKUP(SUMPRODUCT(LARGE(($C$8:$C18=Table1[[#This Row],[Climber]])*$A$8:$A18,MIN(2,COUNTIFS($C$8:$C18,$C18)))),$A$8:$AW18,MATCH($AW$7,$A$7:$AW$7,FALSE),FALSE),0)/LEFT($AX$7,FIND(" ",$AX$7))+_xlfn.IFNA(VLOOKUP(SUMPRODUCT(LARGE(($C$8:$C18=Table1[[#This Row],[Climber]])*$A$8:$A18,MIN(3,COUNTIFS($C$8:$C18,$C18)))),$A$8:$AW18,MATCH($AW$7,$A$7:$AW$7,FALSE),FALSE),0)/LEFT($AX$7,FIND(" ",$AX$7))</f>
        <v>91.184745188245003</v>
      </c>
      <c r="AY18" s="30">
        <f ca="1">_xlfn.IFNA(VLOOKUP(SUMPRODUCT(LARGE(($C$8:$C18=Table1[[#This Row],[Climber]])*$A$8:$A18,1)),$A$8:$AW18,MATCH($AW$7,$A$7:$AW$7,FALSE),FALSE),0)/LEFT($AY$7,FIND(" ",$AY$7))+_xlfn.IFNA(VLOOKUP(SUMPRODUCT(LARGE(($C$8:$C18=Table1[[#This Row],[Climber]])*$A$8:$A18,MIN(2,COUNTIFS($C$8:$C18,$C18)))),$A$8:$AW18,MATCH($AW$7,$A$7:$AW$7,FALSE),FALSE),0)/LEFT($AY$7,FIND(" ",$AY$7))+_xlfn.IFNA(VLOOKUP(SUMPRODUCT(LARGE(($C$8:$C18=Table1[[#This Row],[Climber]])*$A$8:$A18,MIN(3,COUNTIFS($C$8:$C18,$C18)))),$A$8:$AW18,MATCH($AW$7,$A$7:$AW$7,FALSE),FALSE),0)/LEFT($AY$7,FIND(" ",$AY$7))+_xlfn.IFNA(VLOOKUP(SUMPRODUCT(LARGE(($C$8:$C18=Table1[[#This Row],[Climber]])*$A$8:$A18,MIN(4,COUNTIFS($C$8:$C18,$C18)))),$A$8:$AW18,MATCH($AW$7,$A$7:$AW$7,FALSE),FALSE),0)/LEFT($AY$7,FIND(" ",$AY$7))+_xlfn.IFNA(VLOOKUP(SUMPRODUCT(LARGE(($C$8:$C18=Table1[[#This Row],[Climber]])*$A$8:$A18,MIN(5,COUNTIFS($C$8:$C18,$C18)))),$A$8:$AW18,MATCH($AW$7,$A$7:$AW$7,FALSE),FALSE),0)/LEFT($AY$7,FIND(" ",$AY$7))</f>
        <v>96.010206049576283</v>
      </c>
      <c r="AZ18" s="30">
        <f>(_xlfn.IFNA(VLOOKUP(SUMPRODUCT(LARGE(($C$8:$C18=Table1[[#This Row],[Climber]])*$A$8:$A18,4)),$A$8:$AW18,MATCH($AW$7,$A$7:$AW$7,FALSE),FALSE),0)+_xlfn.IFNA(VLOOKUP(SUMPRODUCT(LARGE(($C$8:$C18=Table1[[#This Row],[Climber]])*$A$8:$A18,5)),$A$8:$AW18,MATCH($AW$7,$A$7:$AW$7,FALSE),FALSE),0)+_xlfn.IFNA(VLOOKUP(SUMPRODUCT(LARGE(($C$8:$C18=Table1[[#This Row],[Climber]])*$A$8:$A18,6)),$A$8:$AW18,MATCH($AW$7,$A$7:$AW$7,FALSE),FALSE),0))/3</f>
        <v>0</v>
      </c>
      <c r="BA18" s="6">
        <f ca="1">_xlfn.MAXIFS(INDIRECT("$AW"&amp;IF(SUMPRODUCT(LARGE(($C$8:$C18=$C18)*$A$8:$A18,LEFT($BA$7,FIND(" ",$BA$7)-1)))=0,8,SUMPRODUCT(LARGE(($C$8:$C18=$C18)*$A$8:$A18,LEFT($BA$7,FIND(" ",$BA$7)-1)))+7)&amp;":$AW"&amp;ROW()),INDIRECT("$C"&amp;IF(SUMPRODUCT(LARGE(($C$8:$C18=$C18)*$A$8:$A18,LEFT($BA$7,FIND(" ",$BA$7)-1)))=0,8,SUMPRODUCT(LARGE(($C$8:$C18=$C18)*$A$8:$A18,LEFT($BA$7,FIND(" ",$BA$7)-1)))+7)&amp;":$C"&amp;ROW()),$C18)</f>
        <v>103.24839734157318</v>
      </c>
      <c r="BB18" s="6" t="str">
        <f ca="1">VLOOKUP(MAX(BG18,$AX18),'RC Lookup'!$G$14:$J$20,2,TRUE)</f>
        <v>T3</v>
      </c>
      <c r="BC18" s="6">
        <f ca="1">_xlfn.IFNA(VLOOKUP(VLOOKUP($C18,'RC Lookup'!$O$3:$P$50,2,FALSE),'RC Lookup'!$H$14:$J$23,2,FALSE),0)*AW18</f>
        <v>32.935386886817234</v>
      </c>
      <c r="BD18" s="6">
        <f ca="1">_xlfn.IFNA(VLOOKUP(SUMPRODUCT(LARGE(($C$8:$C18=Table1[[#This Row],[Climber]])*$A$8:$A18,1)),$A$8:$BC18,55,FALSE),0)/LEFT($AX$7,FIND(" ",$AX$7))+_xlfn.IFNA(VLOOKUP(SUMPRODUCT(LARGE(($C$8:$C18=Table1[[#This Row],[Climber]])*$A$8:$A18,MIN(2,COUNTIFS($C$8:$C18,$C18)))),$A$8:$BC18,55,FALSE),0)/LEFT($AX$7,FIND(" ",$AX$7))+_xlfn.IFNA(VLOOKUP(SUMPRODUCT(LARGE(($C$8:$C18=Table1[[#This Row],[Climber]])*$A$8:$A18,MIN(3,COUNTIFS($C$8:$C18,$C18)))),$A$8:$BC18,55,FALSE),0)/LEFT($AX$7,FIND(" ",$AX$7))</f>
        <v>44.785557299357919</v>
      </c>
      <c r="BE18" s="6">
        <f>(_xlfn.IFNA(VLOOKUP(SUMPRODUCT(LARGE(($C$8:$C18=Table1[[#This Row],[Climber]])*$A$8:$A18,4)),$A$8:$BD18,55,FALSE),0)+_xlfn.IFNA(VLOOKUP(SUMPRODUCT(LARGE(($C$8:$C18=Table1[[#This Row],[Climber]])*$A$8:$A18,5)),$A$8:$BD18,55,FALSE),0)+_xlfn.IFNA(VLOOKUP(SUMPRODUCT(LARGE(($C$8:$C18=Table1[[#This Row],[Climber]])*$A$8:$A18,6)),$A$8:$BD18,55,FALSE),0))/3</f>
        <v>0</v>
      </c>
      <c r="BF18" s="46">
        <f ca="1">_xlfn.MAXIFS(INDIRECT("$BC"&amp;IF(SUMPRODUCT(LARGE(($C$8:$C18=$C18)*$A$8:$A18,LEFT($BA$7,FIND(" ",$BA$7)-1)))=0,8,SUMPRODUCT(LARGE(($C$8:$C18=$C18)*$A$8:$A18,LEFT($BA$7,FIND(" ",$BA$7)-1)))+7)&amp;":$BC"&amp;ROW()),INDIRECT("$C"&amp;IF(SUMPRODUCT(LARGE(($C$8:$C18=$C18)*$A$8:$A18,LEFT($BA$7,FIND(" ",$BA$7)-1)))=0,8,SUMPRODUCT(LARGE(($C$8:$C18=$C18)*$A$8:$A18,LEFT($BA$7,FIND(" ",$BA$7)-1)))+7)&amp;":$C"&amp;ROW()),$C18)</f>
        <v>50.710642505628265</v>
      </c>
      <c r="BG18" s="46">
        <f t="array" aca="1" ref="BG18" ca="1">IFERROR(SUMPRODUCT(LARGE(($C$8:$C18=Table1[[#This Row],[Climber]])*$AW$8:$AW18,ROW(INDIRECT("1:5")))),AW18)/MIN(COUNTIFS($C$8:$C18,C18),5)</f>
        <v>85.152919111580928</v>
      </c>
      <c r="BH18" s="46"/>
    </row>
    <row r="19" spans="1:61" x14ac:dyDescent="0.3">
      <c r="A19" s="125">
        <f t="shared" si="1"/>
        <v>12</v>
      </c>
      <c r="B19" s="25">
        <f>'Rock Climbing Log'!B19</f>
        <v>43116</v>
      </c>
      <c r="C19" s="126" t="str">
        <f>'Rock Climbing Log'!C19</f>
        <v>Edwin</v>
      </c>
      <c r="D19" s="26">
        <f>_xlfn.IFNA(IF(LEFT('Rock Climbing Log'!D19)="C",_xlfn.IFNA(VLOOKUP('Rock Climbing Log'!D19,'RC Lookup'!$A$3:$B$9,2,FALSE),0.5),VLOOKUP('Rock Climbing Log'!D19,'RC Lookup'!$G$3:$H$5,2,FALSE)),0)*VLOOKUP(D$7,'RC Lookup'!$D$3:$E$18,2,FALSE)</f>
        <v>10</v>
      </c>
      <c r="E19" s="26">
        <f>_xlfn.IFNA(IF(LEFT('Rock Climbing Log'!E19)="C",_xlfn.IFNA(VLOOKUP('Rock Climbing Log'!E19,'RC Lookup'!$A$3:$B$9,2,FALSE),0.5),VLOOKUP('Rock Climbing Log'!E19,'RC Lookup'!$G$3:$H$5,2,FALSE)),0)*VLOOKUP(D$7,'RC Lookup'!$D$3:$E$18,2,FALSE)</f>
        <v>0</v>
      </c>
      <c r="F19" s="26">
        <f>_xlfn.IFNA(IF(LEFT('Rock Climbing Log'!F19)="C",_xlfn.IFNA(VLOOKUP('Rock Climbing Log'!F19,'RC Lookup'!$A$3:$B$9,2,FALSE),0.5),VLOOKUP('Rock Climbing Log'!F19,'RC Lookup'!$G$3:$H$5,2,FALSE)),0)*VLOOKUP(D$7,'RC Lookup'!$D$3:$E$18,2,FALSE)</f>
        <v>0</v>
      </c>
      <c r="G19" s="26">
        <f>_xlfn.IFNA(IF(LEFT('Rock Climbing Log'!G19)="C",_xlfn.IFNA(VLOOKUP('Rock Climbing Log'!G19,'RC Lookup'!$A$3:$B$9,2,FALSE),0.5),VLOOKUP('Rock Climbing Log'!G19,'RC Lookup'!$G$3:$H$5,2,FALSE)),0)*VLOOKUP(G$7,'RC Lookup'!$D$3:$E$18,2,FALSE)</f>
        <v>12.5</v>
      </c>
      <c r="H19" s="26">
        <f>_xlfn.IFNA(IF(LEFT('Rock Climbing Log'!H19)="C",_xlfn.IFNA(VLOOKUP('Rock Climbing Log'!H19,'RC Lookup'!$A$3:$B$9,2,FALSE),0.5),VLOOKUP('Rock Climbing Log'!H19,'RC Lookup'!$G$3:$H$5,2,FALSE)),0)*VLOOKUP(G$7,'RC Lookup'!$D$3:$E$18,2,FALSE)</f>
        <v>0</v>
      </c>
      <c r="I19" s="26">
        <f>_xlfn.IFNA(IF(LEFT('Rock Climbing Log'!I19)="C",_xlfn.IFNA(VLOOKUP('Rock Climbing Log'!I19,'RC Lookup'!$A$3:$B$9,2,FALSE),0.5),VLOOKUP('Rock Climbing Log'!I19,'RC Lookup'!$G$3:$H$5,2,FALSE)),0)*VLOOKUP(G$7,'RC Lookup'!$D$3:$E$18,2,FALSE)</f>
        <v>0</v>
      </c>
      <c r="J19" s="26">
        <f>_xlfn.IFNA(IF(LEFT('Rock Climbing Log'!J19)="C",_xlfn.IFNA(VLOOKUP('Rock Climbing Log'!J19,'RC Lookup'!$A$3:$B$9,2,FALSE),0.5),VLOOKUP('Rock Climbing Log'!J19,'RC Lookup'!$G$3:$H$5,2,FALSE)),0)*VLOOKUP(J$7,'RC Lookup'!$D$3:$E$18,2,FALSE)</f>
        <v>15.75</v>
      </c>
      <c r="K19" s="26">
        <f>_xlfn.IFNA(IF(LEFT('Rock Climbing Log'!K19)="C",_xlfn.IFNA(VLOOKUP('Rock Climbing Log'!K19,'RC Lookup'!$A$3:$B$9,2,FALSE),0.5),VLOOKUP('Rock Climbing Log'!K19,'RC Lookup'!$G$3:$H$5,2,FALSE)),0)*VLOOKUP(J$7,'RC Lookup'!$D$3:$E$18,2,FALSE)</f>
        <v>0</v>
      </c>
      <c r="L19" s="26">
        <f>_xlfn.IFNA(IF(LEFT('Rock Climbing Log'!L19)="C",_xlfn.IFNA(VLOOKUP('Rock Climbing Log'!L19,'RC Lookup'!$A$3:$B$9,2,FALSE),0.5),VLOOKUP('Rock Climbing Log'!L19,'RC Lookup'!$G$3:$H$5,2,FALSE)),0)*VLOOKUP(J$7,'RC Lookup'!$D$3:$E$18,2,FALSE)</f>
        <v>0</v>
      </c>
      <c r="M19" s="26">
        <f>_xlfn.IFNA(IF(LEFT('Rock Climbing Log'!M19)="C",_xlfn.IFNA(VLOOKUP('Rock Climbing Log'!M19,'RC Lookup'!$A$3:$B$9,2,FALSE),0.5),VLOOKUP('Rock Climbing Log'!M19,'RC Lookup'!$G$3:$H$5,2,FALSE)),0)*VLOOKUP(M$7,'RC Lookup'!$D$3:$E$18,2,FALSE)</f>
        <v>20.002500000000001</v>
      </c>
      <c r="N19" s="26">
        <f>_xlfn.IFNA(IF(LEFT('Rock Climbing Log'!N19)="C",_xlfn.IFNA(VLOOKUP('Rock Climbing Log'!N19,'RC Lookup'!$A$3:$B$9,2,FALSE),0.5),VLOOKUP('Rock Climbing Log'!N19,'RC Lookup'!$G$3:$H$5,2,FALSE)),0)*VLOOKUP(M$7,'RC Lookup'!$D$3:$E$18,2,FALSE)</f>
        <v>0</v>
      </c>
      <c r="O19" s="26">
        <f>_xlfn.IFNA(IF(LEFT('Rock Climbing Log'!O19)="C",_xlfn.IFNA(VLOOKUP('Rock Climbing Log'!O19,'RC Lookup'!$A$3:$B$9,2,FALSE),0.5),VLOOKUP('Rock Climbing Log'!O19,'RC Lookup'!$G$3:$H$5,2,FALSE)),0)*VLOOKUP(M$7,'RC Lookup'!$D$3:$E$18,2,FALSE)</f>
        <v>0</v>
      </c>
      <c r="P19" s="26">
        <f>_xlfn.IFNA(IF(LEFT('Rock Climbing Log'!P19)="C",_xlfn.IFNA(VLOOKUP('Rock Climbing Log'!P19,'RC Lookup'!$A$3:$B$9,2,FALSE),0.5),VLOOKUP('Rock Climbing Log'!P19,'RC Lookup'!$G$3:$H$5,2,FALSE)),0)*VLOOKUP(P$7,'RC Lookup'!$D$3:$E$18,2,FALSE)</f>
        <v>23.922990000000006</v>
      </c>
      <c r="Q19" s="26">
        <f>_xlfn.IFNA(IF(LEFT('Rock Climbing Log'!Q19)="C",_xlfn.IFNA(VLOOKUP('Rock Climbing Log'!Q19,'RC Lookup'!$A$3:$B$9,2,FALSE),0.5),VLOOKUP('Rock Climbing Log'!Q19,'RC Lookup'!$G$3:$H$5,2,FALSE)),0)*VLOOKUP(P$7,'RC Lookup'!$D$3:$E$18,2,FALSE)</f>
        <v>0</v>
      </c>
      <c r="R19" s="26">
        <f>_xlfn.IFNA(IF(LEFT('Rock Climbing Log'!R19)="C",_xlfn.IFNA(VLOOKUP('Rock Climbing Log'!R19,'RC Lookup'!$A$3:$B$9,2,FALSE),0.5),VLOOKUP('Rock Climbing Log'!R19,'RC Lookup'!$G$3:$H$5,2,FALSE)),0)*VLOOKUP(P$7,'RC Lookup'!$D$3:$E$18,2,FALSE)</f>
        <v>0</v>
      </c>
      <c r="S19" s="26">
        <f>_xlfn.IFNA(IF(LEFT('Rock Climbing Log'!S19)="C",_xlfn.IFNA(VLOOKUP('Rock Climbing Log'!S19,'RC Lookup'!$A$3:$B$9,2,FALSE),0.5),VLOOKUP('Rock Climbing Log'!S19,'RC Lookup'!$G$3:$H$5,2,FALSE)),0)*VLOOKUP(S$7,'RC Lookup'!$D$3:$E$18,2,FALSE)</f>
        <v>0</v>
      </c>
      <c r="T19" s="26">
        <f>_xlfn.IFNA(IF(LEFT('Rock Climbing Log'!T19)="C",_xlfn.IFNA(VLOOKUP('Rock Climbing Log'!T19,'RC Lookup'!$A$3:$B$9,2,FALSE),0.5),VLOOKUP('Rock Climbing Log'!T19,'RC Lookup'!$G$3:$H$5,2,FALSE)),0)*VLOOKUP(S$7,'RC Lookup'!$D$3:$E$18,2,FALSE)</f>
        <v>0</v>
      </c>
      <c r="U19" s="26">
        <f>_xlfn.IFNA(IF(LEFT('Rock Climbing Log'!U19)="C",_xlfn.IFNA(VLOOKUP('Rock Climbing Log'!U19,'RC Lookup'!$A$3:$B$9,2,FALSE),0.5),VLOOKUP('Rock Climbing Log'!U19,'RC Lookup'!$G$3:$H$5,2,FALSE)),0)*VLOOKUP(S$7,'RC Lookup'!$D$3:$E$18,2,FALSE)</f>
        <v>0</v>
      </c>
      <c r="V19" s="26">
        <f>_xlfn.IFNA(IF(LEFT('Rock Climbing Log'!V19)="C",_xlfn.IFNA(VLOOKUP('Rock Climbing Log'!V19,'RC Lookup'!$A$3:$B$9,2,FALSE),0.5),VLOOKUP('Rock Climbing Log'!V19,'RC Lookup'!$G$3:$H$5,2,FALSE)),0)*VLOOKUP(V$7,'RC Lookup'!$D$3:$E$18,2,FALSE)</f>
        <v>35.256745742400021</v>
      </c>
      <c r="W19" s="26">
        <f>_xlfn.IFNA(IF(LEFT('Rock Climbing Log'!W19)="C",_xlfn.IFNA(VLOOKUP('Rock Climbing Log'!W19,'RC Lookup'!$A$3:$B$9,2,FALSE),0.5),VLOOKUP('Rock Climbing Log'!W19,'RC Lookup'!$G$3:$H$5,2,FALSE)),0)*VLOOKUP(V$7,'RC Lookup'!$D$3:$E$18,2,FALSE)</f>
        <v>0</v>
      </c>
      <c r="X19" s="26">
        <f>_xlfn.IFNA(IF(LEFT('Rock Climbing Log'!X19)="C",_xlfn.IFNA(VLOOKUP('Rock Climbing Log'!X19,'RC Lookup'!$A$3:$B$9,2,FALSE),0.5),VLOOKUP('Rock Climbing Log'!X19,'RC Lookup'!$G$3:$H$5,2,FALSE)),0)*VLOOKUP(V$7,'RC Lookup'!$D$3:$E$18,2,FALSE)</f>
        <v>0</v>
      </c>
      <c r="Y19" s="26">
        <f>_xlfn.IFNA(IF(LEFT('Rock Climbing Log'!Y19)="C",_xlfn.IFNA(VLOOKUP('Rock Climbing Log'!Y19,'RC Lookup'!$A$3:$B$9,2,FALSE),0.5),VLOOKUP('Rock Climbing Log'!Y19,'RC Lookup'!$G$3:$H$5,2,FALSE)),0)*VLOOKUP(Y$7,'RC Lookup'!$D$3:$E$18,2,FALSE)</f>
        <v>0</v>
      </c>
      <c r="Z19" s="26">
        <f>_xlfn.IFNA(IF(LEFT('Rock Climbing Log'!Z19)="C",_xlfn.IFNA(VLOOKUP('Rock Climbing Log'!Z19,'RC Lookup'!$A$3:$B$9,2,FALSE),0.5),VLOOKUP('Rock Climbing Log'!Z19,'RC Lookup'!$G$3:$H$5,2,FALSE)),0)*VLOOKUP(Y$7,'RC Lookup'!$D$3:$E$18,2,FALSE)</f>
        <v>0</v>
      </c>
      <c r="AA19" s="26">
        <f>_xlfn.IFNA(IF(LEFT('Rock Climbing Log'!AA19)="C",_xlfn.IFNA(VLOOKUP('Rock Climbing Log'!AA19,'RC Lookup'!$A$3:$B$9,2,FALSE),0.5),VLOOKUP('Rock Climbing Log'!AA19,'RC Lookup'!$G$3:$H$5,2,FALSE)),0)*VLOOKUP(Y$7,'RC Lookup'!$D$3:$E$18,2,FALSE)</f>
        <v>0</v>
      </c>
      <c r="AB19" s="26">
        <f>_xlfn.IFNA(IF(LEFT('Rock Climbing Log'!AB19)="C",_xlfn.IFNA(VLOOKUP('Rock Climbing Log'!AB19,'RC Lookup'!$A$3:$B$9,2,FALSE),0.5),VLOOKUP('Rock Climbing Log'!AB19,'RC Lookup'!$G$3:$H$5,2,FALSE)),0)*VLOOKUP(AB$7,'RC Lookup'!$D$3:$E$18,2,FALSE)</f>
        <v>0</v>
      </c>
      <c r="AC19" s="26">
        <f>_xlfn.IFNA(IF(LEFT('Rock Climbing Log'!AC19)="C",_xlfn.IFNA(VLOOKUP('Rock Climbing Log'!AC19,'RC Lookup'!$A$3:$B$9,2,FALSE),0.5),VLOOKUP('Rock Climbing Log'!AC19,'RC Lookup'!$G$3:$H$5,2,FALSE)),0)*VLOOKUP(AB$7,'RC Lookup'!$D$3:$E$18,2,FALSE)</f>
        <v>0</v>
      </c>
      <c r="AD19" s="26">
        <f>_xlfn.IFNA(IF(LEFT('Rock Climbing Log'!AD19)="C",_xlfn.IFNA(VLOOKUP('Rock Climbing Log'!AD19,'RC Lookup'!$A$3:$B$9,2,FALSE),0.5),VLOOKUP('Rock Climbing Log'!AD19,'RC Lookup'!$G$3:$H$5,2,FALSE)),0)*VLOOKUP(AB$7,'RC Lookup'!$D$3:$E$18,2,FALSE)</f>
        <v>0</v>
      </c>
      <c r="AE19" s="26">
        <f>_xlfn.IFNA(IF(LEFT('Rock Climbing Log'!AE19)="C",_xlfn.IFNA(VLOOKUP('Rock Climbing Log'!AE19,'RC Lookup'!$A$3:$B$9,2,FALSE),0.5),VLOOKUP('Rock Climbing Log'!AE19,'RC Lookup'!$G$3:$H$5,2,FALSE)),0)*VLOOKUP(AE$7,'RC Lookup'!$D$3:$E$18,2,FALSE)</f>
        <v>0</v>
      </c>
      <c r="AF19" s="26">
        <f>_xlfn.IFNA(IF(LEFT('Rock Climbing Log'!AF19)="C",_xlfn.IFNA(VLOOKUP('Rock Climbing Log'!AF19,'RC Lookup'!$A$3:$B$9,2,FALSE),0.5),VLOOKUP('Rock Climbing Log'!AF19,'RC Lookup'!$G$3:$H$5,2,FALSE)),0)*VLOOKUP(AE$7,'RC Lookup'!$D$3:$E$18,2,FALSE)</f>
        <v>0</v>
      </c>
      <c r="AG19" s="26">
        <f>_xlfn.IFNA(IF(LEFT('Rock Climbing Log'!AG19)="C",_xlfn.IFNA(VLOOKUP('Rock Climbing Log'!AG19,'RC Lookup'!$A$3:$B$9,2,FALSE),0.5),VLOOKUP('Rock Climbing Log'!AG19,'RC Lookup'!$G$3:$H$5,2,FALSE)),0)*VLOOKUP(AE$7,'RC Lookup'!$D$3:$E$18,2,FALSE)</f>
        <v>0</v>
      </c>
      <c r="AH19" s="26">
        <f>_xlfn.IFNA(IF(LEFT('Rock Climbing Log'!AH19)="C",_xlfn.IFNA(VLOOKUP('Rock Climbing Log'!AH19,'RC Lookup'!$A$3:$B$9,2,FALSE),0.5),VLOOKUP('Rock Climbing Log'!AH19,'RC Lookup'!$G$3:$H$5,2,FALSE)),0)*VLOOKUP(AH$7,'RC Lookup'!$D$3:$E$18,2,FALSE)</f>
        <v>0</v>
      </c>
      <c r="AI19" s="26">
        <f>_xlfn.IFNA(IF(LEFT('Rock Climbing Log'!AI19)="C",_xlfn.IFNA(VLOOKUP('Rock Climbing Log'!AI19,'RC Lookup'!$A$3:$B$9,2,FALSE),0.5),VLOOKUP('Rock Climbing Log'!AI19,'RC Lookup'!$G$3:$H$5,2,FALSE)),0)*VLOOKUP(AH$7,'RC Lookup'!$D$3:$E$18,2,FALSE)</f>
        <v>0</v>
      </c>
      <c r="AJ19" s="26">
        <f>_xlfn.IFNA(IF(LEFT('Rock Climbing Log'!AJ19)="C",_xlfn.IFNA(VLOOKUP('Rock Climbing Log'!AJ19,'RC Lookup'!$A$3:$B$9,2,FALSE),0.5),VLOOKUP('Rock Climbing Log'!AJ19,'RC Lookup'!$G$3:$H$5,2,FALSE)),0)*VLOOKUP(AH$7,'RC Lookup'!$D$3:$E$18,2,FALSE)</f>
        <v>0</v>
      </c>
      <c r="AK19" s="26">
        <f>_xlfn.IFNA(IF(LEFT('Rock Climbing Log'!AK19)="C",_xlfn.IFNA(VLOOKUP('Rock Climbing Log'!AK19,'RC Lookup'!$A$3:$B$9,2,FALSE),0.5),VLOOKUP('Rock Climbing Log'!AK19,'RC Lookup'!$G$3:$H$5,2,FALSE)),0)*VLOOKUP(AK$7,'RC Lookup'!$D$3:$E$18,2,FALSE)</f>
        <v>0</v>
      </c>
      <c r="AL19" s="26">
        <f>_xlfn.IFNA(IF(LEFT('Rock Climbing Log'!AL19)="C",_xlfn.IFNA(VLOOKUP('Rock Climbing Log'!AL19,'RC Lookup'!$A$3:$B$9,2,FALSE),0.5),VLOOKUP('Rock Climbing Log'!AL19,'RC Lookup'!$G$3:$H$5,2,FALSE)),0)*VLOOKUP(AK$7,'RC Lookup'!$D$3:$E$18,2,FALSE)</f>
        <v>0</v>
      </c>
      <c r="AM19" s="26">
        <f>_xlfn.IFNA(IF(LEFT('Rock Climbing Log'!AM19)="C",_xlfn.IFNA(VLOOKUP('Rock Climbing Log'!AM19,'RC Lookup'!$A$3:$B$9,2,FALSE),0.5),VLOOKUP('Rock Climbing Log'!AM19,'RC Lookup'!$G$3:$H$5,2,FALSE)),0)*VLOOKUP(AK$7,'RC Lookup'!$D$3:$E$18,2,FALSE)</f>
        <v>0</v>
      </c>
      <c r="AN19" s="26">
        <f>_xlfn.IFNA(IF(LEFT('Rock Climbing Log'!AN19)="C",_xlfn.IFNA(VLOOKUP('Rock Climbing Log'!AN19,'RC Lookup'!$A$3:$B$9,2,FALSE),0.5),VLOOKUP('Rock Climbing Log'!AN19,'RC Lookup'!$G$3:$H$5,2,FALSE)),0)*VLOOKUP(AN$7,'RC Lookup'!$D$3:$E$18,2,FALSE)</f>
        <v>0</v>
      </c>
      <c r="AO19" s="26">
        <f>_xlfn.IFNA(IF(LEFT('Rock Climbing Log'!AO19)="C",_xlfn.IFNA(VLOOKUP('Rock Climbing Log'!AO19,'RC Lookup'!$A$3:$B$9,2,FALSE),0.5),VLOOKUP('Rock Climbing Log'!AO19,'RC Lookup'!$G$3:$H$5,2,FALSE)),0)*VLOOKUP(AN$7,'RC Lookup'!$D$3:$E$18,2,FALSE)</f>
        <v>0</v>
      </c>
      <c r="AP19" s="26">
        <f>_xlfn.IFNA(IF(LEFT('Rock Climbing Log'!AP19)="C",_xlfn.IFNA(VLOOKUP('Rock Climbing Log'!AP19,'RC Lookup'!$A$3:$B$9,2,FALSE),0.5),VLOOKUP('Rock Climbing Log'!AP19,'RC Lookup'!$G$3:$H$5,2,FALSE)),0)*VLOOKUP(AN$7,'RC Lookup'!$D$3:$E$18,2,FALSE)</f>
        <v>0</v>
      </c>
      <c r="AQ19" s="26">
        <f>_xlfn.IFNA(IF(LEFT('Rock Climbing Log'!AQ19)="C",_xlfn.IFNA(VLOOKUP('Rock Climbing Log'!AQ19,'RC Lookup'!$A$3:$B$9,2,FALSE),0.5),VLOOKUP('Rock Climbing Log'!AQ19,'RC Lookup'!$G$3:$H$5,2,FALSE)),0)*VLOOKUP(AQ$7,'RC Lookup'!$D$3:$E$18,2,FALSE)</f>
        <v>0</v>
      </c>
      <c r="AR19" s="26">
        <f>_xlfn.IFNA(IF(LEFT('Rock Climbing Log'!AR19)="C",_xlfn.IFNA(VLOOKUP('Rock Climbing Log'!AR19,'RC Lookup'!$A$3:$B$9,2,FALSE),0.5),VLOOKUP('Rock Climbing Log'!AR19,'RC Lookup'!$G$3:$H$5,2,FALSE)),0)*VLOOKUP(AQ$7,'RC Lookup'!$D$3:$E$18,2,FALSE)</f>
        <v>0</v>
      </c>
      <c r="AS19" s="26">
        <f>_xlfn.IFNA(IF(LEFT('Rock Climbing Log'!AS19)="C",_xlfn.IFNA(VLOOKUP('Rock Climbing Log'!AS19,'RC Lookup'!$A$3:$B$9,2,FALSE),0.5),VLOOKUP('Rock Climbing Log'!AS19,'RC Lookup'!$G$3:$H$5,2,FALSE)),0)*VLOOKUP(AQ$7,'RC Lookup'!$D$3:$E$18,2,FALSE)</f>
        <v>0</v>
      </c>
      <c r="AT19" s="26">
        <f>_xlfn.IFNA(IF(LEFT('Rock Climbing Log'!AT19)="C",_xlfn.IFNA(VLOOKUP('Rock Climbing Log'!AT19,'RC Lookup'!$A$3:$B$9,2,FALSE),0.5),VLOOKUP('Rock Climbing Log'!AT19,'RC Lookup'!$G$3:$H$5,2,FALSE)),0)*VLOOKUP(AT$7,'RC Lookup'!$D$3:$E$18,2,FALSE)</f>
        <v>0</v>
      </c>
      <c r="AU19" s="26">
        <f>_xlfn.IFNA(IF(LEFT('Rock Climbing Log'!AU19)="C",_xlfn.IFNA(VLOOKUP('Rock Climbing Log'!AU19,'RC Lookup'!$A$3:$B$9,2,FALSE),0.5),VLOOKUP('Rock Climbing Log'!AU19,'RC Lookup'!$G$3:$H$5,2,FALSE)),0)*VLOOKUP(AT$7,'RC Lookup'!$D$3:$E$18,2,FALSE)</f>
        <v>0</v>
      </c>
      <c r="AV19" s="26">
        <f>_xlfn.IFNA(IF(LEFT('Rock Climbing Log'!AV19)="C",_xlfn.IFNA(VLOOKUP('Rock Climbing Log'!AV19,'RC Lookup'!$A$3:$B$9,2,FALSE),0.5),VLOOKUP('Rock Climbing Log'!AV19,'RC Lookup'!$G$3:$H$5,2,FALSE)),0)*VLOOKUP(AT$7,'RC Lookup'!$D$3:$E$18,2,FALSE)</f>
        <v>0</v>
      </c>
      <c r="AW19" s="30">
        <f t="shared" ca="1" si="0"/>
        <v>79.182235742400024</v>
      </c>
      <c r="AX19" s="30">
        <f ca="1">_xlfn.IFNA(VLOOKUP(SUMPRODUCT(LARGE(($C$8:$C19=Table1[[#This Row],[Climber]])*$A$8:$A19,1)),$A$8:$AW19,MATCH($AW$7,$A$7:$AW$7,FALSE),FALSE),0)/LEFT($AX$7,FIND(" ",$AX$7))+_xlfn.IFNA(VLOOKUP(SUMPRODUCT(LARGE(($C$8:$C19=Table1[[#This Row],[Climber]])*$A$8:$A19,MIN(2,COUNTIFS($C$8:$C19,$C19)))),$A$8:$AW19,MATCH($AW$7,$A$7:$AW$7,FALSE),FALSE),0)/LEFT($AX$7,FIND(" ",$AX$7))+_xlfn.IFNA(VLOOKUP(SUMPRODUCT(LARGE(($C$8:$C19=Table1[[#This Row],[Climber]])*$A$8:$A19,MIN(3,COUNTIFS($C$8:$C19,$C19)))),$A$8:$AW19,MATCH($AW$7,$A$7:$AW$7,FALSE),FALSE),0)/LEFT($AX$7,FIND(" ",$AX$7))</f>
        <v>66.313588753269897</v>
      </c>
      <c r="AY19" s="30">
        <f ca="1">_xlfn.IFNA(VLOOKUP(SUMPRODUCT(LARGE(($C$8:$C19=Table1[[#This Row],[Climber]])*$A$8:$A19,1)),$A$8:$AW19,MATCH($AW$7,$A$7:$AW$7,FALSE),FALSE),0)/LEFT($AY$7,FIND(" ",$AY$7))+_xlfn.IFNA(VLOOKUP(SUMPRODUCT(LARGE(($C$8:$C19=Table1[[#This Row],[Climber]])*$A$8:$A19,MIN(2,COUNTIFS($C$8:$C19,$C19)))),$A$8:$AW19,MATCH($AW$7,$A$7:$AW$7,FALSE),FALSE),0)/LEFT($AY$7,FIND(" ",$AY$7))+_xlfn.IFNA(VLOOKUP(SUMPRODUCT(LARGE(($C$8:$C19=Table1[[#This Row],[Climber]])*$A$8:$A19,MIN(3,COUNTIFS($C$8:$C19,$C19)))),$A$8:$AW19,MATCH($AW$7,$A$7:$AW$7,FALSE),FALSE),0)/LEFT($AY$7,FIND(" ",$AY$7))+_xlfn.IFNA(VLOOKUP(SUMPRODUCT(LARGE(($C$8:$C19=Table1[[#This Row],[Climber]])*$A$8:$A19,MIN(4,COUNTIFS($C$8:$C19,$C19)))),$A$8:$AW19,MATCH($AW$7,$A$7:$AW$7,FALSE),FALSE),0)/LEFT($AY$7,FIND(" ",$AY$7))+_xlfn.IFNA(VLOOKUP(SUMPRODUCT(LARGE(($C$8:$C19=Table1[[#This Row],[Climber]])*$A$8:$A19,MIN(5,COUNTIFS($C$8:$C19,$C19)))),$A$8:$AW19,MATCH($AW$7,$A$7:$AW$7,FALSE),FALSE),0)/LEFT($AY$7,FIND(" ",$AY$7))</f>
        <v>64.40969840044194</v>
      </c>
      <c r="AZ19" s="30">
        <f>(_xlfn.IFNA(VLOOKUP(SUMPRODUCT(LARGE(($C$8:$C19=Table1[[#This Row],[Climber]])*$A$8:$A19,4)),$A$8:$AW19,MATCH($AW$7,$A$7:$AW$7,FALSE),FALSE),0)+_xlfn.IFNA(VLOOKUP(SUMPRODUCT(LARGE(($C$8:$C19=Table1[[#This Row],[Climber]])*$A$8:$A19,5)),$A$8:$AW19,MATCH($AW$7,$A$7:$AW$7,FALSE),FALSE),0)+_xlfn.IFNA(VLOOKUP(SUMPRODUCT(LARGE(($C$8:$C19=Table1[[#This Row],[Climber]])*$A$8:$A19,6)),$A$8:$AW19,MATCH($AW$7,$A$7:$AW$7,FALSE),FALSE),0))/3</f>
        <v>0</v>
      </c>
      <c r="BA19" s="6">
        <f ca="1">_xlfn.MAXIFS(INDIRECT("$AW"&amp;IF(SUMPRODUCT(LARGE(($C$8:$C19=$C19)*$A$8:$A19,LEFT($BA$7,FIND(" ",$BA$7)-1)))=0,8,SUMPRODUCT(LARGE(($C$8:$C19=$C19)*$A$8:$A19,LEFT($BA$7,FIND(" ",$BA$7)-1)))+7)&amp;":$AW"&amp;ROW()),INDIRECT("$C"&amp;IF(SUMPRODUCT(LARGE(($C$8:$C19=$C19)*$A$8:$A19,LEFT($BA$7,FIND(" ",$BA$7)-1)))=0,8,SUMPRODUCT(LARGE(($C$8:$C19=$C19)*$A$8:$A19,LEFT($BA$7,FIND(" ",$BA$7)-1)))+7)&amp;":$C"&amp;ROW()),$C19)</f>
        <v>79.182235742400024</v>
      </c>
      <c r="BB19" s="6" t="str">
        <f ca="1">VLOOKUP(MAX(BG19,$AX19),'RC Lookup'!$G$14:$J$20,2,TRUE)</f>
        <v>T2</v>
      </c>
      <c r="BC19" s="6">
        <f ca="1">_xlfn.IFNA(VLOOKUP(VLOOKUP($C19,'RC Lookup'!$O$3:$P$50,2,FALSE),'RC Lookup'!$H$14:$J$23,2,FALSE),0)*AW19</f>
        <v>60.765010016377687</v>
      </c>
      <c r="BD19" s="6">
        <f ca="1">_xlfn.IFNA(VLOOKUP(SUMPRODUCT(LARGE(($C$8:$C19=Table1[[#This Row],[Climber]])*$A$8:$A19,1)),$A$8:$BC19,55,FALSE),0)/LEFT($AX$7,FIND(" ",$AX$7))+_xlfn.IFNA(VLOOKUP(SUMPRODUCT(LARGE(($C$8:$C19=Table1[[#This Row],[Climber]])*$A$8:$A19,MIN(2,COUNTIFS($C$8:$C19,$C19)))),$A$8:$BC19,55,FALSE),0)/LEFT($AX$7,FIND(" ",$AX$7))+_xlfn.IFNA(VLOOKUP(SUMPRODUCT(LARGE(($C$8:$C19=Table1[[#This Row],[Climber]])*$A$8:$A19,MIN(3,COUNTIFS($C$8:$C19,$C19)))),$A$8:$BC19,55,FALSE),0)/LEFT($AX$7,FIND(" ",$AX$7))</f>
        <v>50.889518931033145</v>
      </c>
      <c r="BE19" s="6">
        <f>(_xlfn.IFNA(VLOOKUP(SUMPRODUCT(LARGE(($C$8:$C19=Table1[[#This Row],[Climber]])*$A$8:$A19,4)),$A$8:$BD19,55,FALSE),0)+_xlfn.IFNA(VLOOKUP(SUMPRODUCT(LARGE(($C$8:$C19=Table1[[#This Row],[Climber]])*$A$8:$A19,5)),$A$8:$BD19,55,FALSE),0)+_xlfn.IFNA(VLOOKUP(SUMPRODUCT(LARGE(($C$8:$C19=Table1[[#This Row],[Climber]])*$A$8:$A19,6)),$A$8:$BD19,55,FALSE),0))/3</f>
        <v>0</v>
      </c>
      <c r="BF19" s="46">
        <f ca="1">_xlfn.MAXIFS(INDIRECT("$BC"&amp;IF(SUMPRODUCT(LARGE(($C$8:$C19=$C19)*$A$8:$A19,LEFT($BA$7,FIND(" ",$BA$7)-1)))=0,8,SUMPRODUCT(LARGE(($C$8:$C19=$C19)*$A$8:$A19,LEFT($BA$7,FIND(" ",$BA$7)-1)))+7)&amp;":$BC"&amp;ROW()),INDIRECT("$C"&amp;IF(SUMPRODUCT(LARGE(($C$8:$C19=$C19)*$A$8:$A19,LEFT($BA$7,FIND(" ",$BA$7)-1)))=0,8,SUMPRODUCT(LARGE(($C$8:$C19=$C19)*$A$8:$A19,LEFT($BA$7,FIND(" ",$BA$7)-1)))+7)&amp;":$C"&amp;ROW()),$C19)</f>
        <v>60.765010016377687</v>
      </c>
      <c r="BG19" s="46">
        <f t="array" aca="1" ref="BG19" ca="1">IFERROR(SUMPRODUCT(LARGE(($C$8:$C19=Table1[[#This Row],[Climber]])*$AW$8:$AW19,ROW(INDIRECT("1:5")))),AW19)/MIN(COUNTIFS($C$8:$C19,C19),5)</f>
        <v>66.313588753269897</v>
      </c>
      <c r="BH19" s="46"/>
    </row>
    <row r="20" spans="1:61" x14ac:dyDescent="0.3">
      <c r="A20" s="125">
        <f t="shared" si="1"/>
        <v>13</v>
      </c>
      <c r="B20" s="25">
        <f>'Rock Climbing Log'!B20</f>
        <v>43116</v>
      </c>
      <c r="C20" s="126" t="str">
        <f>'Rock Climbing Log'!C20</f>
        <v>Jan</v>
      </c>
      <c r="D20" s="26">
        <f>_xlfn.IFNA(IF(LEFT('Rock Climbing Log'!D20)="C",_xlfn.IFNA(VLOOKUP('Rock Climbing Log'!D20,'RC Lookup'!$A$3:$B$9,2,FALSE),0.5),VLOOKUP('Rock Climbing Log'!D20,'RC Lookup'!$G$3:$H$5,2,FALSE)),0)*VLOOKUP(D$7,'RC Lookup'!$D$3:$E$18,2,FALSE)</f>
        <v>10</v>
      </c>
      <c r="E20" s="26">
        <f>_xlfn.IFNA(IF(LEFT('Rock Climbing Log'!E20)="C",_xlfn.IFNA(VLOOKUP('Rock Climbing Log'!E20,'RC Lookup'!$A$3:$B$9,2,FALSE),0.5),VLOOKUP('Rock Climbing Log'!E20,'RC Lookup'!$G$3:$H$5,2,FALSE)),0)*VLOOKUP(D$7,'RC Lookup'!$D$3:$E$18,2,FALSE)</f>
        <v>0</v>
      </c>
      <c r="F20" s="26">
        <f>_xlfn.IFNA(IF(LEFT('Rock Climbing Log'!F20)="C",_xlfn.IFNA(VLOOKUP('Rock Climbing Log'!F20,'RC Lookup'!$A$3:$B$9,2,FALSE),0.5),VLOOKUP('Rock Climbing Log'!F20,'RC Lookup'!$G$3:$H$5,2,FALSE)),0)*VLOOKUP(D$7,'RC Lookup'!$D$3:$E$18,2,FALSE)</f>
        <v>0</v>
      </c>
      <c r="G20" s="26">
        <f>_xlfn.IFNA(IF(LEFT('Rock Climbing Log'!G20)="C",_xlfn.IFNA(VLOOKUP('Rock Climbing Log'!G20,'RC Lookup'!$A$3:$B$9,2,FALSE),0.5),VLOOKUP('Rock Climbing Log'!G20,'RC Lookup'!$G$3:$H$5,2,FALSE)),0)*VLOOKUP(G$7,'RC Lookup'!$D$3:$E$18,2,FALSE)</f>
        <v>12.5</v>
      </c>
      <c r="H20" s="26">
        <f>_xlfn.IFNA(IF(LEFT('Rock Climbing Log'!H20)="C",_xlfn.IFNA(VLOOKUP('Rock Climbing Log'!H20,'RC Lookup'!$A$3:$B$9,2,FALSE),0.5),VLOOKUP('Rock Climbing Log'!H20,'RC Lookup'!$G$3:$H$5,2,FALSE)),0)*VLOOKUP(G$7,'RC Lookup'!$D$3:$E$18,2,FALSE)</f>
        <v>0</v>
      </c>
      <c r="I20" s="26">
        <f>_xlfn.IFNA(IF(LEFT('Rock Climbing Log'!I20)="C",_xlfn.IFNA(VLOOKUP('Rock Climbing Log'!I20,'RC Lookup'!$A$3:$B$9,2,FALSE),0.5),VLOOKUP('Rock Climbing Log'!I20,'RC Lookup'!$G$3:$H$5,2,FALSE)),0)*VLOOKUP(G$7,'RC Lookup'!$D$3:$E$18,2,FALSE)</f>
        <v>0</v>
      </c>
      <c r="J20" s="26">
        <f>_xlfn.IFNA(IF(LEFT('Rock Climbing Log'!J20)="C",_xlfn.IFNA(VLOOKUP('Rock Climbing Log'!J20,'RC Lookup'!$A$3:$B$9,2,FALSE),0.5),VLOOKUP('Rock Climbing Log'!J20,'RC Lookup'!$G$3:$H$5,2,FALSE)),0)*VLOOKUP(J$7,'RC Lookup'!$D$3:$E$18,2,FALSE)</f>
        <v>12.7575</v>
      </c>
      <c r="K20" s="26">
        <f>_xlfn.IFNA(IF(LEFT('Rock Climbing Log'!K20)="C",_xlfn.IFNA(VLOOKUP('Rock Climbing Log'!K20,'RC Lookup'!$A$3:$B$9,2,FALSE),0.5),VLOOKUP('Rock Climbing Log'!K20,'RC Lookup'!$G$3:$H$5,2,FALSE)),0)*VLOOKUP(J$7,'RC Lookup'!$D$3:$E$18,2,FALSE)</f>
        <v>0</v>
      </c>
      <c r="L20" s="26">
        <f>_xlfn.IFNA(IF(LEFT('Rock Climbing Log'!L20)="C",_xlfn.IFNA(VLOOKUP('Rock Climbing Log'!L20,'RC Lookup'!$A$3:$B$9,2,FALSE),0.5),VLOOKUP('Rock Climbing Log'!L20,'RC Lookup'!$G$3:$H$5,2,FALSE)),0)*VLOOKUP(J$7,'RC Lookup'!$D$3:$E$18,2,FALSE)</f>
        <v>0</v>
      </c>
      <c r="M20" s="26">
        <f>_xlfn.IFNA(IF(LEFT('Rock Climbing Log'!M20)="C",_xlfn.IFNA(VLOOKUP('Rock Climbing Log'!M20,'RC Lookup'!$A$3:$B$9,2,FALSE),0.5),VLOOKUP('Rock Climbing Log'!M20,'RC Lookup'!$G$3:$H$5,2,FALSE)),0)*VLOOKUP(M$7,'RC Lookup'!$D$3:$E$18,2,FALSE)</f>
        <v>0</v>
      </c>
      <c r="N20" s="26">
        <f>_xlfn.IFNA(IF(LEFT('Rock Climbing Log'!N20)="C",_xlfn.IFNA(VLOOKUP('Rock Climbing Log'!N20,'RC Lookup'!$A$3:$B$9,2,FALSE),0.5),VLOOKUP('Rock Climbing Log'!N20,'RC Lookup'!$G$3:$H$5,2,FALSE)),0)*VLOOKUP(M$7,'RC Lookup'!$D$3:$E$18,2,FALSE)</f>
        <v>0</v>
      </c>
      <c r="O20" s="26">
        <f>_xlfn.IFNA(IF(LEFT('Rock Climbing Log'!O20)="C",_xlfn.IFNA(VLOOKUP('Rock Climbing Log'!O20,'RC Lookup'!$A$3:$B$9,2,FALSE),0.5),VLOOKUP('Rock Climbing Log'!O20,'RC Lookup'!$G$3:$H$5,2,FALSE)),0)*VLOOKUP(M$7,'RC Lookup'!$D$3:$E$18,2,FALSE)</f>
        <v>0</v>
      </c>
      <c r="P20" s="26">
        <f>_xlfn.IFNA(IF(LEFT('Rock Climbing Log'!P20)="C",_xlfn.IFNA(VLOOKUP('Rock Climbing Log'!P20,'RC Lookup'!$A$3:$B$9,2,FALSE),0.5),VLOOKUP('Rock Climbing Log'!P20,'RC Lookup'!$G$3:$H$5,2,FALSE)),0)*VLOOKUP(P$7,'RC Lookup'!$D$3:$E$18,2,FALSE)</f>
        <v>0</v>
      </c>
      <c r="Q20" s="26">
        <f>_xlfn.IFNA(IF(LEFT('Rock Climbing Log'!Q20)="C",_xlfn.IFNA(VLOOKUP('Rock Climbing Log'!Q20,'RC Lookup'!$A$3:$B$9,2,FALSE),0.5),VLOOKUP('Rock Climbing Log'!Q20,'RC Lookup'!$G$3:$H$5,2,FALSE)),0)*VLOOKUP(P$7,'RC Lookup'!$D$3:$E$18,2,FALSE)</f>
        <v>0</v>
      </c>
      <c r="R20" s="26">
        <f>_xlfn.IFNA(IF(LEFT('Rock Climbing Log'!R20)="C",_xlfn.IFNA(VLOOKUP('Rock Climbing Log'!R20,'RC Lookup'!$A$3:$B$9,2,FALSE),0.5),VLOOKUP('Rock Climbing Log'!R20,'RC Lookup'!$G$3:$H$5,2,FALSE)),0)*VLOOKUP(P$7,'RC Lookup'!$D$3:$E$18,2,FALSE)</f>
        <v>0</v>
      </c>
      <c r="S20" s="26">
        <f>_xlfn.IFNA(IF(LEFT('Rock Climbing Log'!S20)="C",_xlfn.IFNA(VLOOKUP('Rock Climbing Log'!S20,'RC Lookup'!$A$3:$B$9,2,FALSE),0.5),VLOOKUP('Rock Climbing Log'!S20,'RC Lookup'!$G$3:$H$5,2,FALSE)),0)*VLOOKUP(S$7,'RC Lookup'!$D$3:$E$18,2,FALSE)</f>
        <v>0</v>
      </c>
      <c r="T20" s="26">
        <f>_xlfn.IFNA(IF(LEFT('Rock Climbing Log'!T20)="C",_xlfn.IFNA(VLOOKUP('Rock Climbing Log'!T20,'RC Lookup'!$A$3:$B$9,2,FALSE),0.5),VLOOKUP('Rock Climbing Log'!T20,'RC Lookup'!$G$3:$H$5,2,FALSE)),0)*VLOOKUP(S$7,'RC Lookup'!$D$3:$E$18,2,FALSE)</f>
        <v>0</v>
      </c>
      <c r="U20" s="26">
        <f>_xlfn.IFNA(IF(LEFT('Rock Climbing Log'!U20)="C",_xlfn.IFNA(VLOOKUP('Rock Climbing Log'!U20,'RC Lookup'!$A$3:$B$9,2,FALSE),0.5),VLOOKUP('Rock Climbing Log'!U20,'RC Lookup'!$G$3:$H$5,2,FALSE)),0)*VLOOKUP(S$7,'RC Lookup'!$D$3:$E$18,2,FALSE)</f>
        <v>0</v>
      </c>
      <c r="V20" s="26">
        <f>_xlfn.IFNA(IF(LEFT('Rock Climbing Log'!V20)="C",_xlfn.IFNA(VLOOKUP('Rock Climbing Log'!V20,'RC Lookup'!$A$3:$B$9,2,FALSE),0.5),VLOOKUP('Rock Climbing Log'!V20,'RC Lookup'!$G$3:$H$5,2,FALSE)),0)*VLOOKUP(V$7,'RC Lookup'!$D$3:$E$18,2,FALSE)</f>
        <v>0</v>
      </c>
      <c r="W20" s="26">
        <f>_xlfn.IFNA(IF(LEFT('Rock Climbing Log'!W20)="C",_xlfn.IFNA(VLOOKUP('Rock Climbing Log'!W20,'RC Lookup'!$A$3:$B$9,2,FALSE),0.5),VLOOKUP('Rock Climbing Log'!W20,'RC Lookup'!$G$3:$H$5,2,FALSE)),0)*VLOOKUP(V$7,'RC Lookup'!$D$3:$E$18,2,FALSE)</f>
        <v>0</v>
      </c>
      <c r="X20" s="26">
        <f>_xlfn.IFNA(IF(LEFT('Rock Climbing Log'!X20)="C",_xlfn.IFNA(VLOOKUP('Rock Climbing Log'!X20,'RC Lookup'!$A$3:$B$9,2,FALSE),0.5),VLOOKUP('Rock Climbing Log'!X20,'RC Lookup'!$G$3:$H$5,2,FALSE)),0)*VLOOKUP(V$7,'RC Lookup'!$D$3:$E$18,2,FALSE)</f>
        <v>0</v>
      </c>
      <c r="Y20" s="26">
        <f>_xlfn.IFNA(IF(LEFT('Rock Climbing Log'!Y20)="C",_xlfn.IFNA(VLOOKUP('Rock Climbing Log'!Y20,'RC Lookup'!$A$3:$B$9,2,FALSE),0.5),VLOOKUP('Rock Climbing Log'!Y20,'RC Lookup'!$G$3:$H$5,2,FALSE)),0)*VLOOKUP(Y$7,'RC Lookup'!$D$3:$E$18,2,FALSE)</f>
        <v>0</v>
      </c>
      <c r="Z20" s="26">
        <f>_xlfn.IFNA(IF(LEFT('Rock Climbing Log'!Z20)="C",_xlfn.IFNA(VLOOKUP('Rock Climbing Log'!Z20,'RC Lookup'!$A$3:$B$9,2,FALSE),0.5),VLOOKUP('Rock Climbing Log'!Z20,'RC Lookup'!$G$3:$H$5,2,FALSE)),0)*VLOOKUP(Y$7,'RC Lookup'!$D$3:$E$18,2,FALSE)</f>
        <v>0</v>
      </c>
      <c r="AA20" s="26">
        <f>_xlfn.IFNA(IF(LEFT('Rock Climbing Log'!AA20)="C",_xlfn.IFNA(VLOOKUP('Rock Climbing Log'!AA20,'RC Lookup'!$A$3:$B$9,2,FALSE),0.5),VLOOKUP('Rock Climbing Log'!AA20,'RC Lookup'!$G$3:$H$5,2,FALSE)),0)*VLOOKUP(Y$7,'RC Lookup'!$D$3:$E$18,2,FALSE)</f>
        <v>0</v>
      </c>
      <c r="AB20" s="26">
        <f>_xlfn.IFNA(IF(LEFT('Rock Climbing Log'!AB20)="C",_xlfn.IFNA(VLOOKUP('Rock Climbing Log'!AB20,'RC Lookup'!$A$3:$B$9,2,FALSE),0.5),VLOOKUP('Rock Climbing Log'!AB20,'RC Lookup'!$G$3:$H$5,2,FALSE)),0)*VLOOKUP(AB$7,'RC Lookup'!$D$3:$E$18,2,FALSE)</f>
        <v>0</v>
      </c>
      <c r="AC20" s="26">
        <f>_xlfn.IFNA(IF(LEFT('Rock Climbing Log'!AC20)="C",_xlfn.IFNA(VLOOKUP('Rock Climbing Log'!AC20,'RC Lookup'!$A$3:$B$9,2,FALSE),0.5),VLOOKUP('Rock Climbing Log'!AC20,'RC Lookup'!$G$3:$H$5,2,FALSE)),0)*VLOOKUP(AB$7,'RC Lookup'!$D$3:$E$18,2,FALSE)</f>
        <v>0</v>
      </c>
      <c r="AD20" s="26">
        <f>_xlfn.IFNA(IF(LEFT('Rock Climbing Log'!AD20)="C",_xlfn.IFNA(VLOOKUP('Rock Climbing Log'!AD20,'RC Lookup'!$A$3:$B$9,2,FALSE),0.5),VLOOKUP('Rock Climbing Log'!AD20,'RC Lookup'!$G$3:$H$5,2,FALSE)),0)*VLOOKUP(AB$7,'RC Lookup'!$D$3:$E$18,2,FALSE)</f>
        <v>0</v>
      </c>
      <c r="AE20" s="26">
        <f>_xlfn.IFNA(IF(LEFT('Rock Climbing Log'!AE20)="C",_xlfn.IFNA(VLOOKUP('Rock Climbing Log'!AE20,'RC Lookup'!$A$3:$B$9,2,FALSE),0.5),VLOOKUP('Rock Climbing Log'!AE20,'RC Lookup'!$G$3:$H$5,2,FALSE)),0)*VLOOKUP(AE$7,'RC Lookup'!$D$3:$E$18,2,FALSE)</f>
        <v>0</v>
      </c>
      <c r="AF20" s="26">
        <f>_xlfn.IFNA(IF(LEFT('Rock Climbing Log'!AF20)="C",_xlfn.IFNA(VLOOKUP('Rock Climbing Log'!AF20,'RC Lookup'!$A$3:$B$9,2,FALSE),0.5),VLOOKUP('Rock Climbing Log'!AF20,'RC Lookup'!$G$3:$H$5,2,FALSE)),0)*VLOOKUP(AE$7,'RC Lookup'!$D$3:$E$18,2,FALSE)</f>
        <v>0</v>
      </c>
      <c r="AG20" s="26">
        <f>_xlfn.IFNA(IF(LEFT('Rock Climbing Log'!AG20)="C",_xlfn.IFNA(VLOOKUP('Rock Climbing Log'!AG20,'RC Lookup'!$A$3:$B$9,2,FALSE),0.5),VLOOKUP('Rock Climbing Log'!AG20,'RC Lookup'!$G$3:$H$5,2,FALSE)),0)*VLOOKUP(AE$7,'RC Lookup'!$D$3:$E$18,2,FALSE)</f>
        <v>0</v>
      </c>
      <c r="AH20" s="26">
        <f>_xlfn.IFNA(IF(LEFT('Rock Climbing Log'!AH20)="C",_xlfn.IFNA(VLOOKUP('Rock Climbing Log'!AH20,'RC Lookup'!$A$3:$B$9,2,FALSE),0.5),VLOOKUP('Rock Climbing Log'!AH20,'RC Lookup'!$G$3:$H$5,2,FALSE)),0)*VLOOKUP(AH$7,'RC Lookup'!$D$3:$E$18,2,FALSE)</f>
        <v>0</v>
      </c>
      <c r="AI20" s="26">
        <f>_xlfn.IFNA(IF(LEFT('Rock Climbing Log'!AI20)="C",_xlfn.IFNA(VLOOKUP('Rock Climbing Log'!AI20,'RC Lookup'!$A$3:$B$9,2,FALSE),0.5),VLOOKUP('Rock Climbing Log'!AI20,'RC Lookup'!$G$3:$H$5,2,FALSE)),0)*VLOOKUP(AH$7,'RC Lookup'!$D$3:$E$18,2,FALSE)</f>
        <v>0</v>
      </c>
      <c r="AJ20" s="26">
        <f>_xlfn.IFNA(IF(LEFT('Rock Climbing Log'!AJ20)="C",_xlfn.IFNA(VLOOKUP('Rock Climbing Log'!AJ20,'RC Lookup'!$A$3:$B$9,2,FALSE),0.5),VLOOKUP('Rock Climbing Log'!AJ20,'RC Lookup'!$G$3:$H$5,2,FALSE)),0)*VLOOKUP(AH$7,'RC Lookup'!$D$3:$E$18,2,FALSE)</f>
        <v>0</v>
      </c>
      <c r="AK20" s="26">
        <f>_xlfn.IFNA(IF(LEFT('Rock Climbing Log'!AK20)="C",_xlfn.IFNA(VLOOKUP('Rock Climbing Log'!AK20,'RC Lookup'!$A$3:$B$9,2,FALSE),0.5),VLOOKUP('Rock Climbing Log'!AK20,'RC Lookup'!$G$3:$H$5,2,FALSE)),0)*VLOOKUP(AK$7,'RC Lookup'!$D$3:$E$18,2,FALSE)</f>
        <v>0</v>
      </c>
      <c r="AL20" s="26">
        <f>_xlfn.IFNA(IF(LEFT('Rock Climbing Log'!AL20)="C",_xlfn.IFNA(VLOOKUP('Rock Climbing Log'!AL20,'RC Lookup'!$A$3:$B$9,2,FALSE),0.5),VLOOKUP('Rock Climbing Log'!AL20,'RC Lookup'!$G$3:$H$5,2,FALSE)),0)*VLOOKUP(AK$7,'RC Lookup'!$D$3:$E$18,2,FALSE)</f>
        <v>0</v>
      </c>
      <c r="AM20" s="26">
        <f>_xlfn.IFNA(IF(LEFT('Rock Climbing Log'!AM20)="C",_xlfn.IFNA(VLOOKUP('Rock Climbing Log'!AM20,'RC Lookup'!$A$3:$B$9,2,FALSE),0.5),VLOOKUP('Rock Climbing Log'!AM20,'RC Lookup'!$G$3:$H$5,2,FALSE)),0)*VLOOKUP(AK$7,'RC Lookup'!$D$3:$E$18,2,FALSE)</f>
        <v>0</v>
      </c>
      <c r="AN20" s="26">
        <f>_xlfn.IFNA(IF(LEFT('Rock Climbing Log'!AN20)="C",_xlfn.IFNA(VLOOKUP('Rock Climbing Log'!AN20,'RC Lookup'!$A$3:$B$9,2,FALSE),0.5),VLOOKUP('Rock Climbing Log'!AN20,'RC Lookup'!$G$3:$H$5,2,FALSE)),0)*VLOOKUP(AN$7,'RC Lookup'!$D$3:$E$18,2,FALSE)</f>
        <v>0</v>
      </c>
      <c r="AO20" s="26">
        <f>_xlfn.IFNA(IF(LEFT('Rock Climbing Log'!AO20)="C",_xlfn.IFNA(VLOOKUP('Rock Climbing Log'!AO20,'RC Lookup'!$A$3:$B$9,2,FALSE),0.5),VLOOKUP('Rock Climbing Log'!AO20,'RC Lookup'!$G$3:$H$5,2,FALSE)),0)*VLOOKUP(AN$7,'RC Lookup'!$D$3:$E$18,2,FALSE)</f>
        <v>0</v>
      </c>
      <c r="AP20" s="26">
        <f>_xlfn.IFNA(IF(LEFT('Rock Climbing Log'!AP20)="C",_xlfn.IFNA(VLOOKUP('Rock Climbing Log'!AP20,'RC Lookup'!$A$3:$B$9,2,FALSE),0.5),VLOOKUP('Rock Climbing Log'!AP20,'RC Lookup'!$G$3:$H$5,2,FALSE)),0)*VLOOKUP(AN$7,'RC Lookup'!$D$3:$E$18,2,FALSE)</f>
        <v>0</v>
      </c>
      <c r="AQ20" s="26">
        <f>_xlfn.IFNA(IF(LEFT('Rock Climbing Log'!AQ20)="C",_xlfn.IFNA(VLOOKUP('Rock Climbing Log'!AQ20,'RC Lookup'!$A$3:$B$9,2,FALSE),0.5),VLOOKUP('Rock Climbing Log'!AQ20,'RC Lookup'!$G$3:$H$5,2,FALSE)),0)*VLOOKUP(AQ$7,'RC Lookup'!$D$3:$E$18,2,FALSE)</f>
        <v>0</v>
      </c>
      <c r="AR20" s="26">
        <f>_xlfn.IFNA(IF(LEFT('Rock Climbing Log'!AR20)="C",_xlfn.IFNA(VLOOKUP('Rock Climbing Log'!AR20,'RC Lookup'!$A$3:$B$9,2,FALSE),0.5),VLOOKUP('Rock Climbing Log'!AR20,'RC Lookup'!$G$3:$H$5,2,FALSE)),0)*VLOOKUP(AQ$7,'RC Lookup'!$D$3:$E$18,2,FALSE)</f>
        <v>0</v>
      </c>
      <c r="AS20" s="26">
        <f>_xlfn.IFNA(IF(LEFT('Rock Climbing Log'!AS20)="C",_xlfn.IFNA(VLOOKUP('Rock Climbing Log'!AS20,'RC Lookup'!$A$3:$B$9,2,FALSE),0.5),VLOOKUP('Rock Climbing Log'!AS20,'RC Lookup'!$G$3:$H$5,2,FALSE)),0)*VLOOKUP(AQ$7,'RC Lookup'!$D$3:$E$18,2,FALSE)</f>
        <v>0</v>
      </c>
      <c r="AT20" s="26">
        <f>_xlfn.IFNA(IF(LEFT('Rock Climbing Log'!AT20)="C",_xlfn.IFNA(VLOOKUP('Rock Climbing Log'!AT20,'RC Lookup'!$A$3:$B$9,2,FALSE),0.5),VLOOKUP('Rock Climbing Log'!AT20,'RC Lookup'!$G$3:$H$5,2,FALSE)),0)*VLOOKUP(AT$7,'RC Lookup'!$D$3:$E$18,2,FALSE)</f>
        <v>0</v>
      </c>
      <c r="AU20" s="26">
        <f>_xlfn.IFNA(IF(LEFT('Rock Climbing Log'!AU20)="C",_xlfn.IFNA(VLOOKUP('Rock Climbing Log'!AU20,'RC Lookup'!$A$3:$B$9,2,FALSE),0.5),VLOOKUP('Rock Climbing Log'!AU20,'RC Lookup'!$G$3:$H$5,2,FALSE)),0)*VLOOKUP(AT$7,'RC Lookup'!$D$3:$E$18,2,FALSE)</f>
        <v>0</v>
      </c>
      <c r="AV20" s="26">
        <f>_xlfn.IFNA(IF(LEFT('Rock Climbing Log'!AV20)="C",_xlfn.IFNA(VLOOKUP('Rock Climbing Log'!AV20,'RC Lookup'!$A$3:$B$9,2,FALSE),0.5),VLOOKUP('Rock Climbing Log'!AV20,'RC Lookup'!$G$3:$H$5,2,FALSE)),0)*VLOOKUP(AT$7,'RC Lookup'!$D$3:$E$18,2,FALSE)</f>
        <v>0</v>
      </c>
      <c r="AW20" s="30">
        <f t="shared" ca="1" si="0"/>
        <v>35.2575</v>
      </c>
      <c r="AX20" s="30">
        <f ca="1">_xlfn.IFNA(VLOOKUP(SUMPRODUCT(LARGE(($C$8:$C20=Table1[[#This Row],[Climber]])*$A$8:$A20,1)),$A$8:$AW20,MATCH($AW$7,$A$7:$AW$7,FALSE),FALSE),0)/LEFT($AX$7,FIND(" ",$AX$7))+_xlfn.IFNA(VLOOKUP(SUMPRODUCT(LARGE(($C$8:$C20=Table1[[#This Row],[Climber]])*$A$8:$A20,MIN(2,COUNTIFS($C$8:$C20,$C20)))),$A$8:$AW20,MATCH($AW$7,$A$7:$AW$7,FALSE),FALSE),0)/LEFT($AX$7,FIND(" ",$AX$7))+_xlfn.IFNA(VLOOKUP(SUMPRODUCT(LARGE(($C$8:$C20=Table1[[#This Row],[Climber]])*$A$8:$A20,MIN(3,COUNTIFS($C$8:$C20,$C20)))),$A$8:$AW20,MATCH($AW$7,$A$7:$AW$7,FALSE),FALSE),0)/LEFT($AX$7,FIND(" ",$AX$7))</f>
        <v>36.992315957066666</v>
      </c>
      <c r="AY20" s="30">
        <f ca="1">_xlfn.IFNA(VLOOKUP(SUMPRODUCT(LARGE(($C$8:$C20=Table1[[#This Row],[Climber]])*$A$8:$A20,1)),$A$8:$AW20,MATCH($AW$7,$A$7:$AW$7,FALSE),FALSE),0)/LEFT($AY$7,FIND(" ",$AY$7))+_xlfn.IFNA(VLOOKUP(SUMPRODUCT(LARGE(($C$8:$C20=Table1[[#This Row],[Climber]])*$A$8:$A20,MIN(2,COUNTIFS($C$8:$C20,$C20)))),$A$8:$AW20,MATCH($AW$7,$A$7:$AW$7,FALSE),FALSE),0)/LEFT($AY$7,FIND(" ",$AY$7))+_xlfn.IFNA(VLOOKUP(SUMPRODUCT(LARGE(($C$8:$C20=Table1[[#This Row],[Climber]])*$A$8:$A20,MIN(3,COUNTIFS($C$8:$C20,$C20)))),$A$8:$AW20,MATCH($AW$7,$A$7:$AW$7,FALSE),FALSE),0)/LEFT($AY$7,FIND(" ",$AY$7))+_xlfn.IFNA(VLOOKUP(SUMPRODUCT(LARGE(($C$8:$C20=Table1[[#This Row],[Climber]])*$A$8:$A20,MIN(4,COUNTIFS($C$8:$C20,$C20)))),$A$8:$AW20,MATCH($AW$7,$A$7:$AW$7,FALSE),FALSE),0)/LEFT($AY$7,FIND(" ",$AY$7))+_xlfn.IFNA(VLOOKUP(SUMPRODUCT(LARGE(($C$8:$C20=Table1[[#This Row],[Climber]])*$A$8:$A20,MIN(5,COUNTIFS($C$8:$C20,$C20)))),$A$8:$AW20,MATCH($AW$7,$A$7:$AW$7,FALSE),FALSE),0)/LEFT($AY$7,FIND(" ",$AY$7))</f>
        <v>36.298389574240005</v>
      </c>
      <c r="AZ20" s="30">
        <f>(_xlfn.IFNA(VLOOKUP(SUMPRODUCT(LARGE(($C$8:$C20=Table1[[#This Row],[Climber]])*$A$8:$A20,4)),$A$8:$AW20,MATCH($AW$7,$A$7:$AW$7,FALSE),FALSE),0)+_xlfn.IFNA(VLOOKUP(SUMPRODUCT(LARGE(($C$8:$C20=Table1[[#This Row],[Climber]])*$A$8:$A20,5)),$A$8:$AW20,MATCH($AW$7,$A$7:$AW$7,FALSE),FALSE),0)+_xlfn.IFNA(VLOOKUP(SUMPRODUCT(LARGE(($C$8:$C20=Table1[[#This Row],[Climber]])*$A$8:$A20,6)),$A$8:$AW20,MATCH($AW$7,$A$7:$AW$7,FALSE),FALSE),0))/3</f>
        <v>0</v>
      </c>
      <c r="BA20" s="6">
        <f ca="1">_xlfn.MAXIFS(INDIRECT("$AW"&amp;IF(SUMPRODUCT(LARGE(($C$8:$C20=$C20)*$A$8:$A20,LEFT($BA$7,FIND(" ",$BA$7)-1)))=0,8,SUMPRODUCT(LARGE(($C$8:$C20=$C20)*$A$8:$A20,LEFT($BA$7,FIND(" ",$BA$7)-1)))+7)&amp;":$AW"&amp;ROW()),INDIRECT("$C"&amp;IF(SUMPRODUCT(LARGE(($C$8:$C20=$C20)*$A$8:$A20,LEFT($BA$7,FIND(" ",$BA$7)-1)))=0,8,SUMPRODUCT(LARGE(($C$8:$C20=$C20)*$A$8:$A20,LEFT($BA$7,FIND(" ",$BA$7)-1)))+7)&amp;":$C"&amp;ROW()),$C20)</f>
        <v>40.46194787120001</v>
      </c>
      <c r="BB20" s="6" t="str">
        <f ca="1">VLOOKUP(MAX(BG20,$AX20),'RC Lookup'!$G$14:$J$20,2,TRUE)</f>
        <v>T1</v>
      </c>
      <c r="BC20" s="6">
        <f ca="1">_xlfn.IFNA(VLOOKUP(VLOOKUP($C20,'RC Lookup'!$O$3:$P$50,2,FALSE),'RC Lookup'!$H$14:$J$23,2,FALSE),0)*AW20</f>
        <v>27.056855878915592</v>
      </c>
      <c r="BD20" s="6">
        <f ca="1">_xlfn.IFNA(VLOOKUP(SUMPRODUCT(LARGE(($C$8:$C20=Table1[[#This Row],[Climber]])*$A$8:$A20,1)),$A$8:$BC20,55,FALSE),0)/LEFT($AX$7,FIND(" ",$AX$7))+_xlfn.IFNA(VLOOKUP(SUMPRODUCT(LARGE(($C$8:$C20=Table1[[#This Row],[Climber]])*$A$8:$A20,MIN(2,COUNTIFS($C$8:$C20,$C20)))),$A$8:$BC20,55,FALSE),0)/LEFT($AX$7,FIND(" ",$AX$7))+_xlfn.IFNA(VLOOKUP(SUMPRODUCT(LARGE(($C$8:$C20=Table1[[#This Row],[Climber]])*$A$8:$A20,MIN(3,COUNTIFS($C$8:$C20,$C20)))),$A$8:$BC20,55,FALSE),0)/LEFT($AX$7,FIND(" ",$AX$7))</f>
        <v>28.388165964054807</v>
      </c>
      <c r="BE20" s="6">
        <f>(_xlfn.IFNA(VLOOKUP(SUMPRODUCT(LARGE(($C$8:$C20=Table1[[#This Row],[Climber]])*$A$8:$A20,4)),$A$8:$BD20,55,FALSE),0)+_xlfn.IFNA(VLOOKUP(SUMPRODUCT(LARGE(($C$8:$C20=Table1[[#This Row],[Climber]])*$A$8:$A20,5)),$A$8:$BD20,55,FALSE),0)+_xlfn.IFNA(VLOOKUP(SUMPRODUCT(LARGE(($C$8:$C20=Table1[[#This Row],[Climber]])*$A$8:$A20,6)),$A$8:$BD20,55,FALSE),0))/3</f>
        <v>0</v>
      </c>
      <c r="BF20" s="46">
        <f ca="1">_xlfn.MAXIFS(INDIRECT("$BC"&amp;IF(SUMPRODUCT(LARGE(($C$8:$C20=$C20)*$A$8:$A20,LEFT($BA$7,FIND(" ",$BA$7)-1)))=0,8,SUMPRODUCT(LARGE(($C$8:$C20=$C20)*$A$8:$A20,LEFT($BA$7,FIND(" ",$BA$7)-1)))+7)&amp;":$BC"&amp;ROW()),INDIRECT("$C"&amp;IF(SUMPRODUCT(LARGE(($C$8:$C20=$C20)*$A$8:$A20,LEFT($BA$7,FIND(" ",$BA$7)-1)))=0,8,SUMPRODUCT(LARGE(($C$8:$C20=$C20)*$A$8:$A20,LEFT($BA$7,FIND(" ",$BA$7)-1)))+7)&amp;":$C"&amp;ROW()),$C20)</f>
        <v>31.050786134333237</v>
      </c>
      <c r="BG20" s="46">
        <f t="array" aca="1" ref="BG20" ca="1">IFERROR(SUMPRODUCT(LARGE(($C$8:$C20=Table1[[#This Row],[Climber]])*$AW$8:$AW20,ROW(INDIRECT("1:5")))),AW20)/MIN(COUNTIFS($C$8:$C20,C20),5)</f>
        <v>36.992315957066666</v>
      </c>
      <c r="BH20" s="46"/>
    </row>
    <row r="21" spans="1:61" x14ac:dyDescent="0.3">
      <c r="A21" s="125">
        <f t="shared" si="1"/>
        <v>14</v>
      </c>
      <c r="B21" s="25">
        <f>'Rock Climbing Log'!B21</f>
        <v>43117</v>
      </c>
      <c r="C21" s="126" t="str">
        <f>'Rock Climbing Log'!C21</f>
        <v>Lester</v>
      </c>
      <c r="D21" s="26">
        <f>_xlfn.IFNA(IF(LEFT('Rock Climbing Log'!D21)="C",_xlfn.IFNA(VLOOKUP('Rock Climbing Log'!D21,'RC Lookup'!$A$3:$B$9,2,FALSE),0.5),VLOOKUP('Rock Climbing Log'!D21,'RC Lookup'!$G$3:$H$5,2,FALSE)),0)*VLOOKUP(D$7,'RC Lookup'!$D$3:$E$18,2,FALSE)</f>
        <v>0</v>
      </c>
      <c r="E21" s="26">
        <f>_xlfn.IFNA(IF(LEFT('Rock Climbing Log'!E21)="C",_xlfn.IFNA(VLOOKUP('Rock Climbing Log'!E21,'RC Lookup'!$A$3:$B$9,2,FALSE),0.5),VLOOKUP('Rock Climbing Log'!E21,'RC Lookup'!$G$3:$H$5,2,FALSE)),0)*VLOOKUP(D$7,'RC Lookup'!$D$3:$E$18,2,FALSE)</f>
        <v>0</v>
      </c>
      <c r="F21" s="26">
        <f>_xlfn.IFNA(IF(LEFT('Rock Climbing Log'!F21)="C",_xlfn.IFNA(VLOOKUP('Rock Climbing Log'!F21,'RC Lookup'!$A$3:$B$9,2,FALSE),0.5),VLOOKUP('Rock Climbing Log'!F21,'RC Lookup'!$G$3:$H$5,2,FALSE)),0)*VLOOKUP(D$7,'RC Lookup'!$D$3:$E$18,2,FALSE)</f>
        <v>0</v>
      </c>
      <c r="G21" s="26">
        <f>_xlfn.IFNA(IF(LEFT('Rock Climbing Log'!G21)="C",_xlfn.IFNA(VLOOKUP('Rock Climbing Log'!G21,'RC Lookup'!$A$3:$B$9,2,FALSE),0.5),VLOOKUP('Rock Climbing Log'!G21,'RC Lookup'!$G$3:$H$5,2,FALSE)),0)*VLOOKUP(G$7,'RC Lookup'!$D$3:$E$18,2,FALSE)</f>
        <v>12.5</v>
      </c>
      <c r="H21" s="26">
        <f>_xlfn.IFNA(IF(LEFT('Rock Climbing Log'!H21)="C",_xlfn.IFNA(VLOOKUP('Rock Climbing Log'!H21,'RC Lookup'!$A$3:$B$9,2,FALSE),0.5),VLOOKUP('Rock Climbing Log'!H21,'RC Lookup'!$G$3:$H$5,2,FALSE)),0)*VLOOKUP(G$7,'RC Lookup'!$D$3:$E$18,2,FALSE)</f>
        <v>0</v>
      </c>
      <c r="I21" s="26">
        <f>_xlfn.IFNA(IF(LEFT('Rock Climbing Log'!I21)="C",_xlfn.IFNA(VLOOKUP('Rock Climbing Log'!I21,'RC Lookup'!$A$3:$B$9,2,FALSE),0.5),VLOOKUP('Rock Climbing Log'!I21,'RC Lookup'!$G$3:$H$5,2,FALSE)),0)*VLOOKUP(G$7,'RC Lookup'!$D$3:$E$18,2,FALSE)</f>
        <v>0</v>
      </c>
      <c r="J21" s="26">
        <f>_xlfn.IFNA(IF(LEFT('Rock Climbing Log'!J21)="C",_xlfn.IFNA(VLOOKUP('Rock Climbing Log'!J21,'RC Lookup'!$A$3:$B$9,2,FALSE),0.5),VLOOKUP('Rock Climbing Log'!J21,'RC Lookup'!$G$3:$H$5,2,FALSE)),0)*VLOOKUP(J$7,'RC Lookup'!$D$3:$E$18,2,FALSE)</f>
        <v>15.75</v>
      </c>
      <c r="K21" s="26">
        <f>_xlfn.IFNA(IF(LEFT('Rock Climbing Log'!K21)="C",_xlfn.IFNA(VLOOKUP('Rock Climbing Log'!K21,'RC Lookup'!$A$3:$B$9,2,FALSE),0.5),VLOOKUP('Rock Climbing Log'!K21,'RC Lookup'!$G$3:$H$5,2,FALSE)),0)*VLOOKUP(J$7,'RC Lookup'!$D$3:$E$18,2,FALSE)</f>
        <v>0</v>
      </c>
      <c r="L21" s="26">
        <f>_xlfn.IFNA(IF(LEFT('Rock Climbing Log'!L21)="C",_xlfn.IFNA(VLOOKUP('Rock Climbing Log'!L21,'RC Lookup'!$A$3:$B$9,2,FALSE),0.5),VLOOKUP('Rock Climbing Log'!L21,'RC Lookup'!$G$3:$H$5,2,FALSE)),0)*VLOOKUP(J$7,'RC Lookup'!$D$3:$E$18,2,FALSE)</f>
        <v>0</v>
      </c>
      <c r="M21" s="26">
        <f>_xlfn.IFNA(IF(LEFT('Rock Climbing Log'!M21)="C",_xlfn.IFNA(VLOOKUP('Rock Climbing Log'!M21,'RC Lookup'!$A$3:$B$9,2,FALSE),0.5),VLOOKUP('Rock Climbing Log'!M21,'RC Lookup'!$G$3:$H$5,2,FALSE)),0)*VLOOKUP(M$7,'RC Lookup'!$D$3:$E$18,2,FALSE)</f>
        <v>20.002500000000001</v>
      </c>
      <c r="N21" s="26">
        <f>_xlfn.IFNA(IF(LEFT('Rock Climbing Log'!N21)="C",_xlfn.IFNA(VLOOKUP('Rock Climbing Log'!N21,'RC Lookup'!$A$3:$B$9,2,FALSE),0.5),VLOOKUP('Rock Climbing Log'!N21,'RC Lookup'!$G$3:$H$5,2,FALSE)),0)*VLOOKUP(M$7,'RC Lookup'!$D$3:$E$18,2,FALSE)</f>
        <v>0</v>
      </c>
      <c r="O21" s="26">
        <f>_xlfn.IFNA(IF(LEFT('Rock Climbing Log'!O21)="C",_xlfn.IFNA(VLOOKUP('Rock Climbing Log'!O21,'RC Lookup'!$A$3:$B$9,2,FALSE),0.5),VLOOKUP('Rock Climbing Log'!O21,'RC Lookup'!$G$3:$H$5,2,FALSE)),0)*VLOOKUP(M$7,'RC Lookup'!$D$3:$E$18,2,FALSE)</f>
        <v>0</v>
      </c>
      <c r="P21" s="26">
        <f>_xlfn.IFNA(IF(LEFT('Rock Climbing Log'!P21)="C",_xlfn.IFNA(VLOOKUP('Rock Climbing Log'!P21,'RC Lookup'!$A$3:$B$9,2,FALSE),0.5),VLOOKUP('Rock Climbing Log'!P21,'RC Lookup'!$G$3:$H$5,2,FALSE)),0)*VLOOKUP(P$7,'RC Lookup'!$D$3:$E$18,2,FALSE)</f>
        <v>0</v>
      </c>
      <c r="Q21" s="26">
        <f>_xlfn.IFNA(IF(LEFT('Rock Climbing Log'!Q21)="C",_xlfn.IFNA(VLOOKUP('Rock Climbing Log'!Q21,'RC Lookup'!$A$3:$B$9,2,FALSE),0.5),VLOOKUP('Rock Climbing Log'!Q21,'RC Lookup'!$G$3:$H$5,2,FALSE)),0)*VLOOKUP(P$7,'RC Lookup'!$D$3:$E$18,2,FALSE)</f>
        <v>0</v>
      </c>
      <c r="R21" s="26">
        <f>_xlfn.IFNA(IF(LEFT('Rock Climbing Log'!R21)="C",_xlfn.IFNA(VLOOKUP('Rock Climbing Log'!R21,'RC Lookup'!$A$3:$B$9,2,FALSE),0.5),VLOOKUP('Rock Climbing Log'!R21,'RC Lookup'!$G$3:$H$5,2,FALSE)),0)*VLOOKUP(P$7,'RC Lookup'!$D$3:$E$18,2,FALSE)</f>
        <v>0</v>
      </c>
      <c r="S21" s="26">
        <f>_xlfn.IFNA(IF(LEFT('Rock Climbing Log'!S21)="C",_xlfn.IFNA(VLOOKUP('Rock Climbing Log'!S21,'RC Lookup'!$A$3:$B$9,2,FALSE),0.5),VLOOKUP('Rock Climbing Log'!S21,'RC Lookup'!$G$3:$H$5,2,FALSE)),0)*VLOOKUP(S$7,'RC Lookup'!$D$3:$E$18,2,FALSE)</f>
        <v>0</v>
      </c>
      <c r="T21" s="26">
        <f>_xlfn.IFNA(IF(LEFT('Rock Climbing Log'!T21)="C",_xlfn.IFNA(VLOOKUP('Rock Climbing Log'!T21,'RC Lookup'!$A$3:$B$9,2,FALSE),0.5),VLOOKUP('Rock Climbing Log'!T21,'RC Lookup'!$G$3:$H$5,2,FALSE)),0)*VLOOKUP(S$7,'RC Lookup'!$D$3:$E$18,2,FALSE)</f>
        <v>0</v>
      </c>
      <c r="U21" s="26">
        <f>_xlfn.IFNA(IF(LEFT('Rock Climbing Log'!U21)="C",_xlfn.IFNA(VLOOKUP('Rock Climbing Log'!U21,'RC Lookup'!$A$3:$B$9,2,FALSE),0.5),VLOOKUP('Rock Climbing Log'!U21,'RC Lookup'!$G$3:$H$5,2,FALSE)),0)*VLOOKUP(S$7,'RC Lookup'!$D$3:$E$18,2,FALSE)</f>
        <v>0</v>
      </c>
      <c r="V21" s="26">
        <f>_xlfn.IFNA(IF(LEFT('Rock Climbing Log'!V21)="C",_xlfn.IFNA(VLOOKUP('Rock Climbing Log'!V21,'RC Lookup'!$A$3:$B$9,2,FALSE),0.5),VLOOKUP('Rock Climbing Log'!V21,'RC Lookup'!$G$3:$H$5,2,FALSE)),0)*VLOOKUP(V$7,'RC Lookup'!$D$3:$E$18,2,FALSE)</f>
        <v>35.256745742400021</v>
      </c>
      <c r="W21" s="26">
        <f>_xlfn.IFNA(IF(LEFT('Rock Climbing Log'!W21)="C",_xlfn.IFNA(VLOOKUP('Rock Climbing Log'!W21,'RC Lookup'!$A$3:$B$9,2,FALSE),0.5),VLOOKUP('Rock Climbing Log'!W21,'RC Lookup'!$G$3:$H$5,2,FALSE)),0)*VLOOKUP(V$7,'RC Lookup'!$D$3:$E$18,2,FALSE)</f>
        <v>0</v>
      </c>
      <c r="X21" s="26">
        <f>_xlfn.IFNA(IF(LEFT('Rock Climbing Log'!X21)="C",_xlfn.IFNA(VLOOKUP('Rock Climbing Log'!X21,'RC Lookup'!$A$3:$B$9,2,FALSE),0.5),VLOOKUP('Rock Climbing Log'!X21,'RC Lookup'!$G$3:$H$5,2,FALSE)),0)*VLOOKUP(V$7,'RC Lookup'!$D$3:$E$18,2,FALSE)</f>
        <v>0</v>
      </c>
      <c r="Y21" s="26">
        <f>_xlfn.IFNA(IF(LEFT('Rock Climbing Log'!Y21)="C",_xlfn.IFNA(VLOOKUP('Rock Climbing Log'!Y21,'RC Lookup'!$A$3:$B$9,2,FALSE),0.5),VLOOKUP('Rock Climbing Log'!Y21,'RC Lookup'!$G$3:$H$5,2,FALSE)),0)*VLOOKUP(Y$7,'RC Lookup'!$D$3:$E$18,2,FALSE)</f>
        <v>0</v>
      </c>
      <c r="Z21" s="26">
        <f>_xlfn.IFNA(IF(LEFT('Rock Climbing Log'!Z21)="C",_xlfn.IFNA(VLOOKUP('Rock Climbing Log'!Z21,'RC Lookup'!$A$3:$B$9,2,FALSE),0.5),VLOOKUP('Rock Climbing Log'!Z21,'RC Lookup'!$G$3:$H$5,2,FALSE)),0)*VLOOKUP(Y$7,'RC Lookup'!$D$3:$E$18,2,FALSE)</f>
        <v>0</v>
      </c>
      <c r="AA21" s="26">
        <f>_xlfn.IFNA(IF(LEFT('Rock Climbing Log'!AA21)="C",_xlfn.IFNA(VLOOKUP('Rock Climbing Log'!AA21,'RC Lookup'!$A$3:$B$9,2,FALSE),0.5),VLOOKUP('Rock Climbing Log'!AA21,'RC Lookup'!$G$3:$H$5,2,FALSE)),0)*VLOOKUP(Y$7,'RC Lookup'!$D$3:$E$18,2,FALSE)</f>
        <v>0</v>
      </c>
      <c r="AB21" s="26">
        <f>_xlfn.IFNA(IF(LEFT('Rock Climbing Log'!AB21)="C",_xlfn.IFNA(VLOOKUP('Rock Climbing Log'!AB21,'RC Lookup'!$A$3:$B$9,2,FALSE),0.5),VLOOKUP('Rock Climbing Log'!AB21,'RC Lookup'!$G$3:$H$5,2,FALSE)),0)*VLOOKUP(AB$7,'RC Lookup'!$D$3:$E$18,2,FALSE)</f>
        <v>54.034770578768224</v>
      </c>
      <c r="AC21" s="26">
        <f>_xlfn.IFNA(IF(LEFT('Rock Climbing Log'!AC21)="C",_xlfn.IFNA(VLOOKUP('Rock Climbing Log'!AC21,'RC Lookup'!$A$3:$B$9,2,FALSE),0.5),VLOOKUP('Rock Climbing Log'!AC21,'RC Lookup'!$G$3:$H$5,2,FALSE)),0)*VLOOKUP(AB$7,'RC Lookup'!$D$3:$E$18,2,FALSE)</f>
        <v>0</v>
      </c>
      <c r="AD21" s="26">
        <f>_xlfn.IFNA(IF(LEFT('Rock Climbing Log'!AD21)="C",_xlfn.IFNA(VLOOKUP('Rock Climbing Log'!AD21,'RC Lookup'!$A$3:$B$9,2,FALSE),0.5),VLOOKUP('Rock Climbing Log'!AD21,'RC Lookup'!$G$3:$H$5,2,FALSE)),0)*VLOOKUP(AB$7,'RC Lookup'!$D$3:$E$18,2,FALSE)</f>
        <v>0</v>
      </c>
      <c r="AE21" s="26">
        <f>_xlfn.IFNA(IF(LEFT('Rock Climbing Log'!AE21)="C",_xlfn.IFNA(VLOOKUP('Rock Climbing Log'!AE21,'RC Lookup'!$A$3:$B$9,2,FALSE),0.5),VLOOKUP('Rock Climbing Log'!AE21,'RC Lookup'!$G$3:$H$5,2,FALSE)),0)*VLOOKUP(AE$7,'RC Lookup'!$D$3:$E$18,2,FALSE)</f>
        <v>67.867671846932893</v>
      </c>
      <c r="AF21" s="26">
        <f>_xlfn.IFNA(IF(LEFT('Rock Climbing Log'!AF21)="C",_xlfn.IFNA(VLOOKUP('Rock Climbing Log'!AF21,'RC Lookup'!$A$3:$B$9,2,FALSE),0.5),VLOOKUP('Rock Climbing Log'!AF21,'RC Lookup'!$G$3:$H$5,2,FALSE)),0)*VLOOKUP(AE$7,'RC Lookup'!$D$3:$E$18,2,FALSE)</f>
        <v>0</v>
      </c>
      <c r="AG21" s="26">
        <f>_xlfn.IFNA(IF(LEFT('Rock Climbing Log'!AG21)="C",_xlfn.IFNA(VLOOKUP('Rock Climbing Log'!AG21,'RC Lookup'!$A$3:$B$9,2,FALSE),0.5),VLOOKUP('Rock Climbing Log'!AG21,'RC Lookup'!$G$3:$H$5,2,FALSE)),0)*VLOOKUP(AE$7,'RC Lookup'!$D$3:$E$18,2,FALSE)</f>
        <v>0</v>
      </c>
      <c r="AH21" s="26">
        <f>_xlfn.IFNA(IF(LEFT('Rock Climbing Log'!AH21)="C",_xlfn.IFNA(VLOOKUP('Rock Climbing Log'!AH21,'RC Lookup'!$A$3:$B$9,2,FALSE),0.5),VLOOKUP('Rock Climbing Log'!AH21,'RC Lookup'!$G$3:$H$5,2,FALSE)),0)*VLOOKUP(AH$7,'RC Lookup'!$D$3:$E$18,2,FALSE)</f>
        <v>0</v>
      </c>
      <c r="AI21" s="26">
        <f>_xlfn.IFNA(IF(LEFT('Rock Climbing Log'!AI21)="C",_xlfn.IFNA(VLOOKUP('Rock Climbing Log'!AI21,'RC Lookup'!$A$3:$B$9,2,FALSE),0.5),VLOOKUP('Rock Climbing Log'!AI21,'RC Lookup'!$G$3:$H$5,2,FALSE)),0)*VLOOKUP(AH$7,'RC Lookup'!$D$3:$E$18,2,FALSE)</f>
        <v>0</v>
      </c>
      <c r="AJ21" s="26">
        <f>_xlfn.IFNA(IF(LEFT('Rock Climbing Log'!AJ21)="C",_xlfn.IFNA(VLOOKUP('Rock Climbing Log'!AJ21,'RC Lookup'!$A$3:$B$9,2,FALSE),0.5),VLOOKUP('Rock Climbing Log'!AJ21,'RC Lookup'!$G$3:$H$5,2,FALSE)),0)*VLOOKUP(AH$7,'RC Lookup'!$D$3:$E$18,2,FALSE)</f>
        <v>0</v>
      </c>
      <c r="AK21" s="26">
        <f>_xlfn.IFNA(IF(LEFT('Rock Climbing Log'!AK21)="C",_xlfn.IFNA(VLOOKUP('Rock Climbing Log'!AK21,'RC Lookup'!$A$3:$B$9,2,FALSE),0.5),VLOOKUP('Rock Climbing Log'!AK21,'RC Lookup'!$G$3:$H$5,2,FALSE)),0)*VLOOKUP(AK$7,'RC Lookup'!$D$3:$E$18,2,FALSE)</f>
        <v>0</v>
      </c>
      <c r="AL21" s="26">
        <f>_xlfn.IFNA(IF(LEFT('Rock Climbing Log'!AL21)="C",_xlfn.IFNA(VLOOKUP('Rock Climbing Log'!AL21,'RC Lookup'!$A$3:$B$9,2,FALSE),0.5),VLOOKUP('Rock Climbing Log'!AL21,'RC Lookup'!$G$3:$H$5,2,FALSE)),0)*VLOOKUP(AK$7,'RC Lookup'!$D$3:$E$18,2,FALSE)</f>
        <v>0</v>
      </c>
      <c r="AM21" s="26">
        <f>_xlfn.IFNA(IF(LEFT('Rock Climbing Log'!AM21)="C",_xlfn.IFNA(VLOOKUP('Rock Climbing Log'!AM21,'RC Lookup'!$A$3:$B$9,2,FALSE),0.5),VLOOKUP('Rock Climbing Log'!AM21,'RC Lookup'!$G$3:$H$5,2,FALSE)),0)*VLOOKUP(AK$7,'RC Lookup'!$D$3:$E$18,2,FALSE)</f>
        <v>0</v>
      </c>
      <c r="AN21" s="26">
        <f>_xlfn.IFNA(IF(LEFT('Rock Climbing Log'!AN21)="C",_xlfn.IFNA(VLOOKUP('Rock Climbing Log'!AN21,'RC Lookup'!$A$3:$B$9,2,FALSE),0.5),VLOOKUP('Rock Climbing Log'!AN21,'RC Lookup'!$G$3:$H$5,2,FALSE)),0)*VLOOKUP(AN$7,'RC Lookup'!$D$3:$E$18,2,FALSE)</f>
        <v>0</v>
      </c>
      <c r="AO21" s="26">
        <f>_xlfn.IFNA(IF(LEFT('Rock Climbing Log'!AO21)="C",_xlfn.IFNA(VLOOKUP('Rock Climbing Log'!AO21,'RC Lookup'!$A$3:$B$9,2,FALSE),0.5),VLOOKUP('Rock Climbing Log'!AO21,'RC Lookup'!$G$3:$H$5,2,FALSE)),0)*VLOOKUP(AN$7,'RC Lookup'!$D$3:$E$18,2,FALSE)</f>
        <v>0</v>
      </c>
      <c r="AP21" s="26">
        <f>_xlfn.IFNA(IF(LEFT('Rock Climbing Log'!AP21)="C",_xlfn.IFNA(VLOOKUP('Rock Climbing Log'!AP21,'RC Lookup'!$A$3:$B$9,2,FALSE),0.5),VLOOKUP('Rock Climbing Log'!AP21,'RC Lookup'!$G$3:$H$5,2,FALSE)),0)*VLOOKUP(AN$7,'RC Lookup'!$D$3:$E$18,2,FALSE)</f>
        <v>0</v>
      </c>
      <c r="AQ21" s="26">
        <f>_xlfn.IFNA(IF(LEFT('Rock Climbing Log'!AQ21)="C",_xlfn.IFNA(VLOOKUP('Rock Climbing Log'!AQ21,'RC Lookup'!$A$3:$B$9,2,FALSE),0.5),VLOOKUP('Rock Climbing Log'!AQ21,'RC Lookup'!$G$3:$H$5,2,FALSE)),0)*VLOOKUP(AQ$7,'RC Lookup'!$D$3:$E$18,2,FALSE)</f>
        <v>0</v>
      </c>
      <c r="AR21" s="26">
        <f>_xlfn.IFNA(IF(LEFT('Rock Climbing Log'!AR21)="C",_xlfn.IFNA(VLOOKUP('Rock Climbing Log'!AR21,'RC Lookup'!$A$3:$B$9,2,FALSE),0.5),VLOOKUP('Rock Climbing Log'!AR21,'RC Lookup'!$G$3:$H$5,2,FALSE)),0)*VLOOKUP(AQ$7,'RC Lookup'!$D$3:$E$18,2,FALSE)</f>
        <v>0</v>
      </c>
      <c r="AS21" s="26">
        <f>_xlfn.IFNA(IF(LEFT('Rock Climbing Log'!AS21)="C",_xlfn.IFNA(VLOOKUP('Rock Climbing Log'!AS21,'RC Lookup'!$A$3:$B$9,2,FALSE),0.5),VLOOKUP('Rock Climbing Log'!AS21,'RC Lookup'!$G$3:$H$5,2,FALSE)),0)*VLOOKUP(AQ$7,'RC Lookup'!$D$3:$E$18,2,FALSE)</f>
        <v>0</v>
      </c>
      <c r="AT21" s="26">
        <f>_xlfn.IFNA(IF(LEFT('Rock Climbing Log'!AT21)="C",_xlfn.IFNA(VLOOKUP('Rock Climbing Log'!AT21,'RC Lookup'!$A$3:$B$9,2,FALSE),0.5),VLOOKUP('Rock Climbing Log'!AT21,'RC Lookup'!$G$3:$H$5,2,FALSE)),0)*VLOOKUP(AT$7,'RC Lookup'!$D$3:$E$18,2,FALSE)</f>
        <v>0</v>
      </c>
      <c r="AU21" s="26">
        <f>_xlfn.IFNA(IF(LEFT('Rock Climbing Log'!AU21)="C",_xlfn.IFNA(VLOOKUP('Rock Climbing Log'!AU21,'RC Lookup'!$A$3:$B$9,2,FALSE),0.5),VLOOKUP('Rock Climbing Log'!AU21,'RC Lookup'!$G$3:$H$5,2,FALSE)),0)*VLOOKUP(AT$7,'RC Lookup'!$D$3:$E$18,2,FALSE)</f>
        <v>0</v>
      </c>
      <c r="AV21" s="26">
        <f>_xlfn.IFNA(IF(LEFT('Rock Climbing Log'!AV21)="C",_xlfn.IFNA(VLOOKUP('Rock Climbing Log'!AV21,'RC Lookup'!$A$3:$B$9,2,FALSE),0.5),VLOOKUP('Rock Climbing Log'!AV21,'RC Lookup'!$G$3:$H$5,2,FALSE)),0)*VLOOKUP(AT$7,'RC Lookup'!$D$3:$E$18,2,FALSE)</f>
        <v>0</v>
      </c>
      <c r="AW21" s="30">
        <f t="shared" ca="1" si="0"/>
        <v>157.15918816810114</v>
      </c>
      <c r="AX21" s="30">
        <f ca="1">_xlfn.IFNA(VLOOKUP(SUMPRODUCT(LARGE(($C$8:$C21=Table1[[#This Row],[Climber]])*$A$8:$A21,1)),$A$8:$AW21,MATCH($AW$7,$A$7:$AW$7,FALSE),FALSE),0)/LEFT($AX$7,FIND(" ",$AX$7))+_xlfn.IFNA(VLOOKUP(SUMPRODUCT(LARGE(($C$8:$C21=Table1[[#This Row],[Climber]])*$A$8:$A21,MIN(2,COUNTIFS($C$8:$C21,$C21)))),$A$8:$AW21,MATCH($AW$7,$A$7:$AW$7,FALSE),FALSE),0)/LEFT($AX$7,FIND(" ",$AX$7))+_xlfn.IFNA(VLOOKUP(SUMPRODUCT(LARGE(($C$8:$C21=Table1[[#This Row],[Climber]])*$A$8:$A21,MIN(3,COUNTIFS($C$8:$C21,$C21)))),$A$8:$AW21,MATCH($AW$7,$A$7:$AW$7,FALSE),FALSE),0)/LEFT($AX$7,FIND(" ",$AX$7))</f>
        <v>135.17424269402454</v>
      </c>
      <c r="AY21" s="30">
        <f ca="1">_xlfn.IFNA(VLOOKUP(SUMPRODUCT(LARGE(($C$8:$C21=Table1[[#This Row],[Climber]])*$A$8:$A21,1)),$A$8:$AW21,MATCH($AW$7,$A$7:$AW$7,FALSE),FALSE),0)/LEFT($AY$7,FIND(" ",$AY$7))+_xlfn.IFNA(VLOOKUP(SUMPRODUCT(LARGE(($C$8:$C21=Table1[[#This Row],[Climber]])*$A$8:$A21,MIN(2,COUNTIFS($C$8:$C21,$C21)))),$A$8:$AW21,MATCH($AW$7,$A$7:$AW$7,FALSE),FALSE),0)/LEFT($AY$7,FIND(" ",$AY$7))+_xlfn.IFNA(VLOOKUP(SUMPRODUCT(LARGE(($C$8:$C21=Table1[[#This Row],[Climber]])*$A$8:$A21,MIN(3,COUNTIFS($C$8:$C21,$C21)))),$A$8:$AW21,MATCH($AW$7,$A$7:$AW$7,FALSE),FALSE),0)/LEFT($AY$7,FIND(" ",$AY$7))+_xlfn.IFNA(VLOOKUP(SUMPRODUCT(LARGE(($C$8:$C21=Table1[[#This Row],[Climber]])*$A$8:$A21,MIN(4,COUNTIFS($C$8:$C21,$C21)))),$A$8:$AW21,MATCH($AW$7,$A$7:$AW$7,FALSE),FALSE),0)/LEFT($AY$7,FIND(" ",$AY$7))+_xlfn.IFNA(VLOOKUP(SUMPRODUCT(LARGE(($C$8:$C21=Table1[[#This Row],[Climber]])*$A$8:$A21,MIN(5,COUNTIFS($C$8:$C21,$C21)))),$A$8:$AW21,MATCH($AW$7,$A$7:$AW$7,FALSE),FALSE),0)/LEFT($AY$7,FIND(" ",$AY$7))</f>
        <v>112.77743991337474</v>
      </c>
      <c r="AZ21" s="30">
        <f ca="1">(_xlfn.IFNA(VLOOKUP(SUMPRODUCT(LARGE(($C$8:$C21=Table1[[#This Row],[Climber]])*$A$8:$A21,4)),$A$8:$AW21,MATCH($AW$7,$A$7:$AW$7,FALSE),FALSE),0)+_xlfn.IFNA(VLOOKUP(SUMPRODUCT(LARGE(($C$8:$C21=Table1[[#This Row],[Climber]])*$A$8:$A21,5)),$A$8:$AW21,MATCH($AW$7,$A$7:$AW$7,FALSE),FALSE),0)+_xlfn.IFNA(VLOOKUP(SUMPRODUCT(LARGE(($C$8:$C21=Table1[[#This Row],[Climber]])*$A$8:$A21,6)),$A$8:$AW21,MATCH($AW$7,$A$7:$AW$7,FALSE),FALSE),0))/3</f>
        <v>52.788157161600019</v>
      </c>
      <c r="BA21" s="6">
        <f ca="1">_xlfn.MAXIFS(INDIRECT("$AW"&amp;IF(SUMPRODUCT(LARGE(($C$8:$C21=$C21)*$A$8:$A21,LEFT($BA$7,FIND(" ",$BA$7)-1)))=0,8,SUMPRODUCT(LARGE(($C$8:$C21=$C21)*$A$8:$A21,LEFT($BA$7,FIND(" ",$BA$7)-1)))+7)&amp;":$AW"&amp;ROW()),INDIRECT("$C"&amp;IF(SUMPRODUCT(LARGE(($C$8:$C21=$C21)*$A$8:$A21,LEFT($BA$7,FIND(" ",$BA$7)-1)))=0,8,SUMPRODUCT(LARGE(($C$8:$C21=$C21)*$A$8:$A21,LEFT($BA$7,FIND(" ",$BA$7)-1)))+7)&amp;":$C"&amp;ROW()),$C21)</f>
        <v>157.15918816810114</v>
      </c>
      <c r="BB21" s="6" t="str">
        <f ca="1">VLOOKUP(MAX(BG21,$AX21),'RC Lookup'!$G$14:$J$20,2,TRUE)</f>
        <v>T4</v>
      </c>
      <c r="BC21" s="6">
        <f ca="1">_xlfn.IFNA(VLOOKUP(VLOOKUP($C21,'RC Lookup'!$O$3:$P$50,2,FALSE),'RC Lookup'!$H$14:$J$23,2,FALSE),0)*AW21</f>
        <v>47.55830278441487</v>
      </c>
      <c r="BD21" s="6">
        <f ca="1">_xlfn.IFNA(VLOOKUP(SUMPRODUCT(LARGE(($C$8:$C21=Table1[[#This Row],[Climber]])*$A$8:$A21,1)),$A$8:$BC21,55,FALSE),0)/LEFT($AX$7,FIND(" ",$AX$7))+_xlfn.IFNA(VLOOKUP(SUMPRODUCT(LARGE(($C$8:$C21=Table1[[#This Row],[Climber]])*$A$8:$A21,MIN(2,COUNTIFS($C$8:$C21,$C21)))),$A$8:$BC21,55,FALSE),0)/LEFT($AX$7,FIND(" ",$AX$7))+_xlfn.IFNA(VLOOKUP(SUMPRODUCT(LARGE(($C$8:$C21=Table1[[#This Row],[Climber]])*$A$8:$A21,MIN(3,COUNTIFS($C$8:$C21,$C21)))),$A$8:$BC21,55,FALSE),0)/LEFT($AX$7,FIND(" ",$AX$7))</f>
        <v>40.905387954919675</v>
      </c>
      <c r="BE21" s="6">
        <f ca="1">(_xlfn.IFNA(VLOOKUP(SUMPRODUCT(LARGE(($C$8:$C21=Table1[[#This Row],[Climber]])*$A$8:$A21,4)),$A$8:$BD21,55,FALSE),0)+_xlfn.IFNA(VLOOKUP(SUMPRODUCT(LARGE(($C$8:$C21=Table1[[#This Row],[Climber]])*$A$8:$A21,5)),$A$8:$BD21,55,FALSE),0)+_xlfn.IFNA(VLOOKUP(SUMPRODUCT(LARGE(($C$8:$C21=Table1[[#This Row],[Climber]])*$A$8:$A21,6)),$A$8:$BD21,55,FALSE),0))/3</f>
        <v>15.974345445443165</v>
      </c>
      <c r="BF21" s="46">
        <f ca="1">_xlfn.MAXIFS(INDIRECT("$BC"&amp;IF(SUMPRODUCT(LARGE(($C$8:$C21=$C21)*$A$8:$A21,LEFT($BA$7,FIND(" ",$BA$7)-1)))=0,8,SUMPRODUCT(LARGE(($C$8:$C21=$C21)*$A$8:$A21,LEFT($BA$7,FIND(" ",$BA$7)-1)))+7)&amp;":$BC"&amp;ROW()),INDIRECT("$C"&amp;IF(SUMPRODUCT(LARGE(($C$8:$C21=$C21)*$A$8:$A21,LEFT($BA$7,FIND(" ",$BA$7)-1)))=0,8,SUMPRODUCT(LARGE(($C$8:$C21=$C21)*$A$8:$A21,LEFT($BA$7,FIND(" ",$BA$7)-1)))+7)&amp;":$C"&amp;ROW()),$C21)</f>
        <v>47.55830278441487</v>
      </c>
      <c r="BG21" s="46">
        <f t="array" aca="1" ref="BG21" ca="1">IFERROR(SUMPRODUCT(LARGE(($C$8:$C21=Table1[[#This Row],[Climber]])*$AW$8:$AW21,ROW(INDIRECT("1:5")))),AW21)/MIN(COUNTIFS($C$8:$C21,C21),5)</f>
        <v>112.77743991337476</v>
      </c>
      <c r="BH21" s="46"/>
    </row>
    <row r="22" spans="1:61" x14ac:dyDescent="0.3">
      <c r="A22" s="125">
        <f t="shared" si="1"/>
        <v>15</v>
      </c>
      <c r="B22" s="25">
        <f>'Rock Climbing Log'!B22</f>
        <v>43119</v>
      </c>
      <c r="C22" s="126" t="str">
        <f>'Rock Climbing Log'!C22</f>
        <v>Lester</v>
      </c>
      <c r="D22" s="26">
        <f>_xlfn.IFNA(IF(LEFT('Rock Climbing Log'!D22)="C",_xlfn.IFNA(VLOOKUP('Rock Climbing Log'!D22,'RC Lookup'!$A$3:$B$9,2,FALSE),0.5),VLOOKUP('Rock Climbing Log'!D22,'RC Lookup'!$G$3:$H$5,2,FALSE)),0)*VLOOKUP(D$7,'RC Lookup'!$D$3:$E$18,2,FALSE)</f>
        <v>10</v>
      </c>
      <c r="E22" s="26">
        <f>_xlfn.IFNA(IF(LEFT('Rock Climbing Log'!E22)="C",_xlfn.IFNA(VLOOKUP('Rock Climbing Log'!E22,'RC Lookup'!$A$3:$B$9,2,FALSE),0.5),VLOOKUP('Rock Climbing Log'!E22,'RC Lookup'!$G$3:$H$5,2,FALSE)),0)*VLOOKUP(D$7,'RC Lookup'!$D$3:$E$18,2,FALSE)</f>
        <v>0</v>
      </c>
      <c r="F22" s="26">
        <f>_xlfn.IFNA(IF(LEFT('Rock Climbing Log'!F22)="C",_xlfn.IFNA(VLOOKUP('Rock Climbing Log'!F22,'RC Lookup'!$A$3:$B$9,2,FALSE),0.5),VLOOKUP('Rock Climbing Log'!F22,'RC Lookup'!$G$3:$H$5,2,FALSE)),0)*VLOOKUP(D$7,'RC Lookup'!$D$3:$E$18,2,FALSE)</f>
        <v>0</v>
      </c>
      <c r="G22" s="26">
        <f>_xlfn.IFNA(IF(LEFT('Rock Climbing Log'!G22)="C",_xlfn.IFNA(VLOOKUP('Rock Climbing Log'!G22,'RC Lookup'!$A$3:$B$9,2,FALSE),0.5),VLOOKUP('Rock Climbing Log'!G22,'RC Lookup'!$G$3:$H$5,2,FALSE)),0)*VLOOKUP(G$7,'RC Lookup'!$D$3:$E$18,2,FALSE)</f>
        <v>0</v>
      </c>
      <c r="H22" s="26">
        <f>_xlfn.IFNA(IF(LEFT('Rock Climbing Log'!H22)="C",_xlfn.IFNA(VLOOKUP('Rock Climbing Log'!H22,'RC Lookup'!$A$3:$B$9,2,FALSE),0.5),VLOOKUP('Rock Climbing Log'!H22,'RC Lookup'!$G$3:$H$5,2,FALSE)),0)*VLOOKUP(G$7,'RC Lookup'!$D$3:$E$18,2,FALSE)</f>
        <v>0</v>
      </c>
      <c r="I22" s="26">
        <f>_xlfn.IFNA(IF(LEFT('Rock Climbing Log'!I22)="C",_xlfn.IFNA(VLOOKUP('Rock Climbing Log'!I22,'RC Lookup'!$A$3:$B$9,2,FALSE),0.5),VLOOKUP('Rock Climbing Log'!I22,'RC Lookup'!$G$3:$H$5,2,FALSE)),0)*VLOOKUP(G$7,'RC Lookup'!$D$3:$E$18,2,FALSE)</f>
        <v>0</v>
      </c>
      <c r="J22" s="26">
        <f>_xlfn.IFNA(IF(LEFT('Rock Climbing Log'!J22)="C",_xlfn.IFNA(VLOOKUP('Rock Climbing Log'!J22,'RC Lookup'!$A$3:$B$9,2,FALSE),0.5),VLOOKUP('Rock Climbing Log'!J22,'RC Lookup'!$G$3:$H$5,2,FALSE)),0)*VLOOKUP(J$7,'RC Lookup'!$D$3:$E$18,2,FALSE)</f>
        <v>15.75</v>
      </c>
      <c r="K22" s="26">
        <f>_xlfn.IFNA(IF(LEFT('Rock Climbing Log'!K22)="C",_xlfn.IFNA(VLOOKUP('Rock Climbing Log'!K22,'RC Lookup'!$A$3:$B$9,2,FALSE),0.5),VLOOKUP('Rock Climbing Log'!K22,'RC Lookup'!$G$3:$H$5,2,FALSE)),0)*VLOOKUP(J$7,'RC Lookup'!$D$3:$E$18,2,FALSE)</f>
        <v>0</v>
      </c>
      <c r="L22" s="26">
        <f>_xlfn.IFNA(IF(LEFT('Rock Climbing Log'!L22)="C",_xlfn.IFNA(VLOOKUP('Rock Climbing Log'!L22,'RC Lookup'!$A$3:$B$9,2,FALSE),0.5),VLOOKUP('Rock Climbing Log'!L22,'RC Lookup'!$G$3:$H$5,2,FALSE)),0)*VLOOKUP(J$7,'RC Lookup'!$D$3:$E$18,2,FALSE)</f>
        <v>0</v>
      </c>
      <c r="M22" s="26">
        <f>_xlfn.IFNA(IF(LEFT('Rock Climbing Log'!M22)="C",_xlfn.IFNA(VLOOKUP('Rock Climbing Log'!M22,'RC Lookup'!$A$3:$B$9,2,FALSE),0.5),VLOOKUP('Rock Climbing Log'!M22,'RC Lookup'!$G$3:$H$5,2,FALSE)),0)*VLOOKUP(M$7,'RC Lookup'!$D$3:$E$18,2,FALSE)</f>
        <v>20.002500000000001</v>
      </c>
      <c r="N22" s="26">
        <f>_xlfn.IFNA(IF(LEFT('Rock Climbing Log'!N22)="C",_xlfn.IFNA(VLOOKUP('Rock Climbing Log'!N22,'RC Lookup'!$A$3:$B$9,2,FALSE),0.5),VLOOKUP('Rock Climbing Log'!N22,'RC Lookup'!$G$3:$H$5,2,FALSE)),0)*VLOOKUP(M$7,'RC Lookup'!$D$3:$E$18,2,FALSE)</f>
        <v>0</v>
      </c>
      <c r="O22" s="26">
        <f>_xlfn.IFNA(IF(LEFT('Rock Climbing Log'!O22)="C",_xlfn.IFNA(VLOOKUP('Rock Climbing Log'!O22,'RC Lookup'!$A$3:$B$9,2,FALSE),0.5),VLOOKUP('Rock Climbing Log'!O22,'RC Lookup'!$G$3:$H$5,2,FALSE)),0)*VLOOKUP(M$7,'RC Lookup'!$D$3:$E$18,2,FALSE)</f>
        <v>0</v>
      </c>
      <c r="P22" s="26">
        <f>_xlfn.IFNA(IF(LEFT('Rock Climbing Log'!P22)="C",_xlfn.IFNA(VLOOKUP('Rock Climbing Log'!P22,'RC Lookup'!$A$3:$B$9,2,FALSE),0.5),VLOOKUP('Rock Climbing Log'!P22,'RC Lookup'!$G$3:$H$5,2,FALSE)),0)*VLOOKUP(P$7,'RC Lookup'!$D$3:$E$18,2,FALSE)</f>
        <v>0</v>
      </c>
      <c r="Q22" s="26">
        <f>_xlfn.IFNA(IF(LEFT('Rock Climbing Log'!Q22)="C",_xlfn.IFNA(VLOOKUP('Rock Climbing Log'!Q22,'RC Lookup'!$A$3:$B$9,2,FALSE),0.5),VLOOKUP('Rock Climbing Log'!Q22,'RC Lookup'!$G$3:$H$5,2,FALSE)),0)*VLOOKUP(P$7,'RC Lookup'!$D$3:$E$18,2,FALSE)</f>
        <v>0</v>
      </c>
      <c r="R22" s="26">
        <f>_xlfn.IFNA(IF(LEFT('Rock Climbing Log'!R22)="C",_xlfn.IFNA(VLOOKUP('Rock Climbing Log'!R22,'RC Lookup'!$A$3:$B$9,2,FALSE),0.5),VLOOKUP('Rock Climbing Log'!R22,'RC Lookup'!$G$3:$H$5,2,FALSE)),0)*VLOOKUP(P$7,'RC Lookup'!$D$3:$E$18,2,FALSE)</f>
        <v>0</v>
      </c>
      <c r="S22" s="26">
        <f>_xlfn.IFNA(IF(LEFT('Rock Climbing Log'!S22)="C",_xlfn.IFNA(VLOOKUP('Rock Climbing Log'!S22,'RC Lookup'!$A$3:$B$9,2,FALSE),0.5),VLOOKUP('Rock Climbing Log'!S22,'RC Lookup'!$G$3:$H$5,2,FALSE)),0)*VLOOKUP(S$7,'RC Lookup'!$D$3:$E$18,2,FALSE)</f>
        <v>0</v>
      </c>
      <c r="T22" s="26">
        <f>_xlfn.IFNA(IF(LEFT('Rock Climbing Log'!T22)="C",_xlfn.IFNA(VLOOKUP('Rock Climbing Log'!T22,'RC Lookup'!$A$3:$B$9,2,FALSE),0.5),VLOOKUP('Rock Climbing Log'!T22,'RC Lookup'!$G$3:$H$5,2,FALSE)),0)*VLOOKUP(S$7,'RC Lookup'!$D$3:$E$18,2,FALSE)</f>
        <v>0</v>
      </c>
      <c r="U22" s="26">
        <f>_xlfn.IFNA(IF(LEFT('Rock Climbing Log'!U22)="C",_xlfn.IFNA(VLOOKUP('Rock Climbing Log'!U22,'RC Lookup'!$A$3:$B$9,2,FALSE),0.5),VLOOKUP('Rock Climbing Log'!U22,'RC Lookup'!$G$3:$H$5,2,FALSE)),0)*VLOOKUP(S$7,'RC Lookup'!$D$3:$E$18,2,FALSE)</f>
        <v>0</v>
      </c>
      <c r="V22" s="26">
        <f>_xlfn.IFNA(IF(LEFT('Rock Climbing Log'!V22)="C",_xlfn.IFNA(VLOOKUP('Rock Climbing Log'!V22,'RC Lookup'!$A$3:$B$9,2,FALSE),0.5),VLOOKUP('Rock Climbing Log'!V22,'RC Lookup'!$G$3:$H$5,2,FALSE)),0)*VLOOKUP(V$7,'RC Lookup'!$D$3:$E$18,2,FALSE)</f>
        <v>35.256745742400021</v>
      </c>
      <c r="W22" s="26">
        <f>_xlfn.IFNA(IF(LEFT('Rock Climbing Log'!W22)="C",_xlfn.IFNA(VLOOKUP('Rock Climbing Log'!W22,'RC Lookup'!$A$3:$B$9,2,FALSE),0.5),VLOOKUP('Rock Climbing Log'!W22,'RC Lookup'!$G$3:$H$5,2,FALSE)),0)*VLOOKUP(V$7,'RC Lookup'!$D$3:$E$18,2,FALSE)</f>
        <v>0</v>
      </c>
      <c r="X22" s="26">
        <f>_xlfn.IFNA(IF(LEFT('Rock Climbing Log'!X22)="C",_xlfn.IFNA(VLOOKUP('Rock Climbing Log'!X22,'RC Lookup'!$A$3:$B$9,2,FALSE),0.5),VLOOKUP('Rock Climbing Log'!X22,'RC Lookup'!$G$3:$H$5,2,FALSE)),0)*VLOOKUP(V$7,'RC Lookup'!$D$3:$E$18,2,FALSE)</f>
        <v>0</v>
      </c>
      <c r="Y22" s="26">
        <f>_xlfn.IFNA(IF(LEFT('Rock Climbing Log'!Y22)="C",_xlfn.IFNA(VLOOKUP('Rock Climbing Log'!Y22,'RC Lookup'!$A$3:$B$9,2,FALSE),0.5),VLOOKUP('Rock Climbing Log'!Y22,'RC Lookup'!$G$3:$H$5,2,FALSE)),0)*VLOOKUP(Y$7,'RC Lookup'!$D$3:$E$18,2,FALSE)</f>
        <v>35.183411711255836</v>
      </c>
      <c r="Z22" s="26">
        <f>_xlfn.IFNA(IF(LEFT('Rock Climbing Log'!Z22)="C",_xlfn.IFNA(VLOOKUP('Rock Climbing Log'!Z22,'RC Lookup'!$A$3:$B$9,2,FALSE),0.5),VLOOKUP('Rock Climbing Log'!Z22,'RC Lookup'!$G$3:$H$5,2,FALSE)),0)*VLOOKUP(Y$7,'RC Lookup'!$D$3:$E$18,2,FALSE)</f>
        <v>0</v>
      </c>
      <c r="AA22" s="26">
        <f>_xlfn.IFNA(IF(LEFT('Rock Climbing Log'!AA22)="C",_xlfn.IFNA(VLOOKUP('Rock Climbing Log'!AA22,'RC Lookup'!$A$3:$B$9,2,FALSE),0.5),VLOOKUP('Rock Climbing Log'!AA22,'RC Lookup'!$G$3:$H$5,2,FALSE)),0)*VLOOKUP(Y$7,'RC Lookup'!$D$3:$E$18,2,FALSE)</f>
        <v>0</v>
      </c>
      <c r="AB22" s="26">
        <f>_xlfn.IFNA(IF(LEFT('Rock Climbing Log'!AB22)="C",_xlfn.IFNA(VLOOKUP('Rock Climbing Log'!AB22,'RC Lookup'!$A$3:$B$9,2,FALSE),0.5),VLOOKUP('Rock Climbing Log'!AB22,'RC Lookup'!$G$3:$H$5,2,FALSE)),0)*VLOOKUP(AB$7,'RC Lookup'!$D$3:$E$18,2,FALSE)</f>
        <v>54.034770578768224</v>
      </c>
      <c r="AC22" s="26">
        <f>_xlfn.IFNA(IF(LEFT('Rock Climbing Log'!AC22)="C",_xlfn.IFNA(VLOOKUP('Rock Climbing Log'!AC22,'RC Lookup'!$A$3:$B$9,2,FALSE),0.5),VLOOKUP('Rock Climbing Log'!AC22,'RC Lookup'!$G$3:$H$5,2,FALSE)),0)*VLOOKUP(AB$7,'RC Lookup'!$D$3:$E$18,2,FALSE)</f>
        <v>0</v>
      </c>
      <c r="AD22" s="26">
        <f>_xlfn.IFNA(IF(LEFT('Rock Climbing Log'!AD22)="C",_xlfn.IFNA(VLOOKUP('Rock Climbing Log'!AD22,'RC Lookup'!$A$3:$B$9,2,FALSE),0.5),VLOOKUP('Rock Climbing Log'!AD22,'RC Lookup'!$G$3:$H$5,2,FALSE)),0)*VLOOKUP(AB$7,'RC Lookup'!$D$3:$E$18,2,FALSE)</f>
        <v>0</v>
      </c>
      <c r="AE22" s="26">
        <f>_xlfn.IFNA(IF(LEFT('Rock Climbing Log'!AE22)="C",_xlfn.IFNA(VLOOKUP('Rock Climbing Log'!AE22,'RC Lookup'!$A$3:$B$9,2,FALSE),0.5),VLOOKUP('Rock Climbing Log'!AE22,'RC Lookup'!$G$3:$H$5,2,FALSE)),0)*VLOOKUP(AE$7,'RC Lookup'!$D$3:$E$18,2,FALSE)</f>
        <v>67.867671846932893</v>
      </c>
      <c r="AF22" s="26">
        <f>_xlfn.IFNA(IF(LEFT('Rock Climbing Log'!AF22)="C",_xlfn.IFNA(VLOOKUP('Rock Climbing Log'!AF22,'RC Lookup'!$A$3:$B$9,2,FALSE),0.5),VLOOKUP('Rock Climbing Log'!AF22,'RC Lookup'!$G$3:$H$5,2,FALSE)),0)*VLOOKUP(AE$7,'RC Lookup'!$D$3:$E$18,2,FALSE)</f>
        <v>0</v>
      </c>
      <c r="AG22" s="26">
        <f>_xlfn.IFNA(IF(LEFT('Rock Climbing Log'!AG22)="C",_xlfn.IFNA(VLOOKUP('Rock Climbing Log'!AG22,'RC Lookup'!$A$3:$B$9,2,FALSE),0.5),VLOOKUP('Rock Climbing Log'!AG22,'RC Lookup'!$G$3:$H$5,2,FALSE)),0)*VLOOKUP(AE$7,'RC Lookup'!$D$3:$E$18,2,FALSE)</f>
        <v>0</v>
      </c>
      <c r="AH22" s="26">
        <f>_xlfn.IFNA(IF(LEFT('Rock Climbing Log'!AH22)="C",_xlfn.IFNA(VLOOKUP('Rock Climbing Log'!AH22,'RC Lookup'!$A$3:$B$9,2,FALSE),0.5),VLOOKUP('Rock Climbing Log'!AH22,'RC Lookup'!$G$3:$H$5,2,FALSE)),0)*VLOOKUP(AH$7,'RC Lookup'!$D$3:$E$18,2,FALSE)</f>
        <v>0</v>
      </c>
      <c r="AI22" s="26">
        <f>_xlfn.IFNA(IF(LEFT('Rock Climbing Log'!AI22)="C",_xlfn.IFNA(VLOOKUP('Rock Climbing Log'!AI22,'RC Lookup'!$A$3:$B$9,2,FALSE),0.5),VLOOKUP('Rock Climbing Log'!AI22,'RC Lookup'!$G$3:$H$5,2,FALSE)),0)*VLOOKUP(AH$7,'RC Lookup'!$D$3:$E$18,2,FALSE)</f>
        <v>0</v>
      </c>
      <c r="AJ22" s="26">
        <f>_xlfn.IFNA(IF(LEFT('Rock Climbing Log'!AJ22)="C",_xlfn.IFNA(VLOOKUP('Rock Climbing Log'!AJ22,'RC Lookup'!$A$3:$B$9,2,FALSE),0.5),VLOOKUP('Rock Climbing Log'!AJ22,'RC Lookup'!$G$3:$H$5,2,FALSE)),0)*VLOOKUP(AH$7,'RC Lookup'!$D$3:$E$18,2,FALSE)</f>
        <v>0</v>
      </c>
      <c r="AK22" s="26">
        <f>_xlfn.IFNA(IF(LEFT('Rock Climbing Log'!AK22)="C",_xlfn.IFNA(VLOOKUP('Rock Climbing Log'!AK22,'RC Lookup'!$A$3:$B$9,2,FALSE),0.5),VLOOKUP('Rock Climbing Log'!AK22,'RC Lookup'!$G$3:$H$5,2,FALSE)),0)*VLOOKUP(AK$7,'RC Lookup'!$D$3:$E$18,2,FALSE)</f>
        <v>0</v>
      </c>
      <c r="AL22" s="26">
        <f>_xlfn.IFNA(IF(LEFT('Rock Climbing Log'!AL22)="C",_xlfn.IFNA(VLOOKUP('Rock Climbing Log'!AL22,'RC Lookup'!$A$3:$B$9,2,FALSE),0.5),VLOOKUP('Rock Climbing Log'!AL22,'RC Lookup'!$G$3:$H$5,2,FALSE)),0)*VLOOKUP(AK$7,'RC Lookup'!$D$3:$E$18,2,FALSE)</f>
        <v>0</v>
      </c>
      <c r="AM22" s="26">
        <f>_xlfn.IFNA(IF(LEFT('Rock Climbing Log'!AM22)="C",_xlfn.IFNA(VLOOKUP('Rock Climbing Log'!AM22,'RC Lookup'!$A$3:$B$9,2,FALSE),0.5),VLOOKUP('Rock Climbing Log'!AM22,'RC Lookup'!$G$3:$H$5,2,FALSE)),0)*VLOOKUP(AK$7,'RC Lookup'!$D$3:$E$18,2,FALSE)</f>
        <v>0</v>
      </c>
      <c r="AN22" s="26">
        <f>_xlfn.IFNA(IF(LEFT('Rock Climbing Log'!AN22)="C",_xlfn.IFNA(VLOOKUP('Rock Climbing Log'!AN22,'RC Lookup'!$A$3:$B$9,2,FALSE),0.5),VLOOKUP('Rock Climbing Log'!AN22,'RC Lookup'!$G$3:$H$5,2,FALSE)),0)*VLOOKUP(AN$7,'RC Lookup'!$D$3:$E$18,2,FALSE)</f>
        <v>0</v>
      </c>
      <c r="AO22" s="26">
        <f>_xlfn.IFNA(IF(LEFT('Rock Climbing Log'!AO22)="C",_xlfn.IFNA(VLOOKUP('Rock Climbing Log'!AO22,'RC Lookup'!$A$3:$B$9,2,FALSE),0.5),VLOOKUP('Rock Climbing Log'!AO22,'RC Lookup'!$G$3:$H$5,2,FALSE)),0)*VLOOKUP(AN$7,'RC Lookup'!$D$3:$E$18,2,FALSE)</f>
        <v>0</v>
      </c>
      <c r="AP22" s="26">
        <f>_xlfn.IFNA(IF(LEFT('Rock Climbing Log'!AP22)="C",_xlfn.IFNA(VLOOKUP('Rock Climbing Log'!AP22,'RC Lookup'!$A$3:$B$9,2,FALSE),0.5),VLOOKUP('Rock Climbing Log'!AP22,'RC Lookup'!$G$3:$H$5,2,FALSE)),0)*VLOOKUP(AN$7,'RC Lookup'!$D$3:$E$18,2,FALSE)</f>
        <v>0</v>
      </c>
      <c r="AQ22" s="26">
        <f>_xlfn.IFNA(IF(LEFT('Rock Climbing Log'!AQ22)="C",_xlfn.IFNA(VLOOKUP('Rock Climbing Log'!AQ22,'RC Lookup'!$A$3:$B$9,2,FALSE),0.5),VLOOKUP('Rock Climbing Log'!AQ22,'RC Lookup'!$G$3:$H$5,2,FALSE)),0)*VLOOKUP(AQ$7,'RC Lookup'!$D$3:$E$18,2,FALSE)</f>
        <v>0</v>
      </c>
      <c r="AR22" s="26">
        <f>_xlfn.IFNA(IF(LEFT('Rock Climbing Log'!AR22)="C",_xlfn.IFNA(VLOOKUP('Rock Climbing Log'!AR22,'RC Lookup'!$A$3:$B$9,2,FALSE),0.5),VLOOKUP('Rock Climbing Log'!AR22,'RC Lookup'!$G$3:$H$5,2,FALSE)),0)*VLOOKUP(AQ$7,'RC Lookup'!$D$3:$E$18,2,FALSE)</f>
        <v>0</v>
      </c>
      <c r="AS22" s="26">
        <f>_xlfn.IFNA(IF(LEFT('Rock Climbing Log'!AS22)="C",_xlfn.IFNA(VLOOKUP('Rock Climbing Log'!AS22,'RC Lookup'!$A$3:$B$9,2,FALSE),0.5),VLOOKUP('Rock Climbing Log'!AS22,'RC Lookup'!$G$3:$H$5,2,FALSE)),0)*VLOOKUP(AQ$7,'RC Lookup'!$D$3:$E$18,2,FALSE)</f>
        <v>0</v>
      </c>
      <c r="AT22" s="26">
        <f>_xlfn.IFNA(IF(LEFT('Rock Climbing Log'!AT22)="C",_xlfn.IFNA(VLOOKUP('Rock Climbing Log'!AT22,'RC Lookup'!$A$3:$B$9,2,FALSE),0.5),VLOOKUP('Rock Climbing Log'!AT22,'RC Lookup'!$G$3:$H$5,2,FALSE)),0)*VLOOKUP(AT$7,'RC Lookup'!$D$3:$E$18,2,FALSE)</f>
        <v>0</v>
      </c>
      <c r="AU22" s="26">
        <f>_xlfn.IFNA(IF(LEFT('Rock Climbing Log'!AU22)="C",_xlfn.IFNA(VLOOKUP('Rock Climbing Log'!AU22,'RC Lookup'!$A$3:$B$9,2,FALSE),0.5),VLOOKUP('Rock Climbing Log'!AU22,'RC Lookup'!$G$3:$H$5,2,FALSE)),0)*VLOOKUP(AT$7,'RC Lookup'!$D$3:$E$18,2,FALSE)</f>
        <v>0</v>
      </c>
      <c r="AV22" s="26">
        <f>_xlfn.IFNA(IF(LEFT('Rock Climbing Log'!AV22)="C",_xlfn.IFNA(VLOOKUP('Rock Climbing Log'!AV22,'RC Lookup'!$A$3:$B$9,2,FALSE),0.5),VLOOKUP('Rock Climbing Log'!AV22,'RC Lookup'!$G$3:$H$5,2,FALSE)),0)*VLOOKUP(AT$7,'RC Lookup'!$D$3:$E$18,2,FALSE)</f>
        <v>0</v>
      </c>
      <c r="AW22" s="30">
        <f t="shared" ca="1" si="0"/>
        <v>157.15918816810114</v>
      </c>
      <c r="AX22" s="30">
        <f ca="1">_xlfn.IFNA(VLOOKUP(SUMPRODUCT(LARGE(($C$8:$C22=Table1[[#This Row],[Climber]])*$A$8:$A22,1)),$A$8:$AW22,MATCH($AW$7,$A$7:$AW$7,FALSE),FALSE),0)/LEFT($AX$7,FIND(" ",$AX$7))+_xlfn.IFNA(VLOOKUP(SUMPRODUCT(LARGE(($C$8:$C22=Table1[[#This Row],[Climber]])*$A$8:$A22,MIN(2,COUNTIFS($C$8:$C22,$C22)))),$A$8:$AW22,MATCH($AW$7,$A$7:$AW$7,FALSE),FALSE),0)/LEFT($AX$7,FIND(" ",$AX$7))+_xlfn.IFNA(VLOOKUP(SUMPRODUCT(LARGE(($C$8:$C22=Table1[[#This Row],[Climber]])*$A$8:$A22,MIN(3,COUNTIFS($C$8:$C22,$C22)))),$A$8:$AW22,MATCH($AW$7,$A$7:$AW$7,FALSE),FALSE),0)/LEFT($AX$7,FIND(" ",$AX$7))</f>
        <v>148.7805886151784</v>
      </c>
      <c r="AY22" s="30">
        <f ca="1">_xlfn.IFNA(VLOOKUP(SUMPRODUCT(LARGE(($C$8:$C22=Table1[[#This Row],[Climber]])*$A$8:$A22,1)),$A$8:$AW22,MATCH($AW$7,$A$7:$AW$7,FALSE),FALSE),0)/LEFT($AY$7,FIND(" ",$AY$7))+_xlfn.IFNA(VLOOKUP(SUMPRODUCT(LARGE(($C$8:$C22=Table1[[#This Row],[Climber]])*$A$8:$A22,MIN(2,COUNTIFS($C$8:$C22,$C22)))),$A$8:$AW22,MATCH($AW$7,$A$7:$AW$7,FALSE),FALSE),0)/LEFT($AY$7,FIND(" ",$AY$7))+_xlfn.IFNA(VLOOKUP(SUMPRODUCT(LARGE(($C$8:$C22=Table1[[#This Row],[Climber]])*$A$8:$A22,MIN(3,COUNTIFS($C$8:$C22,$C22)))),$A$8:$AW22,MATCH($AW$7,$A$7:$AW$7,FALSE),FALSE),0)/LEFT($AY$7,FIND(" ",$AY$7))+_xlfn.IFNA(VLOOKUP(SUMPRODUCT(LARGE(($C$8:$C22=Table1[[#This Row],[Climber]])*$A$8:$A22,MIN(4,COUNTIFS($C$8:$C22,$C22)))),$A$8:$AW22,MATCH($AW$7,$A$7:$AW$7,FALSE),FALSE),0)/LEFT($AY$7,FIND(" ",$AY$7))+_xlfn.IFNA(VLOOKUP(SUMPRODUCT(LARGE(($C$8:$C22=Table1[[#This Row],[Climber]])*$A$8:$A22,MIN(5,COUNTIFS($C$8:$C22,$C22)))),$A$8:$AW22,MATCH($AW$7,$A$7:$AW$7,FALSE),FALSE),0)/LEFT($AY$7,FIND(" ",$AY$7))</f>
        <v>128.37283039851496</v>
      </c>
      <c r="AZ22" s="30">
        <f ca="1">(_xlfn.IFNA(VLOOKUP(SUMPRODUCT(LARGE(($C$8:$C22=Table1[[#This Row],[Climber]])*$A$8:$A22,4)),$A$8:$AW22,MATCH($AW$7,$A$7:$AW$7,FALSE),FALSE),0)+_xlfn.IFNA(VLOOKUP(SUMPRODUCT(LARGE(($C$8:$C22=Table1[[#This Row],[Climber]])*$A$8:$A22,5)),$A$8:$AW22,MATCH($AW$7,$A$7:$AW$7,FALSE),FALSE),0)+_xlfn.IFNA(VLOOKUP(SUMPRODUCT(LARGE(($C$8:$C22=Table1[[#This Row],[Climber]])*$A$8:$A22,6)),$A$8:$AW22,MATCH($AW$7,$A$7:$AW$7,FALSE),FALSE),0))/3</f>
        <v>91.568207296479883</v>
      </c>
      <c r="BA22" s="6">
        <f ca="1">_xlfn.MAXIFS(INDIRECT("$AW"&amp;IF(SUMPRODUCT(LARGE(($C$8:$C22=$C22)*$A$8:$A22,LEFT($BA$7,FIND(" ",$BA$7)-1)))=0,8,SUMPRODUCT(LARGE(($C$8:$C22=$C22)*$A$8:$A22,LEFT($BA$7,FIND(" ",$BA$7)-1)))+7)&amp;":$AW"&amp;ROW()),INDIRECT("$C"&amp;IF(SUMPRODUCT(LARGE(($C$8:$C22=$C22)*$A$8:$A22,LEFT($BA$7,FIND(" ",$BA$7)-1)))=0,8,SUMPRODUCT(LARGE(($C$8:$C22=$C22)*$A$8:$A22,LEFT($BA$7,FIND(" ",$BA$7)-1)))+7)&amp;":$C"&amp;ROW()),$C22)</f>
        <v>157.15918816810114</v>
      </c>
      <c r="BB22" s="6" t="str">
        <f ca="1">VLOOKUP(MAX(BG22,$AX22),'RC Lookup'!$G$14:$J$20,2,TRUE)</f>
        <v>T4</v>
      </c>
      <c r="BC22" s="6">
        <f ca="1">_xlfn.IFNA(VLOOKUP(VLOOKUP($C22,'RC Lookup'!$O$3:$P$50,2,FALSE),'RC Lookup'!$H$14:$J$23,2,FALSE),0)*AW22</f>
        <v>47.55830278441487</v>
      </c>
      <c r="BD22" s="6">
        <f ca="1">_xlfn.IFNA(VLOOKUP(SUMPRODUCT(LARGE(($C$8:$C22=Table1[[#This Row],[Climber]])*$A$8:$A22,1)),$A$8:$BC22,55,FALSE),0)/LEFT($AX$7,FIND(" ",$AX$7))+_xlfn.IFNA(VLOOKUP(SUMPRODUCT(LARGE(($C$8:$C22=Table1[[#This Row],[Climber]])*$A$8:$A22,MIN(2,COUNTIFS($C$8:$C22,$C22)))),$A$8:$BC22,55,FALSE),0)/LEFT($AX$7,FIND(" ",$AX$7))+_xlfn.IFNA(VLOOKUP(SUMPRODUCT(LARGE(($C$8:$C22=Table1[[#This Row],[Climber]])*$A$8:$A22,MIN(3,COUNTIFS($C$8:$C22,$C22)))),$A$8:$BC22,55,FALSE),0)/LEFT($AX$7,FIND(" ",$AX$7))</f>
        <v>45.022835535620942</v>
      </c>
      <c r="BE22" s="6">
        <f ca="1">(_xlfn.IFNA(VLOOKUP(SUMPRODUCT(LARGE(($C$8:$C22=Table1[[#This Row],[Climber]])*$A$8:$A22,4)),$A$8:$BD22,55,FALSE),0)+_xlfn.IFNA(VLOOKUP(SUMPRODUCT(LARGE(($C$8:$C22=Table1[[#This Row],[Climber]])*$A$8:$A22,5)),$A$8:$BD22,55,FALSE),0)+_xlfn.IFNA(VLOOKUP(SUMPRODUCT(LARGE(($C$8:$C22=Table1[[#This Row],[Climber]])*$A$8:$A22,6)),$A$8:$BD22,55,FALSE),0))/3</f>
        <v>27.709665459546855</v>
      </c>
      <c r="BF22" s="46">
        <f ca="1">_xlfn.MAXIFS(INDIRECT("$BC"&amp;IF(SUMPRODUCT(LARGE(($C$8:$C22=$C22)*$A$8:$A22,LEFT($BA$7,FIND(" ",$BA$7)-1)))=0,8,SUMPRODUCT(LARGE(($C$8:$C22=$C22)*$A$8:$A22,LEFT($BA$7,FIND(" ",$BA$7)-1)))+7)&amp;":$BC"&amp;ROW()),INDIRECT("$C"&amp;IF(SUMPRODUCT(LARGE(($C$8:$C22=$C22)*$A$8:$A22,LEFT($BA$7,FIND(" ",$BA$7)-1)))=0,8,SUMPRODUCT(LARGE(($C$8:$C22=$C22)*$A$8:$A22,LEFT($BA$7,FIND(" ",$BA$7)-1)))+7)&amp;":$C"&amp;ROW()),$C22)</f>
        <v>47.55830278441487</v>
      </c>
      <c r="BG22" s="46">
        <f t="array" aca="1" ref="BG22" ca="1">IFERROR(SUMPRODUCT(LARGE(($C$8:$C22=Table1[[#This Row],[Climber]])*$AW$8:$AW22,ROW(INDIRECT("1:5")))),AW22)/MIN(COUNTIFS($C$8:$C22,C22),5)</f>
        <v>128.37283039851496</v>
      </c>
      <c r="BH22" s="46"/>
    </row>
    <row r="23" spans="1:61" x14ac:dyDescent="0.3">
      <c r="A23" s="125">
        <f t="shared" si="1"/>
        <v>16</v>
      </c>
      <c r="B23" s="25">
        <f>'Rock Climbing Log'!B23</f>
        <v>43121</v>
      </c>
      <c r="C23" s="126" t="str">
        <f>'Rock Climbing Log'!C23</f>
        <v>Lester</v>
      </c>
      <c r="D23" s="26">
        <f>_xlfn.IFNA(IF(LEFT('Rock Climbing Log'!D23)="C",_xlfn.IFNA(VLOOKUP('Rock Climbing Log'!D23,'RC Lookup'!$A$3:$B$9,2,FALSE),0.5),VLOOKUP('Rock Climbing Log'!D23,'RC Lookup'!$G$3:$H$5,2,FALSE)),0)*VLOOKUP(D$7,'RC Lookup'!$D$3:$E$18,2,FALSE)</f>
        <v>0</v>
      </c>
      <c r="E23" s="26">
        <f>_xlfn.IFNA(IF(LEFT('Rock Climbing Log'!E23)="C",_xlfn.IFNA(VLOOKUP('Rock Climbing Log'!E23,'RC Lookup'!$A$3:$B$9,2,FALSE),0.5),VLOOKUP('Rock Climbing Log'!E23,'RC Lookup'!$G$3:$H$5,2,FALSE)),0)*VLOOKUP(D$7,'RC Lookup'!$D$3:$E$18,2,FALSE)</f>
        <v>0</v>
      </c>
      <c r="F23" s="26">
        <f>_xlfn.IFNA(IF(LEFT('Rock Climbing Log'!F23)="C",_xlfn.IFNA(VLOOKUP('Rock Climbing Log'!F23,'RC Lookup'!$A$3:$B$9,2,FALSE),0.5),VLOOKUP('Rock Climbing Log'!F23,'RC Lookup'!$G$3:$H$5,2,FALSE)),0)*VLOOKUP(D$7,'RC Lookup'!$D$3:$E$18,2,FALSE)</f>
        <v>0</v>
      </c>
      <c r="G23" s="26">
        <f>_xlfn.IFNA(IF(LEFT('Rock Climbing Log'!G23)="C",_xlfn.IFNA(VLOOKUP('Rock Climbing Log'!G23,'RC Lookup'!$A$3:$B$9,2,FALSE),0.5),VLOOKUP('Rock Climbing Log'!G23,'RC Lookup'!$G$3:$H$5,2,FALSE)),0)*VLOOKUP(G$7,'RC Lookup'!$D$3:$E$18,2,FALSE)</f>
        <v>0</v>
      </c>
      <c r="H23" s="26">
        <f>_xlfn.IFNA(IF(LEFT('Rock Climbing Log'!H23)="C",_xlfn.IFNA(VLOOKUP('Rock Climbing Log'!H23,'RC Lookup'!$A$3:$B$9,2,FALSE),0.5),VLOOKUP('Rock Climbing Log'!H23,'RC Lookup'!$G$3:$H$5,2,FALSE)),0)*VLOOKUP(G$7,'RC Lookup'!$D$3:$E$18,2,FALSE)</f>
        <v>0</v>
      </c>
      <c r="I23" s="26">
        <f>_xlfn.IFNA(IF(LEFT('Rock Climbing Log'!I23)="C",_xlfn.IFNA(VLOOKUP('Rock Climbing Log'!I23,'RC Lookup'!$A$3:$B$9,2,FALSE),0.5),VLOOKUP('Rock Climbing Log'!I23,'RC Lookup'!$G$3:$H$5,2,FALSE)),0)*VLOOKUP(G$7,'RC Lookup'!$D$3:$E$18,2,FALSE)</f>
        <v>0</v>
      </c>
      <c r="J23" s="26">
        <f>_xlfn.IFNA(IF(LEFT('Rock Climbing Log'!J23)="C",_xlfn.IFNA(VLOOKUP('Rock Climbing Log'!J23,'RC Lookup'!$A$3:$B$9,2,FALSE),0.5),VLOOKUP('Rock Climbing Log'!J23,'RC Lookup'!$G$3:$H$5,2,FALSE)),0)*VLOOKUP(J$7,'RC Lookup'!$D$3:$E$18,2,FALSE)</f>
        <v>0</v>
      </c>
      <c r="K23" s="26">
        <f>_xlfn.IFNA(IF(LEFT('Rock Climbing Log'!K23)="C",_xlfn.IFNA(VLOOKUP('Rock Climbing Log'!K23,'RC Lookup'!$A$3:$B$9,2,FALSE),0.5),VLOOKUP('Rock Climbing Log'!K23,'RC Lookup'!$G$3:$H$5,2,FALSE)),0)*VLOOKUP(J$7,'RC Lookup'!$D$3:$E$18,2,FALSE)</f>
        <v>0</v>
      </c>
      <c r="L23" s="26">
        <f>_xlfn.IFNA(IF(LEFT('Rock Climbing Log'!L23)="C",_xlfn.IFNA(VLOOKUP('Rock Climbing Log'!L23,'RC Lookup'!$A$3:$B$9,2,FALSE),0.5),VLOOKUP('Rock Climbing Log'!L23,'RC Lookup'!$G$3:$H$5,2,FALSE)),0)*VLOOKUP(J$7,'RC Lookup'!$D$3:$E$18,2,FALSE)</f>
        <v>0</v>
      </c>
      <c r="M23" s="26">
        <f>_xlfn.IFNA(IF(LEFT('Rock Climbing Log'!M23)="C",_xlfn.IFNA(VLOOKUP('Rock Climbing Log'!M23,'RC Lookup'!$A$3:$B$9,2,FALSE),0.5),VLOOKUP('Rock Climbing Log'!M23,'RC Lookup'!$G$3:$H$5,2,FALSE)),0)*VLOOKUP(M$7,'RC Lookup'!$D$3:$E$18,2,FALSE)</f>
        <v>0</v>
      </c>
      <c r="N23" s="26">
        <f>_xlfn.IFNA(IF(LEFT('Rock Climbing Log'!N23)="C",_xlfn.IFNA(VLOOKUP('Rock Climbing Log'!N23,'RC Lookup'!$A$3:$B$9,2,FALSE),0.5),VLOOKUP('Rock Climbing Log'!N23,'RC Lookup'!$G$3:$H$5,2,FALSE)),0)*VLOOKUP(M$7,'RC Lookup'!$D$3:$E$18,2,FALSE)</f>
        <v>0</v>
      </c>
      <c r="O23" s="26">
        <f>_xlfn.IFNA(IF(LEFT('Rock Climbing Log'!O23)="C",_xlfn.IFNA(VLOOKUP('Rock Climbing Log'!O23,'RC Lookup'!$A$3:$B$9,2,FALSE),0.5),VLOOKUP('Rock Climbing Log'!O23,'RC Lookup'!$G$3:$H$5,2,FALSE)),0)*VLOOKUP(M$7,'RC Lookup'!$D$3:$E$18,2,FALSE)</f>
        <v>0</v>
      </c>
      <c r="P23" s="26">
        <f>_xlfn.IFNA(IF(LEFT('Rock Climbing Log'!P23)="C",_xlfn.IFNA(VLOOKUP('Rock Climbing Log'!P23,'RC Lookup'!$A$3:$B$9,2,FALSE),0.5),VLOOKUP('Rock Climbing Log'!P23,'RC Lookup'!$G$3:$H$5,2,FALSE)),0)*VLOOKUP(P$7,'RC Lookup'!$D$3:$E$18,2,FALSE)</f>
        <v>0</v>
      </c>
      <c r="Q23" s="26">
        <f>_xlfn.IFNA(IF(LEFT('Rock Climbing Log'!Q23)="C",_xlfn.IFNA(VLOOKUP('Rock Climbing Log'!Q23,'RC Lookup'!$A$3:$B$9,2,FALSE),0.5),VLOOKUP('Rock Climbing Log'!Q23,'RC Lookup'!$G$3:$H$5,2,FALSE)),0)*VLOOKUP(P$7,'RC Lookup'!$D$3:$E$18,2,FALSE)</f>
        <v>0</v>
      </c>
      <c r="R23" s="26">
        <f>_xlfn.IFNA(IF(LEFT('Rock Climbing Log'!R23)="C",_xlfn.IFNA(VLOOKUP('Rock Climbing Log'!R23,'RC Lookup'!$A$3:$B$9,2,FALSE),0.5),VLOOKUP('Rock Climbing Log'!R23,'RC Lookup'!$G$3:$H$5,2,FALSE)),0)*VLOOKUP(P$7,'RC Lookup'!$D$3:$E$18,2,FALSE)</f>
        <v>0</v>
      </c>
      <c r="S23" s="26">
        <f>_xlfn.IFNA(IF(LEFT('Rock Climbing Log'!S23)="C",_xlfn.IFNA(VLOOKUP('Rock Climbing Log'!S23,'RC Lookup'!$A$3:$B$9,2,FALSE),0.5),VLOOKUP('Rock Climbing Log'!S23,'RC Lookup'!$G$3:$H$5,2,FALSE)),0)*VLOOKUP(S$7,'RC Lookup'!$D$3:$E$18,2,FALSE)</f>
        <v>0</v>
      </c>
      <c r="T23" s="26">
        <f>_xlfn.IFNA(IF(LEFT('Rock Climbing Log'!T23)="C",_xlfn.IFNA(VLOOKUP('Rock Climbing Log'!T23,'RC Lookup'!$A$3:$B$9,2,FALSE),0.5),VLOOKUP('Rock Climbing Log'!T23,'RC Lookup'!$G$3:$H$5,2,FALSE)),0)*VLOOKUP(S$7,'RC Lookup'!$D$3:$E$18,2,FALSE)</f>
        <v>0</v>
      </c>
      <c r="U23" s="26">
        <f>_xlfn.IFNA(IF(LEFT('Rock Climbing Log'!U23)="C",_xlfn.IFNA(VLOOKUP('Rock Climbing Log'!U23,'RC Lookup'!$A$3:$B$9,2,FALSE),0.5),VLOOKUP('Rock Climbing Log'!U23,'RC Lookup'!$G$3:$H$5,2,FALSE)),0)*VLOOKUP(S$7,'RC Lookup'!$D$3:$E$18,2,FALSE)</f>
        <v>0</v>
      </c>
      <c r="V23" s="26">
        <f>_xlfn.IFNA(IF(LEFT('Rock Climbing Log'!V23)="C",_xlfn.IFNA(VLOOKUP('Rock Climbing Log'!V23,'RC Lookup'!$A$3:$B$9,2,FALSE),0.5),VLOOKUP('Rock Climbing Log'!V23,'RC Lookup'!$G$3:$H$5,2,FALSE)),0)*VLOOKUP(V$7,'RC Lookup'!$D$3:$E$18,2,FALSE)</f>
        <v>35.256745742400021</v>
      </c>
      <c r="W23" s="26">
        <f>_xlfn.IFNA(IF(LEFT('Rock Climbing Log'!W23)="C",_xlfn.IFNA(VLOOKUP('Rock Climbing Log'!W23,'RC Lookup'!$A$3:$B$9,2,FALSE),0.5),VLOOKUP('Rock Climbing Log'!W23,'RC Lookup'!$G$3:$H$5,2,FALSE)),0)*VLOOKUP(V$7,'RC Lookup'!$D$3:$E$18,2,FALSE)</f>
        <v>0</v>
      </c>
      <c r="X23" s="26">
        <f>_xlfn.IFNA(IF(LEFT('Rock Climbing Log'!X23)="C",_xlfn.IFNA(VLOOKUP('Rock Climbing Log'!X23,'RC Lookup'!$A$3:$B$9,2,FALSE),0.5),VLOOKUP('Rock Climbing Log'!X23,'RC Lookup'!$G$3:$H$5,2,FALSE)),0)*VLOOKUP(V$7,'RC Lookup'!$D$3:$E$18,2,FALSE)</f>
        <v>0</v>
      </c>
      <c r="Y23" s="26">
        <f>_xlfn.IFNA(IF(LEFT('Rock Climbing Log'!Y23)="C",_xlfn.IFNA(VLOOKUP('Rock Climbing Log'!Y23,'RC Lookup'!$A$3:$B$9,2,FALSE),0.5),VLOOKUP('Rock Climbing Log'!Y23,'RC Lookup'!$G$3:$H$5,2,FALSE)),0)*VLOOKUP(Y$7,'RC Lookup'!$D$3:$E$18,2,FALSE)</f>
        <v>0</v>
      </c>
      <c r="Z23" s="26">
        <f>_xlfn.IFNA(IF(LEFT('Rock Climbing Log'!Z23)="C",_xlfn.IFNA(VLOOKUP('Rock Climbing Log'!Z23,'RC Lookup'!$A$3:$B$9,2,FALSE),0.5),VLOOKUP('Rock Climbing Log'!Z23,'RC Lookup'!$G$3:$H$5,2,FALSE)),0)*VLOOKUP(Y$7,'RC Lookup'!$D$3:$E$18,2,FALSE)</f>
        <v>0</v>
      </c>
      <c r="AA23" s="26">
        <f>_xlfn.IFNA(IF(LEFT('Rock Climbing Log'!AA23)="C",_xlfn.IFNA(VLOOKUP('Rock Climbing Log'!AA23,'RC Lookup'!$A$3:$B$9,2,FALSE),0.5),VLOOKUP('Rock Climbing Log'!AA23,'RC Lookup'!$G$3:$H$5,2,FALSE)),0)*VLOOKUP(Y$7,'RC Lookup'!$D$3:$E$18,2,FALSE)</f>
        <v>0</v>
      </c>
      <c r="AB23" s="26">
        <f>_xlfn.IFNA(IF(LEFT('Rock Climbing Log'!AB23)="C",_xlfn.IFNA(VLOOKUP('Rock Climbing Log'!AB23,'RC Lookup'!$A$3:$B$9,2,FALSE),0.5),VLOOKUP('Rock Climbing Log'!AB23,'RC Lookup'!$G$3:$H$5,2,FALSE)),0)*VLOOKUP(AB$7,'RC Lookup'!$D$3:$E$18,2,FALSE)</f>
        <v>0</v>
      </c>
      <c r="AC23" s="26">
        <f>_xlfn.IFNA(IF(LEFT('Rock Climbing Log'!AC23)="C",_xlfn.IFNA(VLOOKUP('Rock Climbing Log'!AC23,'RC Lookup'!$A$3:$B$9,2,FALSE),0.5),VLOOKUP('Rock Climbing Log'!AC23,'RC Lookup'!$G$3:$H$5,2,FALSE)),0)*VLOOKUP(AB$7,'RC Lookup'!$D$3:$E$18,2,FALSE)</f>
        <v>0</v>
      </c>
      <c r="AD23" s="26">
        <f>_xlfn.IFNA(IF(LEFT('Rock Climbing Log'!AD23)="C",_xlfn.IFNA(VLOOKUP('Rock Climbing Log'!AD23,'RC Lookup'!$A$3:$B$9,2,FALSE),0.5),VLOOKUP('Rock Climbing Log'!AD23,'RC Lookup'!$G$3:$H$5,2,FALSE)),0)*VLOOKUP(AB$7,'RC Lookup'!$D$3:$E$18,2,FALSE)</f>
        <v>0</v>
      </c>
      <c r="AE23" s="26">
        <f>_xlfn.IFNA(IF(LEFT('Rock Climbing Log'!AE23)="C",_xlfn.IFNA(VLOOKUP('Rock Climbing Log'!AE23,'RC Lookup'!$A$3:$B$9,2,FALSE),0.5),VLOOKUP('Rock Climbing Log'!AE23,'RC Lookup'!$G$3:$H$5,2,FALSE)),0)*VLOOKUP(AE$7,'RC Lookup'!$D$3:$E$18,2,FALSE)</f>
        <v>67.867671846932893</v>
      </c>
      <c r="AF23" s="26">
        <f>_xlfn.IFNA(IF(LEFT('Rock Climbing Log'!AF23)="C",_xlfn.IFNA(VLOOKUP('Rock Climbing Log'!AF23,'RC Lookup'!$A$3:$B$9,2,FALSE),0.5),VLOOKUP('Rock Climbing Log'!AF23,'RC Lookup'!$G$3:$H$5,2,FALSE)),0)*VLOOKUP(AE$7,'RC Lookup'!$D$3:$E$18,2,FALSE)</f>
        <v>67.867671846932893</v>
      </c>
      <c r="AG23" s="26">
        <f>_xlfn.IFNA(IF(LEFT('Rock Climbing Log'!AG23)="C",_xlfn.IFNA(VLOOKUP('Rock Climbing Log'!AG23,'RC Lookup'!$A$3:$B$9,2,FALSE),0.5),VLOOKUP('Rock Climbing Log'!AG23,'RC Lookup'!$G$3:$H$5,2,FALSE)),0)*VLOOKUP(AE$7,'RC Lookup'!$D$3:$E$18,2,FALSE)</f>
        <v>0</v>
      </c>
      <c r="AH23" s="26">
        <f>_xlfn.IFNA(IF(LEFT('Rock Climbing Log'!AH23)="C",_xlfn.IFNA(VLOOKUP('Rock Climbing Log'!AH23,'RC Lookup'!$A$3:$B$9,2,FALSE),0.5),VLOOKUP('Rock Climbing Log'!AH23,'RC Lookup'!$G$3:$H$5,2,FALSE)),0)*VLOOKUP(AH$7,'RC Lookup'!$D$3:$E$18,2,FALSE)</f>
        <v>0</v>
      </c>
      <c r="AI23" s="26">
        <f>_xlfn.IFNA(IF(LEFT('Rock Climbing Log'!AI23)="C",_xlfn.IFNA(VLOOKUP('Rock Climbing Log'!AI23,'RC Lookup'!$A$3:$B$9,2,FALSE),0.5),VLOOKUP('Rock Climbing Log'!AI23,'RC Lookup'!$G$3:$H$5,2,FALSE)),0)*VLOOKUP(AH$7,'RC Lookup'!$D$3:$E$18,2,FALSE)</f>
        <v>0</v>
      </c>
      <c r="AJ23" s="26">
        <f>_xlfn.IFNA(IF(LEFT('Rock Climbing Log'!AJ23)="C",_xlfn.IFNA(VLOOKUP('Rock Climbing Log'!AJ23,'RC Lookup'!$A$3:$B$9,2,FALSE),0.5),VLOOKUP('Rock Climbing Log'!AJ23,'RC Lookup'!$G$3:$H$5,2,FALSE)),0)*VLOOKUP(AH$7,'RC Lookup'!$D$3:$E$18,2,FALSE)</f>
        <v>0</v>
      </c>
      <c r="AK23" s="26">
        <f>_xlfn.IFNA(IF(LEFT('Rock Climbing Log'!AK23)="C",_xlfn.IFNA(VLOOKUP('Rock Climbing Log'!AK23,'RC Lookup'!$A$3:$B$9,2,FALSE),0.5),VLOOKUP('Rock Climbing Log'!AK23,'RC Lookup'!$G$3:$H$5,2,FALSE)),0)*VLOOKUP(AK$7,'RC Lookup'!$D$3:$E$18,2,FALSE)</f>
        <v>0</v>
      </c>
      <c r="AL23" s="26">
        <f>_xlfn.IFNA(IF(LEFT('Rock Climbing Log'!AL23)="C",_xlfn.IFNA(VLOOKUP('Rock Climbing Log'!AL23,'RC Lookup'!$A$3:$B$9,2,FALSE),0.5),VLOOKUP('Rock Climbing Log'!AL23,'RC Lookup'!$G$3:$H$5,2,FALSE)),0)*VLOOKUP(AK$7,'RC Lookup'!$D$3:$E$18,2,FALSE)</f>
        <v>0</v>
      </c>
      <c r="AM23" s="26">
        <f>_xlfn.IFNA(IF(LEFT('Rock Climbing Log'!AM23)="C",_xlfn.IFNA(VLOOKUP('Rock Climbing Log'!AM23,'RC Lookup'!$A$3:$B$9,2,FALSE),0.5),VLOOKUP('Rock Climbing Log'!AM23,'RC Lookup'!$G$3:$H$5,2,FALSE)),0)*VLOOKUP(AK$7,'RC Lookup'!$D$3:$E$18,2,FALSE)</f>
        <v>0</v>
      </c>
      <c r="AN23" s="26">
        <f>_xlfn.IFNA(IF(LEFT('Rock Climbing Log'!AN23)="C",_xlfn.IFNA(VLOOKUP('Rock Climbing Log'!AN23,'RC Lookup'!$A$3:$B$9,2,FALSE),0.5),VLOOKUP('Rock Climbing Log'!AN23,'RC Lookup'!$G$3:$H$5,2,FALSE)),0)*VLOOKUP(AN$7,'RC Lookup'!$D$3:$E$18,2,FALSE)</f>
        <v>0</v>
      </c>
      <c r="AO23" s="26">
        <f>_xlfn.IFNA(IF(LEFT('Rock Climbing Log'!AO23)="C",_xlfn.IFNA(VLOOKUP('Rock Climbing Log'!AO23,'RC Lookup'!$A$3:$B$9,2,FALSE),0.5),VLOOKUP('Rock Climbing Log'!AO23,'RC Lookup'!$G$3:$H$5,2,FALSE)),0)*VLOOKUP(AN$7,'RC Lookup'!$D$3:$E$18,2,FALSE)</f>
        <v>0</v>
      </c>
      <c r="AP23" s="26">
        <f>_xlfn.IFNA(IF(LEFT('Rock Climbing Log'!AP23)="C",_xlfn.IFNA(VLOOKUP('Rock Climbing Log'!AP23,'RC Lookup'!$A$3:$B$9,2,FALSE),0.5),VLOOKUP('Rock Climbing Log'!AP23,'RC Lookup'!$G$3:$H$5,2,FALSE)),0)*VLOOKUP(AN$7,'RC Lookup'!$D$3:$E$18,2,FALSE)</f>
        <v>0</v>
      </c>
      <c r="AQ23" s="26">
        <f>_xlfn.IFNA(IF(LEFT('Rock Climbing Log'!AQ23)="C",_xlfn.IFNA(VLOOKUP('Rock Climbing Log'!AQ23,'RC Lookup'!$A$3:$B$9,2,FALSE),0.5),VLOOKUP('Rock Climbing Log'!AQ23,'RC Lookup'!$G$3:$H$5,2,FALSE)),0)*VLOOKUP(AQ$7,'RC Lookup'!$D$3:$E$18,2,FALSE)</f>
        <v>0</v>
      </c>
      <c r="AR23" s="26">
        <f>_xlfn.IFNA(IF(LEFT('Rock Climbing Log'!AR23)="C",_xlfn.IFNA(VLOOKUP('Rock Climbing Log'!AR23,'RC Lookup'!$A$3:$B$9,2,FALSE),0.5),VLOOKUP('Rock Climbing Log'!AR23,'RC Lookup'!$G$3:$H$5,2,FALSE)),0)*VLOOKUP(AQ$7,'RC Lookup'!$D$3:$E$18,2,FALSE)</f>
        <v>0</v>
      </c>
      <c r="AS23" s="26">
        <f>_xlfn.IFNA(IF(LEFT('Rock Climbing Log'!AS23)="C",_xlfn.IFNA(VLOOKUP('Rock Climbing Log'!AS23,'RC Lookup'!$A$3:$B$9,2,FALSE),0.5),VLOOKUP('Rock Climbing Log'!AS23,'RC Lookup'!$G$3:$H$5,2,FALSE)),0)*VLOOKUP(AQ$7,'RC Lookup'!$D$3:$E$18,2,FALSE)</f>
        <v>0</v>
      </c>
      <c r="AT23" s="26">
        <f>_xlfn.IFNA(IF(LEFT('Rock Climbing Log'!AT23)="C",_xlfn.IFNA(VLOOKUP('Rock Climbing Log'!AT23,'RC Lookup'!$A$3:$B$9,2,FALSE),0.5),VLOOKUP('Rock Climbing Log'!AT23,'RC Lookup'!$G$3:$H$5,2,FALSE)),0)*VLOOKUP(AT$7,'RC Lookup'!$D$3:$E$18,2,FALSE)</f>
        <v>0</v>
      </c>
      <c r="AU23" s="26">
        <f>_xlfn.IFNA(IF(LEFT('Rock Climbing Log'!AU23)="C",_xlfn.IFNA(VLOOKUP('Rock Climbing Log'!AU23,'RC Lookup'!$A$3:$B$9,2,FALSE),0.5),VLOOKUP('Rock Climbing Log'!AU23,'RC Lookup'!$G$3:$H$5,2,FALSE)),0)*VLOOKUP(AT$7,'RC Lookup'!$D$3:$E$18,2,FALSE)</f>
        <v>0</v>
      </c>
      <c r="AV23" s="26">
        <f>_xlfn.IFNA(IF(LEFT('Rock Climbing Log'!AV23)="C",_xlfn.IFNA(VLOOKUP('Rock Climbing Log'!AV23,'RC Lookup'!$A$3:$B$9,2,FALSE),0.5),VLOOKUP('Rock Climbing Log'!AV23,'RC Lookup'!$G$3:$H$5,2,FALSE)),0)*VLOOKUP(AT$7,'RC Lookup'!$D$3:$E$18,2,FALSE)</f>
        <v>0</v>
      </c>
      <c r="AW23" s="30">
        <f t="shared" ca="1" si="0"/>
        <v>170.99208943626581</v>
      </c>
      <c r="AX23" s="30">
        <f ca="1">_xlfn.IFNA(VLOOKUP(SUMPRODUCT(LARGE(($C$8:$C23=Table1[[#This Row],[Climber]])*$A$8:$A23,1)),$A$8:$AW23,MATCH($AW$7,$A$7:$AW$7,FALSE),FALSE),0)/LEFT($AX$7,FIND(" ",$AX$7))+_xlfn.IFNA(VLOOKUP(SUMPRODUCT(LARGE(($C$8:$C23=Table1[[#This Row],[Climber]])*$A$8:$A23,MIN(2,COUNTIFS($C$8:$C23,$C23)))),$A$8:$AW23,MATCH($AW$7,$A$7:$AW$7,FALSE),FALSE),0)/LEFT($AX$7,FIND(" ",$AX$7))+_xlfn.IFNA(VLOOKUP(SUMPRODUCT(LARGE(($C$8:$C23=Table1[[#This Row],[Climber]])*$A$8:$A23,MIN(3,COUNTIFS($C$8:$C23,$C23)))),$A$8:$AW23,MATCH($AW$7,$A$7:$AW$7,FALSE),FALSE),0)/LEFT($AX$7,FIND(" ",$AX$7))</f>
        <v>161.77015525748936</v>
      </c>
      <c r="AY23" s="30">
        <f ca="1">_xlfn.IFNA(VLOOKUP(SUMPRODUCT(LARGE(($C$8:$C23=Table1[[#This Row],[Climber]])*$A$8:$A23,1)),$A$8:$AW23,MATCH($AW$7,$A$7:$AW$7,FALSE),FALSE),0)/LEFT($AY$7,FIND(" ",$AY$7))+_xlfn.IFNA(VLOOKUP(SUMPRODUCT(LARGE(($C$8:$C23=Table1[[#This Row],[Climber]])*$A$8:$A23,MIN(2,COUNTIFS($C$8:$C23,$C23)))),$A$8:$AW23,MATCH($AW$7,$A$7:$AW$7,FALSE),FALSE),0)/LEFT($AY$7,FIND(" ",$AY$7))+_xlfn.IFNA(VLOOKUP(SUMPRODUCT(LARGE(($C$8:$C23=Table1[[#This Row],[Climber]])*$A$8:$A23,MIN(3,COUNTIFS($C$8:$C23,$C23)))),$A$8:$AW23,MATCH($AW$7,$A$7:$AW$7,FALSE),FALSE),0)/LEFT($AY$7,FIND(" ",$AY$7))+_xlfn.IFNA(VLOOKUP(SUMPRODUCT(LARGE(($C$8:$C23=Table1[[#This Row],[Climber]])*$A$8:$A23,MIN(4,COUNTIFS($C$8:$C23,$C23)))),$A$8:$AW23,MATCH($AW$7,$A$7:$AW$7,FALSE),FALSE),0)/LEFT($AY$7,FIND(" ",$AY$7))+_xlfn.IFNA(VLOOKUP(SUMPRODUCT(LARGE(($C$8:$C23=Table1[[#This Row],[Climber]])*$A$8:$A23,MIN(5,COUNTIFS($C$8:$C23,$C23)))),$A$8:$AW23,MATCH($AW$7,$A$7:$AW$7,FALSE),FALSE),0)/LEFT($AY$7,FIND(" ",$AY$7))</f>
        <v>146.73480113728814</v>
      </c>
      <c r="AZ23" s="30">
        <f ca="1">(_xlfn.IFNA(VLOOKUP(SUMPRODUCT(LARGE(($C$8:$C23=Table1[[#This Row],[Climber]])*$A$8:$A23,4)),$A$8:$AW23,MATCH($AW$7,$A$7:$AW$7,FALSE),FALSE),0)+_xlfn.IFNA(VLOOKUP(SUMPRODUCT(LARGE(($C$8:$C23=Table1[[#This Row],[Climber]])*$A$8:$A23,5)),$A$8:$AW23,MATCH($AW$7,$A$7:$AW$7,FALSE),FALSE),0)+_xlfn.IFNA(VLOOKUP(SUMPRODUCT(LARGE(($C$8:$C23=Table1[[#This Row],[Climber]])*$A$8:$A23,6)),$A$8:$AW23,MATCH($AW$7,$A$7:$AW$7,FALSE),FALSE),0))/3</f>
        <v>109.18192521879087</v>
      </c>
      <c r="BA23" s="6">
        <f ca="1">_xlfn.MAXIFS(INDIRECT("$AW"&amp;IF(SUMPRODUCT(LARGE(($C$8:$C23=$C23)*$A$8:$A23,LEFT($BA$7,FIND(" ",$BA$7)-1)))=0,8,SUMPRODUCT(LARGE(($C$8:$C23=$C23)*$A$8:$A23,LEFT($BA$7,FIND(" ",$BA$7)-1)))+7)&amp;":$AW"&amp;ROW()),INDIRECT("$C"&amp;IF(SUMPRODUCT(LARGE(($C$8:$C23=$C23)*$A$8:$A23,LEFT($BA$7,FIND(" ",$BA$7)-1)))=0,8,SUMPRODUCT(LARGE(($C$8:$C23=$C23)*$A$8:$A23,LEFT($BA$7,FIND(" ",$BA$7)-1)))+7)&amp;":$C"&amp;ROW()),$C23)</f>
        <v>170.99208943626581</v>
      </c>
      <c r="BB23" s="6" t="str">
        <f ca="1">VLOOKUP(MAX(BG23,$AX23),'RC Lookup'!$G$14:$J$20,2,TRUE)</f>
        <v>T4</v>
      </c>
      <c r="BC23" s="6">
        <f ca="1">_xlfn.IFNA(VLOOKUP(VLOOKUP($C23,'RC Lookup'!$O$3:$P$50,2,FALSE),'RC Lookup'!$H$14:$J$23,2,FALSE),0)*AW23</f>
        <v>51.74430879886831</v>
      </c>
      <c r="BD23" s="6">
        <f ca="1">_xlfn.IFNA(VLOOKUP(SUMPRODUCT(LARGE(($C$8:$C23=Table1[[#This Row],[Climber]])*$A$8:$A23,1)),$A$8:$BC23,55,FALSE),0)/LEFT($AX$7,FIND(" ",$AX$7))+_xlfn.IFNA(VLOOKUP(SUMPRODUCT(LARGE(($C$8:$C23=Table1[[#This Row],[Climber]])*$A$8:$A23,MIN(2,COUNTIFS($C$8:$C23,$C23)))),$A$8:$BC23,55,FALSE),0)/LEFT($AX$7,FIND(" ",$AX$7))+_xlfn.IFNA(VLOOKUP(SUMPRODUCT(LARGE(($C$8:$C23=Table1[[#This Row],[Climber]])*$A$8:$A23,MIN(3,COUNTIFS($C$8:$C23,$C23)))),$A$8:$BC23,55,FALSE),0)/LEFT($AX$7,FIND(" ",$AX$7))</f>
        <v>48.953638122566019</v>
      </c>
      <c r="BE23" s="6">
        <f ca="1">(_xlfn.IFNA(VLOOKUP(SUMPRODUCT(LARGE(($C$8:$C23=Table1[[#This Row],[Climber]])*$A$8:$A23,4)),$A$8:$BD23,55,FALSE),0)+_xlfn.IFNA(VLOOKUP(SUMPRODUCT(LARGE(($C$8:$C23=Table1[[#This Row],[Climber]])*$A$8:$A23,5)),$A$8:$BD23,55,FALSE),0)+_xlfn.IFNA(VLOOKUP(SUMPRODUCT(LARGE(($C$8:$C23=Table1[[#This Row],[Climber]])*$A$8:$A23,6)),$A$8:$BD23,55,FALSE),0))/3</f>
        <v>33.039793082836304</v>
      </c>
      <c r="BF23" s="46">
        <f ca="1">_xlfn.MAXIFS(INDIRECT("$BC"&amp;IF(SUMPRODUCT(LARGE(($C$8:$C23=$C23)*$A$8:$A23,LEFT($BA$7,FIND(" ",$BA$7)-1)))=0,8,SUMPRODUCT(LARGE(($C$8:$C23=$C23)*$A$8:$A23,LEFT($BA$7,FIND(" ",$BA$7)-1)))+7)&amp;":$BC"&amp;ROW()),INDIRECT("$C"&amp;IF(SUMPRODUCT(LARGE(($C$8:$C23=$C23)*$A$8:$A23,LEFT($BA$7,FIND(" ",$BA$7)-1)))=0,8,SUMPRODUCT(LARGE(($C$8:$C23=$C23)*$A$8:$A23,LEFT($BA$7,FIND(" ",$BA$7)-1)))+7)&amp;":$C"&amp;ROW()),$C23)</f>
        <v>51.74430879886831</v>
      </c>
      <c r="BG23" s="46">
        <f t="array" aca="1" ref="BG23" ca="1">IFERROR(SUMPRODUCT(LARGE(($C$8:$C23=Table1[[#This Row],[Climber]])*$AW$8:$AW23,ROW(INDIRECT("1:5")))),AW23)/MIN(COUNTIFS($C$8:$C23,C23),5)</f>
        <v>146.73480113728812</v>
      </c>
      <c r="BH23" s="46"/>
    </row>
    <row r="24" spans="1:61" x14ac:dyDescent="0.3">
      <c r="A24" s="125">
        <f t="shared" si="1"/>
        <v>17</v>
      </c>
      <c r="B24" s="25">
        <f>'Rock Climbing Log'!B24</f>
        <v>43121</v>
      </c>
      <c r="C24" s="126" t="str">
        <f>'Rock Climbing Log'!C24</f>
        <v>Michelle</v>
      </c>
      <c r="D24" s="26">
        <f>_xlfn.IFNA(IF(LEFT('Rock Climbing Log'!D24)="C",_xlfn.IFNA(VLOOKUP('Rock Climbing Log'!D24,'RC Lookup'!$A$3:$B$9,2,FALSE),0.5),VLOOKUP('Rock Climbing Log'!D24,'RC Lookup'!$G$3:$H$5,2,FALSE)),0)*VLOOKUP(D$7,'RC Lookup'!$D$3:$E$18,2,FALSE)</f>
        <v>10</v>
      </c>
      <c r="E24" s="26">
        <f>_xlfn.IFNA(IF(LEFT('Rock Climbing Log'!E24)="C",_xlfn.IFNA(VLOOKUP('Rock Climbing Log'!E24,'RC Lookup'!$A$3:$B$9,2,FALSE),0.5),VLOOKUP('Rock Climbing Log'!E24,'RC Lookup'!$G$3:$H$5,2,FALSE)),0)*VLOOKUP(D$7,'RC Lookup'!$D$3:$E$18,2,FALSE)</f>
        <v>0</v>
      </c>
      <c r="F24" s="26">
        <f>_xlfn.IFNA(IF(LEFT('Rock Climbing Log'!F24)="C",_xlfn.IFNA(VLOOKUP('Rock Climbing Log'!F24,'RC Lookup'!$A$3:$B$9,2,FALSE),0.5),VLOOKUP('Rock Climbing Log'!F24,'RC Lookup'!$G$3:$H$5,2,FALSE)),0)*VLOOKUP(D$7,'RC Lookup'!$D$3:$E$18,2,FALSE)</f>
        <v>0</v>
      </c>
      <c r="G24" s="26">
        <f>_xlfn.IFNA(IF(LEFT('Rock Climbing Log'!G24)="C",_xlfn.IFNA(VLOOKUP('Rock Climbing Log'!G24,'RC Lookup'!$A$3:$B$9,2,FALSE),0.5),VLOOKUP('Rock Climbing Log'!G24,'RC Lookup'!$G$3:$H$5,2,FALSE)),0)*VLOOKUP(G$7,'RC Lookup'!$D$3:$E$18,2,FALSE)</f>
        <v>12.5</v>
      </c>
      <c r="H24" s="26">
        <f>_xlfn.IFNA(IF(LEFT('Rock Climbing Log'!H24)="C",_xlfn.IFNA(VLOOKUP('Rock Climbing Log'!H24,'RC Lookup'!$A$3:$B$9,2,FALSE),0.5),VLOOKUP('Rock Climbing Log'!H24,'RC Lookup'!$G$3:$H$5,2,FALSE)),0)*VLOOKUP(G$7,'RC Lookup'!$D$3:$E$18,2,FALSE)</f>
        <v>12.5</v>
      </c>
      <c r="I24" s="26">
        <f>_xlfn.IFNA(IF(LEFT('Rock Climbing Log'!I24)="C",_xlfn.IFNA(VLOOKUP('Rock Climbing Log'!I24,'RC Lookup'!$A$3:$B$9,2,FALSE),0.5),VLOOKUP('Rock Climbing Log'!I24,'RC Lookup'!$G$3:$H$5,2,FALSE)),0)*VLOOKUP(G$7,'RC Lookup'!$D$3:$E$18,2,FALSE)</f>
        <v>12.5</v>
      </c>
      <c r="J24" s="26">
        <f>_xlfn.IFNA(IF(LEFT('Rock Climbing Log'!J24)="C",_xlfn.IFNA(VLOOKUP('Rock Climbing Log'!J24,'RC Lookup'!$A$3:$B$9,2,FALSE),0.5),VLOOKUP('Rock Climbing Log'!J24,'RC Lookup'!$G$3:$H$5,2,FALSE)),0)*VLOOKUP(J$7,'RC Lookup'!$D$3:$E$18,2,FALSE)</f>
        <v>0</v>
      </c>
      <c r="K24" s="26">
        <f>_xlfn.IFNA(IF(LEFT('Rock Climbing Log'!K24)="C",_xlfn.IFNA(VLOOKUP('Rock Climbing Log'!K24,'RC Lookup'!$A$3:$B$9,2,FALSE),0.5),VLOOKUP('Rock Climbing Log'!K24,'RC Lookup'!$G$3:$H$5,2,FALSE)),0)*VLOOKUP(J$7,'RC Lookup'!$D$3:$E$18,2,FALSE)</f>
        <v>0</v>
      </c>
      <c r="L24" s="26">
        <f>_xlfn.IFNA(IF(LEFT('Rock Climbing Log'!L24)="C",_xlfn.IFNA(VLOOKUP('Rock Climbing Log'!L24,'RC Lookup'!$A$3:$B$9,2,FALSE),0.5),VLOOKUP('Rock Climbing Log'!L24,'RC Lookup'!$G$3:$H$5,2,FALSE)),0)*VLOOKUP(J$7,'RC Lookup'!$D$3:$E$18,2,FALSE)</f>
        <v>0</v>
      </c>
      <c r="M24" s="26">
        <f>_xlfn.IFNA(IF(LEFT('Rock Climbing Log'!M24)="C",_xlfn.IFNA(VLOOKUP('Rock Climbing Log'!M24,'RC Lookup'!$A$3:$B$9,2,FALSE),0.5),VLOOKUP('Rock Climbing Log'!M24,'RC Lookup'!$G$3:$H$5,2,FALSE)),0)*VLOOKUP(M$7,'RC Lookup'!$D$3:$E$18,2,FALSE)</f>
        <v>0</v>
      </c>
      <c r="N24" s="26">
        <f>_xlfn.IFNA(IF(LEFT('Rock Climbing Log'!N24)="C",_xlfn.IFNA(VLOOKUP('Rock Climbing Log'!N24,'RC Lookup'!$A$3:$B$9,2,FALSE),0.5),VLOOKUP('Rock Climbing Log'!N24,'RC Lookup'!$G$3:$H$5,2,FALSE)),0)*VLOOKUP(M$7,'RC Lookup'!$D$3:$E$18,2,FALSE)</f>
        <v>0</v>
      </c>
      <c r="O24" s="26">
        <f>_xlfn.IFNA(IF(LEFT('Rock Climbing Log'!O24)="C",_xlfn.IFNA(VLOOKUP('Rock Climbing Log'!O24,'RC Lookup'!$A$3:$B$9,2,FALSE),0.5),VLOOKUP('Rock Climbing Log'!O24,'RC Lookup'!$G$3:$H$5,2,FALSE)),0)*VLOOKUP(M$7,'RC Lookup'!$D$3:$E$18,2,FALSE)</f>
        <v>0</v>
      </c>
      <c r="P24" s="26">
        <f>_xlfn.IFNA(IF(LEFT('Rock Climbing Log'!P24)="C",_xlfn.IFNA(VLOOKUP('Rock Climbing Log'!P24,'RC Lookup'!$A$3:$B$9,2,FALSE),0.5),VLOOKUP('Rock Climbing Log'!P24,'RC Lookup'!$G$3:$H$5,2,FALSE)),0)*VLOOKUP(P$7,'RC Lookup'!$D$3:$E$18,2,FALSE)</f>
        <v>11.961495000000003</v>
      </c>
      <c r="Q24" s="26">
        <f>_xlfn.IFNA(IF(LEFT('Rock Climbing Log'!Q24)="C",_xlfn.IFNA(VLOOKUP('Rock Climbing Log'!Q24,'RC Lookup'!$A$3:$B$9,2,FALSE),0.5),VLOOKUP('Rock Climbing Log'!Q24,'RC Lookup'!$G$3:$H$5,2,FALSE)),0)*VLOOKUP(P$7,'RC Lookup'!$D$3:$E$18,2,FALSE)</f>
        <v>0</v>
      </c>
      <c r="R24" s="26">
        <f>_xlfn.IFNA(IF(LEFT('Rock Climbing Log'!R24)="C",_xlfn.IFNA(VLOOKUP('Rock Climbing Log'!R24,'RC Lookup'!$A$3:$B$9,2,FALSE),0.5),VLOOKUP('Rock Climbing Log'!R24,'RC Lookup'!$G$3:$H$5,2,FALSE)),0)*VLOOKUP(P$7,'RC Lookup'!$D$3:$E$18,2,FALSE)</f>
        <v>0</v>
      </c>
      <c r="S24" s="26">
        <f>_xlfn.IFNA(IF(LEFT('Rock Climbing Log'!S24)="C",_xlfn.IFNA(VLOOKUP('Rock Climbing Log'!S24,'RC Lookup'!$A$3:$B$9,2,FALSE),0.5),VLOOKUP('Rock Climbing Log'!S24,'RC Lookup'!$G$3:$H$5,2,FALSE)),0)*VLOOKUP(S$7,'RC Lookup'!$D$3:$E$18,2,FALSE)</f>
        <v>0</v>
      </c>
      <c r="T24" s="26">
        <f>_xlfn.IFNA(IF(LEFT('Rock Climbing Log'!T24)="C",_xlfn.IFNA(VLOOKUP('Rock Climbing Log'!T24,'RC Lookup'!$A$3:$B$9,2,FALSE),0.5),VLOOKUP('Rock Climbing Log'!T24,'RC Lookup'!$G$3:$H$5,2,FALSE)),0)*VLOOKUP(S$7,'RC Lookup'!$D$3:$E$18,2,FALSE)</f>
        <v>0</v>
      </c>
      <c r="U24" s="26">
        <f>_xlfn.IFNA(IF(LEFT('Rock Climbing Log'!U24)="C",_xlfn.IFNA(VLOOKUP('Rock Climbing Log'!U24,'RC Lookup'!$A$3:$B$9,2,FALSE),0.5),VLOOKUP('Rock Climbing Log'!U24,'RC Lookup'!$G$3:$H$5,2,FALSE)),0)*VLOOKUP(S$7,'RC Lookup'!$D$3:$E$18,2,FALSE)</f>
        <v>0</v>
      </c>
      <c r="V24" s="26">
        <f>_xlfn.IFNA(IF(LEFT('Rock Climbing Log'!V24)="C",_xlfn.IFNA(VLOOKUP('Rock Climbing Log'!V24,'RC Lookup'!$A$3:$B$9,2,FALSE),0.5),VLOOKUP('Rock Climbing Log'!V24,'RC Lookup'!$G$3:$H$5,2,FALSE)),0)*VLOOKUP(V$7,'RC Lookup'!$D$3:$E$18,2,FALSE)</f>
        <v>0</v>
      </c>
      <c r="W24" s="26">
        <f>_xlfn.IFNA(IF(LEFT('Rock Climbing Log'!W24)="C",_xlfn.IFNA(VLOOKUP('Rock Climbing Log'!W24,'RC Lookup'!$A$3:$B$9,2,FALSE),0.5),VLOOKUP('Rock Climbing Log'!W24,'RC Lookup'!$G$3:$H$5,2,FALSE)),0)*VLOOKUP(V$7,'RC Lookup'!$D$3:$E$18,2,FALSE)</f>
        <v>0</v>
      </c>
      <c r="X24" s="26">
        <f>_xlfn.IFNA(IF(LEFT('Rock Climbing Log'!X24)="C",_xlfn.IFNA(VLOOKUP('Rock Climbing Log'!X24,'RC Lookup'!$A$3:$B$9,2,FALSE),0.5),VLOOKUP('Rock Climbing Log'!X24,'RC Lookup'!$G$3:$H$5,2,FALSE)),0)*VLOOKUP(V$7,'RC Lookup'!$D$3:$E$18,2,FALSE)</f>
        <v>0</v>
      </c>
      <c r="Y24" s="26">
        <f>_xlfn.IFNA(IF(LEFT('Rock Climbing Log'!Y24)="C",_xlfn.IFNA(VLOOKUP('Rock Climbing Log'!Y24,'RC Lookup'!$A$3:$B$9,2,FALSE),0.5),VLOOKUP('Rock Climbing Log'!Y24,'RC Lookup'!$G$3:$H$5,2,FALSE)),0)*VLOOKUP(Y$7,'RC Lookup'!$D$3:$E$18,2,FALSE)</f>
        <v>0</v>
      </c>
      <c r="Z24" s="26">
        <f>_xlfn.IFNA(IF(LEFT('Rock Climbing Log'!Z24)="C",_xlfn.IFNA(VLOOKUP('Rock Climbing Log'!Z24,'RC Lookup'!$A$3:$B$9,2,FALSE),0.5),VLOOKUP('Rock Climbing Log'!Z24,'RC Lookup'!$G$3:$H$5,2,FALSE)),0)*VLOOKUP(Y$7,'RC Lookup'!$D$3:$E$18,2,FALSE)</f>
        <v>0</v>
      </c>
      <c r="AA24" s="26">
        <f>_xlfn.IFNA(IF(LEFT('Rock Climbing Log'!AA24)="C",_xlfn.IFNA(VLOOKUP('Rock Climbing Log'!AA24,'RC Lookup'!$A$3:$B$9,2,FALSE),0.5),VLOOKUP('Rock Climbing Log'!AA24,'RC Lookup'!$G$3:$H$5,2,FALSE)),0)*VLOOKUP(Y$7,'RC Lookup'!$D$3:$E$18,2,FALSE)</f>
        <v>0</v>
      </c>
      <c r="AB24" s="26">
        <f>_xlfn.IFNA(IF(LEFT('Rock Climbing Log'!AB24)="C",_xlfn.IFNA(VLOOKUP('Rock Climbing Log'!AB24,'RC Lookup'!$A$3:$B$9,2,FALSE),0.5),VLOOKUP('Rock Climbing Log'!AB24,'RC Lookup'!$G$3:$H$5,2,FALSE)),0)*VLOOKUP(AB$7,'RC Lookup'!$D$3:$E$18,2,FALSE)</f>
        <v>0</v>
      </c>
      <c r="AC24" s="26">
        <f>_xlfn.IFNA(IF(LEFT('Rock Climbing Log'!AC24)="C",_xlfn.IFNA(VLOOKUP('Rock Climbing Log'!AC24,'RC Lookup'!$A$3:$B$9,2,FALSE),0.5),VLOOKUP('Rock Climbing Log'!AC24,'RC Lookup'!$G$3:$H$5,2,FALSE)),0)*VLOOKUP(AB$7,'RC Lookup'!$D$3:$E$18,2,FALSE)</f>
        <v>0</v>
      </c>
      <c r="AD24" s="26">
        <f>_xlfn.IFNA(IF(LEFT('Rock Climbing Log'!AD24)="C",_xlfn.IFNA(VLOOKUP('Rock Climbing Log'!AD24,'RC Lookup'!$A$3:$B$9,2,FALSE),0.5),VLOOKUP('Rock Climbing Log'!AD24,'RC Lookup'!$G$3:$H$5,2,FALSE)),0)*VLOOKUP(AB$7,'RC Lookup'!$D$3:$E$18,2,FALSE)</f>
        <v>0</v>
      </c>
      <c r="AE24" s="26">
        <f>_xlfn.IFNA(IF(LEFT('Rock Climbing Log'!AE24)="C",_xlfn.IFNA(VLOOKUP('Rock Climbing Log'!AE24,'RC Lookup'!$A$3:$B$9,2,FALSE),0.5),VLOOKUP('Rock Climbing Log'!AE24,'RC Lookup'!$G$3:$H$5,2,FALSE)),0)*VLOOKUP(AE$7,'RC Lookup'!$D$3:$E$18,2,FALSE)</f>
        <v>0</v>
      </c>
      <c r="AF24" s="26">
        <f>_xlfn.IFNA(IF(LEFT('Rock Climbing Log'!AF24)="C",_xlfn.IFNA(VLOOKUP('Rock Climbing Log'!AF24,'RC Lookup'!$A$3:$B$9,2,FALSE),0.5),VLOOKUP('Rock Climbing Log'!AF24,'RC Lookup'!$G$3:$H$5,2,FALSE)),0)*VLOOKUP(AE$7,'RC Lookup'!$D$3:$E$18,2,FALSE)</f>
        <v>0</v>
      </c>
      <c r="AG24" s="26">
        <f>_xlfn.IFNA(IF(LEFT('Rock Climbing Log'!AG24)="C",_xlfn.IFNA(VLOOKUP('Rock Climbing Log'!AG24,'RC Lookup'!$A$3:$B$9,2,FALSE),0.5),VLOOKUP('Rock Climbing Log'!AG24,'RC Lookup'!$G$3:$H$5,2,FALSE)),0)*VLOOKUP(AE$7,'RC Lookup'!$D$3:$E$18,2,FALSE)</f>
        <v>0</v>
      </c>
      <c r="AH24" s="26">
        <f>_xlfn.IFNA(IF(LEFT('Rock Climbing Log'!AH24)="C",_xlfn.IFNA(VLOOKUP('Rock Climbing Log'!AH24,'RC Lookup'!$A$3:$B$9,2,FALSE),0.5),VLOOKUP('Rock Climbing Log'!AH24,'RC Lookup'!$G$3:$H$5,2,FALSE)),0)*VLOOKUP(AH$7,'RC Lookup'!$D$3:$E$18,2,FALSE)</f>
        <v>0</v>
      </c>
      <c r="AI24" s="26">
        <f>_xlfn.IFNA(IF(LEFT('Rock Climbing Log'!AI24)="C",_xlfn.IFNA(VLOOKUP('Rock Climbing Log'!AI24,'RC Lookup'!$A$3:$B$9,2,FALSE),0.5),VLOOKUP('Rock Climbing Log'!AI24,'RC Lookup'!$G$3:$H$5,2,FALSE)),0)*VLOOKUP(AH$7,'RC Lookup'!$D$3:$E$18,2,FALSE)</f>
        <v>0</v>
      </c>
      <c r="AJ24" s="26">
        <f>_xlfn.IFNA(IF(LEFT('Rock Climbing Log'!AJ24)="C",_xlfn.IFNA(VLOOKUP('Rock Climbing Log'!AJ24,'RC Lookup'!$A$3:$B$9,2,FALSE),0.5),VLOOKUP('Rock Climbing Log'!AJ24,'RC Lookup'!$G$3:$H$5,2,FALSE)),0)*VLOOKUP(AH$7,'RC Lookup'!$D$3:$E$18,2,FALSE)</f>
        <v>0</v>
      </c>
      <c r="AK24" s="26">
        <f>_xlfn.IFNA(IF(LEFT('Rock Climbing Log'!AK24)="C",_xlfn.IFNA(VLOOKUP('Rock Climbing Log'!AK24,'RC Lookup'!$A$3:$B$9,2,FALSE),0.5),VLOOKUP('Rock Climbing Log'!AK24,'RC Lookup'!$G$3:$H$5,2,FALSE)),0)*VLOOKUP(AK$7,'RC Lookup'!$D$3:$E$18,2,FALSE)</f>
        <v>0</v>
      </c>
      <c r="AL24" s="26">
        <f>_xlfn.IFNA(IF(LEFT('Rock Climbing Log'!AL24)="C",_xlfn.IFNA(VLOOKUP('Rock Climbing Log'!AL24,'RC Lookup'!$A$3:$B$9,2,FALSE),0.5),VLOOKUP('Rock Climbing Log'!AL24,'RC Lookup'!$G$3:$H$5,2,FALSE)),0)*VLOOKUP(AK$7,'RC Lookup'!$D$3:$E$18,2,FALSE)</f>
        <v>0</v>
      </c>
      <c r="AM24" s="26">
        <f>_xlfn.IFNA(IF(LEFT('Rock Climbing Log'!AM24)="C",_xlfn.IFNA(VLOOKUP('Rock Climbing Log'!AM24,'RC Lookup'!$A$3:$B$9,2,FALSE),0.5),VLOOKUP('Rock Climbing Log'!AM24,'RC Lookup'!$G$3:$H$5,2,FALSE)),0)*VLOOKUP(AK$7,'RC Lookup'!$D$3:$E$18,2,FALSE)</f>
        <v>0</v>
      </c>
      <c r="AN24" s="26">
        <f>_xlfn.IFNA(IF(LEFT('Rock Climbing Log'!AN24)="C",_xlfn.IFNA(VLOOKUP('Rock Climbing Log'!AN24,'RC Lookup'!$A$3:$B$9,2,FALSE),0.5),VLOOKUP('Rock Climbing Log'!AN24,'RC Lookup'!$G$3:$H$5,2,FALSE)),0)*VLOOKUP(AN$7,'RC Lookup'!$D$3:$E$18,2,FALSE)</f>
        <v>0</v>
      </c>
      <c r="AO24" s="26">
        <f>_xlfn.IFNA(IF(LEFT('Rock Climbing Log'!AO24)="C",_xlfn.IFNA(VLOOKUP('Rock Climbing Log'!AO24,'RC Lookup'!$A$3:$B$9,2,FALSE),0.5),VLOOKUP('Rock Climbing Log'!AO24,'RC Lookup'!$G$3:$H$5,2,FALSE)),0)*VLOOKUP(AN$7,'RC Lookup'!$D$3:$E$18,2,FALSE)</f>
        <v>0</v>
      </c>
      <c r="AP24" s="26">
        <f>_xlfn.IFNA(IF(LEFT('Rock Climbing Log'!AP24)="C",_xlfn.IFNA(VLOOKUP('Rock Climbing Log'!AP24,'RC Lookup'!$A$3:$B$9,2,FALSE),0.5),VLOOKUP('Rock Climbing Log'!AP24,'RC Lookup'!$G$3:$H$5,2,FALSE)),0)*VLOOKUP(AN$7,'RC Lookup'!$D$3:$E$18,2,FALSE)</f>
        <v>0</v>
      </c>
      <c r="AQ24" s="26">
        <f>_xlfn.IFNA(IF(LEFT('Rock Climbing Log'!AQ24)="C",_xlfn.IFNA(VLOOKUP('Rock Climbing Log'!AQ24,'RC Lookup'!$A$3:$B$9,2,FALSE),0.5),VLOOKUP('Rock Climbing Log'!AQ24,'RC Lookup'!$G$3:$H$5,2,FALSE)),0)*VLOOKUP(AQ$7,'RC Lookup'!$D$3:$E$18,2,FALSE)</f>
        <v>0</v>
      </c>
      <c r="AR24" s="26">
        <f>_xlfn.IFNA(IF(LEFT('Rock Climbing Log'!AR24)="C",_xlfn.IFNA(VLOOKUP('Rock Climbing Log'!AR24,'RC Lookup'!$A$3:$B$9,2,FALSE),0.5),VLOOKUP('Rock Climbing Log'!AR24,'RC Lookup'!$G$3:$H$5,2,FALSE)),0)*VLOOKUP(AQ$7,'RC Lookup'!$D$3:$E$18,2,FALSE)</f>
        <v>0</v>
      </c>
      <c r="AS24" s="26">
        <f>_xlfn.IFNA(IF(LEFT('Rock Climbing Log'!AS24)="C",_xlfn.IFNA(VLOOKUP('Rock Climbing Log'!AS24,'RC Lookup'!$A$3:$B$9,2,FALSE),0.5),VLOOKUP('Rock Climbing Log'!AS24,'RC Lookup'!$G$3:$H$5,2,FALSE)),0)*VLOOKUP(AQ$7,'RC Lookup'!$D$3:$E$18,2,FALSE)</f>
        <v>0</v>
      </c>
      <c r="AT24" s="26">
        <f>_xlfn.IFNA(IF(LEFT('Rock Climbing Log'!AT24)="C",_xlfn.IFNA(VLOOKUP('Rock Climbing Log'!AT24,'RC Lookup'!$A$3:$B$9,2,FALSE),0.5),VLOOKUP('Rock Climbing Log'!AT24,'RC Lookup'!$G$3:$H$5,2,FALSE)),0)*VLOOKUP(AT$7,'RC Lookup'!$D$3:$E$18,2,FALSE)</f>
        <v>0</v>
      </c>
      <c r="AU24" s="26">
        <f>_xlfn.IFNA(IF(LEFT('Rock Climbing Log'!AU24)="C",_xlfn.IFNA(VLOOKUP('Rock Climbing Log'!AU24,'RC Lookup'!$A$3:$B$9,2,FALSE),0.5),VLOOKUP('Rock Climbing Log'!AU24,'RC Lookup'!$G$3:$H$5,2,FALSE)),0)*VLOOKUP(AT$7,'RC Lookup'!$D$3:$E$18,2,FALSE)</f>
        <v>0</v>
      </c>
      <c r="AV24" s="26">
        <f>_xlfn.IFNA(IF(LEFT('Rock Climbing Log'!AV24)="C",_xlfn.IFNA(VLOOKUP('Rock Climbing Log'!AV24,'RC Lookup'!$A$3:$B$9,2,FALSE),0.5),VLOOKUP('Rock Climbing Log'!AV24,'RC Lookup'!$G$3:$H$5,2,FALSE)),0)*VLOOKUP(AT$7,'RC Lookup'!$D$3:$E$18,2,FALSE)</f>
        <v>0</v>
      </c>
      <c r="AW24" s="30">
        <f t="shared" ca="1" si="0"/>
        <v>37.5</v>
      </c>
      <c r="AX24" s="30">
        <f ca="1">_xlfn.IFNA(VLOOKUP(SUMPRODUCT(LARGE(($C$8:$C24=Table1[[#This Row],[Climber]])*$A$8:$A24,1)),$A$8:$AW24,MATCH($AW$7,$A$7:$AW$7,FALSE),FALSE),0)/LEFT($AX$7,FIND(" ",$AX$7))+_xlfn.IFNA(VLOOKUP(SUMPRODUCT(LARGE(($C$8:$C24=Table1[[#This Row],[Climber]])*$A$8:$A24,MIN(2,COUNTIFS($C$8:$C24,$C24)))),$A$8:$AW24,MATCH($AW$7,$A$7:$AW$7,FALSE),FALSE),0)/LEFT($AX$7,FIND(" ",$AX$7))+_xlfn.IFNA(VLOOKUP(SUMPRODUCT(LARGE(($C$8:$C24=Table1[[#This Row],[Climber]])*$A$8:$A24,MIN(3,COUNTIFS($C$8:$C24,$C24)))),$A$8:$AW24,MATCH($AW$7,$A$7:$AW$7,FALSE),FALSE),0)/LEFT($AX$7,FIND(" ",$AX$7))</f>
        <v>37.5</v>
      </c>
      <c r="AY24" s="30">
        <f ca="1">_xlfn.IFNA(VLOOKUP(SUMPRODUCT(LARGE(($C$8:$C24=Table1[[#This Row],[Climber]])*$A$8:$A24,1)),$A$8:$AW24,MATCH($AW$7,$A$7:$AW$7,FALSE),FALSE),0)/LEFT($AY$7,FIND(" ",$AY$7))+_xlfn.IFNA(VLOOKUP(SUMPRODUCT(LARGE(($C$8:$C24=Table1[[#This Row],[Climber]])*$A$8:$A24,MIN(2,COUNTIFS($C$8:$C24,$C24)))),$A$8:$AW24,MATCH($AW$7,$A$7:$AW$7,FALSE),FALSE),0)/LEFT($AY$7,FIND(" ",$AY$7))+_xlfn.IFNA(VLOOKUP(SUMPRODUCT(LARGE(($C$8:$C24=Table1[[#This Row],[Climber]])*$A$8:$A24,MIN(3,COUNTIFS($C$8:$C24,$C24)))),$A$8:$AW24,MATCH($AW$7,$A$7:$AW$7,FALSE),FALSE),0)/LEFT($AY$7,FIND(" ",$AY$7))+_xlfn.IFNA(VLOOKUP(SUMPRODUCT(LARGE(($C$8:$C24=Table1[[#This Row],[Climber]])*$A$8:$A24,MIN(4,COUNTIFS($C$8:$C24,$C24)))),$A$8:$AW24,MATCH($AW$7,$A$7:$AW$7,FALSE),FALSE),0)/LEFT($AY$7,FIND(" ",$AY$7))+_xlfn.IFNA(VLOOKUP(SUMPRODUCT(LARGE(($C$8:$C24=Table1[[#This Row],[Climber]])*$A$8:$A24,MIN(5,COUNTIFS($C$8:$C24,$C24)))),$A$8:$AW24,MATCH($AW$7,$A$7:$AW$7,FALSE),FALSE),0)/LEFT($AY$7,FIND(" ",$AY$7))</f>
        <v>37.5</v>
      </c>
      <c r="AZ24" s="30">
        <f>(_xlfn.IFNA(VLOOKUP(SUMPRODUCT(LARGE(($C$8:$C24=Table1[[#This Row],[Climber]])*$A$8:$A24,4)),$A$8:$AW24,MATCH($AW$7,$A$7:$AW$7,FALSE),FALSE),0)+_xlfn.IFNA(VLOOKUP(SUMPRODUCT(LARGE(($C$8:$C24=Table1[[#This Row],[Climber]])*$A$8:$A24,5)),$A$8:$AW24,MATCH($AW$7,$A$7:$AW$7,FALSE),FALSE),0)+_xlfn.IFNA(VLOOKUP(SUMPRODUCT(LARGE(($C$8:$C24=Table1[[#This Row],[Climber]])*$A$8:$A24,6)),$A$8:$AW24,MATCH($AW$7,$A$7:$AW$7,FALSE),FALSE),0))/3</f>
        <v>0</v>
      </c>
      <c r="BA24" s="6">
        <f ca="1">_xlfn.MAXIFS(INDIRECT("$AW"&amp;IF(SUMPRODUCT(LARGE(($C$8:$C24=$C24)*$A$8:$A24,LEFT($BA$7,FIND(" ",$BA$7)-1)))=0,8,SUMPRODUCT(LARGE(($C$8:$C24=$C24)*$A$8:$A24,LEFT($BA$7,FIND(" ",$BA$7)-1)))+7)&amp;":$AW"&amp;ROW()),INDIRECT("$C"&amp;IF(SUMPRODUCT(LARGE(($C$8:$C24=$C24)*$A$8:$A24,LEFT($BA$7,FIND(" ",$BA$7)-1)))=0,8,SUMPRODUCT(LARGE(($C$8:$C24=$C24)*$A$8:$A24,LEFT($BA$7,FIND(" ",$BA$7)-1)))+7)&amp;":$C"&amp;ROW()),$C24)</f>
        <v>37.5</v>
      </c>
      <c r="BB24" s="6" t="str">
        <f ca="1">VLOOKUP(MAX(BG24,$AX24),'RC Lookup'!$G$14:$J$20,2,TRUE)</f>
        <v>T1</v>
      </c>
      <c r="BC24" s="6">
        <f ca="1">_xlfn.IFNA(VLOOKUP(VLOOKUP($C24,'RC Lookup'!$O$3:$P$50,2,FALSE),'RC Lookup'!$H$14:$J$23,2,FALSE),0)*AW24</f>
        <v>43.254133865395978</v>
      </c>
      <c r="BD24" s="6">
        <f ca="1">_xlfn.IFNA(VLOOKUP(SUMPRODUCT(LARGE(($C$8:$C24=Table1[[#This Row],[Climber]])*$A$8:$A24,1)),$A$8:$BC24,55,FALSE),0)/LEFT($AX$7,FIND(" ",$AX$7))+_xlfn.IFNA(VLOOKUP(SUMPRODUCT(LARGE(($C$8:$C24=Table1[[#This Row],[Climber]])*$A$8:$A24,MIN(2,COUNTIFS($C$8:$C24,$C24)))),$A$8:$BC24,55,FALSE),0)/LEFT($AX$7,FIND(" ",$AX$7))+_xlfn.IFNA(VLOOKUP(SUMPRODUCT(LARGE(($C$8:$C24=Table1[[#This Row],[Climber]])*$A$8:$A24,MIN(3,COUNTIFS($C$8:$C24,$C24)))),$A$8:$BC24,55,FALSE),0)/LEFT($AX$7,FIND(" ",$AX$7))</f>
        <v>43.254133865395978</v>
      </c>
      <c r="BE24" s="6">
        <f>(_xlfn.IFNA(VLOOKUP(SUMPRODUCT(LARGE(($C$8:$C24=Table1[[#This Row],[Climber]])*$A$8:$A24,4)),$A$8:$BD24,55,FALSE),0)+_xlfn.IFNA(VLOOKUP(SUMPRODUCT(LARGE(($C$8:$C24=Table1[[#This Row],[Climber]])*$A$8:$A24,5)),$A$8:$BD24,55,FALSE),0)+_xlfn.IFNA(VLOOKUP(SUMPRODUCT(LARGE(($C$8:$C24=Table1[[#This Row],[Climber]])*$A$8:$A24,6)),$A$8:$BD24,55,FALSE),0))/3</f>
        <v>0</v>
      </c>
      <c r="BF24" s="46">
        <f ca="1">_xlfn.MAXIFS(INDIRECT("$BC"&amp;IF(SUMPRODUCT(LARGE(($C$8:$C24=$C24)*$A$8:$A24,LEFT($BA$7,FIND(" ",$BA$7)-1)))=0,8,SUMPRODUCT(LARGE(($C$8:$C24=$C24)*$A$8:$A24,LEFT($BA$7,FIND(" ",$BA$7)-1)))+7)&amp;":$BC"&amp;ROW()),INDIRECT("$C"&amp;IF(SUMPRODUCT(LARGE(($C$8:$C24=$C24)*$A$8:$A24,LEFT($BA$7,FIND(" ",$BA$7)-1)))=0,8,SUMPRODUCT(LARGE(($C$8:$C24=$C24)*$A$8:$A24,LEFT($BA$7,FIND(" ",$BA$7)-1)))+7)&amp;":$C"&amp;ROW()),$C24)</f>
        <v>43.254133865395978</v>
      </c>
      <c r="BG24" s="46">
        <f t="array" aca="1" ref="BG24" ca="1">IFERROR(SUMPRODUCT(LARGE(($C$8:$C24=Table1[[#This Row],[Climber]])*$AW$8:$AW24,ROW(INDIRECT("1:5")))),AW24)/MIN(COUNTIFS($C$8:$C24,C24),5)</f>
        <v>37.5</v>
      </c>
      <c r="BH24" s="46"/>
    </row>
    <row r="25" spans="1:61" x14ac:dyDescent="0.3">
      <c r="A25" s="125">
        <f t="shared" si="1"/>
        <v>18</v>
      </c>
      <c r="B25" s="25">
        <f>'Rock Climbing Log'!B25</f>
        <v>43124</v>
      </c>
      <c r="C25" s="126" t="str">
        <f>'Rock Climbing Log'!C25</f>
        <v>Edwin</v>
      </c>
      <c r="D25" s="26">
        <f>_xlfn.IFNA(IF(LEFT('Rock Climbing Log'!D25)="C",_xlfn.IFNA(VLOOKUP('Rock Climbing Log'!D25,'RC Lookup'!$A$3:$B$9,2,FALSE),0.5),VLOOKUP('Rock Climbing Log'!D25,'RC Lookup'!$G$3:$H$5,2,FALSE)),0)*VLOOKUP(D$7,'RC Lookup'!$D$3:$E$18,2,FALSE)</f>
        <v>0</v>
      </c>
      <c r="E25" s="26">
        <f>_xlfn.IFNA(IF(LEFT('Rock Climbing Log'!E25)="C",_xlfn.IFNA(VLOOKUP('Rock Climbing Log'!E25,'RC Lookup'!$A$3:$B$9,2,FALSE),0.5),VLOOKUP('Rock Climbing Log'!E25,'RC Lookup'!$G$3:$H$5,2,FALSE)),0)*VLOOKUP(D$7,'RC Lookup'!$D$3:$E$18,2,FALSE)</f>
        <v>0</v>
      </c>
      <c r="F25" s="26">
        <f>_xlfn.IFNA(IF(LEFT('Rock Climbing Log'!F25)="C",_xlfn.IFNA(VLOOKUP('Rock Climbing Log'!F25,'RC Lookup'!$A$3:$B$9,2,FALSE),0.5),VLOOKUP('Rock Climbing Log'!F25,'RC Lookup'!$G$3:$H$5,2,FALSE)),0)*VLOOKUP(D$7,'RC Lookup'!$D$3:$E$18,2,FALSE)</f>
        <v>0</v>
      </c>
      <c r="G25" s="26">
        <f>_xlfn.IFNA(IF(LEFT('Rock Climbing Log'!G25)="C",_xlfn.IFNA(VLOOKUP('Rock Climbing Log'!G25,'RC Lookup'!$A$3:$B$9,2,FALSE),0.5),VLOOKUP('Rock Climbing Log'!G25,'RC Lookup'!$G$3:$H$5,2,FALSE)),0)*VLOOKUP(G$7,'RC Lookup'!$D$3:$E$18,2,FALSE)</f>
        <v>0</v>
      </c>
      <c r="H25" s="26">
        <f>_xlfn.IFNA(IF(LEFT('Rock Climbing Log'!H25)="C",_xlfn.IFNA(VLOOKUP('Rock Climbing Log'!H25,'RC Lookup'!$A$3:$B$9,2,FALSE),0.5),VLOOKUP('Rock Climbing Log'!H25,'RC Lookup'!$G$3:$H$5,2,FALSE)),0)*VLOOKUP(G$7,'RC Lookup'!$D$3:$E$18,2,FALSE)</f>
        <v>0</v>
      </c>
      <c r="I25" s="26">
        <f>_xlfn.IFNA(IF(LEFT('Rock Climbing Log'!I25)="C",_xlfn.IFNA(VLOOKUP('Rock Climbing Log'!I25,'RC Lookup'!$A$3:$B$9,2,FALSE),0.5),VLOOKUP('Rock Climbing Log'!I25,'RC Lookup'!$G$3:$H$5,2,FALSE)),0)*VLOOKUP(G$7,'RC Lookup'!$D$3:$E$18,2,FALSE)</f>
        <v>0</v>
      </c>
      <c r="J25" s="26">
        <f>_xlfn.IFNA(IF(LEFT('Rock Climbing Log'!J25)="C",_xlfn.IFNA(VLOOKUP('Rock Climbing Log'!J25,'RC Lookup'!$A$3:$B$9,2,FALSE),0.5),VLOOKUP('Rock Climbing Log'!J25,'RC Lookup'!$G$3:$H$5,2,FALSE)),0)*VLOOKUP(J$7,'RC Lookup'!$D$3:$E$18,2,FALSE)</f>
        <v>0</v>
      </c>
      <c r="K25" s="26">
        <f>_xlfn.IFNA(IF(LEFT('Rock Climbing Log'!K25)="C",_xlfn.IFNA(VLOOKUP('Rock Climbing Log'!K25,'RC Lookup'!$A$3:$B$9,2,FALSE),0.5),VLOOKUP('Rock Climbing Log'!K25,'RC Lookup'!$G$3:$H$5,2,FALSE)),0)*VLOOKUP(J$7,'RC Lookup'!$D$3:$E$18,2,FALSE)</f>
        <v>0</v>
      </c>
      <c r="L25" s="26">
        <f>_xlfn.IFNA(IF(LEFT('Rock Climbing Log'!L25)="C",_xlfn.IFNA(VLOOKUP('Rock Climbing Log'!L25,'RC Lookup'!$A$3:$B$9,2,FALSE),0.5),VLOOKUP('Rock Climbing Log'!L25,'RC Lookup'!$G$3:$H$5,2,FALSE)),0)*VLOOKUP(J$7,'RC Lookup'!$D$3:$E$18,2,FALSE)</f>
        <v>0</v>
      </c>
      <c r="M25" s="26">
        <f>_xlfn.IFNA(IF(LEFT('Rock Climbing Log'!M25)="C",_xlfn.IFNA(VLOOKUP('Rock Climbing Log'!M25,'RC Lookup'!$A$3:$B$9,2,FALSE),0.5),VLOOKUP('Rock Climbing Log'!M25,'RC Lookup'!$G$3:$H$5,2,FALSE)),0)*VLOOKUP(M$7,'RC Lookup'!$D$3:$E$18,2,FALSE)</f>
        <v>20.002500000000001</v>
      </c>
      <c r="N25" s="26">
        <f>_xlfn.IFNA(IF(LEFT('Rock Climbing Log'!N25)="C",_xlfn.IFNA(VLOOKUP('Rock Climbing Log'!N25,'RC Lookup'!$A$3:$B$9,2,FALSE),0.5),VLOOKUP('Rock Climbing Log'!N25,'RC Lookup'!$G$3:$H$5,2,FALSE)),0)*VLOOKUP(M$7,'RC Lookup'!$D$3:$E$18,2,FALSE)</f>
        <v>0</v>
      </c>
      <c r="O25" s="26">
        <f>_xlfn.IFNA(IF(LEFT('Rock Climbing Log'!O25)="C",_xlfn.IFNA(VLOOKUP('Rock Climbing Log'!O25,'RC Lookup'!$A$3:$B$9,2,FALSE),0.5),VLOOKUP('Rock Climbing Log'!O25,'RC Lookup'!$G$3:$H$5,2,FALSE)),0)*VLOOKUP(M$7,'RC Lookup'!$D$3:$E$18,2,FALSE)</f>
        <v>0</v>
      </c>
      <c r="P25" s="26">
        <f>_xlfn.IFNA(IF(LEFT('Rock Climbing Log'!P25)="C",_xlfn.IFNA(VLOOKUP('Rock Climbing Log'!P25,'RC Lookup'!$A$3:$B$9,2,FALSE),0.5),VLOOKUP('Rock Climbing Log'!P25,'RC Lookup'!$G$3:$H$5,2,FALSE)),0)*VLOOKUP(P$7,'RC Lookup'!$D$3:$E$18,2,FALSE)</f>
        <v>0</v>
      </c>
      <c r="Q25" s="26">
        <f>_xlfn.IFNA(IF(LEFT('Rock Climbing Log'!Q25)="C",_xlfn.IFNA(VLOOKUP('Rock Climbing Log'!Q25,'RC Lookup'!$A$3:$B$9,2,FALSE),0.5),VLOOKUP('Rock Climbing Log'!Q25,'RC Lookup'!$G$3:$H$5,2,FALSE)),0)*VLOOKUP(P$7,'RC Lookup'!$D$3:$E$18,2,FALSE)</f>
        <v>0</v>
      </c>
      <c r="R25" s="26">
        <f>_xlfn.IFNA(IF(LEFT('Rock Climbing Log'!R25)="C",_xlfn.IFNA(VLOOKUP('Rock Climbing Log'!R25,'RC Lookup'!$A$3:$B$9,2,FALSE),0.5),VLOOKUP('Rock Climbing Log'!R25,'RC Lookup'!$G$3:$H$5,2,FALSE)),0)*VLOOKUP(P$7,'RC Lookup'!$D$3:$E$18,2,FALSE)</f>
        <v>0</v>
      </c>
      <c r="S25" s="26">
        <f>_xlfn.IFNA(IF(LEFT('Rock Climbing Log'!S25)="C",_xlfn.IFNA(VLOOKUP('Rock Climbing Log'!S25,'RC Lookup'!$A$3:$B$9,2,FALSE),0.5),VLOOKUP('Rock Climbing Log'!S25,'RC Lookup'!$G$3:$H$5,2,FALSE)),0)*VLOOKUP(S$7,'RC Lookup'!$D$3:$E$18,2,FALSE)</f>
        <v>0</v>
      </c>
      <c r="T25" s="26">
        <f>_xlfn.IFNA(IF(LEFT('Rock Climbing Log'!T25)="C",_xlfn.IFNA(VLOOKUP('Rock Climbing Log'!T25,'RC Lookup'!$A$3:$B$9,2,FALSE),0.5),VLOOKUP('Rock Climbing Log'!T25,'RC Lookup'!$G$3:$H$5,2,FALSE)),0)*VLOOKUP(S$7,'RC Lookup'!$D$3:$E$18,2,FALSE)</f>
        <v>0</v>
      </c>
      <c r="U25" s="26">
        <f>_xlfn.IFNA(IF(LEFT('Rock Climbing Log'!U25)="C",_xlfn.IFNA(VLOOKUP('Rock Climbing Log'!U25,'RC Lookup'!$A$3:$B$9,2,FALSE),0.5),VLOOKUP('Rock Climbing Log'!U25,'RC Lookup'!$G$3:$H$5,2,FALSE)),0)*VLOOKUP(S$7,'RC Lookup'!$D$3:$E$18,2,FALSE)</f>
        <v>0</v>
      </c>
      <c r="V25" s="26">
        <f>_xlfn.IFNA(IF(LEFT('Rock Climbing Log'!V25)="C",_xlfn.IFNA(VLOOKUP('Rock Climbing Log'!V25,'RC Lookup'!$A$3:$B$9,2,FALSE),0.5),VLOOKUP('Rock Climbing Log'!V25,'RC Lookup'!$G$3:$H$5,2,FALSE)),0)*VLOOKUP(V$7,'RC Lookup'!$D$3:$E$18,2,FALSE)</f>
        <v>31.731071168160021</v>
      </c>
      <c r="W25" s="26">
        <f>_xlfn.IFNA(IF(LEFT('Rock Climbing Log'!W25)="C",_xlfn.IFNA(VLOOKUP('Rock Climbing Log'!W25,'RC Lookup'!$A$3:$B$9,2,FALSE),0.5),VLOOKUP('Rock Climbing Log'!W25,'RC Lookup'!$G$3:$H$5,2,FALSE)),0)*VLOOKUP(V$7,'RC Lookup'!$D$3:$E$18,2,FALSE)</f>
        <v>0</v>
      </c>
      <c r="X25" s="26">
        <f>_xlfn.IFNA(IF(LEFT('Rock Climbing Log'!X25)="C",_xlfn.IFNA(VLOOKUP('Rock Climbing Log'!X25,'RC Lookup'!$A$3:$B$9,2,FALSE),0.5),VLOOKUP('Rock Climbing Log'!X25,'RC Lookup'!$G$3:$H$5,2,FALSE)),0)*VLOOKUP(V$7,'RC Lookup'!$D$3:$E$18,2,FALSE)</f>
        <v>0</v>
      </c>
      <c r="Y25" s="26">
        <f>_xlfn.IFNA(IF(LEFT('Rock Climbing Log'!Y25)="C",_xlfn.IFNA(VLOOKUP('Rock Climbing Log'!Y25,'RC Lookup'!$A$3:$B$9,2,FALSE),0.5),VLOOKUP('Rock Climbing Log'!Y25,'RC Lookup'!$G$3:$H$5,2,FALSE)),0)*VLOOKUP(Y$7,'RC Lookup'!$D$3:$E$18,2,FALSE)</f>
        <v>0</v>
      </c>
      <c r="Z25" s="26">
        <f>_xlfn.IFNA(IF(LEFT('Rock Climbing Log'!Z25)="C",_xlfn.IFNA(VLOOKUP('Rock Climbing Log'!Z25,'RC Lookup'!$A$3:$B$9,2,FALSE),0.5),VLOOKUP('Rock Climbing Log'!Z25,'RC Lookup'!$G$3:$H$5,2,FALSE)),0)*VLOOKUP(Y$7,'RC Lookup'!$D$3:$E$18,2,FALSE)</f>
        <v>0</v>
      </c>
      <c r="AA25" s="26">
        <f>_xlfn.IFNA(IF(LEFT('Rock Climbing Log'!AA25)="C",_xlfn.IFNA(VLOOKUP('Rock Climbing Log'!AA25,'RC Lookup'!$A$3:$B$9,2,FALSE),0.5),VLOOKUP('Rock Climbing Log'!AA25,'RC Lookup'!$G$3:$H$5,2,FALSE)),0)*VLOOKUP(Y$7,'RC Lookup'!$D$3:$E$18,2,FALSE)</f>
        <v>0</v>
      </c>
      <c r="AB25" s="26">
        <f>_xlfn.IFNA(IF(LEFT('Rock Climbing Log'!AB25)="C",_xlfn.IFNA(VLOOKUP('Rock Climbing Log'!AB25,'RC Lookup'!$A$3:$B$9,2,FALSE),0.5),VLOOKUP('Rock Climbing Log'!AB25,'RC Lookup'!$G$3:$H$5,2,FALSE)),0)*VLOOKUP(AB$7,'RC Lookup'!$D$3:$E$18,2,FALSE)</f>
        <v>27.017385289384112</v>
      </c>
      <c r="AC25" s="26">
        <f>_xlfn.IFNA(IF(LEFT('Rock Climbing Log'!AC25)="C",_xlfn.IFNA(VLOOKUP('Rock Climbing Log'!AC25,'RC Lookup'!$A$3:$B$9,2,FALSE),0.5),VLOOKUP('Rock Climbing Log'!AC25,'RC Lookup'!$G$3:$H$5,2,FALSE)),0)*VLOOKUP(AB$7,'RC Lookup'!$D$3:$E$18,2,FALSE)</f>
        <v>0</v>
      </c>
      <c r="AD25" s="26">
        <f>_xlfn.IFNA(IF(LEFT('Rock Climbing Log'!AD25)="C",_xlfn.IFNA(VLOOKUP('Rock Climbing Log'!AD25,'RC Lookup'!$A$3:$B$9,2,FALSE),0.5),VLOOKUP('Rock Climbing Log'!AD25,'RC Lookup'!$G$3:$H$5,2,FALSE)),0)*VLOOKUP(AB$7,'RC Lookup'!$D$3:$E$18,2,FALSE)</f>
        <v>0</v>
      </c>
      <c r="AE25" s="26">
        <f>_xlfn.IFNA(IF(LEFT('Rock Climbing Log'!AE25)="C",_xlfn.IFNA(VLOOKUP('Rock Climbing Log'!AE25,'RC Lookup'!$A$3:$B$9,2,FALSE),0.5),VLOOKUP('Rock Climbing Log'!AE25,'RC Lookup'!$G$3:$H$5,2,FALSE)),0)*VLOOKUP(AE$7,'RC Lookup'!$D$3:$E$18,2,FALSE)</f>
        <v>0</v>
      </c>
      <c r="AF25" s="26">
        <f>_xlfn.IFNA(IF(LEFT('Rock Climbing Log'!AF25)="C",_xlfn.IFNA(VLOOKUP('Rock Climbing Log'!AF25,'RC Lookup'!$A$3:$B$9,2,FALSE),0.5),VLOOKUP('Rock Climbing Log'!AF25,'RC Lookup'!$G$3:$H$5,2,FALSE)),0)*VLOOKUP(AE$7,'RC Lookup'!$D$3:$E$18,2,FALSE)</f>
        <v>0</v>
      </c>
      <c r="AG25" s="26">
        <f>_xlfn.IFNA(IF(LEFT('Rock Climbing Log'!AG25)="C",_xlfn.IFNA(VLOOKUP('Rock Climbing Log'!AG25,'RC Lookup'!$A$3:$B$9,2,FALSE),0.5),VLOOKUP('Rock Climbing Log'!AG25,'RC Lookup'!$G$3:$H$5,2,FALSE)),0)*VLOOKUP(AE$7,'RC Lookup'!$D$3:$E$18,2,FALSE)</f>
        <v>0</v>
      </c>
      <c r="AH25" s="26">
        <f>_xlfn.IFNA(IF(LEFT('Rock Climbing Log'!AH25)="C",_xlfn.IFNA(VLOOKUP('Rock Climbing Log'!AH25,'RC Lookup'!$A$3:$B$9,2,FALSE),0.5),VLOOKUP('Rock Climbing Log'!AH25,'RC Lookup'!$G$3:$H$5,2,FALSE)),0)*VLOOKUP(AH$7,'RC Lookup'!$D$3:$E$18,2,FALSE)</f>
        <v>0</v>
      </c>
      <c r="AI25" s="26">
        <f>_xlfn.IFNA(IF(LEFT('Rock Climbing Log'!AI25)="C",_xlfn.IFNA(VLOOKUP('Rock Climbing Log'!AI25,'RC Lookup'!$A$3:$B$9,2,FALSE),0.5),VLOOKUP('Rock Climbing Log'!AI25,'RC Lookup'!$G$3:$H$5,2,FALSE)),0)*VLOOKUP(AH$7,'RC Lookup'!$D$3:$E$18,2,FALSE)</f>
        <v>0</v>
      </c>
      <c r="AJ25" s="26">
        <f>_xlfn.IFNA(IF(LEFT('Rock Climbing Log'!AJ25)="C",_xlfn.IFNA(VLOOKUP('Rock Climbing Log'!AJ25,'RC Lookup'!$A$3:$B$9,2,FALSE),0.5),VLOOKUP('Rock Climbing Log'!AJ25,'RC Lookup'!$G$3:$H$5,2,FALSE)),0)*VLOOKUP(AH$7,'RC Lookup'!$D$3:$E$18,2,FALSE)</f>
        <v>0</v>
      </c>
      <c r="AK25" s="26">
        <f>_xlfn.IFNA(IF(LEFT('Rock Climbing Log'!AK25)="C",_xlfn.IFNA(VLOOKUP('Rock Climbing Log'!AK25,'RC Lookup'!$A$3:$B$9,2,FALSE),0.5),VLOOKUP('Rock Climbing Log'!AK25,'RC Lookup'!$G$3:$H$5,2,FALSE)),0)*VLOOKUP(AK$7,'RC Lookup'!$D$3:$E$18,2,FALSE)</f>
        <v>0</v>
      </c>
      <c r="AL25" s="26">
        <f>_xlfn.IFNA(IF(LEFT('Rock Climbing Log'!AL25)="C",_xlfn.IFNA(VLOOKUP('Rock Climbing Log'!AL25,'RC Lookup'!$A$3:$B$9,2,FALSE),0.5),VLOOKUP('Rock Climbing Log'!AL25,'RC Lookup'!$G$3:$H$5,2,FALSE)),0)*VLOOKUP(AK$7,'RC Lookup'!$D$3:$E$18,2,FALSE)</f>
        <v>0</v>
      </c>
      <c r="AM25" s="26">
        <f>_xlfn.IFNA(IF(LEFT('Rock Climbing Log'!AM25)="C",_xlfn.IFNA(VLOOKUP('Rock Climbing Log'!AM25,'RC Lookup'!$A$3:$B$9,2,FALSE),0.5),VLOOKUP('Rock Climbing Log'!AM25,'RC Lookup'!$G$3:$H$5,2,FALSE)),0)*VLOOKUP(AK$7,'RC Lookup'!$D$3:$E$18,2,FALSE)</f>
        <v>0</v>
      </c>
      <c r="AN25" s="26">
        <f>_xlfn.IFNA(IF(LEFT('Rock Climbing Log'!AN25)="C",_xlfn.IFNA(VLOOKUP('Rock Climbing Log'!AN25,'RC Lookup'!$A$3:$B$9,2,FALSE),0.5),VLOOKUP('Rock Climbing Log'!AN25,'RC Lookup'!$G$3:$H$5,2,FALSE)),0)*VLOOKUP(AN$7,'RC Lookup'!$D$3:$E$18,2,FALSE)</f>
        <v>0</v>
      </c>
      <c r="AO25" s="26">
        <f>_xlfn.IFNA(IF(LEFT('Rock Climbing Log'!AO25)="C",_xlfn.IFNA(VLOOKUP('Rock Climbing Log'!AO25,'RC Lookup'!$A$3:$B$9,2,FALSE),0.5),VLOOKUP('Rock Climbing Log'!AO25,'RC Lookup'!$G$3:$H$5,2,FALSE)),0)*VLOOKUP(AN$7,'RC Lookup'!$D$3:$E$18,2,FALSE)</f>
        <v>0</v>
      </c>
      <c r="AP25" s="26">
        <f>_xlfn.IFNA(IF(LEFT('Rock Climbing Log'!AP25)="C",_xlfn.IFNA(VLOOKUP('Rock Climbing Log'!AP25,'RC Lookup'!$A$3:$B$9,2,FALSE),0.5),VLOOKUP('Rock Climbing Log'!AP25,'RC Lookup'!$G$3:$H$5,2,FALSE)),0)*VLOOKUP(AN$7,'RC Lookup'!$D$3:$E$18,2,FALSE)</f>
        <v>0</v>
      </c>
      <c r="AQ25" s="26">
        <f>_xlfn.IFNA(IF(LEFT('Rock Climbing Log'!AQ25)="C",_xlfn.IFNA(VLOOKUP('Rock Climbing Log'!AQ25,'RC Lookup'!$A$3:$B$9,2,FALSE),0.5),VLOOKUP('Rock Climbing Log'!AQ25,'RC Lookup'!$G$3:$H$5,2,FALSE)),0)*VLOOKUP(AQ$7,'RC Lookup'!$D$3:$E$18,2,FALSE)</f>
        <v>0</v>
      </c>
      <c r="AR25" s="26">
        <f>_xlfn.IFNA(IF(LEFT('Rock Climbing Log'!AR25)="C",_xlfn.IFNA(VLOOKUP('Rock Climbing Log'!AR25,'RC Lookup'!$A$3:$B$9,2,FALSE),0.5),VLOOKUP('Rock Climbing Log'!AR25,'RC Lookup'!$G$3:$H$5,2,FALSE)),0)*VLOOKUP(AQ$7,'RC Lookup'!$D$3:$E$18,2,FALSE)</f>
        <v>0</v>
      </c>
      <c r="AS25" s="26">
        <f>_xlfn.IFNA(IF(LEFT('Rock Climbing Log'!AS25)="C",_xlfn.IFNA(VLOOKUP('Rock Climbing Log'!AS25,'RC Lookup'!$A$3:$B$9,2,FALSE),0.5),VLOOKUP('Rock Climbing Log'!AS25,'RC Lookup'!$G$3:$H$5,2,FALSE)),0)*VLOOKUP(AQ$7,'RC Lookup'!$D$3:$E$18,2,FALSE)</f>
        <v>0</v>
      </c>
      <c r="AT25" s="26">
        <f>_xlfn.IFNA(IF(LEFT('Rock Climbing Log'!AT25)="C",_xlfn.IFNA(VLOOKUP('Rock Climbing Log'!AT25,'RC Lookup'!$A$3:$B$9,2,FALSE),0.5),VLOOKUP('Rock Climbing Log'!AT25,'RC Lookup'!$G$3:$H$5,2,FALSE)),0)*VLOOKUP(AT$7,'RC Lookup'!$D$3:$E$18,2,FALSE)</f>
        <v>0</v>
      </c>
      <c r="AU25" s="26">
        <f>_xlfn.IFNA(IF(LEFT('Rock Climbing Log'!AU25)="C",_xlfn.IFNA(VLOOKUP('Rock Climbing Log'!AU25,'RC Lookup'!$A$3:$B$9,2,FALSE),0.5),VLOOKUP('Rock Climbing Log'!AU25,'RC Lookup'!$G$3:$H$5,2,FALSE)),0)*VLOOKUP(AT$7,'RC Lookup'!$D$3:$E$18,2,FALSE)</f>
        <v>0</v>
      </c>
      <c r="AV25" s="26">
        <f>_xlfn.IFNA(IF(LEFT('Rock Climbing Log'!AV25)="C",_xlfn.IFNA(VLOOKUP('Rock Climbing Log'!AV25,'RC Lookup'!$A$3:$B$9,2,FALSE),0.5),VLOOKUP('Rock Climbing Log'!AV25,'RC Lookup'!$G$3:$H$5,2,FALSE)),0)*VLOOKUP(AT$7,'RC Lookup'!$D$3:$E$18,2,FALSE)</f>
        <v>0</v>
      </c>
      <c r="AW25" s="30">
        <f t="shared" ca="1" si="0"/>
        <v>78.750956457544135</v>
      </c>
      <c r="AX25" s="30">
        <f ca="1">_xlfn.IFNA(VLOOKUP(SUMPRODUCT(LARGE(($C$8:$C25=Table1[[#This Row],[Climber]])*$A$8:$A25,1)),$A$8:$AW25,MATCH($AW$7,$A$7:$AW$7,FALSE),FALSE),0)/LEFT($AX$7,FIND(" ",$AX$7))+_xlfn.IFNA(VLOOKUP(SUMPRODUCT(LARGE(($C$8:$C25=Table1[[#This Row],[Climber]])*$A$8:$A25,MIN(2,COUNTIFS($C$8:$C25,$C25)))),$A$8:$AW25,MATCH($AW$7,$A$7:$AW$7,FALSE),FALSE),0)/LEFT($AX$7,FIND(" ",$AX$7))+_xlfn.IFNA(VLOOKUP(SUMPRODUCT(LARGE(($C$8:$C25=Table1[[#This Row],[Climber]])*$A$8:$A25,MIN(3,COUNTIFS($C$8:$C25,$C25)))),$A$8:$AW25,MATCH($AW$7,$A$7:$AW$7,FALSE),FALSE),0)/LEFT($AX$7,FIND(" ",$AX$7))</f>
        <v>72.045953282051258</v>
      </c>
      <c r="AY25" s="30">
        <f ca="1">_xlfn.IFNA(VLOOKUP(SUMPRODUCT(LARGE(($C$8:$C25=Table1[[#This Row],[Climber]])*$A$8:$A25,1)),$A$8:$AW25,MATCH($AW$7,$A$7:$AW$7,FALSE),FALSE),0)/LEFT($AY$7,FIND(" ",$AY$7))+_xlfn.IFNA(VLOOKUP(SUMPRODUCT(LARGE(($C$8:$C25=Table1[[#This Row],[Climber]])*$A$8:$A25,MIN(2,COUNTIFS($C$8:$C25,$C25)))),$A$8:$AW25,MATCH($AW$7,$A$7:$AW$7,FALSE),FALSE),0)/LEFT($AY$7,FIND(" ",$AY$7))+_xlfn.IFNA(VLOOKUP(SUMPRODUCT(LARGE(($C$8:$C25=Table1[[#This Row],[Climber]])*$A$8:$A25,MIN(3,COUNTIFS($C$8:$C25,$C25)))),$A$8:$AW25,MATCH($AW$7,$A$7:$AW$7,FALSE),FALSE),0)/LEFT($AY$7,FIND(" ",$AY$7))+_xlfn.IFNA(VLOOKUP(SUMPRODUCT(LARGE(($C$8:$C25=Table1[[#This Row],[Climber]])*$A$8:$A25,MIN(4,COUNTIFS($C$8:$C25,$C25)))),$A$8:$AW25,MATCH($AW$7,$A$7:$AW$7,FALSE),FALSE),0)/LEFT($AY$7,FIND(" ",$AY$7))+_xlfn.IFNA(VLOOKUP(SUMPRODUCT(LARGE(($C$8:$C25=Table1[[#This Row],[Climber]])*$A$8:$A25,MIN(5,COUNTIFS($C$8:$C25,$C25)))),$A$8:$AW25,MATCH($AW$7,$A$7:$AW$7,FALSE),FALSE),0)/LEFT($AY$7,FIND(" ",$AY$7))</f>
        <v>67.849117117710762</v>
      </c>
      <c r="AZ25" s="30">
        <f ca="1">(_xlfn.IFNA(VLOOKUP(SUMPRODUCT(LARGE(($C$8:$C25=Table1[[#This Row],[Climber]])*$A$8:$A25,4)),$A$8:$AW25,MATCH($AW$7,$A$7:$AW$7,FALSE),FALSE),0)+_xlfn.IFNA(VLOOKUP(SUMPRODUCT(LARGE(($C$8:$C25=Table1[[#This Row],[Climber]])*$A$8:$A25,5)),$A$8:$AW25,MATCH($AW$7,$A$7:$AW$7,FALSE),FALSE),0)+_xlfn.IFNA(VLOOKUP(SUMPRODUCT(LARGE(($C$8:$C25=Table1[[#This Row],[Climber]])*$A$8:$A25,6)),$A$8:$AW25,MATCH($AW$7,$A$7:$AW$7,FALSE),FALSE),0))/3</f>
        <v>20.517954290400009</v>
      </c>
      <c r="BA25" s="6">
        <f ca="1">_xlfn.MAXIFS(INDIRECT("$AW"&amp;IF(SUMPRODUCT(LARGE(($C$8:$C25=$C25)*$A$8:$A25,LEFT($BA$7,FIND(" ",$BA$7)-1)))=0,8,SUMPRODUCT(LARGE(($C$8:$C25=$C25)*$A$8:$A25,LEFT($BA$7,FIND(" ",$BA$7)-1)))+7)&amp;":$AW"&amp;ROW()),INDIRECT("$C"&amp;IF(SUMPRODUCT(LARGE(($C$8:$C25=$C25)*$A$8:$A25,LEFT($BA$7,FIND(" ",$BA$7)-1)))=0,8,SUMPRODUCT(LARGE(($C$8:$C25=$C25)*$A$8:$A25,LEFT($BA$7,FIND(" ",$BA$7)-1)))+7)&amp;":$C"&amp;ROW()),$C25)</f>
        <v>79.182235742400024</v>
      </c>
      <c r="BB25" s="6" t="str">
        <f ca="1">VLOOKUP(MAX(BG25,$AX25),'RC Lookup'!$G$14:$J$20,2,TRUE)</f>
        <v>T2</v>
      </c>
      <c r="BC25" s="6">
        <f ca="1">_xlfn.IFNA(VLOOKUP(VLOOKUP($C25,'RC Lookup'!$O$3:$P$50,2,FALSE),'RC Lookup'!$H$14:$J$23,2,FALSE),0)*AW25</f>
        <v>60.434043230476597</v>
      </c>
      <c r="BD25" s="6">
        <f ca="1">_xlfn.IFNA(VLOOKUP(SUMPRODUCT(LARGE(($C$8:$C25=Table1[[#This Row],[Climber]])*$A$8:$A25,1)),$A$8:$BC25,55,FALSE),0)/LEFT($AX$7,FIND(" ",$AX$7))+_xlfn.IFNA(VLOOKUP(SUMPRODUCT(LARGE(($C$8:$C25=Table1[[#This Row],[Climber]])*$A$8:$A25,MIN(2,COUNTIFS($C$8:$C25,$C25)))),$A$8:$BC25,55,FALSE),0)/LEFT($AX$7,FIND(" ",$AX$7))+_xlfn.IFNA(VLOOKUP(SUMPRODUCT(LARGE(($C$8:$C25=Table1[[#This Row],[Climber]])*$A$8:$A25,MIN(3,COUNTIFS($C$8:$C25,$C25)))),$A$8:$BC25,55,FALSE),0)/LEFT($AX$7,FIND(" ",$AX$7))</f>
        <v>55.288576178445624</v>
      </c>
      <c r="BE25" s="6">
        <f ca="1">(_xlfn.IFNA(VLOOKUP(SUMPRODUCT(LARGE(($C$8:$C25=Table1[[#This Row],[Climber]])*$A$8:$A25,4)),$A$8:$BD25,55,FALSE),0)+_xlfn.IFNA(VLOOKUP(SUMPRODUCT(LARGE(($C$8:$C25=Table1[[#This Row],[Climber]])*$A$8:$A25,5)),$A$8:$BD25,55,FALSE),0)+_xlfn.IFNA(VLOOKUP(SUMPRODUCT(LARGE(($C$8:$C25=Table1[[#This Row],[Climber]])*$A$8:$A25,6)),$A$8:$BD25,55,FALSE),0))/3</f>
        <v>15.745623829413056</v>
      </c>
      <c r="BF25" s="46">
        <f ca="1">_xlfn.MAXIFS(INDIRECT("$BC"&amp;IF(SUMPRODUCT(LARGE(($C$8:$C25=$C25)*$A$8:$A25,LEFT($BA$7,FIND(" ",$BA$7)-1)))=0,8,SUMPRODUCT(LARGE(($C$8:$C25=$C25)*$A$8:$A25,LEFT($BA$7,FIND(" ",$BA$7)-1)))+7)&amp;":$BC"&amp;ROW()),INDIRECT("$C"&amp;IF(SUMPRODUCT(LARGE(($C$8:$C25=$C25)*$A$8:$A25,LEFT($BA$7,FIND(" ",$BA$7)-1)))=0,8,SUMPRODUCT(LARGE(($C$8:$C25=$C25)*$A$8:$A25,LEFT($BA$7,FIND(" ",$BA$7)-1)))+7)&amp;":$C"&amp;ROW()),$C25)</f>
        <v>60.765010016377687</v>
      </c>
      <c r="BG25" s="46">
        <f t="array" aca="1" ref="BG25" ca="1">IFERROR(SUMPRODUCT(LARGE(($C$8:$C25=Table1[[#This Row],[Climber]])*$AW$8:$AW25,ROW(INDIRECT("1:5")))),AW25)/MIN(COUNTIFS($C$8:$C25,C25),5)</f>
        <v>69.42293067933845</v>
      </c>
      <c r="BH25" s="46"/>
    </row>
    <row r="26" spans="1:61" x14ac:dyDescent="0.3">
      <c r="A26" s="125">
        <f t="shared" si="1"/>
        <v>19</v>
      </c>
      <c r="B26" s="25">
        <f>'Rock Climbing Log'!B26</f>
        <v>43124</v>
      </c>
      <c r="C26" s="126" t="str">
        <f>'Rock Climbing Log'!C26</f>
        <v>Lester</v>
      </c>
      <c r="D26" s="26">
        <f>_xlfn.IFNA(IF(LEFT('Rock Climbing Log'!D26)="C",_xlfn.IFNA(VLOOKUP('Rock Climbing Log'!D26,'RC Lookup'!$A$3:$B$9,2,FALSE),0.5),VLOOKUP('Rock Climbing Log'!D26,'RC Lookup'!$G$3:$H$5,2,FALSE)),0)*VLOOKUP(D$7,'RC Lookup'!$D$3:$E$18,2,FALSE)</f>
        <v>0</v>
      </c>
      <c r="E26" s="26">
        <f>_xlfn.IFNA(IF(LEFT('Rock Climbing Log'!E26)="C",_xlfn.IFNA(VLOOKUP('Rock Climbing Log'!E26,'RC Lookup'!$A$3:$B$9,2,FALSE),0.5),VLOOKUP('Rock Climbing Log'!E26,'RC Lookup'!$G$3:$H$5,2,FALSE)),0)*VLOOKUP(D$7,'RC Lookup'!$D$3:$E$18,2,FALSE)</f>
        <v>0</v>
      </c>
      <c r="F26" s="26">
        <f>_xlfn.IFNA(IF(LEFT('Rock Climbing Log'!F26)="C",_xlfn.IFNA(VLOOKUP('Rock Climbing Log'!F26,'RC Lookup'!$A$3:$B$9,2,FALSE),0.5),VLOOKUP('Rock Climbing Log'!F26,'RC Lookup'!$G$3:$H$5,2,FALSE)),0)*VLOOKUP(D$7,'RC Lookup'!$D$3:$E$18,2,FALSE)</f>
        <v>0</v>
      </c>
      <c r="G26" s="26">
        <f>_xlfn.IFNA(IF(LEFT('Rock Climbing Log'!G26)="C",_xlfn.IFNA(VLOOKUP('Rock Climbing Log'!G26,'RC Lookup'!$A$3:$B$9,2,FALSE),0.5),VLOOKUP('Rock Climbing Log'!G26,'RC Lookup'!$G$3:$H$5,2,FALSE)),0)*VLOOKUP(G$7,'RC Lookup'!$D$3:$E$18,2,FALSE)</f>
        <v>0</v>
      </c>
      <c r="H26" s="26">
        <f>_xlfn.IFNA(IF(LEFT('Rock Climbing Log'!H26)="C",_xlfn.IFNA(VLOOKUP('Rock Climbing Log'!H26,'RC Lookup'!$A$3:$B$9,2,FALSE),0.5),VLOOKUP('Rock Climbing Log'!H26,'RC Lookup'!$G$3:$H$5,2,FALSE)),0)*VLOOKUP(G$7,'RC Lookup'!$D$3:$E$18,2,FALSE)</f>
        <v>0</v>
      </c>
      <c r="I26" s="26">
        <f>_xlfn.IFNA(IF(LEFT('Rock Climbing Log'!I26)="C",_xlfn.IFNA(VLOOKUP('Rock Climbing Log'!I26,'RC Lookup'!$A$3:$B$9,2,FALSE),0.5),VLOOKUP('Rock Climbing Log'!I26,'RC Lookup'!$G$3:$H$5,2,FALSE)),0)*VLOOKUP(G$7,'RC Lookup'!$D$3:$E$18,2,FALSE)</f>
        <v>0</v>
      </c>
      <c r="J26" s="26">
        <f>_xlfn.IFNA(IF(LEFT('Rock Climbing Log'!J26)="C",_xlfn.IFNA(VLOOKUP('Rock Climbing Log'!J26,'RC Lookup'!$A$3:$B$9,2,FALSE),0.5),VLOOKUP('Rock Climbing Log'!J26,'RC Lookup'!$G$3:$H$5,2,FALSE)),0)*VLOOKUP(J$7,'RC Lookup'!$D$3:$E$18,2,FALSE)</f>
        <v>0</v>
      </c>
      <c r="K26" s="26">
        <f>_xlfn.IFNA(IF(LEFT('Rock Climbing Log'!K26)="C",_xlfn.IFNA(VLOOKUP('Rock Climbing Log'!K26,'RC Lookup'!$A$3:$B$9,2,FALSE),0.5),VLOOKUP('Rock Climbing Log'!K26,'RC Lookup'!$G$3:$H$5,2,FALSE)),0)*VLOOKUP(J$7,'RC Lookup'!$D$3:$E$18,2,FALSE)</f>
        <v>0</v>
      </c>
      <c r="L26" s="26">
        <f>_xlfn.IFNA(IF(LEFT('Rock Climbing Log'!L26)="C",_xlfn.IFNA(VLOOKUP('Rock Climbing Log'!L26,'RC Lookup'!$A$3:$B$9,2,FALSE),0.5),VLOOKUP('Rock Climbing Log'!L26,'RC Lookup'!$G$3:$H$5,2,FALSE)),0)*VLOOKUP(J$7,'RC Lookup'!$D$3:$E$18,2,FALSE)</f>
        <v>0</v>
      </c>
      <c r="M26" s="26">
        <f>_xlfn.IFNA(IF(LEFT('Rock Climbing Log'!M26)="C",_xlfn.IFNA(VLOOKUP('Rock Climbing Log'!M26,'RC Lookup'!$A$3:$B$9,2,FALSE),0.5),VLOOKUP('Rock Climbing Log'!M26,'RC Lookup'!$G$3:$H$5,2,FALSE)),0)*VLOOKUP(M$7,'RC Lookup'!$D$3:$E$18,2,FALSE)</f>
        <v>20.002500000000001</v>
      </c>
      <c r="N26" s="26">
        <f>_xlfn.IFNA(IF(LEFT('Rock Climbing Log'!N26)="C",_xlfn.IFNA(VLOOKUP('Rock Climbing Log'!N26,'RC Lookup'!$A$3:$B$9,2,FALSE),0.5),VLOOKUP('Rock Climbing Log'!N26,'RC Lookup'!$G$3:$H$5,2,FALSE)),0)*VLOOKUP(M$7,'RC Lookup'!$D$3:$E$18,2,FALSE)</f>
        <v>0</v>
      </c>
      <c r="O26" s="26">
        <f>_xlfn.IFNA(IF(LEFT('Rock Climbing Log'!O26)="C",_xlfn.IFNA(VLOOKUP('Rock Climbing Log'!O26,'RC Lookup'!$A$3:$B$9,2,FALSE),0.5),VLOOKUP('Rock Climbing Log'!O26,'RC Lookup'!$G$3:$H$5,2,FALSE)),0)*VLOOKUP(M$7,'RC Lookup'!$D$3:$E$18,2,FALSE)</f>
        <v>0</v>
      </c>
      <c r="P26" s="26">
        <f>_xlfn.IFNA(IF(LEFT('Rock Climbing Log'!P26)="C",_xlfn.IFNA(VLOOKUP('Rock Climbing Log'!P26,'RC Lookup'!$A$3:$B$9,2,FALSE),0.5),VLOOKUP('Rock Climbing Log'!P26,'RC Lookup'!$G$3:$H$5,2,FALSE)),0)*VLOOKUP(P$7,'RC Lookup'!$D$3:$E$18,2,FALSE)</f>
        <v>0</v>
      </c>
      <c r="Q26" s="26">
        <f>_xlfn.IFNA(IF(LEFT('Rock Climbing Log'!Q26)="C",_xlfn.IFNA(VLOOKUP('Rock Climbing Log'!Q26,'RC Lookup'!$A$3:$B$9,2,FALSE),0.5),VLOOKUP('Rock Climbing Log'!Q26,'RC Lookup'!$G$3:$H$5,2,FALSE)),0)*VLOOKUP(P$7,'RC Lookup'!$D$3:$E$18,2,FALSE)</f>
        <v>0</v>
      </c>
      <c r="R26" s="26">
        <f>_xlfn.IFNA(IF(LEFT('Rock Climbing Log'!R26)="C",_xlfn.IFNA(VLOOKUP('Rock Climbing Log'!R26,'RC Lookup'!$A$3:$B$9,2,FALSE),0.5),VLOOKUP('Rock Climbing Log'!R26,'RC Lookup'!$G$3:$H$5,2,FALSE)),0)*VLOOKUP(P$7,'RC Lookup'!$D$3:$E$18,2,FALSE)</f>
        <v>0</v>
      </c>
      <c r="S26" s="26">
        <f>_xlfn.IFNA(IF(LEFT('Rock Climbing Log'!S26)="C",_xlfn.IFNA(VLOOKUP('Rock Climbing Log'!S26,'RC Lookup'!$A$3:$B$9,2,FALSE),0.5),VLOOKUP('Rock Climbing Log'!S26,'RC Lookup'!$G$3:$H$5,2,FALSE)),0)*VLOOKUP(S$7,'RC Lookup'!$D$3:$E$18,2,FALSE)</f>
        <v>0</v>
      </c>
      <c r="T26" s="26">
        <f>_xlfn.IFNA(IF(LEFT('Rock Climbing Log'!T26)="C",_xlfn.IFNA(VLOOKUP('Rock Climbing Log'!T26,'RC Lookup'!$A$3:$B$9,2,FALSE),0.5),VLOOKUP('Rock Climbing Log'!T26,'RC Lookup'!$G$3:$H$5,2,FALSE)),0)*VLOOKUP(S$7,'RC Lookup'!$D$3:$E$18,2,FALSE)</f>
        <v>0</v>
      </c>
      <c r="U26" s="26">
        <f>_xlfn.IFNA(IF(LEFT('Rock Climbing Log'!U26)="C",_xlfn.IFNA(VLOOKUP('Rock Climbing Log'!U26,'RC Lookup'!$A$3:$B$9,2,FALSE),0.5),VLOOKUP('Rock Climbing Log'!U26,'RC Lookup'!$G$3:$H$5,2,FALSE)),0)*VLOOKUP(S$7,'RC Lookup'!$D$3:$E$18,2,FALSE)</f>
        <v>0</v>
      </c>
      <c r="V26" s="26">
        <f>_xlfn.IFNA(IF(LEFT('Rock Climbing Log'!V26)="C",_xlfn.IFNA(VLOOKUP('Rock Climbing Log'!V26,'RC Lookup'!$A$3:$B$9,2,FALSE),0.5),VLOOKUP('Rock Climbing Log'!V26,'RC Lookup'!$G$3:$H$5,2,FALSE)),0)*VLOOKUP(V$7,'RC Lookup'!$D$3:$E$18,2,FALSE)</f>
        <v>35.256745742400021</v>
      </c>
      <c r="W26" s="26">
        <f>_xlfn.IFNA(IF(LEFT('Rock Climbing Log'!W26)="C",_xlfn.IFNA(VLOOKUP('Rock Climbing Log'!W26,'RC Lookup'!$A$3:$B$9,2,FALSE),0.5),VLOOKUP('Rock Climbing Log'!W26,'RC Lookup'!$G$3:$H$5,2,FALSE)),0)*VLOOKUP(V$7,'RC Lookup'!$D$3:$E$18,2,FALSE)</f>
        <v>35.256745742400021</v>
      </c>
      <c r="X26" s="26">
        <f>_xlfn.IFNA(IF(LEFT('Rock Climbing Log'!X26)="C",_xlfn.IFNA(VLOOKUP('Rock Climbing Log'!X26,'RC Lookup'!$A$3:$B$9,2,FALSE),0.5),VLOOKUP('Rock Climbing Log'!X26,'RC Lookup'!$G$3:$H$5,2,FALSE)),0)*VLOOKUP(V$7,'RC Lookup'!$D$3:$E$18,2,FALSE)</f>
        <v>0</v>
      </c>
      <c r="Y26" s="26">
        <f>_xlfn.IFNA(IF(LEFT('Rock Climbing Log'!Y26)="C",_xlfn.IFNA(VLOOKUP('Rock Climbing Log'!Y26,'RC Lookup'!$A$3:$B$9,2,FALSE),0.5),VLOOKUP('Rock Climbing Log'!Y26,'RC Lookup'!$G$3:$H$5,2,FALSE)),0)*VLOOKUP(Y$7,'RC Lookup'!$D$3:$E$18,2,FALSE)</f>
        <v>0</v>
      </c>
      <c r="Z26" s="26">
        <f>_xlfn.IFNA(IF(LEFT('Rock Climbing Log'!Z26)="C",_xlfn.IFNA(VLOOKUP('Rock Climbing Log'!Z26,'RC Lookup'!$A$3:$B$9,2,FALSE),0.5),VLOOKUP('Rock Climbing Log'!Z26,'RC Lookup'!$G$3:$H$5,2,FALSE)),0)*VLOOKUP(Y$7,'RC Lookup'!$D$3:$E$18,2,FALSE)</f>
        <v>0</v>
      </c>
      <c r="AA26" s="26">
        <f>_xlfn.IFNA(IF(LEFT('Rock Climbing Log'!AA26)="C",_xlfn.IFNA(VLOOKUP('Rock Climbing Log'!AA26,'RC Lookup'!$A$3:$B$9,2,FALSE),0.5),VLOOKUP('Rock Climbing Log'!AA26,'RC Lookup'!$G$3:$H$5,2,FALSE)),0)*VLOOKUP(Y$7,'RC Lookup'!$D$3:$E$18,2,FALSE)</f>
        <v>0</v>
      </c>
      <c r="AB26" s="26">
        <f>_xlfn.IFNA(IF(LEFT('Rock Climbing Log'!AB26)="C",_xlfn.IFNA(VLOOKUP('Rock Climbing Log'!AB26,'RC Lookup'!$A$3:$B$9,2,FALSE),0.5),VLOOKUP('Rock Climbing Log'!AB26,'RC Lookup'!$G$3:$H$5,2,FALSE)),0)*VLOOKUP(AB$7,'RC Lookup'!$D$3:$E$18,2,FALSE)</f>
        <v>0</v>
      </c>
      <c r="AC26" s="26">
        <f>_xlfn.IFNA(IF(LEFT('Rock Climbing Log'!AC26)="C",_xlfn.IFNA(VLOOKUP('Rock Climbing Log'!AC26,'RC Lookup'!$A$3:$B$9,2,FALSE),0.5),VLOOKUP('Rock Climbing Log'!AC26,'RC Lookup'!$G$3:$H$5,2,FALSE)),0)*VLOOKUP(AB$7,'RC Lookup'!$D$3:$E$18,2,FALSE)</f>
        <v>0</v>
      </c>
      <c r="AD26" s="26">
        <f>_xlfn.IFNA(IF(LEFT('Rock Climbing Log'!AD26)="C",_xlfn.IFNA(VLOOKUP('Rock Climbing Log'!AD26,'RC Lookup'!$A$3:$B$9,2,FALSE),0.5),VLOOKUP('Rock Climbing Log'!AD26,'RC Lookup'!$G$3:$H$5,2,FALSE)),0)*VLOOKUP(AB$7,'RC Lookup'!$D$3:$E$18,2,FALSE)</f>
        <v>0</v>
      </c>
      <c r="AE26" s="26">
        <f>_xlfn.IFNA(IF(LEFT('Rock Climbing Log'!AE26)="C",_xlfn.IFNA(VLOOKUP('Rock Climbing Log'!AE26,'RC Lookup'!$A$3:$B$9,2,FALSE),0.5),VLOOKUP('Rock Climbing Log'!AE26,'RC Lookup'!$G$3:$H$5,2,FALSE)),0)*VLOOKUP(AE$7,'RC Lookup'!$D$3:$E$18,2,FALSE)</f>
        <v>61.080904662239604</v>
      </c>
      <c r="AF26" s="26">
        <f>_xlfn.IFNA(IF(LEFT('Rock Climbing Log'!AF26)="C",_xlfn.IFNA(VLOOKUP('Rock Climbing Log'!AF26,'RC Lookup'!$A$3:$B$9,2,FALSE),0.5),VLOOKUP('Rock Climbing Log'!AF26,'RC Lookup'!$G$3:$H$5,2,FALSE)),0)*VLOOKUP(AE$7,'RC Lookup'!$D$3:$E$18,2,FALSE)</f>
        <v>67.867671846932893</v>
      </c>
      <c r="AG26" s="26">
        <f>_xlfn.IFNA(IF(LEFT('Rock Climbing Log'!AG26)="C",_xlfn.IFNA(VLOOKUP('Rock Climbing Log'!AG26,'RC Lookup'!$A$3:$B$9,2,FALSE),0.5),VLOOKUP('Rock Climbing Log'!AG26,'RC Lookup'!$G$3:$H$5,2,FALSE)),0)*VLOOKUP(AE$7,'RC Lookup'!$D$3:$E$18,2,FALSE)</f>
        <v>67.867671846932893</v>
      </c>
      <c r="AH26" s="26">
        <f>_xlfn.IFNA(IF(LEFT('Rock Climbing Log'!AH26)="C",_xlfn.IFNA(VLOOKUP('Rock Climbing Log'!AH26,'RC Lookup'!$A$3:$B$9,2,FALSE),0.5),VLOOKUP('Rock Climbing Log'!AH26,'RC Lookup'!$G$3:$H$5,2,FALSE)),0)*VLOOKUP(AH$7,'RC Lookup'!$D$3:$E$18,2,FALSE)</f>
        <v>43.028103950955455</v>
      </c>
      <c r="AI26" s="26">
        <f>_xlfn.IFNA(IF(LEFT('Rock Climbing Log'!AI26)="C",_xlfn.IFNA(VLOOKUP('Rock Climbing Log'!AI26,'RC Lookup'!$A$3:$B$9,2,FALSE),0.5),VLOOKUP('Rock Climbing Log'!AI26,'RC Lookup'!$G$3:$H$5,2,FALSE)),0)*VLOOKUP(AH$7,'RC Lookup'!$D$3:$E$18,2,FALSE)</f>
        <v>0</v>
      </c>
      <c r="AJ26" s="26">
        <f>_xlfn.IFNA(IF(LEFT('Rock Climbing Log'!AJ26)="C",_xlfn.IFNA(VLOOKUP('Rock Climbing Log'!AJ26,'RC Lookup'!$A$3:$B$9,2,FALSE),0.5),VLOOKUP('Rock Climbing Log'!AJ26,'RC Lookup'!$G$3:$H$5,2,FALSE)),0)*VLOOKUP(AH$7,'RC Lookup'!$D$3:$E$18,2,FALSE)</f>
        <v>0</v>
      </c>
      <c r="AK26" s="26">
        <f>_xlfn.IFNA(IF(LEFT('Rock Climbing Log'!AK26)="C",_xlfn.IFNA(VLOOKUP('Rock Climbing Log'!AK26,'RC Lookup'!$A$3:$B$9,2,FALSE),0.5),VLOOKUP('Rock Climbing Log'!AK26,'RC Lookup'!$G$3:$H$5,2,FALSE)),0)*VLOOKUP(AK$7,'RC Lookup'!$D$3:$E$18,2,FALSE)</f>
        <v>0</v>
      </c>
      <c r="AL26" s="26">
        <f>_xlfn.IFNA(IF(LEFT('Rock Climbing Log'!AL26)="C",_xlfn.IFNA(VLOOKUP('Rock Climbing Log'!AL26,'RC Lookup'!$A$3:$B$9,2,FALSE),0.5),VLOOKUP('Rock Climbing Log'!AL26,'RC Lookup'!$G$3:$H$5,2,FALSE)),0)*VLOOKUP(AK$7,'RC Lookup'!$D$3:$E$18,2,FALSE)</f>
        <v>0</v>
      </c>
      <c r="AM26" s="26">
        <f>_xlfn.IFNA(IF(LEFT('Rock Climbing Log'!AM26)="C",_xlfn.IFNA(VLOOKUP('Rock Climbing Log'!AM26,'RC Lookup'!$A$3:$B$9,2,FALSE),0.5),VLOOKUP('Rock Climbing Log'!AM26,'RC Lookup'!$G$3:$H$5,2,FALSE)),0)*VLOOKUP(AK$7,'RC Lookup'!$D$3:$E$18,2,FALSE)</f>
        <v>0</v>
      </c>
      <c r="AN26" s="26">
        <f>_xlfn.IFNA(IF(LEFT('Rock Climbing Log'!AN26)="C",_xlfn.IFNA(VLOOKUP('Rock Climbing Log'!AN26,'RC Lookup'!$A$3:$B$9,2,FALSE),0.5),VLOOKUP('Rock Climbing Log'!AN26,'RC Lookup'!$G$3:$H$5,2,FALSE)),0)*VLOOKUP(AN$7,'RC Lookup'!$D$3:$E$18,2,FALSE)</f>
        <v>0</v>
      </c>
      <c r="AO26" s="26">
        <f>_xlfn.IFNA(IF(LEFT('Rock Climbing Log'!AO26)="C",_xlfn.IFNA(VLOOKUP('Rock Climbing Log'!AO26,'RC Lookup'!$A$3:$B$9,2,FALSE),0.5),VLOOKUP('Rock Climbing Log'!AO26,'RC Lookup'!$G$3:$H$5,2,FALSE)),0)*VLOOKUP(AN$7,'RC Lookup'!$D$3:$E$18,2,FALSE)</f>
        <v>0</v>
      </c>
      <c r="AP26" s="26">
        <f>_xlfn.IFNA(IF(LEFT('Rock Climbing Log'!AP26)="C",_xlfn.IFNA(VLOOKUP('Rock Climbing Log'!AP26,'RC Lookup'!$A$3:$B$9,2,FALSE),0.5),VLOOKUP('Rock Climbing Log'!AP26,'RC Lookup'!$G$3:$H$5,2,FALSE)),0)*VLOOKUP(AN$7,'RC Lookup'!$D$3:$E$18,2,FALSE)</f>
        <v>0</v>
      </c>
      <c r="AQ26" s="26">
        <f>_xlfn.IFNA(IF(LEFT('Rock Climbing Log'!AQ26)="C",_xlfn.IFNA(VLOOKUP('Rock Climbing Log'!AQ26,'RC Lookup'!$A$3:$B$9,2,FALSE),0.5),VLOOKUP('Rock Climbing Log'!AQ26,'RC Lookup'!$G$3:$H$5,2,FALSE)),0)*VLOOKUP(AQ$7,'RC Lookup'!$D$3:$E$18,2,FALSE)</f>
        <v>0</v>
      </c>
      <c r="AR26" s="26">
        <f>_xlfn.IFNA(IF(LEFT('Rock Climbing Log'!AR26)="C",_xlfn.IFNA(VLOOKUP('Rock Climbing Log'!AR26,'RC Lookup'!$A$3:$B$9,2,FALSE),0.5),VLOOKUP('Rock Climbing Log'!AR26,'RC Lookup'!$G$3:$H$5,2,FALSE)),0)*VLOOKUP(AQ$7,'RC Lookup'!$D$3:$E$18,2,FALSE)</f>
        <v>0</v>
      </c>
      <c r="AS26" s="26">
        <f>_xlfn.IFNA(IF(LEFT('Rock Climbing Log'!AS26)="C",_xlfn.IFNA(VLOOKUP('Rock Climbing Log'!AS26,'RC Lookup'!$A$3:$B$9,2,FALSE),0.5),VLOOKUP('Rock Climbing Log'!AS26,'RC Lookup'!$G$3:$H$5,2,FALSE)),0)*VLOOKUP(AQ$7,'RC Lookup'!$D$3:$E$18,2,FALSE)</f>
        <v>0</v>
      </c>
      <c r="AT26" s="26">
        <f>_xlfn.IFNA(IF(LEFT('Rock Climbing Log'!AT26)="C",_xlfn.IFNA(VLOOKUP('Rock Climbing Log'!AT26,'RC Lookup'!$A$3:$B$9,2,FALSE),0.5),VLOOKUP('Rock Climbing Log'!AT26,'RC Lookup'!$G$3:$H$5,2,FALSE)),0)*VLOOKUP(AT$7,'RC Lookup'!$D$3:$E$18,2,FALSE)</f>
        <v>0</v>
      </c>
      <c r="AU26" s="26">
        <f>_xlfn.IFNA(IF(LEFT('Rock Climbing Log'!AU26)="C",_xlfn.IFNA(VLOOKUP('Rock Climbing Log'!AU26,'RC Lookup'!$A$3:$B$9,2,FALSE),0.5),VLOOKUP('Rock Climbing Log'!AU26,'RC Lookup'!$G$3:$H$5,2,FALSE)),0)*VLOOKUP(AT$7,'RC Lookup'!$D$3:$E$18,2,FALSE)</f>
        <v>0</v>
      </c>
      <c r="AV26" s="26">
        <f>_xlfn.IFNA(IF(LEFT('Rock Climbing Log'!AV26)="C",_xlfn.IFNA(VLOOKUP('Rock Climbing Log'!AV26,'RC Lookup'!$A$3:$B$9,2,FALSE),0.5),VLOOKUP('Rock Climbing Log'!AV26,'RC Lookup'!$G$3:$H$5,2,FALSE)),0)*VLOOKUP(AT$7,'RC Lookup'!$D$3:$E$18,2,FALSE)</f>
        <v>0</v>
      </c>
      <c r="AW26" s="30">
        <f t="shared" ca="1" si="0"/>
        <v>196.8162483561054</v>
      </c>
      <c r="AX26" s="30">
        <f ca="1">_xlfn.IFNA(VLOOKUP(SUMPRODUCT(LARGE(($C$8:$C26=Table1[[#This Row],[Climber]])*$A$8:$A26,1)),$A$8:$AW26,MATCH($AW$7,$A$7:$AW$7,FALSE),FALSE),0)/LEFT($AX$7,FIND(" ",$AX$7))+_xlfn.IFNA(VLOOKUP(SUMPRODUCT(LARGE(($C$8:$C26=Table1[[#This Row],[Climber]])*$A$8:$A26,MIN(2,COUNTIFS($C$8:$C26,$C26)))),$A$8:$AW26,MATCH($AW$7,$A$7:$AW$7,FALSE),FALSE),0)/LEFT($AX$7,FIND(" ",$AX$7))+_xlfn.IFNA(VLOOKUP(SUMPRODUCT(LARGE(($C$8:$C26=Table1[[#This Row],[Climber]])*$A$8:$A26,MIN(3,COUNTIFS($C$8:$C26,$C26)))),$A$8:$AW26,MATCH($AW$7,$A$7:$AW$7,FALSE),FALSE),0)/LEFT($AX$7,FIND(" ",$AX$7))</f>
        <v>174.98917532015744</v>
      </c>
      <c r="AY26" s="30">
        <f ca="1">_xlfn.IFNA(VLOOKUP(SUMPRODUCT(LARGE(($C$8:$C26=Table1[[#This Row],[Climber]])*$A$8:$A26,1)),$A$8:$AW26,MATCH($AW$7,$A$7:$AW$7,FALSE),FALSE),0)/LEFT($AY$7,FIND(" ",$AY$7))+_xlfn.IFNA(VLOOKUP(SUMPRODUCT(LARGE(($C$8:$C26=Table1[[#This Row],[Climber]])*$A$8:$A26,MIN(2,COUNTIFS($C$8:$C26,$C26)))),$A$8:$AW26,MATCH($AW$7,$A$7:$AW$7,FALSE),FALSE),0)/LEFT($AY$7,FIND(" ",$AY$7))+_xlfn.IFNA(VLOOKUP(SUMPRODUCT(LARGE(($C$8:$C26=Table1[[#This Row],[Climber]])*$A$8:$A26,MIN(3,COUNTIFS($C$8:$C26,$C26)))),$A$8:$AW26,MATCH($AW$7,$A$7:$AW$7,FALSE),FALSE),0)/LEFT($AY$7,FIND(" ",$AY$7))+_xlfn.IFNA(VLOOKUP(SUMPRODUCT(LARGE(($C$8:$C26=Table1[[#This Row],[Climber]])*$A$8:$A26,MIN(4,COUNTIFS($C$8:$C26,$C26)))),$A$8:$AW26,MATCH($AW$7,$A$7:$AW$7,FALSE),FALSE),0)/LEFT($AY$7,FIND(" ",$AY$7))+_xlfn.IFNA(VLOOKUP(SUMPRODUCT(LARGE(($C$8:$C26=Table1[[#This Row],[Climber]])*$A$8:$A26,MIN(5,COUNTIFS($C$8:$C26,$C26)))),$A$8:$AW26,MATCH($AW$7,$A$7:$AW$7,FALSE),FALSE),0)/LEFT($AY$7,FIND(" ",$AY$7))</f>
        <v>162.83002072758131</v>
      </c>
      <c r="AZ26" s="30">
        <f ca="1">(_xlfn.IFNA(VLOOKUP(SUMPRODUCT(LARGE(($C$8:$C26=Table1[[#This Row],[Climber]])*$A$8:$A26,4)),$A$8:$AW26,MATCH($AW$7,$A$7:$AW$7,FALSE),FALSE),0)+_xlfn.IFNA(VLOOKUP(SUMPRODUCT(LARGE(($C$8:$C26=Table1[[#This Row],[Climber]])*$A$8:$A26,5)),$A$8:$AW26,MATCH($AW$7,$A$7:$AW$7,FALSE),FALSE),0)+_xlfn.IFNA(VLOOKUP(SUMPRODUCT(LARGE(($C$8:$C26=Table1[[#This Row],[Climber]])*$A$8:$A26,6)),$A$8:$AW26,MATCH($AW$7,$A$7:$AW$7,FALSE),FALSE),0))/3</f>
        <v>135.17424269402457</v>
      </c>
      <c r="BA26" s="6">
        <f ca="1">_xlfn.MAXIFS(INDIRECT("$AW"&amp;IF(SUMPRODUCT(LARGE(($C$8:$C26=$C26)*$A$8:$A26,LEFT($BA$7,FIND(" ",$BA$7)-1)))=0,8,SUMPRODUCT(LARGE(($C$8:$C26=$C26)*$A$8:$A26,LEFT($BA$7,FIND(" ",$BA$7)-1)))+7)&amp;":$AW"&amp;ROW()),INDIRECT("$C"&amp;IF(SUMPRODUCT(LARGE(($C$8:$C26=$C26)*$A$8:$A26,LEFT($BA$7,FIND(" ",$BA$7)-1)))=0,8,SUMPRODUCT(LARGE(($C$8:$C26=$C26)*$A$8:$A26,LEFT($BA$7,FIND(" ",$BA$7)-1)))+7)&amp;":$C"&amp;ROW()),$C26)</f>
        <v>196.8162483561054</v>
      </c>
      <c r="BB26" s="6" t="str">
        <f ca="1">VLOOKUP(MAX(BG26,$AX26),'RC Lookup'!$G$14:$J$20,2,TRUE)</f>
        <v>T4</v>
      </c>
      <c r="BC26" s="6">
        <f ca="1">_xlfn.IFNA(VLOOKUP(VLOOKUP($C26,'RC Lookup'!$O$3:$P$50,2,FALSE),'RC Lookup'!$H$14:$J$23,2,FALSE),0)*AW26</f>
        <v>59.559016824395385</v>
      </c>
      <c r="BD26" s="6">
        <f ca="1">_xlfn.IFNA(VLOOKUP(SUMPRODUCT(LARGE(($C$8:$C26=Table1[[#This Row],[Climber]])*$A$8:$A26,1)),$A$8:$BC26,55,FALSE),0)/LEFT($AX$7,FIND(" ",$AX$7))+_xlfn.IFNA(VLOOKUP(SUMPRODUCT(LARGE(($C$8:$C26=Table1[[#This Row],[Climber]])*$A$8:$A26,MIN(2,COUNTIFS($C$8:$C26,$C26)))),$A$8:$BC26,55,FALSE),0)/LEFT($AX$7,FIND(" ",$AX$7))+_xlfn.IFNA(VLOOKUP(SUMPRODUCT(LARGE(($C$8:$C26=Table1[[#This Row],[Climber]])*$A$8:$A26,MIN(3,COUNTIFS($C$8:$C26,$C26)))),$A$8:$BC26,55,FALSE),0)/LEFT($AX$7,FIND(" ",$AX$7))</f>
        <v>52.953876135892855</v>
      </c>
      <c r="BE26" s="6">
        <f ca="1">(_xlfn.IFNA(VLOOKUP(SUMPRODUCT(LARGE(($C$8:$C26=Table1[[#This Row],[Climber]])*$A$8:$A26,4)),$A$8:$BD26,55,FALSE),0)+_xlfn.IFNA(VLOOKUP(SUMPRODUCT(LARGE(($C$8:$C26=Table1[[#This Row],[Climber]])*$A$8:$A26,5)),$A$8:$BD26,55,FALSE),0)+_xlfn.IFNA(VLOOKUP(SUMPRODUCT(LARGE(($C$8:$C26=Table1[[#This Row],[Climber]])*$A$8:$A26,6)),$A$8:$BD26,55,FALSE),0))/3</f>
        <v>40.905387954919675</v>
      </c>
      <c r="BF26" s="46">
        <f ca="1">_xlfn.MAXIFS(INDIRECT("$BC"&amp;IF(SUMPRODUCT(LARGE(($C$8:$C26=$C26)*$A$8:$A26,LEFT($BA$7,FIND(" ",$BA$7)-1)))=0,8,SUMPRODUCT(LARGE(($C$8:$C26=$C26)*$A$8:$A26,LEFT($BA$7,FIND(" ",$BA$7)-1)))+7)&amp;":$BC"&amp;ROW()),INDIRECT("$C"&amp;IF(SUMPRODUCT(LARGE(($C$8:$C26=$C26)*$A$8:$A26,LEFT($BA$7,FIND(" ",$BA$7)-1)))=0,8,SUMPRODUCT(LARGE(($C$8:$C26=$C26)*$A$8:$A26,LEFT($BA$7,FIND(" ",$BA$7)-1)))+7)&amp;":$C"&amp;ROW()),$C26)</f>
        <v>59.559016824395385</v>
      </c>
      <c r="BG26" s="46">
        <f t="array" aca="1" ref="BG26" ca="1">IFERROR(SUMPRODUCT(LARGE(($C$8:$C26=Table1[[#This Row],[Climber]])*$AW$8:$AW26,ROW(INDIRECT("1:5")))),AW26)/MIN(COUNTIFS($C$8:$C26,C26),5)</f>
        <v>162.83002072758126</v>
      </c>
      <c r="BH26" s="46"/>
    </row>
    <row r="27" spans="1:61" x14ac:dyDescent="0.3">
      <c r="A27" s="125">
        <f t="shared" si="1"/>
        <v>20</v>
      </c>
      <c r="B27" s="25">
        <f>'Rock Climbing Log'!B27</f>
        <v>43124</v>
      </c>
      <c r="C27" s="126" t="str">
        <f>'Rock Climbing Log'!C27</f>
        <v>Jan</v>
      </c>
      <c r="D27" s="26">
        <f>_xlfn.IFNA(IF(LEFT('Rock Climbing Log'!D27)="C",_xlfn.IFNA(VLOOKUP('Rock Climbing Log'!D27,'RC Lookup'!$A$3:$B$9,2,FALSE),0.5),VLOOKUP('Rock Climbing Log'!D27,'RC Lookup'!$G$3:$H$5,2,FALSE)),0)*VLOOKUP(D$7,'RC Lookup'!$D$3:$E$18,2,FALSE)</f>
        <v>10</v>
      </c>
      <c r="E27" s="26">
        <f>_xlfn.IFNA(IF(LEFT('Rock Climbing Log'!E27)="C",_xlfn.IFNA(VLOOKUP('Rock Climbing Log'!E27,'RC Lookup'!$A$3:$B$9,2,FALSE),0.5),VLOOKUP('Rock Climbing Log'!E27,'RC Lookup'!$G$3:$H$5,2,FALSE)),0)*VLOOKUP(D$7,'RC Lookup'!$D$3:$E$18,2,FALSE)</f>
        <v>0</v>
      </c>
      <c r="F27" s="26">
        <f>_xlfn.IFNA(IF(LEFT('Rock Climbing Log'!F27)="C",_xlfn.IFNA(VLOOKUP('Rock Climbing Log'!F27,'RC Lookup'!$A$3:$B$9,2,FALSE),0.5),VLOOKUP('Rock Climbing Log'!F27,'RC Lookup'!$G$3:$H$5,2,FALSE)),0)*VLOOKUP(D$7,'RC Lookup'!$D$3:$E$18,2,FALSE)</f>
        <v>0</v>
      </c>
      <c r="G27" s="26">
        <f>_xlfn.IFNA(IF(LEFT('Rock Climbing Log'!G27)="C",_xlfn.IFNA(VLOOKUP('Rock Climbing Log'!G27,'RC Lookup'!$A$3:$B$9,2,FALSE),0.5),VLOOKUP('Rock Climbing Log'!G27,'RC Lookup'!$G$3:$H$5,2,FALSE)),0)*VLOOKUP(G$7,'RC Lookup'!$D$3:$E$18,2,FALSE)</f>
        <v>12.5</v>
      </c>
      <c r="H27" s="26">
        <f>_xlfn.IFNA(IF(LEFT('Rock Climbing Log'!H27)="C",_xlfn.IFNA(VLOOKUP('Rock Climbing Log'!H27,'RC Lookup'!$A$3:$B$9,2,FALSE),0.5),VLOOKUP('Rock Climbing Log'!H27,'RC Lookup'!$G$3:$H$5,2,FALSE)),0)*VLOOKUP(G$7,'RC Lookup'!$D$3:$E$18,2,FALSE)</f>
        <v>0</v>
      </c>
      <c r="I27" s="26">
        <f>_xlfn.IFNA(IF(LEFT('Rock Climbing Log'!I27)="C",_xlfn.IFNA(VLOOKUP('Rock Climbing Log'!I27,'RC Lookup'!$A$3:$B$9,2,FALSE),0.5),VLOOKUP('Rock Climbing Log'!I27,'RC Lookup'!$G$3:$H$5,2,FALSE)),0)*VLOOKUP(G$7,'RC Lookup'!$D$3:$E$18,2,FALSE)</f>
        <v>0</v>
      </c>
      <c r="J27" s="26">
        <f>_xlfn.IFNA(IF(LEFT('Rock Climbing Log'!J27)="C",_xlfn.IFNA(VLOOKUP('Rock Climbing Log'!J27,'RC Lookup'!$A$3:$B$9,2,FALSE),0.5),VLOOKUP('Rock Climbing Log'!J27,'RC Lookup'!$G$3:$H$5,2,FALSE)),0)*VLOOKUP(J$7,'RC Lookup'!$D$3:$E$18,2,FALSE)</f>
        <v>15.75</v>
      </c>
      <c r="K27" s="26">
        <f>_xlfn.IFNA(IF(LEFT('Rock Climbing Log'!K27)="C",_xlfn.IFNA(VLOOKUP('Rock Climbing Log'!K27,'RC Lookup'!$A$3:$B$9,2,FALSE),0.5),VLOOKUP('Rock Climbing Log'!K27,'RC Lookup'!$G$3:$H$5,2,FALSE)),0)*VLOOKUP(J$7,'RC Lookup'!$D$3:$E$18,2,FALSE)</f>
        <v>0</v>
      </c>
      <c r="L27" s="26">
        <f>_xlfn.IFNA(IF(LEFT('Rock Climbing Log'!L27)="C",_xlfn.IFNA(VLOOKUP('Rock Climbing Log'!L27,'RC Lookup'!$A$3:$B$9,2,FALSE),0.5),VLOOKUP('Rock Climbing Log'!L27,'RC Lookup'!$G$3:$H$5,2,FALSE)),0)*VLOOKUP(J$7,'RC Lookup'!$D$3:$E$18,2,FALSE)</f>
        <v>0</v>
      </c>
      <c r="M27" s="26">
        <f>_xlfn.IFNA(IF(LEFT('Rock Climbing Log'!M27)="C",_xlfn.IFNA(VLOOKUP('Rock Climbing Log'!M27,'RC Lookup'!$A$3:$B$9,2,FALSE),0.5),VLOOKUP('Rock Climbing Log'!M27,'RC Lookup'!$G$3:$H$5,2,FALSE)),0)*VLOOKUP(M$7,'RC Lookup'!$D$3:$E$18,2,FALSE)</f>
        <v>0</v>
      </c>
      <c r="N27" s="26">
        <f>_xlfn.IFNA(IF(LEFT('Rock Climbing Log'!N27)="C",_xlfn.IFNA(VLOOKUP('Rock Climbing Log'!N27,'RC Lookup'!$A$3:$B$9,2,FALSE),0.5),VLOOKUP('Rock Climbing Log'!N27,'RC Lookup'!$G$3:$H$5,2,FALSE)),0)*VLOOKUP(M$7,'RC Lookup'!$D$3:$E$18,2,FALSE)</f>
        <v>0</v>
      </c>
      <c r="O27" s="26">
        <f>_xlfn.IFNA(IF(LEFT('Rock Climbing Log'!O27)="C",_xlfn.IFNA(VLOOKUP('Rock Climbing Log'!O27,'RC Lookup'!$A$3:$B$9,2,FALSE),0.5),VLOOKUP('Rock Climbing Log'!O27,'RC Lookup'!$G$3:$H$5,2,FALSE)),0)*VLOOKUP(M$7,'RC Lookup'!$D$3:$E$18,2,FALSE)</f>
        <v>0</v>
      </c>
      <c r="P27" s="26">
        <f>_xlfn.IFNA(IF(LEFT('Rock Climbing Log'!P27)="C",_xlfn.IFNA(VLOOKUP('Rock Climbing Log'!P27,'RC Lookup'!$A$3:$B$9,2,FALSE),0.5),VLOOKUP('Rock Climbing Log'!P27,'RC Lookup'!$G$3:$H$5,2,FALSE)),0)*VLOOKUP(P$7,'RC Lookup'!$D$3:$E$18,2,FALSE)</f>
        <v>0</v>
      </c>
      <c r="Q27" s="26">
        <f>_xlfn.IFNA(IF(LEFT('Rock Climbing Log'!Q27)="C",_xlfn.IFNA(VLOOKUP('Rock Climbing Log'!Q27,'RC Lookup'!$A$3:$B$9,2,FALSE),0.5),VLOOKUP('Rock Climbing Log'!Q27,'RC Lookup'!$G$3:$H$5,2,FALSE)),0)*VLOOKUP(P$7,'RC Lookup'!$D$3:$E$18,2,FALSE)</f>
        <v>0</v>
      </c>
      <c r="R27" s="26">
        <f>_xlfn.IFNA(IF(LEFT('Rock Climbing Log'!R27)="C",_xlfn.IFNA(VLOOKUP('Rock Climbing Log'!R27,'RC Lookup'!$A$3:$B$9,2,FALSE),0.5),VLOOKUP('Rock Climbing Log'!R27,'RC Lookup'!$G$3:$H$5,2,FALSE)),0)*VLOOKUP(P$7,'RC Lookup'!$D$3:$E$18,2,FALSE)</f>
        <v>0</v>
      </c>
      <c r="S27" s="26">
        <f>_xlfn.IFNA(IF(LEFT('Rock Climbing Log'!S27)="C",_xlfn.IFNA(VLOOKUP('Rock Climbing Log'!S27,'RC Lookup'!$A$3:$B$9,2,FALSE),0.5),VLOOKUP('Rock Climbing Log'!S27,'RC Lookup'!$G$3:$H$5,2,FALSE)),0)*VLOOKUP(S$7,'RC Lookup'!$D$3:$E$18,2,FALSE)</f>
        <v>0</v>
      </c>
      <c r="T27" s="26">
        <f>_xlfn.IFNA(IF(LEFT('Rock Climbing Log'!T27)="C",_xlfn.IFNA(VLOOKUP('Rock Climbing Log'!T27,'RC Lookup'!$A$3:$B$9,2,FALSE),0.5),VLOOKUP('Rock Climbing Log'!T27,'RC Lookup'!$G$3:$H$5,2,FALSE)),0)*VLOOKUP(S$7,'RC Lookup'!$D$3:$E$18,2,FALSE)</f>
        <v>0</v>
      </c>
      <c r="U27" s="26">
        <f>_xlfn.IFNA(IF(LEFT('Rock Climbing Log'!U27)="C",_xlfn.IFNA(VLOOKUP('Rock Climbing Log'!U27,'RC Lookup'!$A$3:$B$9,2,FALSE),0.5),VLOOKUP('Rock Climbing Log'!U27,'RC Lookup'!$G$3:$H$5,2,FALSE)),0)*VLOOKUP(S$7,'RC Lookup'!$D$3:$E$18,2,FALSE)</f>
        <v>0</v>
      </c>
      <c r="V27" s="26">
        <f>_xlfn.IFNA(IF(LEFT('Rock Climbing Log'!V27)="C",_xlfn.IFNA(VLOOKUP('Rock Climbing Log'!V27,'RC Lookup'!$A$3:$B$9,2,FALSE),0.5),VLOOKUP('Rock Climbing Log'!V27,'RC Lookup'!$G$3:$H$5,2,FALSE)),0)*VLOOKUP(V$7,'RC Lookup'!$D$3:$E$18,2,FALSE)</f>
        <v>28.557964051344019</v>
      </c>
      <c r="W27" s="26">
        <f>_xlfn.IFNA(IF(LEFT('Rock Climbing Log'!W27)="C",_xlfn.IFNA(VLOOKUP('Rock Climbing Log'!W27,'RC Lookup'!$A$3:$B$9,2,FALSE),0.5),VLOOKUP('Rock Climbing Log'!W27,'RC Lookup'!$G$3:$H$5,2,FALSE)),0)*VLOOKUP(V$7,'RC Lookup'!$D$3:$E$18,2,FALSE)</f>
        <v>0</v>
      </c>
      <c r="X27" s="26">
        <f>_xlfn.IFNA(IF(LEFT('Rock Climbing Log'!X27)="C",_xlfn.IFNA(VLOOKUP('Rock Climbing Log'!X27,'RC Lookup'!$A$3:$B$9,2,FALSE),0.5),VLOOKUP('Rock Climbing Log'!X27,'RC Lookup'!$G$3:$H$5,2,FALSE)),0)*VLOOKUP(V$7,'RC Lookup'!$D$3:$E$18,2,FALSE)</f>
        <v>0</v>
      </c>
      <c r="Y27" s="26">
        <f>_xlfn.IFNA(IF(LEFT('Rock Climbing Log'!Y27)="C",_xlfn.IFNA(VLOOKUP('Rock Climbing Log'!Y27,'RC Lookup'!$A$3:$B$9,2,FALSE),0.5),VLOOKUP('Rock Climbing Log'!Y27,'RC Lookup'!$G$3:$H$5,2,FALSE)),0)*VLOOKUP(Y$7,'RC Lookup'!$D$3:$E$18,2,FALSE)</f>
        <v>0</v>
      </c>
      <c r="Z27" s="26">
        <f>_xlfn.IFNA(IF(LEFT('Rock Climbing Log'!Z27)="C",_xlfn.IFNA(VLOOKUP('Rock Climbing Log'!Z27,'RC Lookup'!$A$3:$B$9,2,FALSE),0.5),VLOOKUP('Rock Climbing Log'!Z27,'RC Lookup'!$G$3:$H$5,2,FALSE)),0)*VLOOKUP(Y$7,'RC Lookup'!$D$3:$E$18,2,FALSE)</f>
        <v>0</v>
      </c>
      <c r="AA27" s="26">
        <f>_xlfn.IFNA(IF(LEFT('Rock Climbing Log'!AA27)="C",_xlfn.IFNA(VLOOKUP('Rock Climbing Log'!AA27,'RC Lookup'!$A$3:$B$9,2,FALSE),0.5),VLOOKUP('Rock Climbing Log'!AA27,'RC Lookup'!$G$3:$H$5,2,FALSE)),0)*VLOOKUP(Y$7,'RC Lookup'!$D$3:$E$18,2,FALSE)</f>
        <v>0</v>
      </c>
      <c r="AB27" s="26">
        <f>_xlfn.IFNA(IF(LEFT('Rock Climbing Log'!AB27)="C",_xlfn.IFNA(VLOOKUP('Rock Climbing Log'!AB27,'RC Lookup'!$A$3:$B$9,2,FALSE),0.5),VLOOKUP('Rock Climbing Log'!AB27,'RC Lookup'!$G$3:$H$5,2,FALSE)),0)*VLOOKUP(AB$7,'RC Lookup'!$D$3:$E$18,2,FALSE)</f>
        <v>0</v>
      </c>
      <c r="AC27" s="26">
        <f>_xlfn.IFNA(IF(LEFT('Rock Climbing Log'!AC27)="C",_xlfn.IFNA(VLOOKUP('Rock Climbing Log'!AC27,'RC Lookup'!$A$3:$B$9,2,FALSE),0.5),VLOOKUP('Rock Climbing Log'!AC27,'RC Lookup'!$G$3:$H$5,2,FALSE)),0)*VLOOKUP(AB$7,'RC Lookup'!$D$3:$E$18,2,FALSE)</f>
        <v>0</v>
      </c>
      <c r="AD27" s="26">
        <f>_xlfn.IFNA(IF(LEFT('Rock Climbing Log'!AD27)="C",_xlfn.IFNA(VLOOKUP('Rock Climbing Log'!AD27,'RC Lookup'!$A$3:$B$9,2,FALSE),0.5),VLOOKUP('Rock Climbing Log'!AD27,'RC Lookup'!$G$3:$H$5,2,FALSE)),0)*VLOOKUP(AB$7,'RC Lookup'!$D$3:$E$18,2,FALSE)</f>
        <v>0</v>
      </c>
      <c r="AE27" s="26">
        <f>_xlfn.IFNA(IF(LEFT('Rock Climbing Log'!AE27)="C",_xlfn.IFNA(VLOOKUP('Rock Climbing Log'!AE27,'RC Lookup'!$A$3:$B$9,2,FALSE),0.5),VLOOKUP('Rock Climbing Log'!AE27,'RC Lookup'!$G$3:$H$5,2,FALSE)),0)*VLOOKUP(AE$7,'RC Lookup'!$D$3:$E$18,2,FALSE)</f>
        <v>0</v>
      </c>
      <c r="AF27" s="26">
        <f>_xlfn.IFNA(IF(LEFT('Rock Climbing Log'!AF27)="C",_xlfn.IFNA(VLOOKUP('Rock Climbing Log'!AF27,'RC Lookup'!$A$3:$B$9,2,FALSE),0.5),VLOOKUP('Rock Climbing Log'!AF27,'RC Lookup'!$G$3:$H$5,2,FALSE)),0)*VLOOKUP(AE$7,'RC Lookup'!$D$3:$E$18,2,FALSE)</f>
        <v>0</v>
      </c>
      <c r="AG27" s="26">
        <f>_xlfn.IFNA(IF(LEFT('Rock Climbing Log'!AG27)="C",_xlfn.IFNA(VLOOKUP('Rock Climbing Log'!AG27,'RC Lookup'!$A$3:$B$9,2,FALSE),0.5),VLOOKUP('Rock Climbing Log'!AG27,'RC Lookup'!$G$3:$H$5,2,FALSE)),0)*VLOOKUP(AE$7,'RC Lookup'!$D$3:$E$18,2,FALSE)</f>
        <v>0</v>
      </c>
      <c r="AH27" s="26">
        <f>_xlfn.IFNA(IF(LEFT('Rock Climbing Log'!AH27)="C",_xlfn.IFNA(VLOOKUP('Rock Climbing Log'!AH27,'RC Lookup'!$A$3:$B$9,2,FALSE),0.5),VLOOKUP('Rock Climbing Log'!AH27,'RC Lookup'!$G$3:$H$5,2,FALSE)),0)*VLOOKUP(AH$7,'RC Lookup'!$D$3:$E$18,2,FALSE)</f>
        <v>0</v>
      </c>
      <c r="AI27" s="26">
        <f>_xlfn.IFNA(IF(LEFT('Rock Climbing Log'!AI27)="C",_xlfn.IFNA(VLOOKUP('Rock Climbing Log'!AI27,'RC Lookup'!$A$3:$B$9,2,FALSE),0.5),VLOOKUP('Rock Climbing Log'!AI27,'RC Lookup'!$G$3:$H$5,2,FALSE)),0)*VLOOKUP(AH$7,'RC Lookup'!$D$3:$E$18,2,FALSE)</f>
        <v>0</v>
      </c>
      <c r="AJ27" s="26">
        <f>_xlfn.IFNA(IF(LEFT('Rock Climbing Log'!AJ27)="C",_xlfn.IFNA(VLOOKUP('Rock Climbing Log'!AJ27,'RC Lookup'!$A$3:$B$9,2,FALSE),0.5),VLOOKUP('Rock Climbing Log'!AJ27,'RC Lookup'!$G$3:$H$5,2,FALSE)),0)*VLOOKUP(AH$7,'RC Lookup'!$D$3:$E$18,2,FALSE)</f>
        <v>0</v>
      </c>
      <c r="AK27" s="26">
        <f>_xlfn.IFNA(IF(LEFT('Rock Climbing Log'!AK27)="C",_xlfn.IFNA(VLOOKUP('Rock Climbing Log'!AK27,'RC Lookup'!$A$3:$B$9,2,FALSE),0.5),VLOOKUP('Rock Climbing Log'!AK27,'RC Lookup'!$G$3:$H$5,2,FALSE)),0)*VLOOKUP(AK$7,'RC Lookup'!$D$3:$E$18,2,FALSE)</f>
        <v>0</v>
      </c>
      <c r="AL27" s="26">
        <f>_xlfn.IFNA(IF(LEFT('Rock Climbing Log'!AL27)="C",_xlfn.IFNA(VLOOKUP('Rock Climbing Log'!AL27,'RC Lookup'!$A$3:$B$9,2,FALSE),0.5),VLOOKUP('Rock Climbing Log'!AL27,'RC Lookup'!$G$3:$H$5,2,FALSE)),0)*VLOOKUP(AK$7,'RC Lookup'!$D$3:$E$18,2,FALSE)</f>
        <v>0</v>
      </c>
      <c r="AM27" s="26">
        <f>_xlfn.IFNA(IF(LEFT('Rock Climbing Log'!AM27)="C",_xlfn.IFNA(VLOOKUP('Rock Climbing Log'!AM27,'RC Lookup'!$A$3:$B$9,2,FALSE),0.5),VLOOKUP('Rock Climbing Log'!AM27,'RC Lookup'!$G$3:$H$5,2,FALSE)),0)*VLOOKUP(AK$7,'RC Lookup'!$D$3:$E$18,2,FALSE)</f>
        <v>0</v>
      </c>
      <c r="AN27" s="26">
        <f>_xlfn.IFNA(IF(LEFT('Rock Climbing Log'!AN27)="C",_xlfn.IFNA(VLOOKUP('Rock Climbing Log'!AN27,'RC Lookup'!$A$3:$B$9,2,FALSE),0.5),VLOOKUP('Rock Climbing Log'!AN27,'RC Lookup'!$G$3:$H$5,2,FALSE)),0)*VLOOKUP(AN$7,'RC Lookup'!$D$3:$E$18,2,FALSE)</f>
        <v>0</v>
      </c>
      <c r="AO27" s="26">
        <f>_xlfn.IFNA(IF(LEFT('Rock Climbing Log'!AO27)="C",_xlfn.IFNA(VLOOKUP('Rock Climbing Log'!AO27,'RC Lookup'!$A$3:$B$9,2,FALSE),0.5),VLOOKUP('Rock Climbing Log'!AO27,'RC Lookup'!$G$3:$H$5,2,FALSE)),0)*VLOOKUP(AN$7,'RC Lookup'!$D$3:$E$18,2,FALSE)</f>
        <v>0</v>
      </c>
      <c r="AP27" s="26">
        <f>_xlfn.IFNA(IF(LEFT('Rock Climbing Log'!AP27)="C",_xlfn.IFNA(VLOOKUP('Rock Climbing Log'!AP27,'RC Lookup'!$A$3:$B$9,2,FALSE),0.5),VLOOKUP('Rock Climbing Log'!AP27,'RC Lookup'!$G$3:$H$5,2,FALSE)),0)*VLOOKUP(AN$7,'RC Lookup'!$D$3:$E$18,2,FALSE)</f>
        <v>0</v>
      </c>
      <c r="AQ27" s="26">
        <f>_xlfn.IFNA(IF(LEFT('Rock Climbing Log'!AQ27)="C",_xlfn.IFNA(VLOOKUP('Rock Climbing Log'!AQ27,'RC Lookup'!$A$3:$B$9,2,FALSE),0.5),VLOOKUP('Rock Climbing Log'!AQ27,'RC Lookup'!$G$3:$H$5,2,FALSE)),0)*VLOOKUP(AQ$7,'RC Lookup'!$D$3:$E$18,2,FALSE)</f>
        <v>0</v>
      </c>
      <c r="AR27" s="26">
        <f>_xlfn.IFNA(IF(LEFT('Rock Climbing Log'!AR27)="C",_xlfn.IFNA(VLOOKUP('Rock Climbing Log'!AR27,'RC Lookup'!$A$3:$B$9,2,FALSE),0.5),VLOOKUP('Rock Climbing Log'!AR27,'RC Lookup'!$G$3:$H$5,2,FALSE)),0)*VLOOKUP(AQ$7,'RC Lookup'!$D$3:$E$18,2,FALSE)</f>
        <v>0</v>
      </c>
      <c r="AS27" s="26">
        <f>_xlfn.IFNA(IF(LEFT('Rock Climbing Log'!AS27)="C",_xlfn.IFNA(VLOOKUP('Rock Climbing Log'!AS27,'RC Lookup'!$A$3:$B$9,2,FALSE),0.5),VLOOKUP('Rock Climbing Log'!AS27,'RC Lookup'!$G$3:$H$5,2,FALSE)),0)*VLOOKUP(AQ$7,'RC Lookup'!$D$3:$E$18,2,FALSE)</f>
        <v>0</v>
      </c>
      <c r="AT27" s="26">
        <f>_xlfn.IFNA(IF(LEFT('Rock Climbing Log'!AT27)="C",_xlfn.IFNA(VLOOKUP('Rock Climbing Log'!AT27,'RC Lookup'!$A$3:$B$9,2,FALSE),0.5),VLOOKUP('Rock Climbing Log'!AT27,'RC Lookup'!$G$3:$H$5,2,FALSE)),0)*VLOOKUP(AT$7,'RC Lookup'!$D$3:$E$18,2,FALSE)</f>
        <v>0</v>
      </c>
      <c r="AU27" s="26">
        <f>_xlfn.IFNA(IF(LEFT('Rock Climbing Log'!AU27)="C",_xlfn.IFNA(VLOOKUP('Rock Climbing Log'!AU27,'RC Lookup'!$A$3:$B$9,2,FALSE),0.5),VLOOKUP('Rock Climbing Log'!AU27,'RC Lookup'!$G$3:$H$5,2,FALSE)),0)*VLOOKUP(AT$7,'RC Lookup'!$D$3:$E$18,2,FALSE)</f>
        <v>0</v>
      </c>
      <c r="AV27" s="26">
        <f>_xlfn.IFNA(IF(LEFT('Rock Climbing Log'!AV27)="C",_xlfn.IFNA(VLOOKUP('Rock Climbing Log'!AV27,'RC Lookup'!$A$3:$B$9,2,FALSE),0.5),VLOOKUP('Rock Climbing Log'!AV27,'RC Lookup'!$G$3:$H$5,2,FALSE)),0)*VLOOKUP(AT$7,'RC Lookup'!$D$3:$E$18,2,FALSE)</f>
        <v>0</v>
      </c>
      <c r="AW27" s="30">
        <f t="shared" ca="1" si="0"/>
        <v>56.807964051344015</v>
      </c>
      <c r="AX27" s="30">
        <f ca="1">_xlfn.IFNA(VLOOKUP(SUMPRODUCT(LARGE(($C$8:$C27=Table1[[#This Row],[Climber]])*$A$8:$A27,1)),$A$8:$AW27,MATCH($AW$7,$A$7:$AW$7,FALSE),FALSE),0)/LEFT($AX$7,FIND(" ",$AX$7))+_xlfn.IFNA(VLOOKUP(SUMPRODUCT(LARGE(($C$8:$C27=Table1[[#This Row],[Climber]])*$A$8:$A27,MIN(2,COUNTIFS($C$8:$C27,$C27)))),$A$8:$AW27,MATCH($AW$7,$A$7:$AW$7,FALSE),FALSE),0)/LEFT($AX$7,FIND(" ",$AX$7))+_xlfn.IFNA(VLOOKUP(SUMPRODUCT(LARGE(($C$8:$C27=Table1[[#This Row],[Climber]])*$A$8:$A27,MIN(3,COUNTIFS($C$8:$C27,$C27)))),$A$8:$AW27,MATCH($AW$7,$A$7:$AW$7,FALSE),FALSE),0)/LEFT($AX$7,FIND(" ",$AX$7))</f>
        <v>44.175803974181342</v>
      </c>
      <c r="AY27" s="30">
        <f ca="1">_xlfn.IFNA(VLOOKUP(SUMPRODUCT(LARGE(($C$8:$C27=Table1[[#This Row],[Climber]])*$A$8:$A27,1)),$A$8:$AW27,MATCH($AW$7,$A$7:$AW$7,FALSE),FALSE),0)/LEFT($AY$7,FIND(" ",$AY$7))+_xlfn.IFNA(VLOOKUP(SUMPRODUCT(LARGE(($C$8:$C27=Table1[[#This Row],[Climber]])*$A$8:$A27,MIN(2,COUNTIFS($C$8:$C27,$C27)))),$A$8:$AW27,MATCH($AW$7,$A$7:$AW$7,FALSE),FALSE),0)/LEFT($AY$7,FIND(" ",$AY$7))+_xlfn.IFNA(VLOOKUP(SUMPRODUCT(LARGE(($C$8:$C27=Table1[[#This Row],[Climber]])*$A$8:$A27,MIN(3,COUNTIFS($C$8:$C27,$C27)))),$A$8:$AW27,MATCH($AW$7,$A$7:$AW$7,FALSE),FALSE),0)/LEFT($AY$7,FIND(" ",$AY$7))+_xlfn.IFNA(VLOOKUP(SUMPRODUCT(LARGE(($C$8:$C27=Table1[[#This Row],[Climber]])*$A$8:$A27,MIN(4,COUNTIFS($C$8:$C27,$C27)))),$A$8:$AW27,MATCH($AW$7,$A$7:$AW$7,FALSE),FALSE),0)/LEFT($AY$7,FIND(" ",$AY$7))+_xlfn.IFNA(VLOOKUP(SUMPRODUCT(LARGE(($C$8:$C27=Table1[[#This Row],[Climber]])*$A$8:$A27,MIN(5,COUNTIFS($C$8:$C27,$C27)))),$A$8:$AW27,MATCH($AW$7,$A$7:$AW$7,FALSE),FALSE),0)/LEFT($AY$7,FIND(" ",$AY$7))</f>
        <v>40.608482384508804</v>
      </c>
      <c r="AZ27" s="30">
        <f ca="1">(_xlfn.IFNA(VLOOKUP(SUMPRODUCT(LARGE(($C$8:$C27=Table1[[#This Row],[Climber]])*$A$8:$A27,4)),$A$8:$AW27,MATCH($AW$7,$A$7:$AW$7,FALSE),FALSE),0)+_xlfn.IFNA(VLOOKUP(SUMPRODUCT(LARGE(($C$8:$C27=Table1[[#This Row],[Climber]])*$A$8:$A27,5)),$A$8:$AW27,MATCH($AW$7,$A$7:$AW$7,FALSE),FALSE),0)+_xlfn.IFNA(VLOOKUP(SUMPRODUCT(LARGE(($C$8:$C27=Table1[[#This Row],[Climber]])*$A$8:$A27,6)),$A$8:$AW27,MATCH($AW$7,$A$7:$AW$7,FALSE),FALSE),0))/3</f>
        <v>11.7525</v>
      </c>
      <c r="BA27" s="6">
        <f ca="1">_xlfn.MAXIFS(INDIRECT("$AW"&amp;IF(SUMPRODUCT(LARGE(($C$8:$C27=$C27)*$A$8:$A27,LEFT($BA$7,FIND(" ",$BA$7)-1)))=0,8,SUMPRODUCT(LARGE(($C$8:$C27=$C27)*$A$8:$A27,LEFT($BA$7,FIND(" ",$BA$7)-1)))+7)&amp;":$AW"&amp;ROW()),INDIRECT("$C"&amp;IF(SUMPRODUCT(LARGE(($C$8:$C27=$C27)*$A$8:$A27,LEFT($BA$7,FIND(" ",$BA$7)-1)))=0,8,SUMPRODUCT(LARGE(($C$8:$C27=$C27)*$A$8:$A27,LEFT($BA$7,FIND(" ",$BA$7)-1)))+7)&amp;":$C"&amp;ROW()),$C27)</f>
        <v>56.807964051344015</v>
      </c>
      <c r="BB27" s="6" t="str">
        <f ca="1">VLOOKUP(MAX(BG27,$AX27),'RC Lookup'!$G$14:$J$20,2,TRUE)</f>
        <v>T1</v>
      </c>
      <c r="BC27" s="6">
        <f ca="1">_xlfn.IFNA(VLOOKUP(VLOOKUP($C27,'RC Lookup'!$O$3:$P$50,2,FALSE),'RC Lookup'!$H$14:$J$23,2,FALSE),0)*AW27</f>
        <v>43.594835031180111</v>
      </c>
      <c r="BD27" s="6">
        <f ca="1">_xlfn.IFNA(VLOOKUP(SUMPRODUCT(LARGE(($C$8:$C27=Table1[[#This Row],[Climber]])*$A$8:$A27,1)),$A$8:$BC27,55,FALSE),0)/LEFT($AX$7,FIND(" ",$AX$7))+_xlfn.IFNA(VLOOKUP(SUMPRODUCT(LARGE(($C$8:$C27=Table1[[#This Row],[Climber]])*$A$8:$A27,MIN(2,COUNTIFS($C$8:$C27,$C27)))),$A$8:$BC27,55,FALSE),0)/LEFT($AX$7,FIND(" ",$AX$7))+_xlfn.IFNA(VLOOKUP(SUMPRODUCT(LARGE(($C$8:$C27=Table1[[#This Row],[Climber]])*$A$8:$A27,MIN(3,COUNTIFS($C$8:$C27,$C27)))),$A$8:$BC27,55,FALSE),0)/LEFT($AX$7,FIND(" ",$AX$7))</f>
        <v>33.900825681476313</v>
      </c>
      <c r="BE27" s="6">
        <f ca="1">(_xlfn.IFNA(VLOOKUP(SUMPRODUCT(LARGE(($C$8:$C27=Table1[[#This Row],[Climber]])*$A$8:$A27,4)),$A$8:$BD27,55,FALSE),0)+_xlfn.IFNA(VLOOKUP(SUMPRODUCT(LARGE(($C$8:$C27=Table1[[#This Row],[Climber]])*$A$8:$A27,5)),$A$8:$BD27,55,FALSE),0)+_xlfn.IFNA(VLOOKUP(SUMPRODUCT(LARGE(($C$8:$C27=Table1[[#This Row],[Climber]])*$A$8:$A27,6)),$A$8:$BD27,55,FALSE),0))/3</f>
        <v>9.0189519596385299</v>
      </c>
      <c r="BF27" s="46">
        <f ca="1">_xlfn.MAXIFS(INDIRECT("$BC"&amp;IF(SUMPRODUCT(LARGE(($C$8:$C27=$C27)*$A$8:$A27,LEFT($BA$7,FIND(" ",$BA$7)-1)))=0,8,SUMPRODUCT(LARGE(($C$8:$C27=$C27)*$A$8:$A27,LEFT($BA$7,FIND(" ",$BA$7)-1)))+7)&amp;":$BC"&amp;ROW()),INDIRECT("$C"&amp;IF(SUMPRODUCT(LARGE(($C$8:$C27=$C27)*$A$8:$A27,LEFT($BA$7,FIND(" ",$BA$7)-1)))=0,8,SUMPRODUCT(LARGE(($C$8:$C27=$C27)*$A$8:$A27,LEFT($BA$7,FIND(" ",$BA$7)-1)))+7)&amp;":$C"&amp;ROW()),$C27)</f>
        <v>43.594835031180111</v>
      </c>
      <c r="BG27" s="46">
        <f t="array" aca="1" ref="BG27" ca="1">IFERROR(SUMPRODUCT(LARGE(($C$8:$C27=Table1[[#This Row],[Climber]])*$AW$8:$AW27,ROW(INDIRECT("1:5")))),AW27)/MIN(COUNTIFS($C$8:$C27,C27),5)</f>
        <v>41.946227980636003</v>
      </c>
      <c r="BH27" s="46"/>
    </row>
    <row r="28" spans="1:61" x14ac:dyDescent="0.3">
      <c r="A28" s="125">
        <f t="shared" si="1"/>
        <v>21</v>
      </c>
      <c r="B28" s="25">
        <f>'Rock Climbing Log'!B28</f>
        <v>43126</v>
      </c>
      <c r="C28" s="126" t="str">
        <f>'Rock Climbing Log'!C28</f>
        <v>Lester</v>
      </c>
      <c r="D28" s="26">
        <f>_xlfn.IFNA(IF(LEFT('Rock Climbing Log'!D28)="C",_xlfn.IFNA(VLOOKUP('Rock Climbing Log'!D28,'RC Lookup'!$A$3:$B$9,2,FALSE),0.5),VLOOKUP('Rock Climbing Log'!D28,'RC Lookup'!$G$3:$H$5,2,FALSE)),0)*VLOOKUP(D$7,'RC Lookup'!$D$3:$E$18,2,FALSE)</f>
        <v>0</v>
      </c>
      <c r="E28" s="26">
        <f>_xlfn.IFNA(IF(LEFT('Rock Climbing Log'!E28)="C",_xlfn.IFNA(VLOOKUP('Rock Climbing Log'!E28,'RC Lookup'!$A$3:$B$9,2,FALSE),0.5),VLOOKUP('Rock Climbing Log'!E28,'RC Lookup'!$G$3:$H$5,2,FALSE)),0)*VLOOKUP(D$7,'RC Lookup'!$D$3:$E$18,2,FALSE)</f>
        <v>0</v>
      </c>
      <c r="F28" s="26">
        <f>_xlfn.IFNA(IF(LEFT('Rock Climbing Log'!F28)="C",_xlfn.IFNA(VLOOKUP('Rock Climbing Log'!F28,'RC Lookup'!$A$3:$B$9,2,FALSE),0.5),VLOOKUP('Rock Climbing Log'!F28,'RC Lookup'!$G$3:$H$5,2,FALSE)),0)*VLOOKUP(D$7,'RC Lookup'!$D$3:$E$18,2,FALSE)</f>
        <v>0</v>
      </c>
      <c r="G28" s="26">
        <f>_xlfn.IFNA(IF(LEFT('Rock Climbing Log'!G28)="C",_xlfn.IFNA(VLOOKUP('Rock Climbing Log'!G28,'RC Lookup'!$A$3:$B$9,2,FALSE),0.5),VLOOKUP('Rock Climbing Log'!G28,'RC Lookup'!$G$3:$H$5,2,FALSE)),0)*VLOOKUP(G$7,'RC Lookup'!$D$3:$E$18,2,FALSE)</f>
        <v>0</v>
      </c>
      <c r="H28" s="26">
        <f>_xlfn.IFNA(IF(LEFT('Rock Climbing Log'!H28)="C",_xlfn.IFNA(VLOOKUP('Rock Climbing Log'!H28,'RC Lookup'!$A$3:$B$9,2,FALSE),0.5),VLOOKUP('Rock Climbing Log'!H28,'RC Lookup'!$G$3:$H$5,2,FALSE)),0)*VLOOKUP(G$7,'RC Lookup'!$D$3:$E$18,2,FALSE)</f>
        <v>0</v>
      </c>
      <c r="I28" s="26">
        <f>_xlfn.IFNA(IF(LEFT('Rock Climbing Log'!I28)="C",_xlfn.IFNA(VLOOKUP('Rock Climbing Log'!I28,'RC Lookup'!$A$3:$B$9,2,FALSE),0.5),VLOOKUP('Rock Climbing Log'!I28,'RC Lookup'!$G$3:$H$5,2,FALSE)),0)*VLOOKUP(G$7,'RC Lookup'!$D$3:$E$18,2,FALSE)</f>
        <v>0</v>
      </c>
      <c r="J28" s="26">
        <f>_xlfn.IFNA(IF(LEFT('Rock Climbing Log'!J28)="C",_xlfn.IFNA(VLOOKUP('Rock Climbing Log'!J28,'RC Lookup'!$A$3:$B$9,2,FALSE),0.5),VLOOKUP('Rock Climbing Log'!J28,'RC Lookup'!$G$3:$H$5,2,FALSE)),0)*VLOOKUP(J$7,'RC Lookup'!$D$3:$E$18,2,FALSE)</f>
        <v>0</v>
      </c>
      <c r="K28" s="26">
        <f>_xlfn.IFNA(IF(LEFT('Rock Climbing Log'!K28)="C",_xlfn.IFNA(VLOOKUP('Rock Climbing Log'!K28,'RC Lookup'!$A$3:$B$9,2,FALSE),0.5),VLOOKUP('Rock Climbing Log'!K28,'RC Lookup'!$G$3:$H$5,2,FALSE)),0)*VLOOKUP(J$7,'RC Lookup'!$D$3:$E$18,2,FALSE)</f>
        <v>0</v>
      </c>
      <c r="L28" s="26">
        <f>_xlfn.IFNA(IF(LEFT('Rock Climbing Log'!L28)="C",_xlfn.IFNA(VLOOKUP('Rock Climbing Log'!L28,'RC Lookup'!$A$3:$B$9,2,FALSE),0.5),VLOOKUP('Rock Climbing Log'!L28,'RC Lookup'!$G$3:$H$5,2,FALSE)),0)*VLOOKUP(J$7,'RC Lookup'!$D$3:$E$18,2,FALSE)</f>
        <v>0</v>
      </c>
      <c r="M28" s="26">
        <f>_xlfn.IFNA(IF(LEFT('Rock Climbing Log'!M28)="C",_xlfn.IFNA(VLOOKUP('Rock Climbing Log'!M28,'RC Lookup'!$A$3:$B$9,2,FALSE),0.5),VLOOKUP('Rock Climbing Log'!M28,'RC Lookup'!$G$3:$H$5,2,FALSE)),0)*VLOOKUP(M$7,'RC Lookup'!$D$3:$E$18,2,FALSE)</f>
        <v>20.002500000000001</v>
      </c>
      <c r="N28" s="26">
        <f>_xlfn.IFNA(IF(LEFT('Rock Climbing Log'!N28)="C",_xlfn.IFNA(VLOOKUP('Rock Climbing Log'!N28,'RC Lookup'!$A$3:$B$9,2,FALSE),0.5),VLOOKUP('Rock Climbing Log'!N28,'RC Lookup'!$G$3:$H$5,2,FALSE)),0)*VLOOKUP(M$7,'RC Lookup'!$D$3:$E$18,2,FALSE)</f>
        <v>0</v>
      </c>
      <c r="O28" s="26">
        <f>_xlfn.IFNA(IF(LEFT('Rock Climbing Log'!O28)="C",_xlfn.IFNA(VLOOKUP('Rock Climbing Log'!O28,'RC Lookup'!$A$3:$B$9,2,FALSE),0.5),VLOOKUP('Rock Climbing Log'!O28,'RC Lookup'!$G$3:$H$5,2,FALSE)),0)*VLOOKUP(M$7,'RC Lookup'!$D$3:$E$18,2,FALSE)</f>
        <v>0</v>
      </c>
      <c r="P28" s="26">
        <f>_xlfn.IFNA(IF(LEFT('Rock Climbing Log'!P28)="C",_xlfn.IFNA(VLOOKUP('Rock Climbing Log'!P28,'RC Lookup'!$A$3:$B$9,2,FALSE),0.5),VLOOKUP('Rock Climbing Log'!P28,'RC Lookup'!$G$3:$H$5,2,FALSE)),0)*VLOOKUP(P$7,'RC Lookup'!$D$3:$E$18,2,FALSE)</f>
        <v>0</v>
      </c>
      <c r="Q28" s="26">
        <f>_xlfn.IFNA(IF(LEFT('Rock Climbing Log'!Q28)="C",_xlfn.IFNA(VLOOKUP('Rock Climbing Log'!Q28,'RC Lookup'!$A$3:$B$9,2,FALSE),0.5),VLOOKUP('Rock Climbing Log'!Q28,'RC Lookup'!$G$3:$H$5,2,FALSE)),0)*VLOOKUP(P$7,'RC Lookup'!$D$3:$E$18,2,FALSE)</f>
        <v>0</v>
      </c>
      <c r="R28" s="26">
        <f>_xlfn.IFNA(IF(LEFT('Rock Climbing Log'!R28)="C",_xlfn.IFNA(VLOOKUP('Rock Climbing Log'!R28,'RC Lookup'!$A$3:$B$9,2,FALSE),0.5),VLOOKUP('Rock Climbing Log'!R28,'RC Lookup'!$G$3:$H$5,2,FALSE)),0)*VLOOKUP(P$7,'RC Lookup'!$D$3:$E$18,2,FALSE)</f>
        <v>0</v>
      </c>
      <c r="S28" s="26">
        <f>_xlfn.IFNA(IF(LEFT('Rock Climbing Log'!S28)="C",_xlfn.IFNA(VLOOKUP('Rock Climbing Log'!S28,'RC Lookup'!$A$3:$B$9,2,FALSE),0.5),VLOOKUP('Rock Climbing Log'!S28,'RC Lookup'!$G$3:$H$5,2,FALSE)),0)*VLOOKUP(S$7,'RC Lookup'!$D$3:$E$18,2,FALSE)</f>
        <v>0</v>
      </c>
      <c r="T28" s="26">
        <f>_xlfn.IFNA(IF(LEFT('Rock Climbing Log'!T28)="C",_xlfn.IFNA(VLOOKUP('Rock Climbing Log'!T28,'RC Lookup'!$A$3:$B$9,2,FALSE),0.5),VLOOKUP('Rock Climbing Log'!T28,'RC Lookup'!$G$3:$H$5,2,FALSE)),0)*VLOOKUP(S$7,'RC Lookup'!$D$3:$E$18,2,FALSE)</f>
        <v>0</v>
      </c>
      <c r="U28" s="26">
        <f>_xlfn.IFNA(IF(LEFT('Rock Climbing Log'!U28)="C",_xlfn.IFNA(VLOOKUP('Rock Climbing Log'!U28,'RC Lookup'!$A$3:$B$9,2,FALSE),0.5),VLOOKUP('Rock Climbing Log'!U28,'RC Lookup'!$G$3:$H$5,2,FALSE)),0)*VLOOKUP(S$7,'RC Lookup'!$D$3:$E$18,2,FALSE)</f>
        <v>0</v>
      </c>
      <c r="V28" s="26">
        <f>_xlfn.IFNA(IF(LEFT('Rock Climbing Log'!V28)="C",_xlfn.IFNA(VLOOKUP('Rock Climbing Log'!V28,'RC Lookup'!$A$3:$B$9,2,FALSE),0.5),VLOOKUP('Rock Climbing Log'!V28,'RC Lookup'!$G$3:$H$5,2,FALSE)),0)*VLOOKUP(V$7,'RC Lookup'!$D$3:$E$18,2,FALSE)</f>
        <v>0</v>
      </c>
      <c r="W28" s="26">
        <f>_xlfn.IFNA(IF(LEFT('Rock Climbing Log'!W28)="C",_xlfn.IFNA(VLOOKUP('Rock Climbing Log'!W28,'RC Lookup'!$A$3:$B$9,2,FALSE),0.5),VLOOKUP('Rock Climbing Log'!W28,'RC Lookup'!$G$3:$H$5,2,FALSE)),0)*VLOOKUP(V$7,'RC Lookup'!$D$3:$E$18,2,FALSE)</f>
        <v>0</v>
      </c>
      <c r="X28" s="26">
        <f>_xlfn.IFNA(IF(LEFT('Rock Climbing Log'!X28)="C",_xlfn.IFNA(VLOOKUP('Rock Climbing Log'!X28,'RC Lookup'!$A$3:$B$9,2,FALSE),0.5),VLOOKUP('Rock Climbing Log'!X28,'RC Lookup'!$G$3:$H$5,2,FALSE)),0)*VLOOKUP(V$7,'RC Lookup'!$D$3:$E$18,2,FALSE)</f>
        <v>0</v>
      </c>
      <c r="Y28" s="26">
        <f>_xlfn.IFNA(IF(LEFT('Rock Climbing Log'!Y28)="C",_xlfn.IFNA(VLOOKUP('Rock Climbing Log'!Y28,'RC Lookup'!$A$3:$B$9,2,FALSE),0.5),VLOOKUP('Rock Climbing Log'!Y28,'RC Lookup'!$G$3:$H$5,2,FALSE)),0)*VLOOKUP(Y$7,'RC Lookup'!$D$3:$E$18,2,FALSE)</f>
        <v>0</v>
      </c>
      <c r="Z28" s="26">
        <f>_xlfn.IFNA(IF(LEFT('Rock Climbing Log'!Z28)="C",_xlfn.IFNA(VLOOKUP('Rock Climbing Log'!Z28,'RC Lookup'!$A$3:$B$9,2,FALSE),0.5),VLOOKUP('Rock Climbing Log'!Z28,'RC Lookup'!$G$3:$H$5,2,FALSE)),0)*VLOOKUP(Y$7,'RC Lookup'!$D$3:$E$18,2,FALSE)</f>
        <v>0</v>
      </c>
      <c r="AA28" s="26">
        <f>_xlfn.IFNA(IF(LEFT('Rock Climbing Log'!AA28)="C",_xlfn.IFNA(VLOOKUP('Rock Climbing Log'!AA28,'RC Lookup'!$A$3:$B$9,2,FALSE),0.5),VLOOKUP('Rock Climbing Log'!AA28,'RC Lookup'!$G$3:$H$5,2,FALSE)),0)*VLOOKUP(Y$7,'RC Lookup'!$D$3:$E$18,2,FALSE)</f>
        <v>0</v>
      </c>
      <c r="AB28" s="26">
        <f>_xlfn.IFNA(IF(LEFT('Rock Climbing Log'!AB28)="C",_xlfn.IFNA(VLOOKUP('Rock Climbing Log'!AB28,'RC Lookup'!$A$3:$B$9,2,FALSE),0.5),VLOOKUP('Rock Climbing Log'!AB28,'RC Lookup'!$G$3:$H$5,2,FALSE)),0)*VLOOKUP(AB$7,'RC Lookup'!$D$3:$E$18,2,FALSE)</f>
        <v>0</v>
      </c>
      <c r="AC28" s="26">
        <f>_xlfn.IFNA(IF(LEFT('Rock Climbing Log'!AC28)="C",_xlfn.IFNA(VLOOKUP('Rock Climbing Log'!AC28,'RC Lookup'!$A$3:$B$9,2,FALSE),0.5),VLOOKUP('Rock Climbing Log'!AC28,'RC Lookup'!$G$3:$H$5,2,FALSE)),0)*VLOOKUP(AB$7,'RC Lookup'!$D$3:$E$18,2,FALSE)</f>
        <v>0</v>
      </c>
      <c r="AD28" s="26">
        <f>_xlfn.IFNA(IF(LEFT('Rock Climbing Log'!AD28)="C",_xlfn.IFNA(VLOOKUP('Rock Climbing Log'!AD28,'RC Lookup'!$A$3:$B$9,2,FALSE),0.5),VLOOKUP('Rock Climbing Log'!AD28,'RC Lookup'!$G$3:$H$5,2,FALSE)),0)*VLOOKUP(AB$7,'RC Lookup'!$D$3:$E$18,2,FALSE)</f>
        <v>0</v>
      </c>
      <c r="AE28" s="26">
        <f>_xlfn.IFNA(IF(LEFT('Rock Climbing Log'!AE28)="C",_xlfn.IFNA(VLOOKUP('Rock Climbing Log'!AE28,'RC Lookup'!$A$3:$B$9,2,FALSE),0.5),VLOOKUP('Rock Climbing Log'!AE28,'RC Lookup'!$G$3:$H$5,2,FALSE)),0)*VLOOKUP(AE$7,'RC Lookup'!$D$3:$E$18,2,FALSE)</f>
        <v>67.867671846932893</v>
      </c>
      <c r="AF28" s="26">
        <f>_xlfn.IFNA(IF(LEFT('Rock Climbing Log'!AF28)="C",_xlfn.IFNA(VLOOKUP('Rock Climbing Log'!AF28,'RC Lookup'!$A$3:$B$9,2,FALSE),0.5),VLOOKUP('Rock Climbing Log'!AF28,'RC Lookup'!$G$3:$H$5,2,FALSE)),0)*VLOOKUP(AE$7,'RC Lookup'!$D$3:$E$18,2,FALSE)</f>
        <v>67.867671846932893</v>
      </c>
      <c r="AG28" s="26">
        <f>_xlfn.IFNA(IF(LEFT('Rock Climbing Log'!AG28)="C",_xlfn.IFNA(VLOOKUP('Rock Climbing Log'!AG28,'RC Lookup'!$A$3:$B$9,2,FALSE),0.5),VLOOKUP('Rock Climbing Log'!AG28,'RC Lookup'!$G$3:$H$5,2,FALSE)),0)*VLOOKUP(AE$7,'RC Lookup'!$D$3:$E$18,2,FALSE)</f>
        <v>67.867671846932893</v>
      </c>
      <c r="AH28" s="26">
        <f>_xlfn.IFNA(IF(LEFT('Rock Climbing Log'!AH28)="C",_xlfn.IFNA(VLOOKUP('Rock Climbing Log'!AH28,'RC Lookup'!$A$3:$B$9,2,FALSE),0.5),VLOOKUP('Rock Climbing Log'!AH28,'RC Lookup'!$G$3:$H$5,2,FALSE)),0)*VLOOKUP(AH$7,'RC Lookup'!$D$3:$E$18,2,FALSE)</f>
        <v>0</v>
      </c>
      <c r="AI28" s="26">
        <f>_xlfn.IFNA(IF(LEFT('Rock Climbing Log'!AI28)="C",_xlfn.IFNA(VLOOKUP('Rock Climbing Log'!AI28,'RC Lookup'!$A$3:$B$9,2,FALSE),0.5),VLOOKUP('Rock Climbing Log'!AI28,'RC Lookup'!$G$3:$H$5,2,FALSE)),0)*VLOOKUP(AH$7,'RC Lookup'!$D$3:$E$18,2,FALSE)</f>
        <v>0</v>
      </c>
      <c r="AJ28" s="26">
        <f>_xlfn.IFNA(IF(LEFT('Rock Climbing Log'!AJ28)="C",_xlfn.IFNA(VLOOKUP('Rock Climbing Log'!AJ28,'RC Lookup'!$A$3:$B$9,2,FALSE),0.5),VLOOKUP('Rock Climbing Log'!AJ28,'RC Lookup'!$G$3:$H$5,2,FALSE)),0)*VLOOKUP(AH$7,'RC Lookup'!$D$3:$E$18,2,FALSE)</f>
        <v>0</v>
      </c>
      <c r="AK28" s="26">
        <f>_xlfn.IFNA(IF(LEFT('Rock Climbing Log'!AK28)="C",_xlfn.IFNA(VLOOKUP('Rock Climbing Log'!AK28,'RC Lookup'!$A$3:$B$9,2,FALSE),0.5),VLOOKUP('Rock Climbing Log'!AK28,'RC Lookup'!$G$3:$H$5,2,FALSE)),0)*VLOOKUP(AK$7,'RC Lookup'!$D$3:$E$18,2,FALSE)</f>
        <v>110.15194611444596</v>
      </c>
      <c r="AL28" s="26">
        <f>_xlfn.IFNA(IF(LEFT('Rock Climbing Log'!AL28)="C",_xlfn.IFNA(VLOOKUP('Rock Climbing Log'!AL28,'RC Lookup'!$A$3:$B$9,2,FALSE),0.5),VLOOKUP('Rock Climbing Log'!AL28,'RC Lookup'!$G$3:$H$5,2,FALSE)),0)*VLOOKUP(AK$7,'RC Lookup'!$D$3:$E$18,2,FALSE)</f>
        <v>0</v>
      </c>
      <c r="AM28" s="26">
        <f>_xlfn.IFNA(IF(LEFT('Rock Climbing Log'!AM28)="C",_xlfn.IFNA(VLOOKUP('Rock Climbing Log'!AM28,'RC Lookup'!$A$3:$B$9,2,FALSE),0.5),VLOOKUP('Rock Climbing Log'!AM28,'RC Lookup'!$G$3:$H$5,2,FALSE)),0)*VLOOKUP(AK$7,'RC Lookup'!$D$3:$E$18,2,FALSE)</f>
        <v>0</v>
      </c>
      <c r="AN28" s="26">
        <f>_xlfn.IFNA(IF(LEFT('Rock Climbing Log'!AN28)="C",_xlfn.IFNA(VLOOKUP('Rock Climbing Log'!AN28,'RC Lookup'!$A$3:$B$9,2,FALSE),0.5),VLOOKUP('Rock Climbing Log'!AN28,'RC Lookup'!$G$3:$H$5,2,FALSE)),0)*VLOOKUP(AN$7,'RC Lookup'!$D$3:$E$18,2,FALSE)</f>
        <v>0</v>
      </c>
      <c r="AO28" s="26">
        <f>_xlfn.IFNA(IF(LEFT('Rock Climbing Log'!AO28)="C",_xlfn.IFNA(VLOOKUP('Rock Climbing Log'!AO28,'RC Lookup'!$A$3:$B$9,2,FALSE),0.5),VLOOKUP('Rock Climbing Log'!AO28,'RC Lookup'!$G$3:$H$5,2,FALSE)),0)*VLOOKUP(AN$7,'RC Lookup'!$D$3:$E$18,2,FALSE)</f>
        <v>0</v>
      </c>
      <c r="AP28" s="26">
        <f>_xlfn.IFNA(IF(LEFT('Rock Climbing Log'!AP28)="C",_xlfn.IFNA(VLOOKUP('Rock Climbing Log'!AP28,'RC Lookup'!$A$3:$B$9,2,FALSE),0.5),VLOOKUP('Rock Climbing Log'!AP28,'RC Lookup'!$G$3:$H$5,2,FALSE)),0)*VLOOKUP(AN$7,'RC Lookup'!$D$3:$E$18,2,FALSE)</f>
        <v>0</v>
      </c>
      <c r="AQ28" s="26">
        <f>_xlfn.IFNA(IF(LEFT('Rock Climbing Log'!AQ28)="C",_xlfn.IFNA(VLOOKUP('Rock Climbing Log'!AQ28,'RC Lookup'!$A$3:$B$9,2,FALSE),0.5),VLOOKUP('Rock Climbing Log'!AQ28,'RC Lookup'!$G$3:$H$5,2,FALSE)),0)*VLOOKUP(AQ$7,'RC Lookup'!$D$3:$E$18,2,FALSE)</f>
        <v>0</v>
      </c>
      <c r="AR28" s="26">
        <f>_xlfn.IFNA(IF(LEFT('Rock Climbing Log'!AR28)="C",_xlfn.IFNA(VLOOKUP('Rock Climbing Log'!AR28,'RC Lookup'!$A$3:$B$9,2,FALSE),0.5),VLOOKUP('Rock Climbing Log'!AR28,'RC Lookup'!$G$3:$H$5,2,FALSE)),0)*VLOOKUP(AQ$7,'RC Lookup'!$D$3:$E$18,2,FALSE)</f>
        <v>0</v>
      </c>
      <c r="AS28" s="26">
        <f>_xlfn.IFNA(IF(LEFT('Rock Climbing Log'!AS28)="C",_xlfn.IFNA(VLOOKUP('Rock Climbing Log'!AS28,'RC Lookup'!$A$3:$B$9,2,FALSE),0.5),VLOOKUP('Rock Climbing Log'!AS28,'RC Lookup'!$G$3:$H$5,2,FALSE)),0)*VLOOKUP(AQ$7,'RC Lookup'!$D$3:$E$18,2,FALSE)</f>
        <v>0</v>
      </c>
      <c r="AT28" s="26">
        <f>_xlfn.IFNA(IF(LEFT('Rock Climbing Log'!AT28)="C",_xlfn.IFNA(VLOOKUP('Rock Climbing Log'!AT28,'RC Lookup'!$A$3:$B$9,2,FALSE),0.5),VLOOKUP('Rock Climbing Log'!AT28,'RC Lookup'!$G$3:$H$5,2,FALSE)),0)*VLOOKUP(AT$7,'RC Lookup'!$D$3:$E$18,2,FALSE)</f>
        <v>0</v>
      </c>
      <c r="AU28" s="26">
        <f>_xlfn.IFNA(IF(LEFT('Rock Climbing Log'!AU28)="C",_xlfn.IFNA(VLOOKUP('Rock Climbing Log'!AU28,'RC Lookup'!$A$3:$B$9,2,FALSE),0.5),VLOOKUP('Rock Climbing Log'!AU28,'RC Lookup'!$G$3:$H$5,2,FALSE)),0)*VLOOKUP(AT$7,'RC Lookup'!$D$3:$E$18,2,FALSE)</f>
        <v>0</v>
      </c>
      <c r="AV28" s="26">
        <f>_xlfn.IFNA(IF(LEFT('Rock Climbing Log'!AV28)="C",_xlfn.IFNA(VLOOKUP('Rock Climbing Log'!AV28,'RC Lookup'!$A$3:$B$9,2,FALSE),0.5),VLOOKUP('Rock Climbing Log'!AV28,'RC Lookup'!$G$3:$H$5,2,FALSE)),0)*VLOOKUP(AT$7,'RC Lookup'!$D$3:$E$18,2,FALSE)</f>
        <v>0</v>
      </c>
      <c r="AW28" s="30">
        <f t="shared" ca="1" si="0"/>
        <v>245.88728980831175</v>
      </c>
      <c r="AX28" s="30">
        <f ca="1">_xlfn.IFNA(VLOOKUP(SUMPRODUCT(LARGE(($C$8:$C28=Table1[[#This Row],[Climber]])*$A$8:$A28,1)),$A$8:$AW28,MATCH($AW$7,$A$7:$AW$7,FALSE),FALSE),0)/LEFT($AX$7,FIND(" ",$AX$7))+_xlfn.IFNA(VLOOKUP(SUMPRODUCT(LARGE(($C$8:$C28=Table1[[#This Row],[Climber]])*$A$8:$A28,MIN(2,COUNTIFS($C$8:$C28,$C28)))),$A$8:$AW28,MATCH($AW$7,$A$7:$AW$7,FALSE),FALSE),0)/LEFT($AX$7,FIND(" ",$AX$7))+_xlfn.IFNA(VLOOKUP(SUMPRODUCT(LARGE(($C$8:$C28=Table1[[#This Row],[Climber]])*$A$8:$A28,MIN(3,COUNTIFS($C$8:$C28,$C28)))),$A$8:$AW28,MATCH($AW$7,$A$7:$AW$7,FALSE),FALSE),0)/LEFT($AX$7,FIND(" ",$AX$7))</f>
        <v>204.56520920022766</v>
      </c>
      <c r="AY28" s="30">
        <f ca="1">_xlfn.IFNA(VLOOKUP(SUMPRODUCT(LARGE(($C$8:$C28=Table1[[#This Row],[Climber]])*$A$8:$A28,1)),$A$8:$AW28,MATCH($AW$7,$A$7:$AW$7,FALSE),FALSE),0)/LEFT($AY$7,FIND(" ",$AY$7))+_xlfn.IFNA(VLOOKUP(SUMPRODUCT(LARGE(($C$8:$C28=Table1[[#This Row],[Climber]])*$A$8:$A28,MIN(2,COUNTIFS($C$8:$C28,$C28)))),$A$8:$AW28,MATCH($AW$7,$A$7:$AW$7,FALSE),FALSE),0)/LEFT($AY$7,FIND(" ",$AY$7))+_xlfn.IFNA(VLOOKUP(SUMPRODUCT(LARGE(($C$8:$C28=Table1[[#This Row],[Climber]])*$A$8:$A28,MIN(3,COUNTIFS($C$8:$C28,$C28)))),$A$8:$AW28,MATCH($AW$7,$A$7:$AW$7,FALSE),FALSE),0)/LEFT($AY$7,FIND(" ",$AY$7))+_xlfn.IFNA(VLOOKUP(SUMPRODUCT(LARGE(($C$8:$C28=Table1[[#This Row],[Climber]])*$A$8:$A28,MIN(4,COUNTIFS($C$8:$C28,$C28)))),$A$8:$AW28,MATCH($AW$7,$A$7:$AW$7,FALSE),FALSE),0)/LEFT($AY$7,FIND(" ",$AY$7))+_xlfn.IFNA(VLOOKUP(SUMPRODUCT(LARGE(($C$8:$C28=Table1[[#This Row],[Climber]])*$A$8:$A28,MIN(5,COUNTIFS($C$8:$C28,$C28)))),$A$8:$AW28,MATCH($AW$7,$A$7:$AW$7,FALSE),FALSE),0)/LEFT($AY$7,FIND(" ",$AY$7))</f>
        <v>185.60280078737705</v>
      </c>
      <c r="AZ28" s="30">
        <f ca="1">(_xlfn.IFNA(VLOOKUP(SUMPRODUCT(LARGE(($C$8:$C28=Table1[[#This Row],[Climber]])*$A$8:$A28,4)),$A$8:$AW28,MATCH($AW$7,$A$7:$AW$7,FALSE),FALSE),0)+_xlfn.IFNA(VLOOKUP(SUMPRODUCT(LARGE(($C$8:$C28=Table1[[#This Row],[Climber]])*$A$8:$A28,5)),$A$8:$AW28,MATCH($AW$7,$A$7:$AW$7,FALSE),FALSE),0)+_xlfn.IFNA(VLOOKUP(SUMPRODUCT(LARGE(($C$8:$C28=Table1[[#This Row],[Climber]])*$A$8:$A28,6)),$A$8:$AW28,MATCH($AW$7,$A$7:$AW$7,FALSE),FALSE),0))/3</f>
        <v>148.7805886151784</v>
      </c>
      <c r="BA28" s="6">
        <f ca="1">_xlfn.MAXIFS(INDIRECT("$AW"&amp;IF(SUMPRODUCT(LARGE(($C$8:$C28=$C28)*$A$8:$A28,LEFT($BA$7,FIND(" ",$BA$7)-1)))=0,8,SUMPRODUCT(LARGE(($C$8:$C28=$C28)*$A$8:$A28,LEFT($BA$7,FIND(" ",$BA$7)-1)))+7)&amp;":$AW"&amp;ROW()),INDIRECT("$C"&amp;IF(SUMPRODUCT(LARGE(($C$8:$C28=$C28)*$A$8:$A28,LEFT($BA$7,FIND(" ",$BA$7)-1)))=0,8,SUMPRODUCT(LARGE(($C$8:$C28=$C28)*$A$8:$A28,LEFT($BA$7,FIND(" ",$BA$7)-1)))+7)&amp;":$C"&amp;ROW()),$C28)</f>
        <v>245.88728980831175</v>
      </c>
      <c r="BB28" s="6" t="str">
        <f ca="1">VLOOKUP(MAX(BG28,$AX28),'RC Lookup'!$G$14:$J$20,2,TRUE)</f>
        <v>T5</v>
      </c>
      <c r="BC28" s="6">
        <f ca="1">_xlfn.IFNA(VLOOKUP(VLOOKUP($C28,'RC Lookup'!$O$3:$P$50,2,FALSE),'RC Lookup'!$H$14:$J$23,2,FALSE),0)*AW28</f>
        <v>74.408517350157737</v>
      </c>
      <c r="BD28" s="6">
        <f ca="1">_xlfn.IFNA(VLOOKUP(SUMPRODUCT(LARGE(($C$8:$C28=Table1[[#This Row],[Climber]])*$A$8:$A28,1)),$A$8:$BC28,55,FALSE),0)/LEFT($AX$7,FIND(" ",$AX$7))+_xlfn.IFNA(VLOOKUP(SUMPRODUCT(LARGE(($C$8:$C28=Table1[[#This Row],[Climber]])*$A$8:$A28,MIN(2,COUNTIFS($C$8:$C28,$C28)))),$A$8:$BC28,55,FALSE),0)/LEFT($AX$7,FIND(" ",$AX$7))+_xlfn.IFNA(VLOOKUP(SUMPRODUCT(LARGE(($C$8:$C28=Table1[[#This Row],[Climber]])*$A$8:$A28,MIN(3,COUNTIFS($C$8:$C28,$C28)))),$A$8:$BC28,55,FALSE),0)/LEFT($AX$7,FIND(" ",$AX$7))</f>
        <v>61.903947657807137</v>
      </c>
      <c r="BE28" s="6">
        <f ca="1">(_xlfn.IFNA(VLOOKUP(SUMPRODUCT(LARGE(($C$8:$C28=Table1[[#This Row],[Climber]])*$A$8:$A28,4)),$A$8:$BD28,55,FALSE),0)+_xlfn.IFNA(VLOOKUP(SUMPRODUCT(LARGE(($C$8:$C28=Table1[[#This Row],[Climber]])*$A$8:$A28,5)),$A$8:$BD28,55,FALSE),0)+_xlfn.IFNA(VLOOKUP(SUMPRODUCT(LARGE(($C$8:$C28=Table1[[#This Row],[Climber]])*$A$8:$A28,6)),$A$8:$BD28,55,FALSE),0))/3</f>
        <v>45.022835535620942</v>
      </c>
      <c r="BF28" s="46">
        <f ca="1">_xlfn.MAXIFS(INDIRECT("$BC"&amp;IF(SUMPRODUCT(LARGE(($C$8:$C28=$C28)*$A$8:$A28,LEFT($BA$7,FIND(" ",$BA$7)-1)))=0,8,SUMPRODUCT(LARGE(($C$8:$C28=$C28)*$A$8:$A28,LEFT($BA$7,FIND(" ",$BA$7)-1)))+7)&amp;":$BC"&amp;ROW()),INDIRECT("$C"&amp;IF(SUMPRODUCT(LARGE(($C$8:$C28=$C28)*$A$8:$A28,LEFT($BA$7,FIND(" ",$BA$7)-1)))=0,8,SUMPRODUCT(LARGE(($C$8:$C28=$C28)*$A$8:$A28,LEFT($BA$7,FIND(" ",$BA$7)-1)))+7)&amp;":$C"&amp;ROW()),$C28)</f>
        <v>74.408517350157737</v>
      </c>
      <c r="BG28" s="46">
        <f t="array" aca="1" ref="BG28" ca="1">IFERROR(SUMPRODUCT(LARGE(($C$8:$C28=Table1[[#This Row],[Climber]])*$AW$8:$AW28,ROW(INDIRECT("1:5")))),AW28)/MIN(COUNTIFS($C$8:$C28,C28),5)</f>
        <v>185.60280078737705</v>
      </c>
      <c r="BH28" s="46"/>
    </row>
    <row r="29" spans="1:61" x14ac:dyDescent="0.3">
      <c r="A29" s="125">
        <f t="shared" si="1"/>
        <v>22</v>
      </c>
      <c r="B29" s="25">
        <f>'Rock Climbing Log'!B29</f>
        <v>43126</v>
      </c>
      <c r="C29" s="126" t="str">
        <f>'Rock Climbing Log'!C29</f>
        <v>Michelle</v>
      </c>
      <c r="D29" s="26">
        <f>_xlfn.IFNA(IF(LEFT('Rock Climbing Log'!D29)="C",_xlfn.IFNA(VLOOKUP('Rock Climbing Log'!D29,'RC Lookup'!$A$3:$B$9,2,FALSE),0.5),VLOOKUP('Rock Climbing Log'!D29,'RC Lookup'!$G$3:$H$5,2,FALSE)),0)*VLOOKUP(D$7,'RC Lookup'!$D$3:$E$18,2,FALSE)</f>
        <v>5</v>
      </c>
      <c r="E29" s="26">
        <f>_xlfn.IFNA(IF(LEFT('Rock Climbing Log'!E29)="C",_xlfn.IFNA(VLOOKUP('Rock Climbing Log'!E29,'RC Lookup'!$A$3:$B$9,2,FALSE),0.5),VLOOKUP('Rock Climbing Log'!E29,'RC Lookup'!$G$3:$H$5,2,FALSE)),0)*VLOOKUP(D$7,'RC Lookup'!$D$3:$E$18,2,FALSE)</f>
        <v>10</v>
      </c>
      <c r="F29" s="26">
        <f>_xlfn.IFNA(IF(LEFT('Rock Climbing Log'!F29)="C",_xlfn.IFNA(VLOOKUP('Rock Climbing Log'!F29,'RC Lookup'!$A$3:$B$9,2,FALSE),0.5),VLOOKUP('Rock Climbing Log'!F29,'RC Lookup'!$G$3:$H$5,2,FALSE)),0)*VLOOKUP(D$7,'RC Lookup'!$D$3:$E$18,2,FALSE)</f>
        <v>0</v>
      </c>
      <c r="G29" s="26">
        <f>_xlfn.IFNA(IF(LEFT('Rock Climbing Log'!G29)="C",_xlfn.IFNA(VLOOKUP('Rock Climbing Log'!G29,'RC Lookup'!$A$3:$B$9,2,FALSE),0.5),VLOOKUP('Rock Climbing Log'!G29,'RC Lookup'!$G$3:$H$5,2,FALSE)),0)*VLOOKUP(G$7,'RC Lookup'!$D$3:$E$18,2,FALSE)</f>
        <v>12.5</v>
      </c>
      <c r="H29" s="26">
        <f>_xlfn.IFNA(IF(LEFT('Rock Climbing Log'!H29)="C",_xlfn.IFNA(VLOOKUP('Rock Climbing Log'!H29,'RC Lookup'!$A$3:$B$9,2,FALSE),0.5),VLOOKUP('Rock Climbing Log'!H29,'RC Lookup'!$G$3:$H$5,2,FALSE)),0)*VLOOKUP(G$7,'RC Lookup'!$D$3:$E$18,2,FALSE)</f>
        <v>12.5</v>
      </c>
      <c r="I29" s="26">
        <f>_xlfn.IFNA(IF(LEFT('Rock Climbing Log'!I29)="C",_xlfn.IFNA(VLOOKUP('Rock Climbing Log'!I29,'RC Lookup'!$A$3:$B$9,2,FALSE),0.5),VLOOKUP('Rock Climbing Log'!I29,'RC Lookup'!$G$3:$H$5,2,FALSE)),0)*VLOOKUP(G$7,'RC Lookup'!$D$3:$E$18,2,FALSE)</f>
        <v>0</v>
      </c>
      <c r="J29" s="26">
        <f>_xlfn.IFNA(IF(LEFT('Rock Climbing Log'!J29)="C",_xlfn.IFNA(VLOOKUP('Rock Climbing Log'!J29,'RC Lookup'!$A$3:$B$9,2,FALSE),0.5),VLOOKUP('Rock Climbing Log'!J29,'RC Lookup'!$G$3:$H$5,2,FALSE)),0)*VLOOKUP(J$7,'RC Lookup'!$D$3:$E$18,2,FALSE)</f>
        <v>12.7575</v>
      </c>
      <c r="K29" s="26">
        <f>_xlfn.IFNA(IF(LEFT('Rock Climbing Log'!K29)="C",_xlfn.IFNA(VLOOKUP('Rock Climbing Log'!K29,'RC Lookup'!$A$3:$B$9,2,FALSE),0.5),VLOOKUP('Rock Climbing Log'!K29,'RC Lookup'!$G$3:$H$5,2,FALSE)),0)*VLOOKUP(J$7,'RC Lookup'!$D$3:$E$18,2,FALSE)</f>
        <v>15.75</v>
      </c>
      <c r="L29" s="26">
        <f>_xlfn.IFNA(IF(LEFT('Rock Climbing Log'!L29)="C",_xlfn.IFNA(VLOOKUP('Rock Climbing Log'!L29,'RC Lookup'!$A$3:$B$9,2,FALSE),0.5),VLOOKUP('Rock Climbing Log'!L29,'RC Lookup'!$G$3:$H$5,2,FALSE)),0)*VLOOKUP(J$7,'RC Lookup'!$D$3:$E$18,2,FALSE)</f>
        <v>0</v>
      </c>
      <c r="M29" s="26">
        <f>_xlfn.IFNA(IF(LEFT('Rock Climbing Log'!M29)="C",_xlfn.IFNA(VLOOKUP('Rock Climbing Log'!M29,'RC Lookup'!$A$3:$B$9,2,FALSE),0.5),VLOOKUP('Rock Climbing Log'!M29,'RC Lookup'!$G$3:$H$5,2,FALSE)),0)*VLOOKUP(M$7,'RC Lookup'!$D$3:$E$18,2,FALSE)</f>
        <v>0</v>
      </c>
      <c r="N29" s="26">
        <f>_xlfn.IFNA(IF(LEFT('Rock Climbing Log'!N29)="C",_xlfn.IFNA(VLOOKUP('Rock Climbing Log'!N29,'RC Lookup'!$A$3:$B$9,2,FALSE),0.5),VLOOKUP('Rock Climbing Log'!N29,'RC Lookup'!$G$3:$H$5,2,FALSE)),0)*VLOOKUP(M$7,'RC Lookup'!$D$3:$E$18,2,FALSE)</f>
        <v>0</v>
      </c>
      <c r="O29" s="26">
        <f>_xlfn.IFNA(IF(LEFT('Rock Climbing Log'!O29)="C",_xlfn.IFNA(VLOOKUP('Rock Climbing Log'!O29,'RC Lookup'!$A$3:$B$9,2,FALSE),0.5),VLOOKUP('Rock Climbing Log'!O29,'RC Lookup'!$G$3:$H$5,2,FALSE)),0)*VLOOKUP(M$7,'RC Lookup'!$D$3:$E$18,2,FALSE)</f>
        <v>0</v>
      </c>
      <c r="P29" s="26">
        <f>_xlfn.IFNA(IF(LEFT('Rock Climbing Log'!P29)="C",_xlfn.IFNA(VLOOKUP('Rock Climbing Log'!P29,'RC Lookup'!$A$3:$B$9,2,FALSE),0.5),VLOOKUP('Rock Climbing Log'!P29,'RC Lookup'!$G$3:$H$5,2,FALSE)),0)*VLOOKUP(P$7,'RC Lookup'!$D$3:$E$18,2,FALSE)</f>
        <v>11.961495000000003</v>
      </c>
      <c r="Q29" s="26">
        <f>_xlfn.IFNA(IF(LEFT('Rock Climbing Log'!Q29)="C",_xlfn.IFNA(VLOOKUP('Rock Climbing Log'!Q29,'RC Lookup'!$A$3:$B$9,2,FALSE),0.5),VLOOKUP('Rock Climbing Log'!Q29,'RC Lookup'!$G$3:$H$5,2,FALSE)),0)*VLOOKUP(P$7,'RC Lookup'!$D$3:$E$18,2,FALSE)</f>
        <v>0</v>
      </c>
      <c r="R29" s="26">
        <f>_xlfn.IFNA(IF(LEFT('Rock Climbing Log'!R29)="C",_xlfn.IFNA(VLOOKUP('Rock Climbing Log'!R29,'RC Lookup'!$A$3:$B$9,2,FALSE),0.5),VLOOKUP('Rock Climbing Log'!R29,'RC Lookup'!$G$3:$H$5,2,FALSE)),0)*VLOOKUP(P$7,'RC Lookup'!$D$3:$E$18,2,FALSE)</f>
        <v>0</v>
      </c>
      <c r="S29" s="26">
        <f>_xlfn.IFNA(IF(LEFT('Rock Climbing Log'!S29)="C",_xlfn.IFNA(VLOOKUP('Rock Climbing Log'!S29,'RC Lookup'!$A$3:$B$9,2,FALSE),0.5),VLOOKUP('Rock Climbing Log'!S29,'RC Lookup'!$G$3:$H$5,2,FALSE)),0)*VLOOKUP(S$7,'RC Lookup'!$D$3:$E$18,2,FALSE)</f>
        <v>0</v>
      </c>
      <c r="T29" s="26">
        <f>_xlfn.IFNA(IF(LEFT('Rock Climbing Log'!T29)="C",_xlfn.IFNA(VLOOKUP('Rock Climbing Log'!T29,'RC Lookup'!$A$3:$B$9,2,FALSE),0.5),VLOOKUP('Rock Climbing Log'!T29,'RC Lookup'!$G$3:$H$5,2,FALSE)),0)*VLOOKUP(S$7,'RC Lookup'!$D$3:$E$18,2,FALSE)</f>
        <v>0</v>
      </c>
      <c r="U29" s="26">
        <f>_xlfn.IFNA(IF(LEFT('Rock Climbing Log'!U29)="C",_xlfn.IFNA(VLOOKUP('Rock Climbing Log'!U29,'RC Lookup'!$A$3:$B$9,2,FALSE),0.5),VLOOKUP('Rock Climbing Log'!U29,'RC Lookup'!$G$3:$H$5,2,FALSE)),0)*VLOOKUP(S$7,'RC Lookup'!$D$3:$E$18,2,FALSE)</f>
        <v>0</v>
      </c>
      <c r="V29" s="26">
        <f>_xlfn.IFNA(IF(LEFT('Rock Climbing Log'!V29)="C",_xlfn.IFNA(VLOOKUP('Rock Climbing Log'!V29,'RC Lookup'!$A$3:$B$9,2,FALSE),0.5),VLOOKUP('Rock Climbing Log'!V29,'RC Lookup'!$G$3:$H$5,2,FALSE)),0)*VLOOKUP(V$7,'RC Lookup'!$D$3:$E$18,2,FALSE)</f>
        <v>17.628372871200011</v>
      </c>
      <c r="W29" s="26">
        <f>_xlfn.IFNA(IF(LEFT('Rock Climbing Log'!W29)="C",_xlfn.IFNA(VLOOKUP('Rock Climbing Log'!W29,'RC Lookup'!$A$3:$B$9,2,FALSE),0.5),VLOOKUP('Rock Climbing Log'!W29,'RC Lookup'!$G$3:$H$5,2,FALSE)),0)*VLOOKUP(V$7,'RC Lookup'!$D$3:$E$18,2,FALSE)</f>
        <v>0</v>
      </c>
      <c r="X29" s="26">
        <f>_xlfn.IFNA(IF(LEFT('Rock Climbing Log'!X29)="C",_xlfn.IFNA(VLOOKUP('Rock Climbing Log'!X29,'RC Lookup'!$A$3:$B$9,2,FALSE),0.5),VLOOKUP('Rock Climbing Log'!X29,'RC Lookup'!$G$3:$H$5,2,FALSE)),0)*VLOOKUP(V$7,'RC Lookup'!$D$3:$E$18,2,FALSE)</f>
        <v>0</v>
      </c>
      <c r="Y29" s="26">
        <f>_xlfn.IFNA(IF(LEFT('Rock Climbing Log'!Y29)="C",_xlfn.IFNA(VLOOKUP('Rock Climbing Log'!Y29,'RC Lookup'!$A$3:$B$9,2,FALSE),0.5),VLOOKUP('Rock Climbing Log'!Y29,'RC Lookup'!$G$3:$H$5,2,FALSE)),0)*VLOOKUP(Y$7,'RC Lookup'!$D$3:$E$18,2,FALSE)</f>
        <v>0</v>
      </c>
      <c r="Z29" s="26">
        <f>_xlfn.IFNA(IF(LEFT('Rock Climbing Log'!Z29)="C",_xlfn.IFNA(VLOOKUP('Rock Climbing Log'!Z29,'RC Lookup'!$A$3:$B$9,2,FALSE),0.5),VLOOKUP('Rock Climbing Log'!Z29,'RC Lookup'!$G$3:$H$5,2,FALSE)),0)*VLOOKUP(Y$7,'RC Lookup'!$D$3:$E$18,2,FALSE)</f>
        <v>0</v>
      </c>
      <c r="AA29" s="26">
        <f>_xlfn.IFNA(IF(LEFT('Rock Climbing Log'!AA29)="C",_xlfn.IFNA(VLOOKUP('Rock Climbing Log'!AA29,'RC Lookup'!$A$3:$B$9,2,FALSE),0.5),VLOOKUP('Rock Climbing Log'!AA29,'RC Lookup'!$G$3:$H$5,2,FALSE)),0)*VLOOKUP(Y$7,'RC Lookup'!$D$3:$E$18,2,FALSE)</f>
        <v>0</v>
      </c>
      <c r="AB29" s="26">
        <f>_xlfn.IFNA(IF(LEFT('Rock Climbing Log'!AB29)="C",_xlfn.IFNA(VLOOKUP('Rock Climbing Log'!AB29,'RC Lookup'!$A$3:$B$9,2,FALSE),0.5),VLOOKUP('Rock Climbing Log'!AB29,'RC Lookup'!$G$3:$H$5,2,FALSE)),0)*VLOOKUP(AB$7,'RC Lookup'!$D$3:$E$18,2,FALSE)</f>
        <v>0</v>
      </c>
      <c r="AC29" s="26">
        <f>_xlfn.IFNA(IF(LEFT('Rock Climbing Log'!AC29)="C",_xlfn.IFNA(VLOOKUP('Rock Climbing Log'!AC29,'RC Lookup'!$A$3:$B$9,2,FALSE),0.5),VLOOKUP('Rock Climbing Log'!AC29,'RC Lookup'!$G$3:$H$5,2,FALSE)),0)*VLOOKUP(AB$7,'RC Lookup'!$D$3:$E$18,2,FALSE)</f>
        <v>0</v>
      </c>
      <c r="AD29" s="26">
        <f>_xlfn.IFNA(IF(LEFT('Rock Climbing Log'!AD29)="C",_xlfn.IFNA(VLOOKUP('Rock Climbing Log'!AD29,'RC Lookup'!$A$3:$B$9,2,FALSE),0.5),VLOOKUP('Rock Climbing Log'!AD29,'RC Lookup'!$G$3:$H$5,2,FALSE)),0)*VLOOKUP(AB$7,'RC Lookup'!$D$3:$E$18,2,FALSE)</f>
        <v>0</v>
      </c>
      <c r="AE29" s="26">
        <f>_xlfn.IFNA(IF(LEFT('Rock Climbing Log'!AE29)="C",_xlfn.IFNA(VLOOKUP('Rock Climbing Log'!AE29,'RC Lookup'!$A$3:$B$9,2,FALSE),0.5),VLOOKUP('Rock Climbing Log'!AE29,'RC Lookup'!$G$3:$H$5,2,FALSE)),0)*VLOOKUP(AE$7,'RC Lookup'!$D$3:$E$18,2,FALSE)</f>
        <v>0</v>
      </c>
      <c r="AF29" s="26">
        <f>_xlfn.IFNA(IF(LEFT('Rock Climbing Log'!AF29)="C",_xlfn.IFNA(VLOOKUP('Rock Climbing Log'!AF29,'RC Lookup'!$A$3:$B$9,2,FALSE),0.5),VLOOKUP('Rock Climbing Log'!AF29,'RC Lookup'!$G$3:$H$5,2,FALSE)),0)*VLOOKUP(AE$7,'RC Lookup'!$D$3:$E$18,2,FALSE)</f>
        <v>0</v>
      </c>
      <c r="AG29" s="26">
        <f>_xlfn.IFNA(IF(LEFT('Rock Climbing Log'!AG29)="C",_xlfn.IFNA(VLOOKUP('Rock Climbing Log'!AG29,'RC Lookup'!$A$3:$B$9,2,FALSE),0.5),VLOOKUP('Rock Climbing Log'!AG29,'RC Lookup'!$G$3:$H$5,2,FALSE)),0)*VLOOKUP(AE$7,'RC Lookup'!$D$3:$E$18,2,FALSE)</f>
        <v>0</v>
      </c>
      <c r="AH29" s="26">
        <f>_xlfn.IFNA(IF(LEFT('Rock Climbing Log'!AH29)="C",_xlfn.IFNA(VLOOKUP('Rock Climbing Log'!AH29,'RC Lookup'!$A$3:$B$9,2,FALSE),0.5),VLOOKUP('Rock Climbing Log'!AH29,'RC Lookup'!$G$3:$H$5,2,FALSE)),0)*VLOOKUP(AH$7,'RC Lookup'!$D$3:$E$18,2,FALSE)</f>
        <v>0</v>
      </c>
      <c r="AI29" s="26">
        <f>_xlfn.IFNA(IF(LEFT('Rock Climbing Log'!AI29)="C",_xlfn.IFNA(VLOOKUP('Rock Climbing Log'!AI29,'RC Lookup'!$A$3:$B$9,2,FALSE),0.5),VLOOKUP('Rock Climbing Log'!AI29,'RC Lookup'!$G$3:$H$5,2,FALSE)),0)*VLOOKUP(AH$7,'RC Lookup'!$D$3:$E$18,2,FALSE)</f>
        <v>0</v>
      </c>
      <c r="AJ29" s="26">
        <f>_xlfn.IFNA(IF(LEFT('Rock Climbing Log'!AJ29)="C",_xlfn.IFNA(VLOOKUP('Rock Climbing Log'!AJ29,'RC Lookup'!$A$3:$B$9,2,FALSE),0.5),VLOOKUP('Rock Climbing Log'!AJ29,'RC Lookup'!$G$3:$H$5,2,FALSE)),0)*VLOOKUP(AH$7,'RC Lookup'!$D$3:$E$18,2,FALSE)</f>
        <v>0</v>
      </c>
      <c r="AK29" s="26">
        <f>_xlfn.IFNA(IF(LEFT('Rock Climbing Log'!AK29)="C",_xlfn.IFNA(VLOOKUP('Rock Climbing Log'!AK29,'RC Lookup'!$A$3:$B$9,2,FALSE),0.5),VLOOKUP('Rock Climbing Log'!AK29,'RC Lookup'!$G$3:$H$5,2,FALSE)),0)*VLOOKUP(AK$7,'RC Lookup'!$D$3:$E$18,2,FALSE)</f>
        <v>0</v>
      </c>
      <c r="AL29" s="26">
        <f>_xlfn.IFNA(IF(LEFT('Rock Climbing Log'!AL29)="C",_xlfn.IFNA(VLOOKUP('Rock Climbing Log'!AL29,'RC Lookup'!$A$3:$B$9,2,FALSE),0.5),VLOOKUP('Rock Climbing Log'!AL29,'RC Lookup'!$G$3:$H$5,2,FALSE)),0)*VLOOKUP(AK$7,'RC Lookup'!$D$3:$E$18,2,FALSE)</f>
        <v>0</v>
      </c>
      <c r="AM29" s="26">
        <f>_xlfn.IFNA(IF(LEFT('Rock Climbing Log'!AM29)="C",_xlfn.IFNA(VLOOKUP('Rock Climbing Log'!AM29,'RC Lookup'!$A$3:$B$9,2,FALSE),0.5),VLOOKUP('Rock Climbing Log'!AM29,'RC Lookup'!$G$3:$H$5,2,FALSE)),0)*VLOOKUP(AK$7,'RC Lookup'!$D$3:$E$18,2,FALSE)</f>
        <v>0</v>
      </c>
      <c r="AN29" s="26">
        <f>_xlfn.IFNA(IF(LEFT('Rock Climbing Log'!AN29)="C",_xlfn.IFNA(VLOOKUP('Rock Climbing Log'!AN29,'RC Lookup'!$A$3:$B$9,2,FALSE),0.5),VLOOKUP('Rock Climbing Log'!AN29,'RC Lookup'!$G$3:$H$5,2,FALSE)),0)*VLOOKUP(AN$7,'RC Lookup'!$D$3:$E$18,2,FALSE)</f>
        <v>0</v>
      </c>
      <c r="AO29" s="26">
        <f>_xlfn.IFNA(IF(LEFT('Rock Climbing Log'!AO29)="C",_xlfn.IFNA(VLOOKUP('Rock Climbing Log'!AO29,'RC Lookup'!$A$3:$B$9,2,FALSE),0.5),VLOOKUP('Rock Climbing Log'!AO29,'RC Lookup'!$G$3:$H$5,2,FALSE)),0)*VLOOKUP(AN$7,'RC Lookup'!$D$3:$E$18,2,FALSE)</f>
        <v>0</v>
      </c>
      <c r="AP29" s="26">
        <f>_xlfn.IFNA(IF(LEFT('Rock Climbing Log'!AP29)="C",_xlfn.IFNA(VLOOKUP('Rock Climbing Log'!AP29,'RC Lookup'!$A$3:$B$9,2,FALSE),0.5),VLOOKUP('Rock Climbing Log'!AP29,'RC Lookup'!$G$3:$H$5,2,FALSE)),0)*VLOOKUP(AN$7,'RC Lookup'!$D$3:$E$18,2,FALSE)</f>
        <v>0</v>
      </c>
      <c r="AQ29" s="26">
        <f>_xlfn.IFNA(IF(LEFT('Rock Climbing Log'!AQ29)="C",_xlfn.IFNA(VLOOKUP('Rock Climbing Log'!AQ29,'RC Lookup'!$A$3:$B$9,2,FALSE),0.5),VLOOKUP('Rock Climbing Log'!AQ29,'RC Lookup'!$G$3:$H$5,2,FALSE)),0)*VLOOKUP(AQ$7,'RC Lookup'!$D$3:$E$18,2,FALSE)</f>
        <v>0</v>
      </c>
      <c r="AR29" s="26">
        <f>_xlfn.IFNA(IF(LEFT('Rock Climbing Log'!AR29)="C",_xlfn.IFNA(VLOOKUP('Rock Climbing Log'!AR29,'RC Lookup'!$A$3:$B$9,2,FALSE),0.5),VLOOKUP('Rock Climbing Log'!AR29,'RC Lookup'!$G$3:$H$5,2,FALSE)),0)*VLOOKUP(AQ$7,'RC Lookup'!$D$3:$E$18,2,FALSE)</f>
        <v>0</v>
      </c>
      <c r="AS29" s="26">
        <f>_xlfn.IFNA(IF(LEFT('Rock Climbing Log'!AS29)="C",_xlfn.IFNA(VLOOKUP('Rock Climbing Log'!AS29,'RC Lookup'!$A$3:$B$9,2,FALSE),0.5),VLOOKUP('Rock Climbing Log'!AS29,'RC Lookup'!$G$3:$H$5,2,FALSE)),0)*VLOOKUP(AQ$7,'RC Lookup'!$D$3:$E$18,2,FALSE)</f>
        <v>0</v>
      </c>
      <c r="AT29" s="26">
        <f>_xlfn.IFNA(IF(LEFT('Rock Climbing Log'!AT29)="C",_xlfn.IFNA(VLOOKUP('Rock Climbing Log'!AT29,'RC Lookup'!$A$3:$B$9,2,FALSE),0.5),VLOOKUP('Rock Climbing Log'!AT29,'RC Lookup'!$G$3:$H$5,2,FALSE)),0)*VLOOKUP(AT$7,'RC Lookup'!$D$3:$E$18,2,FALSE)</f>
        <v>0</v>
      </c>
      <c r="AU29" s="26">
        <f>_xlfn.IFNA(IF(LEFT('Rock Climbing Log'!AU29)="C",_xlfn.IFNA(VLOOKUP('Rock Climbing Log'!AU29,'RC Lookup'!$A$3:$B$9,2,FALSE),0.5),VLOOKUP('Rock Climbing Log'!AU29,'RC Lookup'!$G$3:$H$5,2,FALSE)),0)*VLOOKUP(AT$7,'RC Lookup'!$D$3:$E$18,2,FALSE)</f>
        <v>0</v>
      </c>
      <c r="AV29" s="26">
        <f>_xlfn.IFNA(IF(LEFT('Rock Climbing Log'!AV29)="C",_xlfn.IFNA(VLOOKUP('Rock Climbing Log'!AV29,'RC Lookup'!$A$3:$B$9,2,FALSE),0.5),VLOOKUP('Rock Climbing Log'!AV29,'RC Lookup'!$G$3:$H$5,2,FALSE)),0)*VLOOKUP(AT$7,'RC Lookup'!$D$3:$E$18,2,FALSE)</f>
        <v>0</v>
      </c>
      <c r="AW29" s="30">
        <f t="shared" ca="1" si="0"/>
        <v>46.135872871200014</v>
      </c>
      <c r="AX29" s="30">
        <f ca="1">_xlfn.IFNA(VLOOKUP(SUMPRODUCT(LARGE(($C$8:$C29=Table1[[#This Row],[Climber]])*$A$8:$A29,1)),$A$8:$AW29,MATCH($AW$7,$A$7:$AW$7,FALSE),FALSE),0)/LEFT($AX$7,FIND(" ",$AX$7))+_xlfn.IFNA(VLOOKUP(SUMPRODUCT(LARGE(($C$8:$C29=Table1[[#This Row],[Climber]])*$A$8:$A29,MIN(2,COUNTIFS($C$8:$C29,$C29)))),$A$8:$AW29,MATCH($AW$7,$A$7:$AW$7,FALSE),FALSE),0)/LEFT($AX$7,FIND(" ",$AX$7))+_xlfn.IFNA(VLOOKUP(SUMPRODUCT(LARGE(($C$8:$C29=Table1[[#This Row],[Climber]])*$A$8:$A29,MIN(3,COUNTIFS($C$8:$C29,$C29)))),$A$8:$AW29,MATCH($AW$7,$A$7:$AW$7,FALSE),FALSE),0)/LEFT($AX$7,FIND(" ",$AX$7))</f>
        <v>40.378624290400005</v>
      </c>
      <c r="AY29" s="30">
        <f ca="1">_xlfn.IFNA(VLOOKUP(SUMPRODUCT(LARGE(($C$8:$C29=Table1[[#This Row],[Climber]])*$A$8:$A29,1)),$A$8:$AW29,MATCH($AW$7,$A$7:$AW$7,FALSE),FALSE),0)/LEFT($AY$7,FIND(" ",$AY$7))+_xlfn.IFNA(VLOOKUP(SUMPRODUCT(LARGE(($C$8:$C29=Table1[[#This Row],[Climber]])*$A$8:$A29,MIN(2,COUNTIFS($C$8:$C29,$C29)))),$A$8:$AW29,MATCH($AW$7,$A$7:$AW$7,FALSE),FALSE),0)/LEFT($AY$7,FIND(" ",$AY$7))+_xlfn.IFNA(VLOOKUP(SUMPRODUCT(LARGE(($C$8:$C29=Table1[[#This Row],[Climber]])*$A$8:$A29,MIN(3,COUNTIFS($C$8:$C29,$C29)))),$A$8:$AW29,MATCH($AW$7,$A$7:$AW$7,FALSE),FALSE),0)/LEFT($AY$7,FIND(" ",$AY$7))+_xlfn.IFNA(VLOOKUP(SUMPRODUCT(LARGE(($C$8:$C29=Table1[[#This Row],[Climber]])*$A$8:$A29,MIN(4,COUNTIFS($C$8:$C29,$C29)))),$A$8:$AW29,MATCH($AW$7,$A$7:$AW$7,FALSE),FALSE),0)/LEFT($AY$7,FIND(" ",$AY$7))+_xlfn.IFNA(VLOOKUP(SUMPRODUCT(LARGE(($C$8:$C29=Table1[[#This Row],[Climber]])*$A$8:$A29,MIN(5,COUNTIFS($C$8:$C29,$C29)))),$A$8:$AW29,MATCH($AW$7,$A$7:$AW$7,FALSE),FALSE),0)/LEFT($AY$7,FIND(" ",$AY$7))</f>
        <v>39.227174574240003</v>
      </c>
      <c r="AZ29" s="30">
        <f>(_xlfn.IFNA(VLOOKUP(SUMPRODUCT(LARGE(($C$8:$C29=Table1[[#This Row],[Climber]])*$A$8:$A29,4)),$A$8:$AW29,MATCH($AW$7,$A$7:$AW$7,FALSE),FALSE),0)+_xlfn.IFNA(VLOOKUP(SUMPRODUCT(LARGE(($C$8:$C29=Table1[[#This Row],[Climber]])*$A$8:$A29,5)),$A$8:$AW29,MATCH($AW$7,$A$7:$AW$7,FALSE),FALSE),0)+_xlfn.IFNA(VLOOKUP(SUMPRODUCT(LARGE(($C$8:$C29=Table1[[#This Row],[Climber]])*$A$8:$A29,6)),$A$8:$AW29,MATCH($AW$7,$A$7:$AW$7,FALSE),FALSE),0))/3</f>
        <v>0</v>
      </c>
      <c r="BA29" s="6">
        <f ca="1">_xlfn.MAXIFS(INDIRECT("$AW"&amp;IF(SUMPRODUCT(LARGE(($C$8:$C29=$C29)*$A$8:$A29,LEFT($BA$7,FIND(" ",$BA$7)-1)))=0,8,SUMPRODUCT(LARGE(($C$8:$C29=$C29)*$A$8:$A29,LEFT($BA$7,FIND(" ",$BA$7)-1)))+7)&amp;":$AW"&amp;ROW()),INDIRECT("$C"&amp;IF(SUMPRODUCT(LARGE(($C$8:$C29=$C29)*$A$8:$A29,LEFT($BA$7,FIND(" ",$BA$7)-1)))=0,8,SUMPRODUCT(LARGE(($C$8:$C29=$C29)*$A$8:$A29,LEFT($BA$7,FIND(" ",$BA$7)-1)))+7)&amp;":$C"&amp;ROW()),$C29)</f>
        <v>46.135872871200014</v>
      </c>
      <c r="BB29" s="6" t="str">
        <f ca="1">VLOOKUP(MAX(BG29,$AX29),'RC Lookup'!$G$14:$J$20,2,TRUE)</f>
        <v>T1</v>
      </c>
      <c r="BC29" s="6">
        <f ca="1">_xlfn.IFNA(VLOOKUP(VLOOKUP($C29,'RC Lookup'!$O$3:$P$50,2,FALSE),'RC Lookup'!$H$14:$J$23,2,FALSE),0)*AW29</f>
        <v>53.215125897807361</v>
      </c>
      <c r="BD29" s="6">
        <f ca="1">_xlfn.IFNA(VLOOKUP(SUMPRODUCT(LARGE(($C$8:$C29=Table1[[#This Row],[Climber]])*$A$8:$A29,1)),$A$8:$BC29,55,FALSE),0)/LEFT($AX$7,FIND(" ",$AX$7))+_xlfn.IFNA(VLOOKUP(SUMPRODUCT(LARGE(($C$8:$C29=Table1[[#This Row],[Climber]])*$A$8:$A29,MIN(2,COUNTIFS($C$8:$C29,$C29)))),$A$8:$BC29,55,FALSE),0)/LEFT($AX$7,FIND(" ",$AX$7))+_xlfn.IFNA(VLOOKUP(SUMPRODUCT(LARGE(($C$8:$C29=Table1[[#This Row],[Climber]])*$A$8:$A29,MIN(3,COUNTIFS($C$8:$C29,$C29)))),$A$8:$BC29,55,FALSE),0)/LEFT($AX$7,FIND(" ",$AX$7))</f>
        <v>46.574464542866437</v>
      </c>
      <c r="BE29" s="6">
        <f>(_xlfn.IFNA(VLOOKUP(SUMPRODUCT(LARGE(($C$8:$C29=Table1[[#This Row],[Climber]])*$A$8:$A29,4)),$A$8:$BD29,55,FALSE),0)+_xlfn.IFNA(VLOOKUP(SUMPRODUCT(LARGE(($C$8:$C29=Table1[[#This Row],[Climber]])*$A$8:$A29,5)),$A$8:$BD29,55,FALSE),0)+_xlfn.IFNA(VLOOKUP(SUMPRODUCT(LARGE(($C$8:$C29=Table1[[#This Row],[Climber]])*$A$8:$A29,6)),$A$8:$BD29,55,FALSE),0))/3</f>
        <v>0</v>
      </c>
      <c r="BF29" s="46">
        <f ca="1">_xlfn.MAXIFS(INDIRECT("$BC"&amp;IF(SUMPRODUCT(LARGE(($C$8:$C29=$C29)*$A$8:$A29,LEFT($BA$7,FIND(" ",$BA$7)-1)))=0,8,SUMPRODUCT(LARGE(($C$8:$C29=$C29)*$A$8:$A29,LEFT($BA$7,FIND(" ",$BA$7)-1)))+7)&amp;":$BC"&amp;ROW()),INDIRECT("$C"&amp;IF(SUMPRODUCT(LARGE(($C$8:$C29=$C29)*$A$8:$A29,LEFT($BA$7,FIND(" ",$BA$7)-1)))=0,8,SUMPRODUCT(LARGE(($C$8:$C29=$C29)*$A$8:$A29,LEFT($BA$7,FIND(" ",$BA$7)-1)))+7)&amp;":$C"&amp;ROW()),$C29)</f>
        <v>53.215125897807361</v>
      </c>
      <c r="BG29" s="46">
        <f t="array" aca="1" ref="BG29" ca="1">IFERROR(SUMPRODUCT(LARGE(($C$8:$C29=Table1[[#This Row],[Climber]])*$AW$8:$AW29,ROW(INDIRECT("1:5")))),AW29)/MIN(COUNTIFS($C$8:$C29,C29),5)</f>
        <v>41.817936435600004</v>
      </c>
      <c r="BH29" s="46"/>
    </row>
    <row r="30" spans="1:61" x14ac:dyDescent="0.3">
      <c r="A30" s="125">
        <f t="shared" si="1"/>
        <v>23</v>
      </c>
      <c r="B30" s="25">
        <f>'Rock Climbing Log'!B30</f>
        <v>43128</v>
      </c>
      <c r="C30" s="126" t="str">
        <f>'Rock Climbing Log'!C30</f>
        <v>Lester</v>
      </c>
      <c r="D30" s="26">
        <f>_xlfn.IFNA(IF(LEFT('Rock Climbing Log'!D30)="C",_xlfn.IFNA(VLOOKUP('Rock Climbing Log'!D30,'RC Lookup'!$A$3:$B$9,2,FALSE),0.5),VLOOKUP('Rock Climbing Log'!D30,'RC Lookup'!$G$3:$H$5,2,FALSE)),0)*VLOOKUP(D$7,'RC Lookup'!$D$3:$E$18,2,FALSE)</f>
        <v>0</v>
      </c>
      <c r="E30" s="26">
        <f>_xlfn.IFNA(IF(LEFT('Rock Climbing Log'!E30)="C",_xlfn.IFNA(VLOOKUP('Rock Climbing Log'!E30,'RC Lookup'!$A$3:$B$9,2,FALSE),0.5),VLOOKUP('Rock Climbing Log'!E30,'RC Lookup'!$G$3:$H$5,2,FALSE)),0)*VLOOKUP(D$7,'RC Lookup'!$D$3:$E$18,2,FALSE)</f>
        <v>0</v>
      </c>
      <c r="F30" s="26">
        <f>_xlfn.IFNA(IF(LEFT('Rock Climbing Log'!F30)="C",_xlfn.IFNA(VLOOKUP('Rock Climbing Log'!F30,'RC Lookup'!$A$3:$B$9,2,FALSE),0.5),VLOOKUP('Rock Climbing Log'!F30,'RC Lookup'!$G$3:$H$5,2,FALSE)),0)*VLOOKUP(D$7,'RC Lookup'!$D$3:$E$18,2,FALSE)</f>
        <v>0</v>
      </c>
      <c r="G30" s="26">
        <f>_xlfn.IFNA(IF(LEFT('Rock Climbing Log'!G30)="C",_xlfn.IFNA(VLOOKUP('Rock Climbing Log'!G30,'RC Lookup'!$A$3:$B$9,2,FALSE),0.5),VLOOKUP('Rock Climbing Log'!G30,'RC Lookup'!$G$3:$H$5,2,FALSE)),0)*VLOOKUP(G$7,'RC Lookup'!$D$3:$E$18,2,FALSE)</f>
        <v>0</v>
      </c>
      <c r="H30" s="26">
        <f>_xlfn.IFNA(IF(LEFT('Rock Climbing Log'!H30)="C",_xlfn.IFNA(VLOOKUP('Rock Climbing Log'!H30,'RC Lookup'!$A$3:$B$9,2,FALSE),0.5),VLOOKUP('Rock Climbing Log'!H30,'RC Lookup'!$G$3:$H$5,2,FALSE)),0)*VLOOKUP(G$7,'RC Lookup'!$D$3:$E$18,2,FALSE)</f>
        <v>0</v>
      </c>
      <c r="I30" s="26">
        <f>_xlfn.IFNA(IF(LEFT('Rock Climbing Log'!I30)="C",_xlfn.IFNA(VLOOKUP('Rock Climbing Log'!I30,'RC Lookup'!$A$3:$B$9,2,FALSE),0.5),VLOOKUP('Rock Climbing Log'!I30,'RC Lookup'!$G$3:$H$5,2,FALSE)),0)*VLOOKUP(G$7,'RC Lookup'!$D$3:$E$18,2,FALSE)</f>
        <v>0</v>
      </c>
      <c r="J30" s="26">
        <f>_xlfn.IFNA(IF(LEFT('Rock Climbing Log'!J30)="C",_xlfn.IFNA(VLOOKUP('Rock Climbing Log'!J30,'RC Lookup'!$A$3:$B$9,2,FALSE),0.5),VLOOKUP('Rock Climbing Log'!J30,'RC Lookup'!$G$3:$H$5,2,FALSE)),0)*VLOOKUP(J$7,'RC Lookup'!$D$3:$E$18,2,FALSE)</f>
        <v>15.75</v>
      </c>
      <c r="K30" s="26">
        <f>_xlfn.IFNA(IF(LEFT('Rock Climbing Log'!K30)="C",_xlfn.IFNA(VLOOKUP('Rock Climbing Log'!K30,'RC Lookup'!$A$3:$B$9,2,FALSE),0.5),VLOOKUP('Rock Climbing Log'!K30,'RC Lookup'!$G$3:$H$5,2,FALSE)),0)*VLOOKUP(J$7,'RC Lookup'!$D$3:$E$18,2,FALSE)</f>
        <v>0</v>
      </c>
      <c r="L30" s="26">
        <f>_xlfn.IFNA(IF(LEFT('Rock Climbing Log'!L30)="C",_xlfn.IFNA(VLOOKUP('Rock Climbing Log'!L30,'RC Lookup'!$A$3:$B$9,2,FALSE),0.5),VLOOKUP('Rock Climbing Log'!L30,'RC Lookup'!$G$3:$H$5,2,FALSE)),0)*VLOOKUP(J$7,'RC Lookup'!$D$3:$E$18,2,FALSE)</f>
        <v>0</v>
      </c>
      <c r="M30" s="26">
        <f>_xlfn.IFNA(IF(LEFT('Rock Climbing Log'!M30)="C",_xlfn.IFNA(VLOOKUP('Rock Climbing Log'!M30,'RC Lookup'!$A$3:$B$9,2,FALSE),0.5),VLOOKUP('Rock Climbing Log'!M30,'RC Lookup'!$G$3:$H$5,2,FALSE)),0)*VLOOKUP(M$7,'RC Lookup'!$D$3:$E$18,2,FALSE)</f>
        <v>20.002500000000001</v>
      </c>
      <c r="N30" s="26">
        <f>_xlfn.IFNA(IF(LEFT('Rock Climbing Log'!N30)="C",_xlfn.IFNA(VLOOKUP('Rock Climbing Log'!N30,'RC Lookup'!$A$3:$B$9,2,FALSE),0.5),VLOOKUP('Rock Climbing Log'!N30,'RC Lookup'!$G$3:$H$5,2,FALSE)),0)*VLOOKUP(M$7,'RC Lookup'!$D$3:$E$18,2,FALSE)</f>
        <v>0</v>
      </c>
      <c r="O30" s="26">
        <f>_xlfn.IFNA(IF(LEFT('Rock Climbing Log'!O30)="C",_xlfn.IFNA(VLOOKUP('Rock Climbing Log'!O30,'RC Lookup'!$A$3:$B$9,2,FALSE),0.5),VLOOKUP('Rock Climbing Log'!O30,'RC Lookup'!$G$3:$H$5,2,FALSE)),0)*VLOOKUP(M$7,'RC Lookup'!$D$3:$E$18,2,FALSE)</f>
        <v>0</v>
      </c>
      <c r="P30" s="26">
        <f>_xlfn.IFNA(IF(LEFT('Rock Climbing Log'!P30)="C",_xlfn.IFNA(VLOOKUP('Rock Climbing Log'!P30,'RC Lookup'!$A$3:$B$9,2,FALSE),0.5),VLOOKUP('Rock Climbing Log'!P30,'RC Lookup'!$G$3:$H$5,2,FALSE)),0)*VLOOKUP(P$7,'RC Lookup'!$D$3:$E$18,2,FALSE)</f>
        <v>0</v>
      </c>
      <c r="Q30" s="26">
        <f>_xlfn.IFNA(IF(LEFT('Rock Climbing Log'!Q30)="C",_xlfn.IFNA(VLOOKUP('Rock Climbing Log'!Q30,'RC Lookup'!$A$3:$B$9,2,FALSE),0.5),VLOOKUP('Rock Climbing Log'!Q30,'RC Lookup'!$G$3:$H$5,2,FALSE)),0)*VLOOKUP(P$7,'RC Lookup'!$D$3:$E$18,2,FALSE)</f>
        <v>0</v>
      </c>
      <c r="R30" s="26">
        <f>_xlfn.IFNA(IF(LEFT('Rock Climbing Log'!R30)="C",_xlfn.IFNA(VLOOKUP('Rock Climbing Log'!R30,'RC Lookup'!$A$3:$B$9,2,FALSE),0.5),VLOOKUP('Rock Climbing Log'!R30,'RC Lookup'!$G$3:$H$5,2,FALSE)),0)*VLOOKUP(P$7,'RC Lookup'!$D$3:$E$18,2,FALSE)</f>
        <v>0</v>
      </c>
      <c r="S30" s="26">
        <f>_xlfn.IFNA(IF(LEFT('Rock Climbing Log'!S30)="C",_xlfn.IFNA(VLOOKUP('Rock Climbing Log'!S30,'RC Lookup'!$A$3:$B$9,2,FALSE),0.5),VLOOKUP('Rock Climbing Log'!S30,'RC Lookup'!$G$3:$H$5,2,FALSE)),0)*VLOOKUP(S$7,'RC Lookup'!$D$3:$E$18,2,FALSE)</f>
        <v>0</v>
      </c>
      <c r="T30" s="26">
        <f>_xlfn.IFNA(IF(LEFT('Rock Climbing Log'!T30)="C",_xlfn.IFNA(VLOOKUP('Rock Climbing Log'!T30,'RC Lookup'!$A$3:$B$9,2,FALSE),0.5),VLOOKUP('Rock Climbing Log'!T30,'RC Lookup'!$G$3:$H$5,2,FALSE)),0)*VLOOKUP(S$7,'RC Lookup'!$D$3:$E$18,2,FALSE)</f>
        <v>0</v>
      </c>
      <c r="U30" s="26">
        <f>_xlfn.IFNA(IF(LEFT('Rock Climbing Log'!U30)="C",_xlfn.IFNA(VLOOKUP('Rock Climbing Log'!U30,'RC Lookup'!$A$3:$B$9,2,FALSE),0.5),VLOOKUP('Rock Climbing Log'!U30,'RC Lookup'!$G$3:$H$5,2,FALSE)),0)*VLOOKUP(S$7,'RC Lookup'!$D$3:$E$18,2,FALSE)</f>
        <v>0</v>
      </c>
      <c r="V30" s="26">
        <f>_xlfn.IFNA(IF(LEFT('Rock Climbing Log'!V30)="C",_xlfn.IFNA(VLOOKUP('Rock Climbing Log'!V30,'RC Lookup'!$A$3:$B$9,2,FALSE),0.5),VLOOKUP('Rock Climbing Log'!V30,'RC Lookup'!$G$3:$H$5,2,FALSE)),0)*VLOOKUP(V$7,'RC Lookup'!$D$3:$E$18,2,FALSE)</f>
        <v>0</v>
      </c>
      <c r="W30" s="26">
        <f>_xlfn.IFNA(IF(LEFT('Rock Climbing Log'!W30)="C",_xlfn.IFNA(VLOOKUP('Rock Climbing Log'!W30,'RC Lookup'!$A$3:$B$9,2,FALSE),0.5),VLOOKUP('Rock Climbing Log'!W30,'RC Lookup'!$G$3:$H$5,2,FALSE)),0)*VLOOKUP(V$7,'RC Lookup'!$D$3:$E$18,2,FALSE)</f>
        <v>0</v>
      </c>
      <c r="X30" s="26">
        <f>_xlfn.IFNA(IF(LEFT('Rock Climbing Log'!X30)="C",_xlfn.IFNA(VLOOKUP('Rock Climbing Log'!X30,'RC Lookup'!$A$3:$B$9,2,FALSE),0.5),VLOOKUP('Rock Climbing Log'!X30,'RC Lookup'!$G$3:$H$5,2,FALSE)),0)*VLOOKUP(V$7,'RC Lookup'!$D$3:$E$18,2,FALSE)</f>
        <v>0</v>
      </c>
      <c r="Y30" s="26">
        <f>_xlfn.IFNA(IF(LEFT('Rock Climbing Log'!Y30)="C",_xlfn.IFNA(VLOOKUP('Rock Climbing Log'!Y30,'RC Lookup'!$A$3:$B$9,2,FALSE),0.5),VLOOKUP('Rock Climbing Log'!Y30,'RC Lookup'!$G$3:$H$5,2,FALSE)),0)*VLOOKUP(Y$7,'RC Lookup'!$D$3:$E$18,2,FALSE)</f>
        <v>0</v>
      </c>
      <c r="Z30" s="26">
        <f>_xlfn.IFNA(IF(LEFT('Rock Climbing Log'!Z30)="C",_xlfn.IFNA(VLOOKUP('Rock Climbing Log'!Z30,'RC Lookup'!$A$3:$B$9,2,FALSE),0.5),VLOOKUP('Rock Climbing Log'!Z30,'RC Lookup'!$G$3:$H$5,2,FALSE)),0)*VLOOKUP(Y$7,'RC Lookup'!$D$3:$E$18,2,FALSE)</f>
        <v>0</v>
      </c>
      <c r="AA30" s="26">
        <f>_xlfn.IFNA(IF(LEFT('Rock Climbing Log'!AA30)="C",_xlfn.IFNA(VLOOKUP('Rock Climbing Log'!AA30,'RC Lookup'!$A$3:$B$9,2,FALSE),0.5),VLOOKUP('Rock Climbing Log'!AA30,'RC Lookup'!$G$3:$H$5,2,FALSE)),0)*VLOOKUP(Y$7,'RC Lookup'!$D$3:$E$18,2,FALSE)</f>
        <v>0</v>
      </c>
      <c r="AB30" s="26">
        <f>_xlfn.IFNA(IF(LEFT('Rock Climbing Log'!AB30)="C",_xlfn.IFNA(VLOOKUP('Rock Climbing Log'!AB30,'RC Lookup'!$A$3:$B$9,2,FALSE),0.5),VLOOKUP('Rock Climbing Log'!AB30,'RC Lookup'!$G$3:$H$5,2,FALSE)),0)*VLOOKUP(AB$7,'RC Lookup'!$D$3:$E$18,2,FALSE)</f>
        <v>54.034770578768224</v>
      </c>
      <c r="AC30" s="26">
        <f>_xlfn.IFNA(IF(LEFT('Rock Climbing Log'!AC30)="C",_xlfn.IFNA(VLOOKUP('Rock Climbing Log'!AC30,'RC Lookup'!$A$3:$B$9,2,FALSE),0.5),VLOOKUP('Rock Climbing Log'!AC30,'RC Lookup'!$G$3:$H$5,2,FALSE)),0)*VLOOKUP(AB$7,'RC Lookup'!$D$3:$E$18,2,FALSE)</f>
        <v>0</v>
      </c>
      <c r="AD30" s="26">
        <f>_xlfn.IFNA(IF(LEFT('Rock Climbing Log'!AD30)="C",_xlfn.IFNA(VLOOKUP('Rock Climbing Log'!AD30,'RC Lookup'!$A$3:$B$9,2,FALSE),0.5),VLOOKUP('Rock Climbing Log'!AD30,'RC Lookup'!$G$3:$H$5,2,FALSE)),0)*VLOOKUP(AB$7,'RC Lookup'!$D$3:$E$18,2,FALSE)</f>
        <v>0</v>
      </c>
      <c r="AE30" s="26">
        <f>_xlfn.IFNA(IF(LEFT('Rock Climbing Log'!AE30)="C",_xlfn.IFNA(VLOOKUP('Rock Climbing Log'!AE30,'RC Lookup'!$A$3:$B$9,2,FALSE),0.5),VLOOKUP('Rock Climbing Log'!AE30,'RC Lookup'!$G$3:$H$5,2,FALSE)),0)*VLOOKUP(AE$7,'RC Lookup'!$D$3:$E$18,2,FALSE)</f>
        <v>67.867671846932893</v>
      </c>
      <c r="AF30" s="26">
        <f>_xlfn.IFNA(IF(LEFT('Rock Climbing Log'!AF30)="C",_xlfn.IFNA(VLOOKUP('Rock Climbing Log'!AF30,'RC Lookup'!$A$3:$B$9,2,FALSE),0.5),VLOOKUP('Rock Climbing Log'!AF30,'RC Lookup'!$G$3:$H$5,2,FALSE)),0)*VLOOKUP(AE$7,'RC Lookup'!$D$3:$E$18,2,FALSE)</f>
        <v>0</v>
      </c>
      <c r="AG30" s="26">
        <f>_xlfn.IFNA(IF(LEFT('Rock Climbing Log'!AG30)="C",_xlfn.IFNA(VLOOKUP('Rock Climbing Log'!AG30,'RC Lookup'!$A$3:$B$9,2,FALSE),0.5),VLOOKUP('Rock Climbing Log'!AG30,'RC Lookup'!$G$3:$H$5,2,FALSE)),0)*VLOOKUP(AE$7,'RC Lookup'!$D$3:$E$18,2,FALSE)</f>
        <v>0</v>
      </c>
      <c r="AH30" s="26">
        <f>_xlfn.IFNA(IF(LEFT('Rock Climbing Log'!AH30)="C",_xlfn.IFNA(VLOOKUP('Rock Climbing Log'!AH30,'RC Lookup'!$A$3:$B$9,2,FALSE),0.5),VLOOKUP('Rock Climbing Log'!AH30,'RC Lookup'!$G$3:$H$5,2,FALSE)),0)*VLOOKUP(AH$7,'RC Lookup'!$D$3:$E$18,2,FALSE)</f>
        <v>0</v>
      </c>
      <c r="AI30" s="26">
        <f>_xlfn.IFNA(IF(LEFT('Rock Climbing Log'!AI30)="C",_xlfn.IFNA(VLOOKUP('Rock Climbing Log'!AI30,'RC Lookup'!$A$3:$B$9,2,FALSE),0.5),VLOOKUP('Rock Climbing Log'!AI30,'RC Lookup'!$G$3:$H$5,2,FALSE)),0)*VLOOKUP(AH$7,'RC Lookup'!$D$3:$E$18,2,FALSE)</f>
        <v>0</v>
      </c>
      <c r="AJ30" s="26">
        <f>_xlfn.IFNA(IF(LEFT('Rock Climbing Log'!AJ30)="C",_xlfn.IFNA(VLOOKUP('Rock Climbing Log'!AJ30,'RC Lookup'!$A$3:$B$9,2,FALSE),0.5),VLOOKUP('Rock Climbing Log'!AJ30,'RC Lookup'!$G$3:$H$5,2,FALSE)),0)*VLOOKUP(AH$7,'RC Lookup'!$D$3:$E$18,2,FALSE)</f>
        <v>0</v>
      </c>
      <c r="AK30" s="26">
        <f>_xlfn.IFNA(IF(LEFT('Rock Climbing Log'!AK30)="C",_xlfn.IFNA(VLOOKUP('Rock Climbing Log'!AK30,'RC Lookup'!$A$3:$B$9,2,FALSE),0.5),VLOOKUP('Rock Climbing Log'!AK30,'RC Lookup'!$G$3:$H$5,2,FALSE)),0)*VLOOKUP(AK$7,'RC Lookup'!$D$3:$E$18,2,FALSE)</f>
        <v>110.15194611444596</v>
      </c>
      <c r="AL30" s="26">
        <f>_xlfn.IFNA(IF(LEFT('Rock Climbing Log'!AL30)="C",_xlfn.IFNA(VLOOKUP('Rock Climbing Log'!AL30,'RC Lookup'!$A$3:$B$9,2,FALSE),0.5),VLOOKUP('Rock Climbing Log'!AL30,'RC Lookup'!$G$3:$H$5,2,FALSE)),0)*VLOOKUP(AK$7,'RC Lookup'!$D$3:$E$18,2,FALSE)</f>
        <v>99.136751503001364</v>
      </c>
      <c r="AM30" s="26">
        <f>_xlfn.IFNA(IF(LEFT('Rock Climbing Log'!AM30)="C",_xlfn.IFNA(VLOOKUP('Rock Climbing Log'!AM30,'RC Lookup'!$A$3:$B$9,2,FALSE),0.5),VLOOKUP('Rock Climbing Log'!AM30,'RC Lookup'!$G$3:$H$5,2,FALSE)),0)*VLOOKUP(AK$7,'RC Lookup'!$D$3:$E$18,2,FALSE)</f>
        <v>0</v>
      </c>
      <c r="AN30" s="26">
        <f>_xlfn.IFNA(IF(LEFT('Rock Climbing Log'!AN30)="C",_xlfn.IFNA(VLOOKUP('Rock Climbing Log'!AN30,'RC Lookup'!$A$3:$B$9,2,FALSE),0.5),VLOOKUP('Rock Climbing Log'!AN30,'RC Lookup'!$G$3:$H$5,2,FALSE)),0)*VLOOKUP(AN$7,'RC Lookup'!$D$3:$E$18,2,FALSE)</f>
        <v>0</v>
      </c>
      <c r="AO30" s="26">
        <f>_xlfn.IFNA(IF(LEFT('Rock Climbing Log'!AO30)="C",_xlfn.IFNA(VLOOKUP('Rock Climbing Log'!AO30,'RC Lookup'!$A$3:$B$9,2,FALSE),0.5),VLOOKUP('Rock Climbing Log'!AO30,'RC Lookup'!$G$3:$H$5,2,FALSE)),0)*VLOOKUP(AN$7,'RC Lookup'!$D$3:$E$18,2,FALSE)</f>
        <v>0</v>
      </c>
      <c r="AP30" s="26">
        <f>_xlfn.IFNA(IF(LEFT('Rock Climbing Log'!AP30)="C",_xlfn.IFNA(VLOOKUP('Rock Climbing Log'!AP30,'RC Lookup'!$A$3:$B$9,2,FALSE),0.5),VLOOKUP('Rock Climbing Log'!AP30,'RC Lookup'!$G$3:$H$5,2,FALSE)),0)*VLOOKUP(AN$7,'RC Lookup'!$D$3:$E$18,2,FALSE)</f>
        <v>0</v>
      </c>
      <c r="AQ30" s="26">
        <f>_xlfn.IFNA(IF(LEFT('Rock Climbing Log'!AQ30)="C",_xlfn.IFNA(VLOOKUP('Rock Climbing Log'!AQ30,'RC Lookup'!$A$3:$B$9,2,FALSE),0.5),VLOOKUP('Rock Climbing Log'!AQ30,'RC Lookup'!$G$3:$H$5,2,FALSE)),0)*VLOOKUP(AQ$7,'RC Lookup'!$D$3:$E$18,2,FALSE)</f>
        <v>0</v>
      </c>
      <c r="AR30" s="26">
        <f>_xlfn.IFNA(IF(LEFT('Rock Climbing Log'!AR30)="C",_xlfn.IFNA(VLOOKUP('Rock Climbing Log'!AR30,'RC Lookup'!$A$3:$B$9,2,FALSE),0.5),VLOOKUP('Rock Climbing Log'!AR30,'RC Lookup'!$G$3:$H$5,2,FALSE)),0)*VLOOKUP(AQ$7,'RC Lookup'!$D$3:$E$18,2,FALSE)</f>
        <v>0</v>
      </c>
      <c r="AS30" s="26">
        <f>_xlfn.IFNA(IF(LEFT('Rock Climbing Log'!AS30)="C",_xlfn.IFNA(VLOOKUP('Rock Climbing Log'!AS30,'RC Lookup'!$A$3:$B$9,2,FALSE),0.5),VLOOKUP('Rock Climbing Log'!AS30,'RC Lookup'!$G$3:$H$5,2,FALSE)),0)*VLOOKUP(AQ$7,'RC Lookup'!$D$3:$E$18,2,FALSE)</f>
        <v>0</v>
      </c>
      <c r="AT30" s="26">
        <f>_xlfn.IFNA(IF(LEFT('Rock Climbing Log'!AT30)="C",_xlfn.IFNA(VLOOKUP('Rock Climbing Log'!AT30,'RC Lookup'!$A$3:$B$9,2,FALSE),0.5),VLOOKUP('Rock Climbing Log'!AT30,'RC Lookup'!$G$3:$H$5,2,FALSE)),0)*VLOOKUP(AT$7,'RC Lookup'!$D$3:$E$18,2,FALSE)</f>
        <v>0</v>
      </c>
      <c r="AU30" s="26">
        <f>_xlfn.IFNA(IF(LEFT('Rock Climbing Log'!AU30)="C",_xlfn.IFNA(VLOOKUP('Rock Climbing Log'!AU30,'RC Lookup'!$A$3:$B$9,2,FALSE),0.5),VLOOKUP('Rock Climbing Log'!AU30,'RC Lookup'!$G$3:$H$5,2,FALSE)),0)*VLOOKUP(AT$7,'RC Lookup'!$D$3:$E$18,2,FALSE)</f>
        <v>0</v>
      </c>
      <c r="AV30" s="26">
        <f>_xlfn.IFNA(IF(LEFT('Rock Climbing Log'!AV30)="C",_xlfn.IFNA(VLOOKUP('Rock Climbing Log'!AV30,'RC Lookup'!$A$3:$B$9,2,FALSE),0.5),VLOOKUP('Rock Climbing Log'!AV30,'RC Lookup'!$G$3:$H$5,2,FALSE)),0)*VLOOKUP(AT$7,'RC Lookup'!$D$3:$E$18,2,FALSE)</f>
        <v>0</v>
      </c>
      <c r="AW30" s="30">
        <f t="shared" ca="1" si="0"/>
        <v>277.15636946438019</v>
      </c>
      <c r="AX30" s="30">
        <f ca="1">_xlfn.IFNA(VLOOKUP(SUMPRODUCT(LARGE(($C$8:$C30=Table1[[#This Row],[Climber]])*$A$8:$A30,1)),$A$8:$AW30,MATCH($AW$7,$A$7:$AW$7,FALSE),FALSE),0)/LEFT($AX$7,FIND(" ",$AX$7))+_xlfn.IFNA(VLOOKUP(SUMPRODUCT(LARGE(($C$8:$C30=Table1[[#This Row],[Climber]])*$A$8:$A30,MIN(2,COUNTIFS($C$8:$C30,$C30)))),$A$8:$AW30,MATCH($AW$7,$A$7:$AW$7,FALSE),FALSE),0)/LEFT($AX$7,FIND(" ",$AX$7))+_xlfn.IFNA(VLOOKUP(SUMPRODUCT(LARGE(($C$8:$C30=Table1[[#This Row],[Climber]])*$A$8:$A30,MIN(3,COUNTIFS($C$8:$C30,$C30)))),$A$8:$AW30,MATCH($AW$7,$A$7:$AW$7,FALSE),FALSE),0)/LEFT($AX$7,FIND(" ",$AX$7))</f>
        <v>239.95330254293242</v>
      </c>
      <c r="AY30" s="30">
        <f ca="1">_xlfn.IFNA(VLOOKUP(SUMPRODUCT(LARGE(($C$8:$C30=Table1[[#This Row],[Climber]])*$A$8:$A30,1)),$A$8:$AW30,MATCH($AW$7,$A$7:$AW$7,FALSE),FALSE),0)/LEFT($AY$7,FIND(" ",$AY$7))+_xlfn.IFNA(VLOOKUP(SUMPRODUCT(LARGE(($C$8:$C30=Table1[[#This Row],[Climber]])*$A$8:$A30,MIN(2,COUNTIFS($C$8:$C30,$C30)))),$A$8:$AW30,MATCH($AW$7,$A$7:$AW$7,FALSE),FALSE),0)/LEFT($AY$7,FIND(" ",$AY$7))+_xlfn.IFNA(VLOOKUP(SUMPRODUCT(LARGE(($C$8:$C30=Table1[[#This Row],[Climber]])*$A$8:$A30,MIN(3,COUNTIFS($C$8:$C30,$C30)))),$A$8:$AW30,MATCH($AW$7,$A$7:$AW$7,FALSE),FALSE),0)/LEFT($AY$7,FIND(" ",$AY$7))+_xlfn.IFNA(VLOOKUP(SUMPRODUCT(LARGE(($C$8:$C30=Table1[[#This Row],[Climber]])*$A$8:$A30,MIN(4,COUNTIFS($C$8:$C30,$C30)))),$A$8:$AW30,MATCH($AW$7,$A$7:$AW$7,FALSE),FALSE),0)/LEFT($AY$7,FIND(" ",$AY$7))+_xlfn.IFNA(VLOOKUP(SUMPRODUCT(LARGE(($C$8:$C30=Table1[[#This Row],[Climber]])*$A$8:$A30,MIN(5,COUNTIFS($C$8:$C30,$C30)))),$A$8:$AW30,MATCH($AW$7,$A$7:$AW$7,FALSE),FALSE),0)/LEFT($AY$7,FIND(" ",$AY$7))</f>
        <v>209.60223704663287</v>
      </c>
      <c r="AZ30" s="30">
        <f ca="1">(_xlfn.IFNA(VLOOKUP(SUMPRODUCT(LARGE(($C$8:$C30=Table1[[#This Row],[Climber]])*$A$8:$A30,4)),$A$8:$AW30,MATCH($AW$7,$A$7:$AW$7,FALSE),FALSE),0)+_xlfn.IFNA(VLOOKUP(SUMPRODUCT(LARGE(($C$8:$C30=Table1[[#This Row],[Climber]])*$A$8:$A30,5)),$A$8:$AW30,MATCH($AW$7,$A$7:$AW$7,FALSE),FALSE),0)+_xlfn.IFNA(VLOOKUP(SUMPRODUCT(LARGE(($C$8:$C30=Table1[[#This Row],[Climber]])*$A$8:$A30,6)),$A$8:$AW30,MATCH($AW$7,$A$7:$AW$7,FALSE),FALSE),0))/3</f>
        <v>161.77015525748936</v>
      </c>
      <c r="BA30" s="6">
        <f ca="1">_xlfn.MAXIFS(INDIRECT("$AW"&amp;IF(SUMPRODUCT(LARGE(($C$8:$C30=$C30)*$A$8:$A30,LEFT($BA$7,FIND(" ",$BA$7)-1)))=0,8,SUMPRODUCT(LARGE(($C$8:$C30=$C30)*$A$8:$A30,LEFT($BA$7,FIND(" ",$BA$7)-1)))+7)&amp;":$AW"&amp;ROW()),INDIRECT("$C"&amp;IF(SUMPRODUCT(LARGE(($C$8:$C30=$C30)*$A$8:$A30,LEFT($BA$7,FIND(" ",$BA$7)-1)))=0,8,SUMPRODUCT(LARGE(($C$8:$C30=$C30)*$A$8:$A30,LEFT($BA$7,FIND(" ",$BA$7)-1)))+7)&amp;":$C"&amp;ROW()),$C30)</f>
        <v>277.15636946438019</v>
      </c>
      <c r="BB30" s="6" t="str">
        <f ca="1">VLOOKUP(MAX(BG30,$AX30),'RC Lookup'!$G$14:$J$20,2,TRUE)</f>
        <v>T5</v>
      </c>
      <c r="BC30" s="6">
        <f ca="1">_xlfn.IFNA(VLOOKUP(VLOOKUP($C30,'RC Lookup'!$O$3:$P$50,2,FALSE),'RC Lookup'!$H$14:$J$23,2,FALSE),0)*AW30</f>
        <v>83.870925341745533</v>
      </c>
      <c r="BD30" s="6">
        <f ca="1">_xlfn.IFNA(VLOOKUP(SUMPRODUCT(LARGE(($C$8:$C30=Table1[[#This Row],[Climber]])*$A$8:$A30,1)),$A$8:$BC30,55,FALSE),0)/LEFT($AX$7,FIND(" ",$AX$7))+_xlfn.IFNA(VLOOKUP(SUMPRODUCT(LARGE(($C$8:$C30=Table1[[#This Row],[Climber]])*$A$8:$A30,MIN(2,COUNTIFS($C$8:$C30,$C30)))),$A$8:$BC30,55,FALSE),0)/LEFT($AX$7,FIND(" ",$AX$7))+_xlfn.IFNA(VLOOKUP(SUMPRODUCT(LARGE(($C$8:$C30=Table1[[#This Row],[Climber]])*$A$8:$A30,MIN(3,COUNTIFS($C$8:$C30,$C30)))),$A$8:$BC30,55,FALSE),0)/LEFT($AX$7,FIND(" ",$AX$7))</f>
        <v>72.612819838766214</v>
      </c>
      <c r="BE30" s="6">
        <f ca="1">(_xlfn.IFNA(VLOOKUP(SUMPRODUCT(LARGE(($C$8:$C30=Table1[[#This Row],[Climber]])*$A$8:$A30,4)),$A$8:$BD30,55,FALSE),0)+_xlfn.IFNA(VLOOKUP(SUMPRODUCT(LARGE(($C$8:$C30=Table1[[#This Row],[Climber]])*$A$8:$A30,5)),$A$8:$BD30,55,FALSE),0)+_xlfn.IFNA(VLOOKUP(SUMPRODUCT(LARGE(($C$8:$C30=Table1[[#This Row],[Climber]])*$A$8:$A30,6)),$A$8:$BD30,55,FALSE),0))/3</f>
        <v>48.953638122566019</v>
      </c>
      <c r="BF30" s="46">
        <f ca="1">_xlfn.MAXIFS(INDIRECT("$BC"&amp;IF(SUMPRODUCT(LARGE(($C$8:$C30=$C30)*$A$8:$A30,LEFT($BA$7,FIND(" ",$BA$7)-1)))=0,8,SUMPRODUCT(LARGE(($C$8:$C30=$C30)*$A$8:$A30,LEFT($BA$7,FIND(" ",$BA$7)-1)))+7)&amp;":$BC"&amp;ROW()),INDIRECT("$C"&amp;IF(SUMPRODUCT(LARGE(($C$8:$C30=$C30)*$A$8:$A30,LEFT($BA$7,FIND(" ",$BA$7)-1)))=0,8,SUMPRODUCT(LARGE(($C$8:$C30=$C30)*$A$8:$A30,LEFT($BA$7,FIND(" ",$BA$7)-1)))+7)&amp;":$C"&amp;ROW()),$C30)</f>
        <v>83.870925341745533</v>
      </c>
      <c r="BG30" s="46">
        <f t="array" aca="1" ref="BG30" ca="1">IFERROR(SUMPRODUCT(LARGE(($C$8:$C30=Table1[[#This Row],[Climber]])*$AW$8:$AW30,ROW(INDIRECT("1:5")))),AW30)/MIN(COUNTIFS($C$8:$C30,C30),5)</f>
        <v>209.60223704663287</v>
      </c>
      <c r="BH30" s="46"/>
    </row>
    <row r="31" spans="1:61" x14ac:dyDescent="0.3">
      <c r="A31" s="125">
        <f t="shared" si="1"/>
        <v>24</v>
      </c>
      <c r="B31" s="25">
        <f>'Rock Climbing Log'!B31</f>
        <v>43128</v>
      </c>
      <c r="C31" s="126" t="str">
        <f>'Rock Climbing Log'!C31</f>
        <v>Jan</v>
      </c>
      <c r="D31" s="26">
        <f>_xlfn.IFNA(IF(LEFT('Rock Climbing Log'!D31)="C",_xlfn.IFNA(VLOOKUP('Rock Climbing Log'!D31,'RC Lookup'!$A$3:$B$9,2,FALSE),0.5),VLOOKUP('Rock Climbing Log'!D31,'RC Lookup'!$G$3:$H$5,2,FALSE)),0)*VLOOKUP(D$7,'RC Lookup'!$D$3:$E$18,2,FALSE)</f>
        <v>0</v>
      </c>
      <c r="E31" s="26">
        <f>_xlfn.IFNA(IF(LEFT('Rock Climbing Log'!E31)="C",_xlfn.IFNA(VLOOKUP('Rock Climbing Log'!E31,'RC Lookup'!$A$3:$B$9,2,FALSE),0.5),VLOOKUP('Rock Climbing Log'!E31,'RC Lookup'!$G$3:$H$5,2,FALSE)),0)*VLOOKUP(D$7,'RC Lookup'!$D$3:$E$18,2,FALSE)</f>
        <v>0</v>
      </c>
      <c r="F31" s="26">
        <f>_xlfn.IFNA(IF(LEFT('Rock Climbing Log'!F31)="C",_xlfn.IFNA(VLOOKUP('Rock Climbing Log'!F31,'RC Lookup'!$A$3:$B$9,2,FALSE),0.5),VLOOKUP('Rock Climbing Log'!F31,'RC Lookup'!$G$3:$H$5,2,FALSE)),0)*VLOOKUP(D$7,'RC Lookup'!$D$3:$E$18,2,FALSE)</f>
        <v>0</v>
      </c>
      <c r="G31" s="26">
        <f>_xlfn.IFNA(IF(LEFT('Rock Climbing Log'!G31)="C",_xlfn.IFNA(VLOOKUP('Rock Climbing Log'!G31,'RC Lookup'!$A$3:$B$9,2,FALSE),0.5),VLOOKUP('Rock Climbing Log'!G31,'RC Lookup'!$G$3:$H$5,2,FALSE)),0)*VLOOKUP(G$7,'RC Lookup'!$D$3:$E$18,2,FALSE)</f>
        <v>0</v>
      </c>
      <c r="H31" s="26">
        <f>_xlfn.IFNA(IF(LEFT('Rock Climbing Log'!H31)="C",_xlfn.IFNA(VLOOKUP('Rock Climbing Log'!H31,'RC Lookup'!$A$3:$B$9,2,FALSE),0.5),VLOOKUP('Rock Climbing Log'!H31,'RC Lookup'!$G$3:$H$5,2,FALSE)),0)*VLOOKUP(G$7,'RC Lookup'!$D$3:$E$18,2,FALSE)</f>
        <v>0</v>
      </c>
      <c r="I31" s="26">
        <f>_xlfn.IFNA(IF(LEFT('Rock Climbing Log'!I31)="C",_xlfn.IFNA(VLOOKUP('Rock Climbing Log'!I31,'RC Lookup'!$A$3:$B$9,2,FALSE),0.5),VLOOKUP('Rock Climbing Log'!I31,'RC Lookup'!$G$3:$H$5,2,FALSE)),0)*VLOOKUP(G$7,'RC Lookup'!$D$3:$E$18,2,FALSE)</f>
        <v>0</v>
      </c>
      <c r="J31" s="26">
        <f>_xlfn.IFNA(IF(LEFT('Rock Climbing Log'!J31)="C",_xlfn.IFNA(VLOOKUP('Rock Climbing Log'!J31,'RC Lookup'!$A$3:$B$9,2,FALSE),0.5),VLOOKUP('Rock Climbing Log'!J31,'RC Lookup'!$G$3:$H$5,2,FALSE)),0)*VLOOKUP(J$7,'RC Lookup'!$D$3:$E$18,2,FALSE)</f>
        <v>15.75</v>
      </c>
      <c r="K31" s="26">
        <f>_xlfn.IFNA(IF(LEFT('Rock Climbing Log'!K31)="C",_xlfn.IFNA(VLOOKUP('Rock Climbing Log'!K31,'RC Lookup'!$A$3:$B$9,2,FALSE),0.5),VLOOKUP('Rock Climbing Log'!K31,'RC Lookup'!$G$3:$H$5,2,FALSE)),0)*VLOOKUP(J$7,'RC Lookup'!$D$3:$E$18,2,FALSE)</f>
        <v>15.75</v>
      </c>
      <c r="L31" s="26">
        <f>_xlfn.IFNA(IF(LEFT('Rock Climbing Log'!L31)="C",_xlfn.IFNA(VLOOKUP('Rock Climbing Log'!L31,'RC Lookup'!$A$3:$B$9,2,FALSE),0.5),VLOOKUP('Rock Climbing Log'!L31,'RC Lookup'!$G$3:$H$5,2,FALSE)),0)*VLOOKUP(J$7,'RC Lookup'!$D$3:$E$18,2,FALSE)</f>
        <v>0</v>
      </c>
      <c r="M31" s="26">
        <f>_xlfn.IFNA(IF(LEFT('Rock Climbing Log'!M31)="C",_xlfn.IFNA(VLOOKUP('Rock Climbing Log'!M31,'RC Lookup'!$A$3:$B$9,2,FALSE),0.5),VLOOKUP('Rock Climbing Log'!M31,'RC Lookup'!$G$3:$H$5,2,FALSE)),0)*VLOOKUP(M$7,'RC Lookup'!$D$3:$E$18,2,FALSE)</f>
        <v>20.002500000000001</v>
      </c>
      <c r="N31" s="26">
        <f>_xlfn.IFNA(IF(LEFT('Rock Climbing Log'!N31)="C",_xlfn.IFNA(VLOOKUP('Rock Climbing Log'!N31,'RC Lookup'!$A$3:$B$9,2,FALSE),0.5),VLOOKUP('Rock Climbing Log'!N31,'RC Lookup'!$G$3:$H$5,2,FALSE)),0)*VLOOKUP(M$7,'RC Lookup'!$D$3:$E$18,2,FALSE)</f>
        <v>10.001250000000001</v>
      </c>
      <c r="O31" s="26">
        <f>_xlfn.IFNA(IF(LEFT('Rock Climbing Log'!O31)="C",_xlfn.IFNA(VLOOKUP('Rock Climbing Log'!O31,'RC Lookup'!$A$3:$B$9,2,FALSE),0.5),VLOOKUP('Rock Climbing Log'!O31,'RC Lookup'!$G$3:$H$5,2,FALSE)),0)*VLOOKUP(M$7,'RC Lookup'!$D$3:$E$18,2,FALSE)</f>
        <v>20.002500000000001</v>
      </c>
      <c r="P31" s="26">
        <f>_xlfn.IFNA(IF(LEFT('Rock Climbing Log'!P31)="C",_xlfn.IFNA(VLOOKUP('Rock Climbing Log'!P31,'RC Lookup'!$A$3:$B$9,2,FALSE),0.5),VLOOKUP('Rock Climbing Log'!P31,'RC Lookup'!$G$3:$H$5,2,FALSE)),0)*VLOOKUP(P$7,'RC Lookup'!$D$3:$E$18,2,FALSE)</f>
        <v>0</v>
      </c>
      <c r="Q31" s="26">
        <f>_xlfn.IFNA(IF(LEFT('Rock Climbing Log'!Q31)="C",_xlfn.IFNA(VLOOKUP('Rock Climbing Log'!Q31,'RC Lookup'!$A$3:$B$9,2,FALSE),0.5),VLOOKUP('Rock Climbing Log'!Q31,'RC Lookup'!$G$3:$H$5,2,FALSE)),0)*VLOOKUP(P$7,'RC Lookup'!$D$3:$E$18,2,FALSE)</f>
        <v>0</v>
      </c>
      <c r="R31" s="26">
        <f>_xlfn.IFNA(IF(LEFT('Rock Climbing Log'!R31)="C",_xlfn.IFNA(VLOOKUP('Rock Climbing Log'!R31,'RC Lookup'!$A$3:$B$9,2,FALSE),0.5),VLOOKUP('Rock Climbing Log'!R31,'RC Lookup'!$G$3:$H$5,2,FALSE)),0)*VLOOKUP(P$7,'RC Lookup'!$D$3:$E$18,2,FALSE)</f>
        <v>0</v>
      </c>
      <c r="S31" s="26">
        <f>_xlfn.IFNA(IF(LEFT('Rock Climbing Log'!S31)="C",_xlfn.IFNA(VLOOKUP('Rock Climbing Log'!S31,'RC Lookup'!$A$3:$B$9,2,FALSE),0.5),VLOOKUP('Rock Climbing Log'!S31,'RC Lookup'!$G$3:$H$5,2,FALSE)),0)*VLOOKUP(S$7,'RC Lookup'!$D$3:$E$18,2,FALSE)</f>
        <v>0</v>
      </c>
      <c r="T31" s="26">
        <f>_xlfn.IFNA(IF(LEFT('Rock Climbing Log'!T31)="C",_xlfn.IFNA(VLOOKUP('Rock Climbing Log'!T31,'RC Lookup'!$A$3:$B$9,2,FALSE),0.5),VLOOKUP('Rock Climbing Log'!T31,'RC Lookup'!$G$3:$H$5,2,FALSE)),0)*VLOOKUP(S$7,'RC Lookup'!$D$3:$E$18,2,FALSE)</f>
        <v>0</v>
      </c>
      <c r="U31" s="26">
        <f>_xlfn.IFNA(IF(LEFT('Rock Climbing Log'!U31)="C",_xlfn.IFNA(VLOOKUP('Rock Climbing Log'!U31,'RC Lookup'!$A$3:$B$9,2,FALSE),0.5),VLOOKUP('Rock Climbing Log'!U31,'RC Lookup'!$G$3:$H$5,2,FALSE)),0)*VLOOKUP(S$7,'RC Lookup'!$D$3:$E$18,2,FALSE)</f>
        <v>0</v>
      </c>
      <c r="V31" s="26">
        <f>_xlfn.IFNA(IF(LEFT('Rock Climbing Log'!V31)="C",_xlfn.IFNA(VLOOKUP('Rock Climbing Log'!V31,'RC Lookup'!$A$3:$B$9,2,FALSE),0.5),VLOOKUP('Rock Climbing Log'!V31,'RC Lookup'!$G$3:$H$5,2,FALSE)),0)*VLOOKUP(V$7,'RC Lookup'!$D$3:$E$18,2,FALSE)</f>
        <v>0</v>
      </c>
      <c r="W31" s="26">
        <f>_xlfn.IFNA(IF(LEFT('Rock Climbing Log'!W31)="C",_xlfn.IFNA(VLOOKUP('Rock Climbing Log'!W31,'RC Lookup'!$A$3:$B$9,2,FALSE),0.5),VLOOKUP('Rock Climbing Log'!W31,'RC Lookup'!$G$3:$H$5,2,FALSE)),0)*VLOOKUP(V$7,'RC Lookup'!$D$3:$E$18,2,FALSE)</f>
        <v>0</v>
      </c>
      <c r="X31" s="26">
        <f>_xlfn.IFNA(IF(LEFT('Rock Climbing Log'!X31)="C",_xlfn.IFNA(VLOOKUP('Rock Climbing Log'!X31,'RC Lookup'!$A$3:$B$9,2,FALSE),0.5),VLOOKUP('Rock Climbing Log'!X31,'RC Lookup'!$G$3:$H$5,2,FALSE)),0)*VLOOKUP(V$7,'RC Lookup'!$D$3:$E$18,2,FALSE)</f>
        <v>0</v>
      </c>
      <c r="Y31" s="26">
        <f>_xlfn.IFNA(IF(LEFT('Rock Climbing Log'!Y31)="C",_xlfn.IFNA(VLOOKUP('Rock Climbing Log'!Y31,'RC Lookup'!$A$3:$B$9,2,FALSE),0.5),VLOOKUP('Rock Climbing Log'!Y31,'RC Lookup'!$G$3:$H$5,2,FALSE)),0)*VLOOKUP(Y$7,'RC Lookup'!$D$3:$E$18,2,FALSE)</f>
        <v>0</v>
      </c>
      <c r="Z31" s="26">
        <f>_xlfn.IFNA(IF(LEFT('Rock Climbing Log'!Z31)="C",_xlfn.IFNA(VLOOKUP('Rock Climbing Log'!Z31,'RC Lookup'!$A$3:$B$9,2,FALSE),0.5),VLOOKUP('Rock Climbing Log'!Z31,'RC Lookup'!$G$3:$H$5,2,FALSE)),0)*VLOOKUP(Y$7,'RC Lookup'!$D$3:$E$18,2,FALSE)</f>
        <v>0</v>
      </c>
      <c r="AA31" s="26">
        <f>_xlfn.IFNA(IF(LEFT('Rock Climbing Log'!AA31)="C",_xlfn.IFNA(VLOOKUP('Rock Climbing Log'!AA31,'RC Lookup'!$A$3:$B$9,2,FALSE),0.5),VLOOKUP('Rock Climbing Log'!AA31,'RC Lookup'!$G$3:$H$5,2,FALSE)),0)*VLOOKUP(Y$7,'RC Lookup'!$D$3:$E$18,2,FALSE)</f>
        <v>0</v>
      </c>
      <c r="AB31" s="26">
        <f>_xlfn.IFNA(IF(LEFT('Rock Climbing Log'!AB31)="C",_xlfn.IFNA(VLOOKUP('Rock Climbing Log'!AB31,'RC Lookup'!$A$3:$B$9,2,FALSE),0.5),VLOOKUP('Rock Climbing Log'!AB31,'RC Lookup'!$G$3:$H$5,2,FALSE)),0)*VLOOKUP(AB$7,'RC Lookup'!$D$3:$E$18,2,FALSE)</f>
        <v>0</v>
      </c>
      <c r="AC31" s="26">
        <f>_xlfn.IFNA(IF(LEFT('Rock Climbing Log'!AC31)="C",_xlfn.IFNA(VLOOKUP('Rock Climbing Log'!AC31,'RC Lookup'!$A$3:$B$9,2,FALSE),0.5),VLOOKUP('Rock Climbing Log'!AC31,'RC Lookup'!$G$3:$H$5,2,FALSE)),0)*VLOOKUP(AB$7,'RC Lookup'!$D$3:$E$18,2,FALSE)</f>
        <v>0</v>
      </c>
      <c r="AD31" s="26">
        <f>_xlfn.IFNA(IF(LEFT('Rock Climbing Log'!AD31)="C",_xlfn.IFNA(VLOOKUP('Rock Climbing Log'!AD31,'RC Lookup'!$A$3:$B$9,2,FALSE),0.5),VLOOKUP('Rock Climbing Log'!AD31,'RC Lookup'!$G$3:$H$5,2,FALSE)),0)*VLOOKUP(AB$7,'RC Lookup'!$D$3:$E$18,2,FALSE)</f>
        <v>0</v>
      </c>
      <c r="AE31" s="26">
        <f>_xlfn.IFNA(IF(LEFT('Rock Climbing Log'!AE31)="C",_xlfn.IFNA(VLOOKUP('Rock Climbing Log'!AE31,'RC Lookup'!$A$3:$B$9,2,FALSE),0.5),VLOOKUP('Rock Climbing Log'!AE31,'RC Lookup'!$G$3:$H$5,2,FALSE)),0)*VLOOKUP(AE$7,'RC Lookup'!$D$3:$E$18,2,FALSE)</f>
        <v>0</v>
      </c>
      <c r="AF31" s="26">
        <f>_xlfn.IFNA(IF(LEFT('Rock Climbing Log'!AF31)="C",_xlfn.IFNA(VLOOKUP('Rock Climbing Log'!AF31,'RC Lookup'!$A$3:$B$9,2,FALSE),0.5),VLOOKUP('Rock Climbing Log'!AF31,'RC Lookup'!$G$3:$H$5,2,FALSE)),0)*VLOOKUP(AE$7,'RC Lookup'!$D$3:$E$18,2,FALSE)</f>
        <v>0</v>
      </c>
      <c r="AG31" s="26">
        <f>_xlfn.IFNA(IF(LEFT('Rock Climbing Log'!AG31)="C",_xlfn.IFNA(VLOOKUP('Rock Climbing Log'!AG31,'RC Lookup'!$A$3:$B$9,2,FALSE),0.5),VLOOKUP('Rock Climbing Log'!AG31,'RC Lookup'!$G$3:$H$5,2,FALSE)),0)*VLOOKUP(AE$7,'RC Lookup'!$D$3:$E$18,2,FALSE)</f>
        <v>0</v>
      </c>
      <c r="AH31" s="26">
        <f>_xlfn.IFNA(IF(LEFT('Rock Climbing Log'!AH31)="C",_xlfn.IFNA(VLOOKUP('Rock Climbing Log'!AH31,'RC Lookup'!$A$3:$B$9,2,FALSE),0.5),VLOOKUP('Rock Climbing Log'!AH31,'RC Lookup'!$G$3:$H$5,2,FALSE)),0)*VLOOKUP(AH$7,'RC Lookup'!$D$3:$E$18,2,FALSE)</f>
        <v>0</v>
      </c>
      <c r="AI31" s="26">
        <f>_xlfn.IFNA(IF(LEFT('Rock Climbing Log'!AI31)="C",_xlfn.IFNA(VLOOKUP('Rock Climbing Log'!AI31,'RC Lookup'!$A$3:$B$9,2,FALSE),0.5),VLOOKUP('Rock Climbing Log'!AI31,'RC Lookup'!$G$3:$H$5,2,FALSE)),0)*VLOOKUP(AH$7,'RC Lookup'!$D$3:$E$18,2,FALSE)</f>
        <v>0</v>
      </c>
      <c r="AJ31" s="26">
        <f>_xlfn.IFNA(IF(LEFT('Rock Climbing Log'!AJ31)="C",_xlfn.IFNA(VLOOKUP('Rock Climbing Log'!AJ31,'RC Lookup'!$A$3:$B$9,2,FALSE),0.5),VLOOKUP('Rock Climbing Log'!AJ31,'RC Lookup'!$G$3:$H$5,2,FALSE)),0)*VLOOKUP(AH$7,'RC Lookup'!$D$3:$E$18,2,FALSE)</f>
        <v>0</v>
      </c>
      <c r="AK31" s="26">
        <f>_xlfn.IFNA(IF(LEFT('Rock Climbing Log'!AK31)="C",_xlfn.IFNA(VLOOKUP('Rock Climbing Log'!AK31,'RC Lookup'!$A$3:$B$9,2,FALSE),0.5),VLOOKUP('Rock Climbing Log'!AK31,'RC Lookup'!$G$3:$H$5,2,FALSE)),0)*VLOOKUP(AK$7,'RC Lookup'!$D$3:$E$18,2,FALSE)</f>
        <v>0</v>
      </c>
      <c r="AL31" s="26">
        <f>_xlfn.IFNA(IF(LEFT('Rock Climbing Log'!AL31)="C",_xlfn.IFNA(VLOOKUP('Rock Climbing Log'!AL31,'RC Lookup'!$A$3:$B$9,2,FALSE),0.5),VLOOKUP('Rock Climbing Log'!AL31,'RC Lookup'!$G$3:$H$5,2,FALSE)),0)*VLOOKUP(AK$7,'RC Lookup'!$D$3:$E$18,2,FALSE)</f>
        <v>0</v>
      </c>
      <c r="AM31" s="26">
        <f>_xlfn.IFNA(IF(LEFT('Rock Climbing Log'!AM31)="C",_xlfn.IFNA(VLOOKUP('Rock Climbing Log'!AM31,'RC Lookup'!$A$3:$B$9,2,FALSE),0.5),VLOOKUP('Rock Climbing Log'!AM31,'RC Lookup'!$G$3:$H$5,2,FALSE)),0)*VLOOKUP(AK$7,'RC Lookup'!$D$3:$E$18,2,FALSE)</f>
        <v>0</v>
      </c>
      <c r="AN31" s="26">
        <f>_xlfn.IFNA(IF(LEFT('Rock Climbing Log'!AN31)="C",_xlfn.IFNA(VLOOKUP('Rock Climbing Log'!AN31,'RC Lookup'!$A$3:$B$9,2,FALSE),0.5),VLOOKUP('Rock Climbing Log'!AN31,'RC Lookup'!$G$3:$H$5,2,FALSE)),0)*VLOOKUP(AN$7,'RC Lookup'!$D$3:$E$18,2,FALSE)</f>
        <v>0</v>
      </c>
      <c r="AO31" s="26">
        <f>_xlfn.IFNA(IF(LEFT('Rock Climbing Log'!AO31)="C",_xlfn.IFNA(VLOOKUP('Rock Climbing Log'!AO31,'RC Lookup'!$A$3:$B$9,2,FALSE),0.5),VLOOKUP('Rock Climbing Log'!AO31,'RC Lookup'!$G$3:$H$5,2,FALSE)),0)*VLOOKUP(AN$7,'RC Lookup'!$D$3:$E$18,2,FALSE)</f>
        <v>0</v>
      </c>
      <c r="AP31" s="26">
        <f>_xlfn.IFNA(IF(LEFT('Rock Climbing Log'!AP31)="C",_xlfn.IFNA(VLOOKUP('Rock Climbing Log'!AP31,'RC Lookup'!$A$3:$B$9,2,FALSE),0.5),VLOOKUP('Rock Climbing Log'!AP31,'RC Lookup'!$G$3:$H$5,2,FALSE)),0)*VLOOKUP(AN$7,'RC Lookup'!$D$3:$E$18,2,FALSE)</f>
        <v>0</v>
      </c>
      <c r="AQ31" s="26">
        <f>_xlfn.IFNA(IF(LEFT('Rock Climbing Log'!AQ31)="C",_xlfn.IFNA(VLOOKUP('Rock Climbing Log'!AQ31,'RC Lookup'!$A$3:$B$9,2,FALSE),0.5),VLOOKUP('Rock Climbing Log'!AQ31,'RC Lookup'!$G$3:$H$5,2,FALSE)),0)*VLOOKUP(AQ$7,'RC Lookup'!$D$3:$E$18,2,FALSE)</f>
        <v>0</v>
      </c>
      <c r="AR31" s="26">
        <f>_xlfn.IFNA(IF(LEFT('Rock Climbing Log'!AR31)="C",_xlfn.IFNA(VLOOKUP('Rock Climbing Log'!AR31,'RC Lookup'!$A$3:$B$9,2,FALSE),0.5),VLOOKUP('Rock Climbing Log'!AR31,'RC Lookup'!$G$3:$H$5,2,FALSE)),0)*VLOOKUP(AQ$7,'RC Lookup'!$D$3:$E$18,2,FALSE)</f>
        <v>0</v>
      </c>
      <c r="AS31" s="26">
        <f>_xlfn.IFNA(IF(LEFT('Rock Climbing Log'!AS31)="C",_xlfn.IFNA(VLOOKUP('Rock Climbing Log'!AS31,'RC Lookup'!$A$3:$B$9,2,FALSE),0.5),VLOOKUP('Rock Climbing Log'!AS31,'RC Lookup'!$G$3:$H$5,2,FALSE)),0)*VLOOKUP(AQ$7,'RC Lookup'!$D$3:$E$18,2,FALSE)</f>
        <v>0</v>
      </c>
      <c r="AT31" s="26">
        <f>_xlfn.IFNA(IF(LEFT('Rock Climbing Log'!AT31)="C",_xlfn.IFNA(VLOOKUP('Rock Climbing Log'!AT31,'RC Lookup'!$A$3:$B$9,2,FALSE),0.5),VLOOKUP('Rock Climbing Log'!AT31,'RC Lookup'!$G$3:$H$5,2,FALSE)),0)*VLOOKUP(AT$7,'RC Lookup'!$D$3:$E$18,2,FALSE)</f>
        <v>0</v>
      </c>
      <c r="AU31" s="26">
        <f>_xlfn.IFNA(IF(LEFT('Rock Climbing Log'!AU31)="C",_xlfn.IFNA(VLOOKUP('Rock Climbing Log'!AU31,'RC Lookup'!$A$3:$B$9,2,FALSE),0.5),VLOOKUP('Rock Climbing Log'!AU31,'RC Lookup'!$G$3:$H$5,2,FALSE)),0)*VLOOKUP(AT$7,'RC Lookup'!$D$3:$E$18,2,FALSE)</f>
        <v>0</v>
      </c>
      <c r="AV31" s="26">
        <f>_xlfn.IFNA(IF(LEFT('Rock Climbing Log'!AV31)="C",_xlfn.IFNA(VLOOKUP('Rock Climbing Log'!AV31,'RC Lookup'!$A$3:$B$9,2,FALSE),0.5),VLOOKUP('Rock Climbing Log'!AV31,'RC Lookup'!$G$3:$H$5,2,FALSE)),0)*VLOOKUP(AT$7,'RC Lookup'!$D$3:$E$18,2,FALSE)</f>
        <v>0</v>
      </c>
      <c r="AW31" s="30">
        <f t="shared" ca="1" si="0"/>
        <v>55.755000000000003</v>
      </c>
      <c r="AX31" s="30">
        <f ca="1">_xlfn.IFNA(VLOOKUP(SUMPRODUCT(LARGE(($C$8:$C31=Table1[[#This Row],[Climber]])*$A$8:$A31,1)),$A$8:$AW31,MATCH($AW$7,$A$7:$AW$7,FALSE),FALSE),0)/LEFT($AX$7,FIND(" ",$AX$7))+_xlfn.IFNA(VLOOKUP(SUMPRODUCT(LARGE(($C$8:$C31=Table1[[#This Row],[Climber]])*$A$8:$A31,MIN(2,COUNTIFS($C$8:$C31,$C31)))),$A$8:$AW31,MATCH($AW$7,$A$7:$AW$7,FALSE),FALSE),0)/LEFT($AX$7,FIND(" ",$AX$7))+_xlfn.IFNA(VLOOKUP(SUMPRODUCT(LARGE(($C$8:$C31=Table1[[#This Row],[Climber]])*$A$8:$A31,MIN(3,COUNTIFS($C$8:$C31,$C31)))),$A$8:$AW31,MATCH($AW$7,$A$7:$AW$7,FALSE),FALSE),0)/LEFT($AX$7,FIND(" ",$AX$7))</f>
        <v>49.273488017114673</v>
      </c>
      <c r="AY31" s="30">
        <f ca="1">_xlfn.IFNA(VLOOKUP(SUMPRODUCT(LARGE(($C$8:$C31=Table1[[#This Row],[Climber]])*$A$8:$A31,1)),$A$8:$AW31,MATCH($AW$7,$A$7:$AW$7,FALSE),FALSE),0)/LEFT($AY$7,FIND(" ",$AY$7))+_xlfn.IFNA(VLOOKUP(SUMPRODUCT(LARGE(($C$8:$C31=Table1[[#This Row],[Climber]])*$A$8:$A31,MIN(2,COUNTIFS($C$8:$C31,$C31)))),$A$8:$AW31,MATCH($AW$7,$A$7:$AW$7,FALSE),FALSE),0)/LEFT($AY$7,FIND(" ",$AY$7))+_xlfn.IFNA(VLOOKUP(SUMPRODUCT(LARGE(($C$8:$C31=Table1[[#This Row],[Climber]])*$A$8:$A31,MIN(3,COUNTIFS($C$8:$C31,$C31)))),$A$8:$AW31,MATCH($AW$7,$A$7:$AW$7,FALSE),FALSE),0)/LEFT($AY$7,FIND(" ",$AY$7))+_xlfn.IFNA(VLOOKUP(SUMPRODUCT(LARGE(($C$8:$C31=Table1[[#This Row],[Climber]])*$A$8:$A31,MIN(4,COUNTIFS($C$8:$C31,$C31)))),$A$8:$AW31,MATCH($AW$7,$A$7:$AW$7,FALSE),FALSE),0)/LEFT($AY$7,FIND(" ",$AY$7))+_xlfn.IFNA(VLOOKUP(SUMPRODUCT(LARGE(($C$8:$C31=Table1[[#This Row],[Climber]])*$A$8:$A31,MIN(5,COUNTIFS($C$8:$C31,$C31)))),$A$8:$AW31,MATCH($AW$7,$A$7:$AW$7,FALSE),FALSE),0)/LEFT($AY$7,FIND(" ",$AY$7))</f>
        <v>44.707982384508803</v>
      </c>
      <c r="AZ31" s="30">
        <f ca="1">(_xlfn.IFNA(VLOOKUP(SUMPRODUCT(LARGE(($C$8:$C31=Table1[[#This Row],[Climber]])*$A$8:$A31,4)),$A$8:$AW31,MATCH($AW$7,$A$7:$AW$7,FALSE),FALSE),0)+_xlfn.IFNA(VLOOKUP(SUMPRODUCT(LARGE(($C$8:$C31=Table1[[#This Row],[Climber]])*$A$8:$A31,5)),$A$8:$AW31,MATCH($AW$7,$A$7:$AW$7,FALSE),FALSE),0)+_xlfn.IFNA(VLOOKUP(SUMPRODUCT(LARGE(($C$8:$C31=Table1[[#This Row],[Climber]])*$A$8:$A31,6)),$A$8:$AW31,MATCH($AW$7,$A$7:$AW$7,FALSE),FALSE),0))/3</f>
        <v>25.239815957066668</v>
      </c>
      <c r="BA31" s="6">
        <f ca="1">_xlfn.MAXIFS(INDIRECT("$AW"&amp;IF(SUMPRODUCT(LARGE(($C$8:$C31=$C31)*$A$8:$A31,LEFT($BA$7,FIND(" ",$BA$7)-1)))=0,8,SUMPRODUCT(LARGE(($C$8:$C31=$C31)*$A$8:$A31,LEFT($BA$7,FIND(" ",$BA$7)-1)))+7)&amp;":$AW"&amp;ROW()),INDIRECT("$C"&amp;IF(SUMPRODUCT(LARGE(($C$8:$C31=$C31)*$A$8:$A31,LEFT($BA$7,FIND(" ",$BA$7)-1)))=0,8,SUMPRODUCT(LARGE(($C$8:$C31=$C31)*$A$8:$A31,LEFT($BA$7,FIND(" ",$BA$7)-1)))+7)&amp;":$C"&amp;ROW()),$C31)</f>
        <v>56.807964051344015</v>
      </c>
      <c r="BB31" s="6" t="str">
        <f ca="1">VLOOKUP(MAX(BG31,$AX31),'RC Lookup'!$G$14:$J$20,2,TRUE)</f>
        <v>T1</v>
      </c>
      <c r="BC31" s="6">
        <f ca="1">_xlfn.IFNA(VLOOKUP(VLOOKUP($C31,'RC Lookup'!$O$3:$P$50,2,FALSE),'RC Lookup'!$H$14:$J$23,2,FALSE),0)*AW31</f>
        <v>42.786782940620824</v>
      </c>
      <c r="BD31" s="6">
        <f ca="1">_xlfn.IFNA(VLOOKUP(SUMPRODUCT(LARGE(($C$8:$C31=Table1[[#This Row],[Climber]])*$A$8:$A31,1)),$A$8:$BC31,55,FALSE),0)/LEFT($AX$7,FIND(" ",$AX$7))+_xlfn.IFNA(VLOOKUP(SUMPRODUCT(LARGE(($C$8:$C31=Table1[[#This Row],[Climber]])*$A$8:$A31,MIN(2,COUNTIFS($C$8:$C31,$C31)))),$A$8:$BC31,55,FALSE),0)/LEFT($AX$7,FIND(" ",$AX$7))+_xlfn.IFNA(VLOOKUP(SUMPRODUCT(LARGE(($C$8:$C31=Table1[[#This Row],[Climber]])*$A$8:$A31,MIN(3,COUNTIFS($C$8:$C31,$C31)))),$A$8:$BC31,55,FALSE),0)/LEFT($AX$7,FIND(" ",$AX$7))</f>
        <v>37.812824616905509</v>
      </c>
      <c r="BE31" s="6">
        <f ca="1">(_xlfn.IFNA(VLOOKUP(SUMPRODUCT(LARGE(($C$8:$C31=Table1[[#This Row],[Climber]])*$A$8:$A31,4)),$A$8:$BD31,55,FALSE),0)+_xlfn.IFNA(VLOOKUP(SUMPRODUCT(LARGE(($C$8:$C31=Table1[[#This Row],[Climber]])*$A$8:$A31,5)),$A$8:$BD31,55,FALSE),0)+_xlfn.IFNA(VLOOKUP(SUMPRODUCT(LARGE(($C$8:$C31=Table1[[#This Row],[Climber]])*$A$8:$A31,6)),$A$8:$BD31,55,FALSE),0))/3</f>
        <v>19.369214004416275</v>
      </c>
      <c r="BF31" s="46">
        <f ca="1">_xlfn.MAXIFS(INDIRECT("$BC"&amp;IF(SUMPRODUCT(LARGE(($C$8:$C31=$C31)*$A$8:$A31,LEFT($BA$7,FIND(" ",$BA$7)-1)))=0,8,SUMPRODUCT(LARGE(($C$8:$C31=$C31)*$A$8:$A31,LEFT($BA$7,FIND(" ",$BA$7)-1)))+7)&amp;":$BC"&amp;ROW()),INDIRECT("$C"&amp;IF(SUMPRODUCT(LARGE(($C$8:$C31=$C31)*$A$8:$A31,LEFT($BA$7,FIND(" ",$BA$7)-1)))=0,8,SUMPRODUCT(LARGE(($C$8:$C31=$C31)*$A$8:$A31,LEFT($BA$7,FIND(" ",$BA$7)-1)))+7)&amp;":$C"&amp;ROW()),$C31)</f>
        <v>43.594835031180111</v>
      </c>
      <c r="BG31" s="46">
        <f t="array" aca="1" ref="BG31" ca="1">IFERROR(SUMPRODUCT(LARGE(($C$8:$C31=Table1[[#This Row],[Climber]])*$AW$8:$AW31,ROW(INDIRECT("1:5")))),AW31)/MIN(COUNTIFS($C$8:$C31,C31),5)</f>
        <v>44.707982384508803</v>
      </c>
      <c r="BH31" s="46"/>
      <c r="BI31" s="63"/>
    </row>
    <row r="32" spans="1:61" x14ac:dyDescent="0.3">
      <c r="A32" s="125">
        <f t="shared" si="1"/>
        <v>25</v>
      </c>
      <c r="B32" s="25">
        <f>'Rock Climbing Log'!B32</f>
        <v>43128</v>
      </c>
      <c r="C32" s="126" t="str">
        <f>'Rock Climbing Log'!C32</f>
        <v>Sameena</v>
      </c>
      <c r="D32" s="26">
        <f>_xlfn.IFNA(IF(LEFT('Rock Climbing Log'!D32)="C",_xlfn.IFNA(VLOOKUP('Rock Climbing Log'!D32,'RC Lookup'!$A$3:$B$9,2,FALSE),0.5),VLOOKUP('Rock Climbing Log'!D32,'RC Lookup'!$G$3:$H$5,2,FALSE)),0)*VLOOKUP(D$7,'RC Lookup'!$D$3:$E$18,2,FALSE)</f>
        <v>0</v>
      </c>
      <c r="E32" s="26">
        <f>_xlfn.IFNA(IF(LEFT('Rock Climbing Log'!E32)="C",_xlfn.IFNA(VLOOKUP('Rock Climbing Log'!E32,'RC Lookup'!$A$3:$B$9,2,FALSE),0.5),VLOOKUP('Rock Climbing Log'!E32,'RC Lookup'!$G$3:$H$5,2,FALSE)),0)*VLOOKUP(D$7,'RC Lookup'!$D$3:$E$18,2,FALSE)</f>
        <v>0</v>
      </c>
      <c r="F32" s="26">
        <f>_xlfn.IFNA(IF(LEFT('Rock Climbing Log'!F32)="C",_xlfn.IFNA(VLOOKUP('Rock Climbing Log'!F32,'RC Lookup'!$A$3:$B$9,2,FALSE),0.5),VLOOKUP('Rock Climbing Log'!F32,'RC Lookup'!$G$3:$H$5,2,FALSE)),0)*VLOOKUP(D$7,'RC Lookup'!$D$3:$E$18,2,FALSE)</f>
        <v>0</v>
      </c>
      <c r="G32" s="26">
        <f>_xlfn.IFNA(IF(LEFT('Rock Climbing Log'!G32)="C",_xlfn.IFNA(VLOOKUP('Rock Climbing Log'!G32,'RC Lookup'!$A$3:$B$9,2,FALSE),0.5),VLOOKUP('Rock Climbing Log'!G32,'RC Lookup'!$G$3:$H$5,2,FALSE)),0)*VLOOKUP(G$7,'RC Lookup'!$D$3:$E$18,2,FALSE)</f>
        <v>0</v>
      </c>
      <c r="H32" s="26">
        <f>_xlfn.IFNA(IF(LEFT('Rock Climbing Log'!H32)="C",_xlfn.IFNA(VLOOKUP('Rock Climbing Log'!H32,'RC Lookup'!$A$3:$B$9,2,FALSE),0.5),VLOOKUP('Rock Climbing Log'!H32,'RC Lookup'!$G$3:$H$5,2,FALSE)),0)*VLOOKUP(G$7,'RC Lookup'!$D$3:$E$18,2,FALSE)</f>
        <v>0</v>
      </c>
      <c r="I32" s="26">
        <f>_xlfn.IFNA(IF(LEFT('Rock Climbing Log'!I32)="C",_xlfn.IFNA(VLOOKUP('Rock Climbing Log'!I32,'RC Lookup'!$A$3:$B$9,2,FALSE),0.5),VLOOKUP('Rock Climbing Log'!I32,'RC Lookup'!$G$3:$H$5,2,FALSE)),0)*VLOOKUP(G$7,'RC Lookup'!$D$3:$E$18,2,FALSE)</f>
        <v>0</v>
      </c>
      <c r="J32" s="26">
        <f>_xlfn.IFNA(IF(LEFT('Rock Climbing Log'!J32)="C",_xlfn.IFNA(VLOOKUP('Rock Climbing Log'!J32,'RC Lookup'!$A$3:$B$9,2,FALSE),0.5),VLOOKUP('Rock Climbing Log'!J32,'RC Lookup'!$G$3:$H$5,2,FALSE)),0)*VLOOKUP(J$7,'RC Lookup'!$D$3:$E$18,2,FALSE)</f>
        <v>0</v>
      </c>
      <c r="K32" s="26">
        <f>_xlfn.IFNA(IF(LEFT('Rock Climbing Log'!K32)="C",_xlfn.IFNA(VLOOKUP('Rock Climbing Log'!K32,'RC Lookup'!$A$3:$B$9,2,FALSE),0.5),VLOOKUP('Rock Climbing Log'!K32,'RC Lookup'!$G$3:$H$5,2,FALSE)),0)*VLOOKUP(J$7,'RC Lookup'!$D$3:$E$18,2,FALSE)</f>
        <v>0</v>
      </c>
      <c r="L32" s="26">
        <f>_xlfn.IFNA(IF(LEFT('Rock Climbing Log'!L32)="C",_xlfn.IFNA(VLOOKUP('Rock Climbing Log'!L32,'RC Lookup'!$A$3:$B$9,2,FALSE),0.5),VLOOKUP('Rock Climbing Log'!L32,'RC Lookup'!$G$3:$H$5,2,FALSE)),0)*VLOOKUP(J$7,'RC Lookup'!$D$3:$E$18,2,FALSE)</f>
        <v>0</v>
      </c>
      <c r="M32" s="26">
        <f>_xlfn.IFNA(IF(LEFT('Rock Climbing Log'!M32)="C",_xlfn.IFNA(VLOOKUP('Rock Climbing Log'!M32,'RC Lookup'!$A$3:$B$9,2,FALSE),0.5),VLOOKUP('Rock Climbing Log'!M32,'RC Lookup'!$G$3:$H$5,2,FALSE)),0)*VLOOKUP(M$7,'RC Lookup'!$D$3:$E$18,2,FALSE)</f>
        <v>20.002500000000001</v>
      </c>
      <c r="N32" s="26">
        <f>_xlfn.IFNA(IF(LEFT('Rock Climbing Log'!N32)="C",_xlfn.IFNA(VLOOKUP('Rock Climbing Log'!N32,'RC Lookup'!$A$3:$B$9,2,FALSE),0.5),VLOOKUP('Rock Climbing Log'!N32,'RC Lookup'!$G$3:$H$5,2,FALSE)),0)*VLOOKUP(M$7,'RC Lookup'!$D$3:$E$18,2,FALSE)</f>
        <v>0</v>
      </c>
      <c r="O32" s="26">
        <f>_xlfn.IFNA(IF(LEFT('Rock Climbing Log'!O32)="C",_xlfn.IFNA(VLOOKUP('Rock Climbing Log'!O32,'RC Lookup'!$A$3:$B$9,2,FALSE),0.5),VLOOKUP('Rock Climbing Log'!O32,'RC Lookup'!$G$3:$H$5,2,FALSE)),0)*VLOOKUP(M$7,'RC Lookup'!$D$3:$E$18,2,FALSE)</f>
        <v>0</v>
      </c>
      <c r="P32" s="26">
        <f>_xlfn.IFNA(IF(LEFT('Rock Climbing Log'!P32)="C",_xlfn.IFNA(VLOOKUP('Rock Climbing Log'!P32,'RC Lookup'!$A$3:$B$9,2,FALSE),0.5),VLOOKUP('Rock Climbing Log'!P32,'RC Lookup'!$G$3:$H$5,2,FALSE)),0)*VLOOKUP(P$7,'RC Lookup'!$D$3:$E$18,2,FALSE)</f>
        <v>23.922990000000006</v>
      </c>
      <c r="Q32" s="26">
        <f>_xlfn.IFNA(IF(LEFT('Rock Climbing Log'!Q32)="C",_xlfn.IFNA(VLOOKUP('Rock Climbing Log'!Q32,'RC Lookup'!$A$3:$B$9,2,FALSE),0.5),VLOOKUP('Rock Climbing Log'!Q32,'RC Lookup'!$G$3:$H$5,2,FALSE)),0)*VLOOKUP(P$7,'RC Lookup'!$D$3:$E$18,2,FALSE)</f>
        <v>0</v>
      </c>
      <c r="R32" s="26">
        <f>_xlfn.IFNA(IF(LEFT('Rock Climbing Log'!R32)="C",_xlfn.IFNA(VLOOKUP('Rock Climbing Log'!R32,'RC Lookup'!$A$3:$B$9,2,FALSE),0.5),VLOOKUP('Rock Climbing Log'!R32,'RC Lookup'!$G$3:$H$5,2,FALSE)),0)*VLOOKUP(P$7,'RC Lookup'!$D$3:$E$18,2,FALSE)</f>
        <v>0</v>
      </c>
      <c r="S32" s="26">
        <f>_xlfn.IFNA(IF(LEFT('Rock Climbing Log'!S32)="C",_xlfn.IFNA(VLOOKUP('Rock Climbing Log'!S32,'RC Lookup'!$A$3:$B$9,2,FALSE),0.5),VLOOKUP('Rock Climbing Log'!S32,'RC Lookup'!$G$3:$H$5,2,FALSE)),0)*VLOOKUP(S$7,'RC Lookup'!$D$3:$E$18,2,FALSE)</f>
        <v>0</v>
      </c>
      <c r="T32" s="26">
        <f>_xlfn.IFNA(IF(LEFT('Rock Climbing Log'!T32)="C",_xlfn.IFNA(VLOOKUP('Rock Climbing Log'!T32,'RC Lookup'!$A$3:$B$9,2,FALSE),0.5),VLOOKUP('Rock Climbing Log'!T32,'RC Lookup'!$G$3:$H$5,2,FALSE)),0)*VLOOKUP(S$7,'RC Lookup'!$D$3:$E$18,2,FALSE)</f>
        <v>0</v>
      </c>
      <c r="U32" s="26">
        <f>_xlfn.IFNA(IF(LEFT('Rock Climbing Log'!U32)="C",_xlfn.IFNA(VLOOKUP('Rock Climbing Log'!U32,'RC Lookup'!$A$3:$B$9,2,FALSE),0.5),VLOOKUP('Rock Climbing Log'!U32,'RC Lookup'!$G$3:$H$5,2,FALSE)),0)*VLOOKUP(S$7,'RC Lookup'!$D$3:$E$18,2,FALSE)</f>
        <v>0</v>
      </c>
      <c r="V32" s="26">
        <f>_xlfn.IFNA(IF(LEFT('Rock Climbing Log'!V32)="C",_xlfn.IFNA(VLOOKUP('Rock Climbing Log'!V32,'RC Lookup'!$A$3:$B$9,2,FALSE),0.5),VLOOKUP('Rock Climbing Log'!V32,'RC Lookup'!$G$3:$H$5,2,FALSE)),0)*VLOOKUP(V$7,'RC Lookup'!$D$3:$E$18,2,FALSE)</f>
        <v>35.256745742400021</v>
      </c>
      <c r="W32" s="26">
        <f>_xlfn.IFNA(IF(LEFT('Rock Climbing Log'!W32)="C",_xlfn.IFNA(VLOOKUP('Rock Climbing Log'!W32,'RC Lookup'!$A$3:$B$9,2,FALSE),0.5),VLOOKUP('Rock Climbing Log'!W32,'RC Lookup'!$G$3:$H$5,2,FALSE)),0)*VLOOKUP(V$7,'RC Lookup'!$D$3:$E$18,2,FALSE)</f>
        <v>35.256745742400021</v>
      </c>
      <c r="X32" s="26">
        <f>_xlfn.IFNA(IF(LEFT('Rock Climbing Log'!X32)="C",_xlfn.IFNA(VLOOKUP('Rock Climbing Log'!X32,'RC Lookup'!$A$3:$B$9,2,FALSE),0.5),VLOOKUP('Rock Climbing Log'!X32,'RC Lookup'!$G$3:$H$5,2,FALSE)),0)*VLOOKUP(V$7,'RC Lookup'!$D$3:$E$18,2,FALSE)</f>
        <v>0</v>
      </c>
      <c r="Y32" s="26">
        <f>_xlfn.IFNA(IF(LEFT('Rock Climbing Log'!Y32)="C",_xlfn.IFNA(VLOOKUP('Rock Climbing Log'!Y32,'RC Lookup'!$A$3:$B$9,2,FALSE),0.5),VLOOKUP('Rock Climbing Log'!Y32,'RC Lookup'!$G$3:$H$5,2,FALSE)),0)*VLOOKUP(Y$7,'RC Lookup'!$D$3:$E$18,2,FALSE)</f>
        <v>0</v>
      </c>
      <c r="Z32" s="26">
        <f>_xlfn.IFNA(IF(LEFT('Rock Climbing Log'!Z32)="C",_xlfn.IFNA(VLOOKUP('Rock Climbing Log'!Z32,'RC Lookup'!$A$3:$B$9,2,FALSE),0.5),VLOOKUP('Rock Climbing Log'!Z32,'RC Lookup'!$G$3:$H$5,2,FALSE)),0)*VLOOKUP(Y$7,'RC Lookup'!$D$3:$E$18,2,FALSE)</f>
        <v>0</v>
      </c>
      <c r="AA32" s="26">
        <f>_xlfn.IFNA(IF(LEFT('Rock Climbing Log'!AA32)="C",_xlfn.IFNA(VLOOKUP('Rock Climbing Log'!AA32,'RC Lookup'!$A$3:$B$9,2,FALSE),0.5),VLOOKUP('Rock Climbing Log'!AA32,'RC Lookup'!$G$3:$H$5,2,FALSE)),0)*VLOOKUP(Y$7,'RC Lookup'!$D$3:$E$18,2,FALSE)</f>
        <v>0</v>
      </c>
      <c r="AB32" s="26">
        <f>_xlfn.IFNA(IF(LEFT('Rock Climbing Log'!AB32)="C",_xlfn.IFNA(VLOOKUP('Rock Climbing Log'!AB32,'RC Lookup'!$A$3:$B$9,2,FALSE),0.5),VLOOKUP('Rock Climbing Log'!AB32,'RC Lookup'!$G$3:$H$5,2,FALSE)),0)*VLOOKUP(AB$7,'RC Lookup'!$D$3:$E$18,2,FALSE)</f>
        <v>54.034770578768224</v>
      </c>
      <c r="AC32" s="26">
        <f>_xlfn.IFNA(IF(LEFT('Rock Climbing Log'!AC32)="C",_xlfn.IFNA(VLOOKUP('Rock Climbing Log'!AC32,'RC Lookup'!$A$3:$B$9,2,FALSE),0.5),VLOOKUP('Rock Climbing Log'!AC32,'RC Lookup'!$G$3:$H$5,2,FALSE)),0)*VLOOKUP(AB$7,'RC Lookup'!$D$3:$E$18,2,FALSE)</f>
        <v>0</v>
      </c>
      <c r="AD32" s="26">
        <f>_xlfn.IFNA(IF(LEFT('Rock Climbing Log'!AD32)="C",_xlfn.IFNA(VLOOKUP('Rock Climbing Log'!AD32,'RC Lookup'!$A$3:$B$9,2,FALSE),0.5),VLOOKUP('Rock Climbing Log'!AD32,'RC Lookup'!$G$3:$H$5,2,FALSE)),0)*VLOOKUP(AB$7,'RC Lookup'!$D$3:$E$18,2,FALSE)</f>
        <v>0</v>
      </c>
      <c r="AE32" s="26">
        <f>_xlfn.IFNA(IF(LEFT('Rock Climbing Log'!AE32)="C",_xlfn.IFNA(VLOOKUP('Rock Climbing Log'!AE32,'RC Lookup'!$A$3:$B$9,2,FALSE),0.5),VLOOKUP('Rock Climbing Log'!AE32,'RC Lookup'!$G$3:$H$5,2,FALSE)),0)*VLOOKUP(AE$7,'RC Lookup'!$D$3:$E$18,2,FALSE)</f>
        <v>0</v>
      </c>
      <c r="AF32" s="26">
        <f>_xlfn.IFNA(IF(LEFT('Rock Climbing Log'!AF32)="C",_xlfn.IFNA(VLOOKUP('Rock Climbing Log'!AF32,'RC Lookup'!$A$3:$B$9,2,FALSE),0.5),VLOOKUP('Rock Climbing Log'!AF32,'RC Lookup'!$G$3:$H$5,2,FALSE)),0)*VLOOKUP(AE$7,'RC Lookup'!$D$3:$E$18,2,FALSE)</f>
        <v>0</v>
      </c>
      <c r="AG32" s="26">
        <f>_xlfn.IFNA(IF(LEFT('Rock Climbing Log'!AG32)="C",_xlfn.IFNA(VLOOKUP('Rock Climbing Log'!AG32,'RC Lookup'!$A$3:$B$9,2,FALSE),0.5),VLOOKUP('Rock Climbing Log'!AG32,'RC Lookup'!$G$3:$H$5,2,FALSE)),0)*VLOOKUP(AE$7,'RC Lookup'!$D$3:$E$18,2,FALSE)</f>
        <v>0</v>
      </c>
      <c r="AH32" s="26">
        <f>_xlfn.IFNA(IF(LEFT('Rock Climbing Log'!AH32)="C",_xlfn.IFNA(VLOOKUP('Rock Climbing Log'!AH32,'RC Lookup'!$A$3:$B$9,2,FALSE),0.5),VLOOKUP('Rock Climbing Log'!AH32,'RC Lookup'!$G$3:$H$5,2,FALSE)),0)*VLOOKUP(AH$7,'RC Lookup'!$D$3:$E$18,2,FALSE)</f>
        <v>0</v>
      </c>
      <c r="AI32" s="26">
        <f>_xlfn.IFNA(IF(LEFT('Rock Climbing Log'!AI32)="C",_xlfn.IFNA(VLOOKUP('Rock Climbing Log'!AI32,'RC Lookup'!$A$3:$B$9,2,FALSE),0.5),VLOOKUP('Rock Climbing Log'!AI32,'RC Lookup'!$G$3:$H$5,2,FALSE)),0)*VLOOKUP(AH$7,'RC Lookup'!$D$3:$E$18,2,FALSE)</f>
        <v>0</v>
      </c>
      <c r="AJ32" s="26">
        <f>_xlfn.IFNA(IF(LEFT('Rock Climbing Log'!AJ32)="C",_xlfn.IFNA(VLOOKUP('Rock Climbing Log'!AJ32,'RC Lookup'!$A$3:$B$9,2,FALSE),0.5),VLOOKUP('Rock Climbing Log'!AJ32,'RC Lookup'!$G$3:$H$5,2,FALSE)),0)*VLOOKUP(AH$7,'RC Lookup'!$D$3:$E$18,2,FALSE)</f>
        <v>0</v>
      </c>
      <c r="AK32" s="26">
        <f>_xlfn.IFNA(IF(LEFT('Rock Climbing Log'!AK32)="C",_xlfn.IFNA(VLOOKUP('Rock Climbing Log'!AK32,'RC Lookup'!$A$3:$B$9,2,FALSE),0.5),VLOOKUP('Rock Climbing Log'!AK32,'RC Lookup'!$G$3:$H$5,2,FALSE)),0)*VLOOKUP(AK$7,'RC Lookup'!$D$3:$E$18,2,FALSE)</f>
        <v>0</v>
      </c>
      <c r="AL32" s="26">
        <f>_xlfn.IFNA(IF(LEFT('Rock Climbing Log'!AL32)="C",_xlfn.IFNA(VLOOKUP('Rock Climbing Log'!AL32,'RC Lookup'!$A$3:$B$9,2,FALSE),0.5),VLOOKUP('Rock Climbing Log'!AL32,'RC Lookup'!$G$3:$H$5,2,FALSE)),0)*VLOOKUP(AK$7,'RC Lookup'!$D$3:$E$18,2,FALSE)</f>
        <v>0</v>
      </c>
      <c r="AM32" s="26">
        <f>_xlfn.IFNA(IF(LEFT('Rock Climbing Log'!AM32)="C",_xlfn.IFNA(VLOOKUP('Rock Climbing Log'!AM32,'RC Lookup'!$A$3:$B$9,2,FALSE),0.5),VLOOKUP('Rock Climbing Log'!AM32,'RC Lookup'!$G$3:$H$5,2,FALSE)),0)*VLOOKUP(AK$7,'RC Lookup'!$D$3:$E$18,2,FALSE)</f>
        <v>0</v>
      </c>
      <c r="AN32" s="26">
        <f>_xlfn.IFNA(IF(LEFT('Rock Climbing Log'!AN32)="C",_xlfn.IFNA(VLOOKUP('Rock Climbing Log'!AN32,'RC Lookup'!$A$3:$B$9,2,FALSE),0.5),VLOOKUP('Rock Climbing Log'!AN32,'RC Lookup'!$G$3:$H$5,2,FALSE)),0)*VLOOKUP(AN$7,'RC Lookup'!$D$3:$E$18,2,FALSE)</f>
        <v>0</v>
      </c>
      <c r="AO32" s="26">
        <f>_xlfn.IFNA(IF(LEFT('Rock Climbing Log'!AO32)="C",_xlfn.IFNA(VLOOKUP('Rock Climbing Log'!AO32,'RC Lookup'!$A$3:$B$9,2,FALSE),0.5),VLOOKUP('Rock Climbing Log'!AO32,'RC Lookup'!$G$3:$H$5,2,FALSE)),0)*VLOOKUP(AN$7,'RC Lookup'!$D$3:$E$18,2,FALSE)</f>
        <v>0</v>
      </c>
      <c r="AP32" s="26">
        <f>_xlfn.IFNA(IF(LEFT('Rock Climbing Log'!AP32)="C",_xlfn.IFNA(VLOOKUP('Rock Climbing Log'!AP32,'RC Lookup'!$A$3:$B$9,2,FALSE),0.5),VLOOKUP('Rock Climbing Log'!AP32,'RC Lookup'!$G$3:$H$5,2,FALSE)),0)*VLOOKUP(AN$7,'RC Lookup'!$D$3:$E$18,2,FALSE)</f>
        <v>0</v>
      </c>
      <c r="AQ32" s="26">
        <f>_xlfn.IFNA(IF(LEFT('Rock Climbing Log'!AQ32)="C",_xlfn.IFNA(VLOOKUP('Rock Climbing Log'!AQ32,'RC Lookup'!$A$3:$B$9,2,FALSE),0.5),VLOOKUP('Rock Climbing Log'!AQ32,'RC Lookup'!$G$3:$H$5,2,FALSE)),0)*VLOOKUP(AQ$7,'RC Lookup'!$D$3:$E$18,2,FALSE)</f>
        <v>0</v>
      </c>
      <c r="AR32" s="26">
        <f>_xlfn.IFNA(IF(LEFT('Rock Climbing Log'!AR32)="C",_xlfn.IFNA(VLOOKUP('Rock Climbing Log'!AR32,'RC Lookup'!$A$3:$B$9,2,FALSE),0.5),VLOOKUP('Rock Climbing Log'!AR32,'RC Lookup'!$G$3:$H$5,2,FALSE)),0)*VLOOKUP(AQ$7,'RC Lookup'!$D$3:$E$18,2,FALSE)</f>
        <v>0</v>
      </c>
      <c r="AS32" s="26">
        <f>_xlfn.IFNA(IF(LEFT('Rock Climbing Log'!AS32)="C",_xlfn.IFNA(VLOOKUP('Rock Climbing Log'!AS32,'RC Lookup'!$A$3:$B$9,2,FALSE),0.5),VLOOKUP('Rock Climbing Log'!AS32,'RC Lookup'!$G$3:$H$5,2,FALSE)),0)*VLOOKUP(AQ$7,'RC Lookup'!$D$3:$E$18,2,FALSE)</f>
        <v>0</v>
      </c>
      <c r="AT32" s="26">
        <f>_xlfn.IFNA(IF(LEFT('Rock Climbing Log'!AT32)="C",_xlfn.IFNA(VLOOKUP('Rock Climbing Log'!AT32,'RC Lookup'!$A$3:$B$9,2,FALSE),0.5),VLOOKUP('Rock Climbing Log'!AT32,'RC Lookup'!$G$3:$H$5,2,FALSE)),0)*VLOOKUP(AT$7,'RC Lookup'!$D$3:$E$18,2,FALSE)</f>
        <v>0</v>
      </c>
      <c r="AU32" s="26">
        <f>_xlfn.IFNA(IF(LEFT('Rock Climbing Log'!AU32)="C",_xlfn.IFNA(VLOOKUP('Rock Climbing Log'!AU32,'RC Lookup'!$A$3:$B$9,2,FALSE),0.5),VLOOKUP('Rock Climbing Log'!AU32,'RC Lookup'!$G$3:$H$5,2,FALSE)),0)*VLOOKUP(AT$7,'RC Lookup'!$D$3:$E$18,2,FALSE)</f>
        <v>0</v>
      </c>
      <c r="AV32" s="26">
        <f>_xlfn.IFNA(IF(LEFT('Rock Climbing Log'!AV32)="C",_xlfn.IFNA(VLOOKUP('Rock Climbing Log'!AV32,'RC Lookup'!$A$3:$B$9,2,FALSE),0.5),VLOOKUP('Rock Climbing Log'!AV32,'RC Lookup'!$G$3:$H$5,2,FALSE)),0)*VLOOKUP(AT$7,'RC Lookup'!$D$3:$E$18,2,FALSE)</f>
        <v>0</v>
      </c>
      <c r="AW32" s="30">
        <f t="shared" ca="1" si="0"/>
        <v>124.54826206356827</v>
      </c>
      <c r="AX32" s="30">
        <f ca="1">_xlfn.IFNA(VLOOKUP(SUMPRODUCT(LARGE(($C$8:$C32=Table1[[#This Row],[Climber]])*$A$8:$A32,1)),$A$8:$AW32,MATCH($AW$7,$A$7:$AW$7,FALSE),FALSE),0)/LEFT($AX$7,FIND(" ",$AX$7))+_xlfn.IFNA(VLOOKUP(SUMPRODUCT(LARGE(($C$8:$C32=Table1[[#This Row],[Climber]])*$A$8:$A32,MIN(2,COUNTIFS($C$8:$C32,$C32)))),$A$8:$AW32,MATCH($AW$7,$A$7:$AW$7,FALSE),FALSE),0)/LEFT($AX$7,FIND(" ",$AX$7))+_xlfn.IFNA(VLOOKUP(SUMPRODUCT(LARGE(($C$8:$C32=Table1[[#This Row],[Climber]])*$A$8:$A32,MIN(3,COUNTIFS($C$8:$C32,$C32)))),$A$8:$AW32,MATCH($AW$7,$A$7:$AW$7,FALSE),FALSE),0)/LEFT($AX$7,FIND(" ",$AX$7))</f>
        <v>98.28470009557671</v>
      </c>
      <c r="AY32" s="30">
        <f ca="1">_xlfn.IFNA(VLOOKUP(SUMPRODUCT(LARGE(($C$8:$C32=Table1[[#This Row],[Climber]])*$A$8:$A32,1)),$A$8:$AW32,MATCH($AW$7,$A$7:$AW$7,FALSE),FALSE),0)/LEFT($AY$7,FIND(" ",$AY$7))+_xlfn.IFNA(VLOOKUP(SUMPRODUCT(LARGE(($C$8:$C32=Table1[[#This Row],[Climber]])*$A$8:$A32,MIN(2,COUNTIFS($C$8:$C32,$C32)))),$A$8:$AW32,MATCH($AW$7,$A$7:$AW$7,FALSE),FALSE),0)/LEFT($AY$7,FIND(" ",$AY$7))+_xlfn.IFNA(VLOOKUP(SUMPRODUCT(LARGE(($C$8:$C32=Table1[[#This Row],[Climber]])*$A$8:$A32,MIN(3,COUNTIFS($C$8:$C32,$C32)))),$A$8:$AW32,MATCH($AW$7,$A$7:$AW$7,FALSE),FALSE),0)/LEFT($AY$7,FIND(" ",$AY$7))+_xlfn.IFNA(VLOOKUP(SUMPRODUCT(LARGE(($C$8:$C32=Table1[[#This Row],[Climber]])*$A$8:$A32,MIN(4,COUNTIFS($C$8:$C32,$C32)))),$A$8:$AW32,MATCH($AW$7,$A$7:$AW$7,FALSE),FALSE),0)/LEFT($AY$7,FIND(" ",$AY$7))+_xlfn.IFNA(VLOOKUP(SUMPRODUCT(LARGE(($C$8:$C32=Table1[[#This Row],[Climber]])*$A$8:$A32,MIN(5,COUNTIFS($C$8:$C32,$C32)))),$A$8:$AW32,MATCH($AW$7,$A$7:$AW$7,FALSE),FALSE),0)/LEFT($AY$7,FIND(" ",$AY$7))</f>
        <v>100.27017899397529</v>
      </c>
      <c r="AZ32" s="30">
        <f>(_xlfn.IFNA(VLOOKUP(SUMPRODUCT(LARGE(($C$8:$C32=Table1[[#This Row],[Climber]])*$A$8:$A32,4)),$A$8:$AW32,MATCH($AW$7,$A$7:$AW$7,FALSE),FALSE),0)+_xlfn.IFNA(VLOOKUP(SUMPRODUCT(LARGE(($C$8:$C32=Table1[[#This Row],[Climber]])*$A$8:$A32,5)),$A$8:$AW32,MATCH($AW$7,$A$7:$AW$7,FALSE),FALSE),0)+_xlfn.IFNA(VLOOKUP(SUMPRODUCT(LARGE(($C$8:$C32=Table1[[#This Row],[Climber]])*$A$8:$A32,6)),$A$8:$AW32,MATCH($AW$7,$A$7:$AW$7,FALSE),FALSE),0))/3</f>
        <v>0</v>
      </c>
      <c r="BA32" s="6">
        <f ca="1">_xlfn.MAXIFS(INDIRECT("$AW"&amp;IF(SUMPRODUCT(LARGE(($C$8:$C32=$C32)*$A$8:$A32,LEFT($BA$7,FIND(" ",$BA$7)-1)))=0,8,SUMPRODUCT(LARGE(($C$8:$C32=$C32)*$A$8:$A32,LEFT($BA$7,FIND(" ",$BA$7)-1)))+7)&amp;":$AW"&amp;ROW()),INDIRECT("$C"&amp;IF(SUMPRODUCT(LARGE(($C$8:$C32=$C32)*$A$8:$A32,LEFT($BA$7,FIND(" ",$BA$7)-1)))=0,8,SUMPRODUCT(LARGE(($C$8:$C32=$C32)*$A$8:$A32,LEFT($BA$7,FIND(" ",$BA$7)-1)))+7)&amp;":$C"&amp;ROW()),$C32)</f>
        <v>124.54826206356827</v>
      </c>
      <c r="BB32" s="6" t="str">
        <f ca="1">VLOOKUP(MAX(BG32,$AX32),'RC Lookup'!$G$14:$J$20,2,TRUE)</f>
        <v>T3</v>
      </c>
      <c r="BC32" s="6">
        <f ca="1">_xlfn.IFNA(VLOOKUP(VLOOKUP($C32,'RC Lookup'!$O$3:$P$50,2,FALSE),'RC Lookup'!$H$14:$J$23,2,FALSE),0)*AW32</f>
        <v>61.17211070413191</v>
      </c>
      <c r="BD32" s="6">
        <f ca="1">_xlfn.IFNA(VLOOKUP(SUMPRODUCT(LARGE(($C$8:$C32=Table1[[#This Row],[Climber]])*$A$8:$A32,1)),$A$8:$BC32,55,FALSE),0)/LEFT($AX$7,FIND(" ",$AX$7))+_xlfn.IFNA(VLOOKUP(SUMPRODUCT(LARGE(($C$8:$C32=Table1[[#This Row],[Climber]])*$A$8:$A32,MIN(2,COUNTIFS($C$8:$C32,$C32)))),$A$8:$BC32,55,FALSE),0)/LEFT($AX$7,FIND(" ",$AX$7))+_xlfn.IFNA(VLOOKUP(SUMPRODUCT(LARGE(($C$8:$C32=Table1[[#This Row],[Climber]])*$A$8:$A32,MIN(3,COUNTIFS($C$8:$C32,$C32)))),$A$8:$BC32,55,FALSE),0)/LEFT($AX$7,FIND(" ",$AX$7))</f>
        <v>48.272713365525803</v>
      </c>
      <c r="BE32" s="6">
        <f>(_xlfn.IFNA(VLOOKUP(SUMPRODUCT(LARGE(($C$8:$C32=Table1[[#This Row],[Climber]])*$A$8:$A32,4)),$A$8:$BD32,55,FALSE),0)+_xlfn.IFNA(VLOOKUP(SUMPRODUCT(LARGE(($C$8:$C32=Table1[[#This Row],[Climber]])*$A$8:$A32,5)),$A$8:$BD32,55,FALSE),0)+_xlfn.IFNA(VLOOKUP(SUMPRODUCT(LARGE(($C$8:$C32=Table1[[#This Row],[Climber]])*$A$8:$A32,6)),$A$8:$BD32,55,FALSE),0))/3</f>
        <v>0</v>
      </c>
      <c r="BF32" s="46">
        <f ca="1">_xlfn.MAXIFS(INDIRECT("$BC"&amp;IF(SUMPRODUCT(LARGE(($C$8:$C32=$C32)*$A$8:$A32,LEFT($BA$7,FIND(" ",$BA$7)-1)))=0,8,SUMPRODUCT(LARGE(($C$8:$C32=$C32)*$A$8:$A32,LEFT($BA$7,FIND(" ",$BA$7)-1)))+7)&amp;":$BC"&amp;ROW()),INDIRECT("$C"&amp;IF(SUMPRODUCT(LARGE(($C$8:$C32=$C32)*$A$8:$A32,LEFT($BA$7,FIND(" ",$BA$7)-1)))=0,8,SUMPRODUCT(LARGE(($C$8:$C32=$C32)*$A$8:$A32,LEFT($BA$7,FIND(" ",$BA$7)-1)))+7)&amp;":$C"&amp;ROW()),$C32)</f>
        <v>61.17211070413191</v>
      </c>
      <c r="BG32" s="46">
        <f t="array" aca="1" ref="BG32" ca="1">IFERROR(SUMPRODUCT(LARGE(($C$8:$C32=Table1[[#This Row],[Climber]])*$AW$8:$AW32,ROW(INDIRECT("1:5")))),AW32)/MIN(COUNTIFS($C$8:$C32,C32),5)</f>
        <v>98.284700095576696</v>
      </c>
      <c r="BH32" s="46"/>
    </row>
    <row r="33" spans="1:60" x14ac:dyDescent="0.3">
      <c r="A33" s="125">
        <f t="shared" si="1"/>
        <v>26</v>
      </c>
      <c r="B33" s="25">
        <f>'Rock Climbing Log'!B33</f>
        <v>43128</v>
      </c>
      <c r="C33" s="126" t="str">
        <f>'Rock Climbing Log'!C33</f>
        <v>Edwin</v>
      </c>
      <c r="D33" s="26">
        <f>_xlfn.IFNA(IF(LEFT('Rock Climbing Log'!D33)="C",_xlfn.IFNA(VLOOKUP('Rock Climbing Log'!D33,'RC Lookup'!$A$3:$B$9,2,FALSE),0.5),VLOOKUP('Rock Climbing Log'!D33,'RC Lookup'!$G$3:$H$5,2,FALSE)),0)*VLOOKUP(D$7,'RC Lookup'!$D$3:$E$18,2,FALSE)</f>
        <v>0</v>
      </c>
      <c r="E33" s="26">
        <f>_xlfn.IFNA(IF(LEFT('Rock Climbing Log'!E33)="C",_xlfn.IFNA(VLOOKUP('Rock Climbing Log'!E33,'RC Lookup'!$A$3:$B$9,2,FALSE),0.5),VLOOKUP('Rock Climbing Log'!E33,'RC Lookup'!$G$3:$H$5,2,FALSE)),0)*VLOOKUP(D$7,'RC Lookup'!$D$3:$E$18,2,FALSE)</f>
        <v>0</v>
      </c>
      <c r="F33" s="26">
        <f>_xlfn.IFNA(IF(LEFT('Rock Climbing Log'!F33)="C",_xlfn.IFNA(VLOOKUP('Rock Climbing Log'!F33,'RC Lookup'!$A$3:$B$9,2,FALSE),0.5),VLOOKUP('Rock Climbing Log'!F33,'RC Lookup'!$G$3:$H$5,2,FALSE)),0)*VLOOKUP(D$7,'RC Lookup'!$D$3:$E$18,2,FALSE)</f>
        <v>0</v>
      </c>
      <c r="G33" s="26">
        <f>_xlfn.IFNA(IF(LEFT('Rock Climbing Log'!G33)="C",_xlfn.IFNA(VLOOKUP('Rock Climbing Log'!G33,'RC Lookup'!$A$3:$B$9,2,FALSE),0.5),VLOOKUP('Rock Climbing Log'!G33,'RC Lookup'!$G$3:$H$5,2,FALSE)),0)*VLOOKUP(G$7,'RC Lookup'!$D$3:$E$18,2,FALSE)</f>
        <v>0</v>
      </c>
      <c r="H33" s="26">
        <f>_xlfn.IFNA(IF(LEFT('Rock Climbing Log'!H33)="C",_xlfn.IFNA(VLOOKUP('Rock Climbing Log'!H33,'RC Lookup'!$A$3:$B$9,2,FALSE),0.5),VLOOKUP('Rock Climbing Log'!H33,'RC Lookup'!$G$3:$H$5,2,FALSE)),0)*VLOOKUP(G$7,'RC Lookup'!$D$3:$E$18,2,FALSE)</f>
        <v>0</v>
      </c>
      <c r="I33" s="26">
        <f>_xlfn.IFNA(IF(LEFT('Rock Climbing Log'!I33)="C",_xlfn.IFNA(VLOOKUP('Rock Climbing Log'!I33,'RC Lookup'!$A$3:$B$9,2,FALSE),0.5),VLOOKUP('Rock Climbing Log'!I33,'RC Lookup'!$G$3:$H$5,2,FALSE)),0)*VLOOKUP(G$7,'RC Lookup'!$D$3:$E$18,2,FALSE)</f>
        <v>0</v>
      </c>
      <c r="J33" s="26">
        <f>_xlfn.IFNA(IF(LEFT('Rock Climbing Log'!J33)="C",_xlfn.IFNA(VLOOKUP('Rock Climbing Log'!J33,'RC Lookup'!$A$3:$B$9,2,FALSE),0.5),VLOOKUP('Rock Climbing Log'!J33,'RC Lookup'!$G$3:$H$5,2,FALSE)),0)*VLOOKUP(J$7,'RC Lookup'!$D$3:$E$18,2,FALSE)</f>
        <v>0</v>
      </c>
      <c r="K33" s="26">
        <f>_xlfn.IFNA(IF(LEFT('Rock Climbing Log'!K33)="C",_xlfn.IFNA(VLOOKUP('Rock Climbing Log'!K33,'RC Lookup'!$A$3:$B$9,2,FALSE),0.5),VLOOKUP('Rock Climbing Log'!K33,'RC Lookup'!$G$3:$H$5,2,FALSE)),0)*VLOOKUP(J$7,'RC Lookup'!$D$3:$E$18,2,FALSE)</f>
        <v>0</v>
      </c>
      <c r="L33" s="26">
        <f>_xlfn.IFNA(IF(LEFT('Rock Climbing Log'!L33)="C",_xlfn.IFNA(VLOOKUP('Rock Climbing Log'!L33,'RC Lookup'!$A$3:$B$9,2,FALSE),0.5),VLOOKUP('Rock Climbing Log'!L33,'RC Lookup'!$G$3:$H$5,2,FALSE)),0)*VLOOKUP(J$7,'RC Lookup'!$D$3:$E$18,2,FALSE)</f>
        <v>0</v>
      </c>
      <c r="M33" s="26">
        <f>_xlfn.IFNA(IF(LEFT('Rock Climbing Log'!M33)="C",_xlfn.IFNA(VLOOKUP('Rock Climbing Log'!M33,'RC Lookup'!$A$3:$B$9,2,FALSE),0.5),VLOOKUP('Rock Climbing Log'!M33,'RC Lookup'!$G$3:$H$5,2,FALSE)),0)*VLOOKUP(M$7,'RC Lookup'!$D$3:$E$18,2,FALSE)</f>
        <v>20.002500000000001</v>
      </c>
      <c r="N33" s="26">
        <f>_xlfn.IFNA(IF(LEFT('Rock Climbing Log'!N33)="C",_xlfn.IFNA(VLOOKUP('Rock Climbing Log'!N33,'RC Lookup'!$A$3:$B$9,2,FALSE),0.5),VLOOKUP('Rock Climbing Log'!N33,'RC Lookup'!$G$3:$H$5,2,FALSE)),0)*VLOOKUP(M$7,'RC Lookup'!$D$3:$E$18,2,FALSE)</f>
        <v>0</v>
      </c>
      <c r="O33" s="26">
        <f>_xlfn.IFNA(IF(LEFT('Rock Climbing Log'!O33)="C",_xlfn.IFNA(VLOOKUP('Rock Climbing Log'!O33,'RC Lookup'!$A$3:$B$9,2,FALSE),0.5),VLOOKUP('Rock Climbing Log'!O33,'RC Lookup'!$G$3:$H$5,2,FALSE)),0)*VLOOKUP(M$7,'RC Lookup'!$D$3:$E$18,2,FALSE)</f>
        <v>0</v>
      </c>
      <c r="P33" s="26">
        <f>_xlfn.IFNA(IF(LEFT('Rock Climbing Log'!P33)="C",_xlfn.IFNA(VLOOKUP('Rock Climbing Log'!P33,'RC Lookup'!$A$3:$B$9,2,FALSE),0.5),VLOOKUP('Rock Climbing Log'!P33,'RC Lookup'!$G$3:$H$5,2,FALSE)),0)*VLOOKUP(P$7,'RC Lookup'!$D$3:$E$18,2,FALSE)</f>
        <v>23.922990000000006</v>
      </c>
      <c r="Q33" s="26">
        <f>_xlfn.IFNA(IF(LEFT('Rock Climbing Log'!Q33)="C",_xlfn.IFNA(VLOOKUP('Rock Climbing Log'!Q33,'RC Lookup'!$A$3:$B$9,2,FALSE),0.5),VLOOKUP('Rock Climbing Log'!Q33,'RC Lookup'!$G$3:$H$5,2,FALSE)),0)*VLOOKUP(P$7,'RC Lookup'!$D$3:$E$18,2,FALSE)</f>
        <v>11.961495000000003</v>
      </c>
      <c r="R33" s="26">
        <f>_xlfn.IFNA(IF(LEFT('Rock Climbing Log'!R33)="C",_xlfn.IFNA(VLOOKUP('Rock Climbing Log'!R33,'RC Lookup'!$A$3:$B$9,2,FALSE),0.5),VLOOKUP('Rock Climbing Log'!R33,'RC Lookup'!$G$3:$H$5,2,FALSE)),0)*VLOOKUP(P$7,'RC Lookup'!$D$3:$E$18,2,FALSE)</f>
        <v>0</v>
      </c>
      <c r="S33" s="26">
        <f>_xlfn.IFNA(IF(LEFT('Rock Climbing Log'!S33)="C",_xlfn.IFNA(VLOOKUP('Rock Climbing Log'!S33,'RC Lookup'!$A$3:$B$9,2,FALSE),0.5),VLOOKUP('Rock Climbing Log'!S33,'RC Lookup'!$G$3:$H$5,2,FALSE)),0)*VLOOKUP(S$7,'RC Lookup'!$D$3:$E$18,2,FALSE)</f>
        <v>0</v>
      </c>
      <c r="T33" s="26">
        <f>_xlfn.IFNA(IF(LEFT('Rock Climbing Log'!T33)="C",_xlfn.IFNA(VLOOKUP('Rock Climbing Log'!T33,'RC Lookup'!$A$3:$B$9,2,FALSE),0.5),VLOOKUP('Rock Climbing Log'!T33,'RC Lookup'!$G$3:$H$5,2,FALSE)),0)*VLOOKUP(S$7,'RC Lookup'!$D$3:$E$18,2,FALSE)</f>
        <v>0</v>
      </c>
      <c r="U33" s="26">
        <f>_xlfn.IFNA(IF(LEFT('Rock Climbing Log'!U33)="C",_xlfn.IFNA(VLOOKUP('Rock Climbing Log'!U33,'RC Lookup'!$A$3:$B$9,2,FALSE),0.5),VLOOKUP('Rock Climbing Log'!U33,'RC Lookup'!$G$3:$H$5,2,FALSE)),0)*VLOOKUP(S$7,'RC Lookup'!$D$3:$E$18,2,FALSE)</f>
        <v>0</v>
      </c>
      <c r="V33" s="26">
        <f>_xlfn.IFNA(IF(LEFT('Rock Climbing Log'!V33)="C",_xlfn.IFNA(VLOOKUP('Rock Climbing Log'!V33,'RC Lookup'!$A$3:$B$9,2,FALSE),0.5),VLOOKUP('Rock Climbing Log'!V33,'RC Lookup'!$G$3:$H$5,2,FALSE)),0)*VLOOKUP(V$7,'RC Lookup'!$D$3:$E$18,2,FALSE)</f>
        <v>35.256745742400021</v>
      </c>
      <c r="W33" s="26">
        <f>_xlfn.IFNA(IF(LEFT('Rock Climbing Log'!W33)="C",_xlfn.IFNA(VLOOKUP('Rock Climbing Log'!W33,'RC Lookup'!$A$3:$B$9,2,FALSE),0.5),VLOOKUP('Rock Climbing Log'!W33,'RC Lookup'!$G$3:$H$5,2,FALSE)),0)*VLOOKUP(V$7,'RC Lookup'!$D$3:$E$18,2,FALSE)</f>
        <v>0</v>
      </c>
      <c r="X33" s="26">
        <f>_xlfn.IFNA(IF(LEFT('Rock Climbing Log'!X33)="C",_xlfn.IFNA(VLOOKUP('Rock Climbing Log'!X33,'RC Lookup'!$A$3:$B$9,2,FALSE),0.5),VLOOKUP('Rock Climbing Log'!X33,'RC Lookup'!$G$3:$H$5,2,FALSE)),0)*VLOOKUP(V$7,'RC Lookup'!$D$3:$E$18,2,FALSE)</f>
        <v>0</v>
      </c>
      <c r="Y33" s="26">
        <f>_xlfn.IFNA(IF(LEFT('Rock Climbing Log'!Y33)="C",_xlfn.IFNA(VLOOKUP('Rock Climbing Log'!Y33,'RC Lookup'!$A$3:$B$9,2,FALSE),0.5),VLOOKUP('Rock Climbing Log'!Y33,'RC Lookup'!$G$3:$H$5,2,FALSE)),0)*VLOOKUP(Y$7,'RC Lookup'!$D$3:$E$18,2,FALSE)</f>
        <v>0</v>
      </c>
      <c r="Z33" s="26">
        <f>_xlfn.IFNA(IF(LEFT('Rock Climbing Log'!Z33)="C",_xlfn.IFNA(VLOOKUP('Rock Climbing Log'!Z33,'RC Lookup'!$A$3:$B$9,2,FALSE),0.5),VLOOKUP('Rock Climbing Log'!Z33,'RC Lookup'!$G$3:$H$5,2,FALSE)),0)*VLOOKUP(Y$7,'RC Lookup'!$D$3:$E$18,2,FALSE)</f>
        <v>0</v>
      </c>
      <c r="AA33" s="26">
        <f>_xlfn.IFNA(IF(LEFT('Rock Climbing Log'!AA33)="C",_xlfn.IFNA(VLOOKUP('Rock Climbing Log'!AA33,'RC Lookup'!$A$3:$B$9,2,FALSE),0.5),VLOOKUP('Rock Climbing Log'!AA33,'RC Lookup'!$G$3:$H$5,2,FALSE)),0)*VLOOKUP(Y$7,'RC Lookup'!$D$3:$E$18,2,FALSE)</f>
        <v>0</v>
      </c>
      <c r="AB33" s="26">
        <f>_xlfn.IFNA(IF(LEFT('Rock Climbing Log'!AB33)="C",_xlfn.IFNA(VLOOKUP('Rock Climbing Log'!AB33,'RC Lookup'!$A$3:$B$9,2,FALSE),0.5),VLOOKUP('Rock Climbing Log'!AB33,'RC Lookup'!$G$3:$H$5,2,FALSE)),0)*VLOOKUP(AB$7,'RC Lookup'!$D$3:$E$18,2,FALSE)</f>
        <v>54.034770578768224</v>
      </c>
      <c r="AC33" s="26">
        <f>_xlfn.IFNA(IF(LEFT('Rock Climbing Log'!AC33)="C",_xlfn.IFNA(VLOOKUP('Rock Climbing Log'!AC33,'RC Lookup'!$A$3:$B$9,2,FALSE),0.5),VLOOKUP('Rock Climbing Log'!AC33,'RC Lookup'!$G$3:$H$5,2,FALSE)),0)*VLOOKUP(AB$7,'RC Lookup'!$D$3:$E$18,2,FALSE)</f>
        <v>0</v>
      </c>
      <c r="AD33" s="26">
        <f>_xlfn.IFNA(IF(LEFT('Rock Climbing Log'!AD33)="C",_xlfn.IFNA(VLOOKUP('Rock Climbing Log'!AD33,'RC Lookup'!$A$3:$B$9,2,FALSE),0.5),VLOOKUP('Rock Climbing Log'!AD33,'RC Lookup'!$G$3:$H$5,2,FALSE)),0)*VLOOKUP(AB$7,'RC Lookup'!$D$3:$E$18,2,FALSE)</f>
        <v>0</v>
      </c>
      <c r="AE33" s="26">
        <f>_xlfn.IFNA(IF(LEFT('Rock Climbing Log'!AE33)="C",_xlfn.IFNA(VLOOKUP('Rock Climbing Log'!AE33,'RC Lookup'!$A$3:$B$9,2,FALSE),0.5),VLOOKUP('Rock Climbing Log'!AE33,'RC Lookup'!$G$3:$H$5,2,FALSE)),0)*VLOOKUP(AE$7,'RC Lookup'!$D$3:$E$18,2,FALSE)</f>
        <v>0</v>
      </c>
      <c r="AF33" s="26">
        <f>_xlfn.IFNA(IF(LEFT('Rock Climbing Log'!AF33)="C",_xlfn.IFNA(VLOOKUP('Rock Climbing Log'!AF33,'RC Lookup'!$A$3:$B$9,2,FALSE),0.5),VLOOKUP('Rock Climbing Log'!AF33,'RC Lookup'!$G$3:$H$5,2,FALSE)),0)*VLOOKUP(AE$7,'RC Lookup'!$D$3:$E$18,2,FALSE)</f>
        <v>0</v>
      </c>
      <c r="AG33" s="26">
        <f>_xlfn.IFNA(IF(LEFT('Rock Climbing Log'!AG33)="C",_xlfn.IFNA(VLOOKUP('Rock Climbing Log'!AG33,'RC Lookup'!$A$3:$B$9,2,FALSE),0.5),VLOOKUP('Rock Climbing Log'!AG33,'RC Lookup'!$G$3:$H$5,2,FALSE)),0)*VLOOKUP(AE$7,'RC Lookup'!$D$3:$E$18,2,FALSE)</f>
        <v>0</v>
      </c>
      <c r="AH33" s="26">
        <f>_xlfn.IFNA(IF(LEFT('Rock Climbing Log'!AH33)="C",_xlfn.IFNA(VLOOKUP('Rock Climbing Log'!AH33,'RC Lookup'!$A$3:$B$9,2,FALSE),0.5),VLOOKUP('Rock Climbing Log'!AH33,'RC Lookup'!$G$3:$H$5,2,FALSE)),0)*VLOOKUP(AH$7,'RC Lookup'!$D$3:$E$18,2,FALSE)</f>
        <v>0</v>
      </c>
      <c r="AI33" s="26">
        <f>_xlfn.IFNA(IF(LEFT('Rock Climbing Log'!AI33)="C",_xlfn.IFNA(VLOOKUP('Rock Climbing Log'!AI33,'RC Lookup'!$A$3:$B$9,2,FALSE),0.5),VLOOKUP('Rock Climbing Log'!AI33,'RC Lookup'!$G$3:$H$5,2,FALSE)),0)*VLOOKUP(AH$7,'RC Lookup'!$D$3:$E$18,2,FALSE)</f>
        <v>0</v>
      </c>
      <c r="AJ33" s="26">
        <f>_xlfn.IFNA(IF(LEFT('Rock Climbing Log'!AJ33)="C",_xlfn.IFNA(VLOOKUP('Rock Climbing Log'!AJ33,'RC Lookup'!$A$3:$B$9,2,FALSE),0.5),VLOOKUP('Rock Climbing Log'!AJ33,'RC Lookup'!$G$3:$H$5,2,FALSE)),0)*VLOOKUP(AH$7,'RC Lookup'!$D$3:$E$18,2,FALSE)</f>
        <v>0</v>
      </c>
      <c r="AK33" s="26">
        <f>_xlfn.IFNA(IF(LEFT('Rock Climbing Log'!AK33)="C",_xlfn.IFNA(VLOOKUP('Rock Climbing Log'!AK33,'RC Lookup'!$A$3:$B$9,2,FALSE),0.5),VLOOKUP('Rock Climbing Log'!AK33,'RC Lookup'!$G$3:$H$5,2,FALSE)),0)*VLOOKUP(AK$7,'RC Lookup'!$D$3:$E$18,2,FALSE)</f>
        <v>0</v>
      </c>
      <c r="AL33" s="26">
        <f>_xlfn.IFNA(IF(LEFT('Rock Climbing Log'!AL33)="C",_xlfn.IFNA(VLOOKUP('Rock Climbing Log'!AL33,'RC Lookup'!$A$3:$B$9,2,FALSE),0.5),VLOOKUP('Rock Climbing Log'!AL33,'RC Lookup'!$G$3:$H$5,2,FALSE)),0)*VLOOKUP(AK$7,'RC Lookup'!$D$3:$E$18,2,FALSE)</f>
        <v>0</v>
      </c>
      <c r="AM33" s="26">
        <f>_xlfn.IFNA(IF(LEFT('Rock Climbing Log'!AM33)="C",_xlfn.IFNA(VLOOKUP('Rock Climbing Log'!AM33,'RC Lookup'!$A$3:$B$9,2,FALSE),0.5),VLOOKUP('Rock Climbing Log'!AM33,'RC Lookup'!$G$3:$H$5,2,FALSE)),0)*VLOOKUP(AK$7,'RC Lookup'!$D$3:$E$18,2,FALSE)</f>
        <v>0</v>
      </c>
      <c r="AN33" s="26">
        <f>_xlfn.IFNA(IF(LEFT('Rock Climbing Log'!AN33)="C",_xlfn.IFNA(VLOOKUP('Rock Climbing Log'!AN33,'RC Lookup'!$A$3:$B$9,2,FALSE),0.5),VLOOKUP('Rock Climbing Log'!AN33,'RC Lookup'!$G$3:$H$5,2,FALSE)),0)*VLOOKUP(AN$7,'RC Lookup'!$D$3:$E$18,2,FALSE)</f>
        <v>0</v>
      </c>
      <c r="AO33" s="26">
        <f>_xlfn.IFNA(IF(LEFT('Rock Climbing Log'!AO33)="C",_xlfn.IFNA(VLOOKUP('Rock Climbing Log'!AO33,'RC Lookup'!$A$3:$B$9,2,FALSE),0.5),VLOOKUP('Rock Climbing Log'!AO33,'RC Lookup'!$G$3:$H$5,2,FALSE)),0)*VLOOKUP(AN$7,'RC Lookup'!$D$3:$E$18,2,FALSE)</f>
        <v>0</v>
      </c>
      <c r="AP33" s="26">
        <f>_xlfn.IFNA(IF(LEFT('Rock Climbing Log'!AP33)="C",_xlfn.IFNA(VLOOKUP('Rock Climbing Log'!AP33,'RC Lookup'!$A$3:$B$9,2,FALSE),0.5),VLOOKUP('Rock Climbing Log'!AP33,'RC Lookup'!$G$3:$H$5,2,FALSE)),0)*VLOOKUP(AN$7,'RC Lookup'!$D$3:$E$18,2,FALSE)</f>
        <v>0</v>
      </c>
      <c r="AQ33" s="26">
        <f>_xlfn.IFNA(IF(LEFT('Rock Climbing Log'!AQ33)="C",_xlfn.IFNA(VLOOKUP('Rock Climbing Log'!AQ33,'RC Lookup'!$A$3:$B$9,2,FALSE),0.5),VLOOKUP('Rock Climbing Log'!AQ33,'RC Lookup'!$G$3:$H$5,2,FALSE)),0)*VLOOKUP(AQ$7,'RC Lookup'!$D$3:$E$18,2,FALSE)</f>
        <v>0</v>
      </c>
      <c r="AR33" s="26">
        <f>_xlfn.IFNA(IF(LEFT('Rock Climbing Log'!AR33)="C",_xlfn.IFNA(VLOOKUP('Rock Climbing Log'!AR33,'RC Lookup'!$A$3:$B$9,2,FALSE),0.5),VLOOKUP('Rock Climbing Log'!AR33,'RC Lookup'!$G$3:$H$5,2,FALSE)),0)*VLOOKUP(AQ$7,'RC Lookup'!$D$3:$E$18,2,FALSE)</f>
        <v>0</v>
      </c>
      <c r="AS33" s="26">
        <f>_xlfn.IFNA(IF(LEFT('Rock Climbing Log'!AS33)="C",_xlfn.IFNA(VLOOKUP('Rock Climbing Log'!AS33,'RC Lookup'!$A$3:$B$9,2,FALSE),0.5),VLOOKUP('Rock Climbing Log'!AS33,'RC Lookup'!$G$3:$H$5,2,FALSE)),0)*VLOOKUP(AQ$7,'RC Lookup'!$D$3:$E$18,2,FALSE)</f>
        <v>0</v>
      </c>
      <c r="AT33" s="26">
        <f>_xlfn.IFNA(IF(LEFT('Rock Climbing Log'!AT33)="C",_xlfn.IFNA(VLOOKUP('Rock Climbing Log'!AT33,'RC Lookup'!$A$3:$B$9,2,FALSE),0.5),VLOOKUP('Rock Climbing Log'!AT33,'RC Lookup'!$G$3:$H$5,2,FALSE)),0)*VLOOKUP(AT$7,'RC Lookup'!$D$3:$E$18,2,FALSE)</f>
        <v>0</v>
      </c>
      <c r="AU33" s="26">
        <f>_xlfn.IFNA(IF(LEFT('Rock Climbing Log'!AU33)="C",_xlfn.IFNA(VLOOKUP('Rock Climbing Log'!AU33,'RC Lookup'!$A$3:$B$9,2,FALSE),0.5),VLOOKUP('Rock Climbing Log'!AU33,'RC Lookup'!$G$3:$H$5,2,FALSE)),0)*VLOOKUP(AT$7,'RC Lookup'!$D$3:$E$18,2,FALSE)</f>
        <v>0</v>
      </c>
      <c r="AV33" s="26">
        <f>_xlfn.IFNA(IF(LEFT('Rock Climbing Log'!AV33)="C",_xlfn.IFNA(VLOOKUP('Rock Climbing Log'!AV33,'RC Lookup'!$A$3:$B$9,2,FALSE),0.5),VLOOKUP('Rock Climbing Log'!AV33,'RC Lookup'!$G$3:$H$5,2,FALSE)),0)*VLOOKUP(AT$7,'RC Lookup'!$D$3:$E$18,2,FALSE)</f>
        <v>0</v>
      </c>
      <c r="AW33" s="30">
        <f t="shared" ca="1" si="0"/>
        <v>113.21450632116824</v>
      </c>
      <c r="AX33" s="30">
        <f ca="1">_xlfn.IFNA(VLOOKUP(SUMPRODUCT(LARGE(($C$8:$C33=Table1[[#This Row],[Climber]])*$A$8:$A33,1)),$A$8:$AW33,MATCH($AW$7,$A$7:$AW$7,FALSE),FALSE),0)/LEFT($AX$7,FIND(" ",$AX$7))+_xlfn.IFNA(VLOOKUP(SUMPRODUCT(LARGE(($C$8:$C33=Table1[[#This Row],[Climber]])*$A$8:$A33,MIN(2,COUNTIFS($C$8:$C33,$C33)))),$A$8:$AW33,MATCH($AW$7,$A$7:$AW$7,FALSE),FALSE),0)/LEFT($AX$7,FIND(" ",$AX$7))+_xlfn.IFNA(VLOOKUP(SUMPRODUCT(LARGE(($C$8:$C33=Table1[[#This Row],[Climber]])*$A$8:$A33,MIN(3,COUNTIFS($C$8:$C33,$C33)))),$A$8:$AW33,MATCH($AW$7,$A$7:$AW$7,FALSE),FALSE),0)/LEFT($AX$7,FIND(" ",$AX$7))</f>
        <v>90.382566173704134</v>
      </c>
      <c r="AY33" s="30">
        <f ca="1">_xlfn.IFNA(VLOOKUP(SUMPRODUCT(LARGE(($C$8:$C33=Table1[[#This Row],[Climber]])*$A$8:$A33,1)),$A$8:$AW33,MATCH($AW$7,$A$7:$AW$7,FALSE),FALSE),0)/LEFT($AY$7,FIND(" ",$AY$7))+_xlfn.IFNA(VLOOKUP(SUMPRODUCT(LARGE(($C$8:$C33=Table1[[#This Row],[Climber]])*$A$8:$A33,MIN(2,COUNTIFS($C$8:$C33,$C33)))),$A$8:$AW33,MATCH($AW$7,$A$7:$AW$7,FALSE),FALSE),0)/LEFT($AY$7,FIND(" ",$AY$7))+_xlfn.IFNA(VLOOKUP(SUMPRODUCT(LARGE(($C$8:$C33=Table1[[#This Row],[Climber]])*$A$8:$A33,MIN(3,COUNTIFS($C$8:$C33,$C33)))),$A$8:$AW33,MATCH($AW$7,$A$7:$AW$7,FALSE),FALSE),0)/LEFT($AY$7,FIND(" ",$AY$7))+_xlfn.IFNA(VLOOKUP(SUMPRODUCT(LARGE(($C$8:$C33=Table1[[#This Row],[Climber]])*$A$8:$A33,MIN(4,COUNTIFS($C$8:$C33,$C33)))),$A$8:$AW33,MATCH($AW$7,$A$7:$AW$7,FALSE),FALSE),0)/LEFT($AY$7,FIND(" ",$AY$7))+_xlfn.IFNA(VLOOKUP(SUMPRODUCT(LARGE(($C$8:$C33=Table1[[#This Row],[Climber]])*$A$8:$A33,MIN(5,COUNTIFS($C$8:$C33,$C33)))),$A$8:$AW33,MATCH($AW$7,$A$7:$AW$7,FALSE),FALSE),0)/LEFT($AY$7,FIND(" ",$AY$7))</f>
        <v>78.181245807704414</v>
      </c>
      <c r="AZ33" s="30">
        <f ca="1">(_xlfn.IFNA(VLOOKUP(SUMPRODUCT(LARGE(($C$8:$C33=Table1[[#This Row],[Climber]])*$A$8:$A33,4)),$A$8:$AW33,MATCH($AW$7,$A$7:$AW$7,FALSE),FALSE),0)+_xlfn.IFNA(VLOOKUP(SUMPRODUCT(LARGE(($C$8:$C33=Table1[[#This Row],[Climber]])*$A$8:$A33,5)),$A$8:$AW33,MATCH($AW$7,$A$7:$AW$7,FALSE),FALSE),0)+_xlfn.IFNA(VLOOKUP(SUMPRODUCT(LARGE(($C$8:$C33=Table1[[#This Row],[Climber]])*$A$8:$A33,6)),$A$8:$AW33,MATCH($AW$7,$A$7:$AW$7,FALSE),FALSE),0))/3</f>
        <v>39.919510172469877</v>
      </c>
      <c r="BA33" s="6">
        <f ca="1">_xlfn.MAXIFS(INDIRECT("$AW"&amp;IF(SUMPRODUCT(LARGE(($C$8:$C33=$C33)*$A$8:$A33,LEFT($BA$7,FIND(" ",$BA$7)-1)))=0,8,SUMPRODUCT(LARGE(($C$8:$C33=$C33)*$A$8:$A33,LEFT($BA$7,FIND(" ",$BA$7)-1)))+7)&amp;":$AW"&amp;ROW()),INDIRECT("$C"&amp;IF(SUMPRODUCT(LARGE(($C$8:$C33=$C33)*$A$8:$A33,LEFT($BA$7,FIND(" ",$BA$7)-1)))=0,8,SUMPRODUCT(LARGE(($C$8:$C33=$C33)*$A$8:$A33,LEFT($BA$7,FIND(" ",$BA$7)-1)))+7)&amp;":$C"&amp;ROW()),$C33)</f>
        <v>113.21450632116824</v>
      </c>
      <c r="BB33" s="6" t="str">
        <f ca="1">VLOOKUP(MAX(BG33,$AX33),'RC Lookup'!$G$14:$J$20,2,TRUE)</f>
        <v>T3</v>
      </c>
      <c r="BC33" s="6">
        <f ca="1">_xlfn.IFNA(VLOOKUP(VLOOKUP($C33,'RC Lookup'!$O$3:$P$50,2,FALSE),'RC Lookup'!$H$14:$J$23,2,FALSE),0)*AW33</f>
        <v>86.881616136550448</v>
      </c>
      <c r="BD33" s="6">
        <f ca="1">_xlfn.IFNA(VLOOKUP(SUMPRODUCT(LARGE(($C$8:$C33=Table1[[#This Row],[Climber]])*$A$8:$A33,1)),$A$8:$BC33,55,FALSE),0)/LEFT($AX$7,FIND(" ",$AX$7))+_xlfn.IFNA(VLOOKUP(SUMPRODUCT(LARGE(($C$8:$C33=Table1[[#This Row],[Climber]])*$A$8:$A33,MIN(2,COUNTIFS($C$8:$C33,$C33)))),$A$8:$BC33,55,FALSE),0)/LEFT($AX$7,FIND(" ",$AX$7))+_xlfn.IFNA(VLOOKUP(SUMPRODUCT(LARGE(($C$8:$C33=Table1[[#This Row],[Climber]])*$A$8:$A33,MIN(3,COUNTIFS($C$8:$C33,$C33)))),$A$8:$BC33,55,FALSE),0)/LEFT($AX$7,FIND(" ",$AX$7))</f>
        <v>69.360223127801575</v>
      </c>
      <c r="BE33" s="6">
        <f ca="1">(_xlfn.IFNA(VLOOKUP(SUMPRODUCT(LARGE(($C$8:$C33=Table1[[#This Row],[Climber]])*$A$8:$A33,4)),$A$8:$BD33,55,FALSE),0)+_xlfn.IFNA(VLOOKUP(SUMPRODUCT(LARGE(($C$8:$C33=Table1[[#This Row],[Climber]])*$A$8:$A33,5)),$A$8:$BD33,55,FALSE),0)+_xlfn.IFNA(VLOOKUP(SUMPRODUCT(LARGE(($C$8:$C33=Table1[[#This Row],[Climber]])*$A$8:$A33,6)),$A$8:$BD33,55,FALSE),0))/3</f>
        <v>30.634515592240586</v>
      </c>
      <c r="BF33" s="46">
        <f ca="1">_xlfn.MAXIFS(INDIRECT("$BC"&amp;IF(SUMPRODUCT(LARGE(($C$8:$C33=$C33)*$A$8:$A33,LEFT($BA$7,FIND(" ",$BA$7)-1)))=0,8,SUMPRODUCT(LARGE(($C$8:$C33=$C33)*$A$8:$A33,LEFT($BA$7,FIND(" ",$BA$7)-1)))+7)&amp;":$BC"&amp;ROW()),INDIRECT("$C"&amp;IF(SUMPRODUCT(LARGE(($C$8:$C33=$C33)*$A$8:$A33,LEFT($BA$7,FIND(" ",$BA$7)-1)))=0,8,SUMPRODUCT(LARGE(($C$8:$C33=$C33)*$A$8:$A33,LEFT($BA$7,FIND(" ",$BA$7)-1)))+7)&amp;":$C"&amp;ROW()),$C33)</f>
        <v>86.881616136550448</v>
      </c>
      <c r="BG33" s="46">
        <f t="array" aca="1" ref="BG33" ca="1">IFERROR(SUMPRODUCT(LARGE(($C$8:$C33=Table1[[#This Row],[Climber]])*$AW$8:$AW33,ROW(INDIRECT("1:5")))),AW33)/MIN(COUNTIFS($C$8:$C33,C33),5)</f>
        <v>78.1812458077044</v>
      </c>
      <c r="BH33" s="46"/>
    </row>
    <row r="34" spans="1:60" x14ac:dyDescent="0.3">
      <c r="A34" s="125">
        <f t="shared" si="1"/>
        <v>27</v>
      </c>
      <c r="B34" s="25">
        <f>'Rock Climbing Log'!B34</f>
        <v>43130</v>
      </c>
      <c r="C34" s="126" t="str">
        <f>'Rock Climbing Log'!C34</f>
        <v>Lester</v>
      </c>
      <c r="D34" s="26">
        <f>_xlfn.IFNA(IF(LEFT('Rock Climbing Log'!D34)="C",_xlfn.IFNA(VLOOKUP('Rock Climbing Log'!D34,'RC Lookup'!$A$3:$B$9,2,FALSE),0.5),VLOOKUP('Rock Climbing Log'!D34,'RC Lookup'!$G$3:$H$5,2,FALSE)),0)*VLOOKUP(D$7,'RC Lookup'!$D$3:$E$18,2,FALSE)</f>
        <v>0</v>
      </c>
      <c r="E34" s="26">
        <f>_xlfn.IFNA(IF(LEFT('Rock Climbing Log'!E34)="C",_xlfn.IFNA(VLOOKUP('Rock Climbing Log'!E34,'RC Lookup'!$A$3:$B$9,2,FALSE),0.5),VLOOKUP('Rock Climbing Log'!E34,'RC Lookup'!$G$3:$H$5,2,FALSE)),0)*VLOOKUP(D$7,'RC Lookup'!$D$3:$E$18,2,FALSE)</f>
        <v>0</v>
      </c>
      <c r="F34" s="26">
        <f>_xlfn.IFNA(IF(LEFT('Rock Climbing Log'!F34)="C",_xlfn.IFNA(VLOOKUP('Rock Climbing Log'!F34,'RC Lookup'!$A$3:$B$9,2,FALSE),0.5),VLOOKUP('Rock Climbing Log'!F34,'RC Lookup'!$G$3:$H$5,2,FALSE)),0)*VLOOKUP(D$7,'RC Lookup'!$D$3:$E$18,2,FALSE)</f>
        <v>0</v>
      </c>
      <c r="G34" s="26">
        <f>_xlfn.IFNA(IF(LEFT('Rock Climbing Log'!G34)="C",_xlfn.IFNA(VLOOKUP('Rock Climbing Log'!G34,'RC Lookup'!$A$3:$B$9,2,FALSE),0.5),VLOOKUP('Rock Climbing Log'!G34,'RC Lookup'!$G$3:$H$5,2,FALSE)),0)*VLOOKUP(G$7,'RC Lookup'!$D$3:$E$18,2,FALSE)</f>
        <v>0</v>
      </c>
      <c r="H34" s="26">
        <f>_xlfn.IFNA(IF(LEFT('Rock Climbing Log'!H34)="C",_xlfn.IFNA(VLOOKUP('Rock Climbing Log'!H34,'RC Lookup'!$A$3:$B$9,2,FALSE),0.5),VLOOKUP('Rock Climbing Log'!H34,'RC Lookup'!$G$3:$H$5,2,FALSE)),0)*VLOOKUP(G$7,'RC Lookup'!$D$3:$E$18,2,FALSE)</f>
        <v>0</v>
      </c>
      <c r="I34" s="26">
        <f>_xlfn.IFNA(IF(LEFT('Rock Climbing Log'!I34)="C",_xlfn.IFNA(VLOOKUP('Rock Climbing Log'!I34,'RC Lookup'!$A$3:$B$9,2,FALSE),0.5),VLOOKUP('Rock Climbing Log'!I34,'RC Lookup'!$G$3:$H$5,2,FALSE)),0)*VLOOKUP(G$7,'RC Lookup'!$D$3:$E$18,2,FALSE)</f>
        <v>0</v>
      </c>
      <c r="J34" s="26">
        <f>_xlfn.IFNA(IF(LEFT('Rock Climbing Log'!J34)="C",_xlfn.IFNA(VLOOKUP('Rock Climbing Log'!J34,'RC Lookup'!$A$3:$B$9,2,FALSE),0.5),VLOOKUP('Rock Climbing Log'!J34,'RC Lookup'!$G$3:$H$5,2,FALSE)),0)*VLOOKUP(J$7,'RC Lookup'!$D$3:$E$18,2,FALSE)</f>
        <v>0</v>
      </c>
      <c r="K34" s="26">
        <f>_xlfn.IFNA(IF(LEFT('Rock Climbing Log'!K34)="C",_xlfn.IFNA(VLOOKUP('Rock Climbing Log'!K34,'RC Lookup'!$A$3:$B$9,2,FALSE),0.5),VLOOKUP('Rock Climbing Log'!K34,'RC Lookup'!$G$3:$H$5,2,FALSE)),0)*VLOOKUP(J$7,'RC Lookup'!$D$3:$E$18,2,FALSE)</f>
        <v>0</v>
      </c>
      <c r="L34" s="26">
        <f>_xlfn.IFNA(IF(LEFT('Rock Climbing Log'!L34)="C",_xlfn.IFNA(VLOOKUP('Rock Climbing Log'!L34,'RC Lookup'!$A$3:$B$9,2,FALSE),0.5),VLOOKUP('Rock Climbing Log'!L34,'RC Lookup'!$G$3:$H$5,2,FALSE)),0)*VLOOKUP(J$7,'RC Lookup'!$D$3:$E$18,2,FALSE)</f>
        <v>0</v>
      </c>
      <c r="M34" s="26">
        <f>_xlfn.IFNA(IF(LEFT('Rock Climbing Log'!M34)="C",_xlfn.IFNA(VLOOKUP('Rock Climbing Log'!M34,'RC Lookup'!$A$3:$B$9,2,FALSE),0.5),VLOOKUP('Rock Climbing Log'!M34,'RC Lookup'!$G$3:$H$5,2,FALSE)),0)*VLOOKUP(M$7,'RC Lookup'!$D$3:$E$18,2,FALSE)</f>
        <v>20.002500000000001</v>
      </c>
      <c r="N34" s="26">
        <f>_xlfn.IFNA(IF(LEFT('Rock Climbing Log'!N34)="C",_xlfn.IFNA(VLOOKUP('Rock Climbing Log'!N34,'RC Lookup'!$A$3:$B$9,2,FALSE),0.5),VLOOKUP('Rock Climbing Log'!N34,'RC Lookup'!$G$3:$H$5,2,FALSE)),0)*VLOOKUP(M$7,'RC Lookup'!$D$3:$E$18,2,FALSE)</f>
        <v>0</v>
      </c>
      <c r="O34" s="26">
        <f>_xlfn.IFNA(IF(LEFT('Rock Climbing Log'!O34)="C",_xlfn.IFNA(VLOOKUP('Rock Climbing Log'!O34,'RC Lookup'!$A$3:$B$9,2,FALSE),0.5),VLOOKUP('Rock Climbing Log'!O34,'RC Lookup'!$G$3:$H$5,2,FALSE)),0)*VLOOKUP(M$7,'RC Lookup'!$D$3:$E$18,2,FALSE)</f>
        <v>0</v>
      </c>
      <c r="P34" s="26">
        <f>_xlfn.IFNA(IF(LEFT('Rock Climbing Log'!P34)="C",_xlfn.IFNA(VLOOKUP('Rock Climbing Log'!P34,'RC Lookup'!$A$3:$B$9,2,FALSE),0.5),VLOOKUP('Rock Climbing Log'!P34,'RC Lookup'!$G$3:$H$5,2,FALSE)),0)*VLOOKUP(P$7,'RC Lookup'!$D$3:$E$18,2,FALSE)</f>
        <v>0</v>
      </c>
      <c r="Q34" s="26">
        <f>_xlfn.IFNA(IF(LEFT('Rock Climbing Log'!Q34)="C",_xlfn.IFNA(VLOOKUP('Rock Climbing Log'!Q34,'RC Lookup'!$A$3:$B$9,2,FALSE),0.5),VLOOKUP('Rock Climbing Log'!Q34,'RC Lookup'!$G$3:$H$5,2,FALSE)),0)*VLOOKUP(P$7,'RC Lookup'!$D$3:$E$18,2,FALSE)</f>
        <v>0</v>
      </c>
      <c r="R34" s="26">
        <f>_xlfn.IFNA(IF(LEFT('Rock Climbing Log'!R34)="C",_xlfn.IFNA(VLOOKUP('Rock Climbing Log'!R34,'RC Lookup'!$A$3:$B$9,2,FALSE),0.5),VLOOKUP('Rock Climbing Log'!R34,'RC Lookup'!$G$3:$H$5,2,FALSE)),0)*VLOOKUP(P$7,'RC Lookup'!$D$3:$E$18,2,FALSE)</f>
        <v>0</v>
      </c>
      <c r="S34" s="26">
        <f>_xlfn.IFNA(IF(LEFT('Rock Climbing Log'!S34)="C",_xlfn.IFNA(VLOOKUP('Rock Climbing Log'!S34,'RC Lookup'!$A$3:$B$9,2,FALSE),0.5),VLOOKUP('Rock Climbing Log'!S34,'RC Lookup'!$G$3:$H$5,2,FALSE)),0)*VLOOKUP(S$7,'RC Lookup'!$D$3:$E$18,2,FALSE)</f>
        <v>0</v>
      </c>
      <c r="T34" s="26">
        <f>_xlfn.IFNA(IF(LEFT('Rock Climbing Log'!T34)="C",_xlfn.IFNA(VLOOKUP('Rock Climbing Log'!T34,'RC Lookup'!$A$3:$B$9,2,FALSE),0.5),VLOOKUP('Rock Climbing Log'!T34,'RC Lookup'!$G$3:$H$5,2,FALSE)),0)*VLOOKUP(S$7,'RC Lookup'!$D$3:$E$18,2,FALSE)</f>
        <v>0</v>
      </c>
      <c r="U34" s="26">
        <f>_xlfn.IFNA(IF(LEFT('Rock Climbing Log'!U34)="C",_xlfn.IFNA(VLOOKUP('Rock Climbing Log'!U34,'RC Lookup'!$A$3:$B$9,2,FALSE),0.5),VLOOKUP('Rock Climbing Log'!U34,'RC Lookup'!$G$3:$H$5,2,FALSE)),0)*VLOOKUP(S$7,'RC Lookup'!$D$3:$E$18,2,FALSE)</f>
        <v>0</v>
      </c>
      <c r="V34" s="26">
        <f>_xlfn.IFNA(IF(LEFT('Rock Climbing Log'!V34)="C",_xlfn.IFNA(VLOOKUP('Rock Climbing Log'!V34,'RC Lookup'!$A$3:$B$9,2,FALSE),0.5),VLOOKUP('Rock Climbing Log'!V34,'RC Lookup'!$G$3:$H$5,2,FALSE)),0)*VLOOKUP(V$7,'RC Lookup'!$D$3:$E$18,2,FALSE)</f>
        <v>35.256745742400021</v>
      </c>
      <c r="W34" s="26">
        <f>_xlfn.IFNA(IF(LEFT('Rock Climbing Log'!W34)="C",_xlfn.IFNA(VLOOKUP('Rock Climbing Log'!W34,'RC Lookup'!$A$3:$B$9,2,FALSE),0.5),VLOOKUP('Rock Climbing Log'!W34,'RC Lookup'!$G$3:$H$5,2,FALSE)),0)*VLOOKUP(V$7,'RC Lookup'!$D$3:$E$18,2,FALSE)</f>
        <v>0</v>
      </c>
      <c r="X34" s="26">
        <f>_xlfn.IFNA(IF(LEFT('Rock Climbing Log'!X34)="C",_xlfn.IFNA(VLOOKUP('Rock Climbing Log'!X34,'RC Lookup'!$A$3:$B$9,2,FALSE),0.5),VLOOKUP('Rock Climbing Log'!X34,'RC Lookup'!$G$3:$H$5,2,FALSE)),0)*VLOOKUP(V$7,'RC Lookup'!$D$3:$E$18,2,FALSE)</f>
        <v>0</v>
      </c>
      <c r="Y34" s="26">
        <f>_xlfn.IFNA(IF(LEFT('Rock Climbing Log'!Y34)="C",_xlfn.IFNA(VLOOKUP('Rock Climbing Log'!Y34,'RC Lookup'!$A$3:$B$9,2,FALSE),0.5),VLOOKUP('Rock Climbing Log'!Y34,'RC Lookup'!$G$3:$H$5,2,FALSE)),0)*VLOOKUP(Y$7,'RC Lookup'!$D$3:$E$18,2,FALSE)</f>
        <v>0</v>
      </c>
      <c r="Z34" s="26">
        <f>_xlfn.IFNA(IF(LEFT('Rock Climbing Log'!Z34)="C",_xlfn.IFNA(VLOOKUP('Rock Climbing Log'!Z34,'RC Lookup'!$A$3:$B$9,2,FALSE),0.5),VLOOKUP('Rock Climbing Log'!Z34,'RC Lookup'!$G$3:$H$5,2,FALSE)),0)*VLOOKUP(Y$7,'RC Lookup'!$D$3:$E$18,2,FALSE)</f>
        <v>0</v>
      </c>
      <c r="AA34" s="26">
        <f>_xlfn.IFNA(IF(LEFT('Rock Climbing Log'!AA34)="C",_xlfn.IFNA(VLOOKUP('Rock Climbing Log'!AA34,'RC Lookup'!$A$3:$B$9,2,FALSE),0.5),VLOOKUP('Rock Climbing Log'!AA34,'RC Lookup'!$G$3:$H$5,2,FALSE)),0)*VLOOKUP(Y$7,'RC Lookup'!$D$3:$E$18,2,FALSE)</f>
        <v>0</v>
      </c>
      <c r="AB34" s="26">
        <f>_xlfn.IFNA(IF(LEFT('Rock Climbing Log'!AB34)="C",_xlfn.IFNA(VLOOKUP('Rock Climbing Log'!AB34,'RC Lookup'!$A$3:$B$9,2,FALSE),0.5),VLOOKUP('Rock Climbing Log'!AB34,'RC Lookup'!$G$3:$H$5,2,FALSE)),0)*VLOOKUP(AB$7,'RC Lookup'!$D$3:$E$18,2,FALSE)</f>
        <v>0</v>
      </c>
      <c r="AC34" s="26">
        <f>_xlfn.IFNA(IF(LEFT('Rock Climbing Log'!AC34)="C",_xlfn.IFNA(VLOOKUP('Rock Climbing Log'!AC34,'RC Lookup'!$A$3:$B$9,2,FALSE),0.5),VLOOKUP('Rock Climbing Log'!AC34,'RC Lookup'!$G$3:$H$5,2,FALSE)),0)*VLOOKUP(AB$7,'RC Lookup'!$D$3:$E$18,2,FALSE)</f>
        <v>0</v>
      </c>
      <c r="AD34" s="26">
        <f>_xlfn.IFNA(IF(LEFT('Rock Climbing Log'!AD34)="C",_xlfn.IFNA(VLOOKUP('Rock Climbing Log'!AD34,'RC Lookup'!$A$3:$B$9,2,FALSE),0.5),VLOOKUP('Rock Climbing Log'!AD34,'RC Lookup'!$G$3:$H$5,2,FALSE)),0)*VLOOKUP(AB$7,'RC Lookup'!$D$3:$E$18,2,FALSE)</f>
        <v>0</v>
      </c>
      <c r="AE34" s="26">
        <f>_xlfn.IFNA(IF(LEFT('Rock Climbing Log'!AE34)="C",_xlfn.IFNA(VLOOKUP('Rock Climbing Log'!AE34,'RC Lookup'!$A$3:$B$9,2,FALSE),0.5),VLOOKUP('Rock Climbing Log'!AE34,'RC Lookup'!$G$3:$H$5,2,FALSE)),0)*VLOOKUP(AE$7,'RC Lookup'!$D$3:$E$18,2,FALSE)</f>
        <v>67.867671846932893</v>
      </c>
      <c r="AF34" s="26">
        <f>_xlfn.IFNA(IF(LEFT('Rock Climbing Log'!AF34)="C",_xlfn.IFNA(VLOOKUP('Rock Climbing Log'!AF34,'RC Lookup'!$A$3:$B$9,2,FALSE),0.5),VLOOKUP('Rock Climbing Log'!AF34,'RC Lookup'!$G$3:$H$5,2,FALSE)),0)*VLOOKUP(AE$7,'RC Lookup'!$D$3:$E$18,2,FALSE)</f>
        <v>67.867671846932893</v>
      </c>
      <c r="AG34" s="26">
        <f>_xlfn.IFNA(IF(LEFT('Rock Climbing Log'!AG34)="C",_xlfn.IFNA(VLOOKUP('Rock Climbing Log'!AG34,'RC Lookup'!$A$3:$B$9,2,FALSE),0.5),VLOOKUP('Rock Climbing Log'!AG34,'RC Lookup'!$G$3:$H$5,2,FALSE)),0)*VLOOKUP(AE$7,'RC Lookup'!$D$3:$E$18,2,FALSE)</f>
        <v>0</v>
      </c>
      <c r="AH34" s="26">
        <f>_xlfn.IFNA(IF(LEFT('Rock Climbing Log'!AH34)="C",_xlfn.IFNA(VLOOKUP('Rock Climbing Log'!AH34,'RC Lookup'!$A$3:$B$9,2,FALSE),0.5),VLOOKUP('Rock Climbing Log'!AH34,'RC Lookup'!$G$3:$H$5,2,FALSE)),0)*VLOOKUP(AH$7,'RC Lookup'!$D$3:$E$18,2,FALSE)</f>
        <v>0</v>
      </c>
      <c r="AI34" s="26">
        <f>_xlfn.IFNA(IF(LEFT('Rock Climbing Log'!AI34)="C",_xlfn.IFNA(VLOOKUP('Rock Climbing Log'!AI34,'RC Lookup'!$A$3:$B$9,2,FALSE),0.5),VLOOKUP('Rock Climbing Log'!AI34,'RC Lookup'!$G$3:$H$5,2,FALSE)),0)*VLOOKUP(AH$7,'RC Lookup'!$D$3:$E$18,2,FALSE)</f>
        <v>0</v>
      </c>
      <c r="AJ34" s="26">
        <f>_xlfn.IFNA(IF(LEFT('Rock Climbing Log'!AJ34)="C",_xlfn.IFNA(VLOOKUP('Rock Climbing Log'!AJ34,'RC Lookup'!$A$3:$B$9,2,FALSE),0.5),VLOOKUP('Rock Climbing Log'!AJ34,'RC Lookup'!$G$3:$H$5,2,FALSE)),0)*VLOOKUP(AH$7,'RC Lookup'!$D$3:$E$18,2,FALSE)</f>
        <v>0</v>
      </c>
      <c r="AK34" s="26">
        <f>_xlfn.IFNA(IF(LEFT('Rock Climbing Log'!AK34)="C",_xlfn.IFNA(VLOOKUP('Rock Climbing Log'!AK34,'RC Lookup'!$A$3:$B$9,2,FALSE),0.5),VLOOKUP('Rock Climbing Log'!AK34,'RC Lookup'!$G$3:$H$5,2,FALSE)),0)*VLOOKUP(AK$7,'RC Lookup'!$D$3:$E$18,2,FALSE)</f>
        <v>0</v>
      </c>
      <c r="AL34" s="26">
        <f>_xlfn.IFNA(IF(LEFT('Rock Climbing Log'!AL34)="C",_xlfn.IFNA(VLOOKUP('Rock Climbing Log'!AL34,'RC Lookup'!$A$3:$B$9,2,FALSE),0.5),VLOOKUP('Rock Climbing Log'!AL34,'RC Lookup'!$G$3:$H$5,2,FALSE)),0)*VLOOKUP(AK$7,'RC Lookup'!$D$3:$E$18,2,FALSE)</f>
        <v>0</v>
      </c>
      <c r="AM34" s="26">
        <f>_xlfn.IFNA(IF(LEFT('Rock Climbing Log'!AM34)="C",_xlfn.IFNA(VLOOKUP('Rock Climbing Log'!AM34,'RC Lookup'!$A$3:$B$9,2,FALSE),0.5),VLOOKUP('Rock Climbing Log'!AM34,'RC Lookup'!$G$3:$H$5,2,FALSE)),0)*VLOOKUP(AK$7,'RC Lookup'!$D$3:$E$18,2,FALSE)</f>
        <v>0</v>
      </c>
      <c r="AN34" s="26">
        <f>_xlfn.IFNA(IF(LEFT('Rock Climbing Log'!AN34)="C",_xlfn.IFNA(VLOOKUP('Rock Climbing Log'!AN34,'RC Lookup'!$A$3:$B$9,2,FALSE),0.5),VLOOKUP('Rock Climbing Log'!AN34,'RC Lookup'!$G$3:$H$5,2,FALSE)),0)*VLOOKUP(AN$7,'RC Lookup'!$D$3:$E$18,2,FALSE)</f>
        <v>0</v>
      </c>
      <c r="AO34" s="26">
        <f>_xlfn.IFNA(IF(LEFT('Rock Climbing Log'!AO34)="C",_xlfn.IFNA(VLOOKUP('Rock Climbing Log'!AO34,'RC Lookup'!$A$3:$B$9,2,FALSE),0.5),VLOOKUP('Rock Climbing Log'!AO34,'RC Lookup'!$G$3:$H$5,2,FALSE)),0)*VLOOKUP(AN$7,'RC Lookup'!$D$3:$E$18,2,FALSE)</f>
        <v>0</v>
      </c>
      <c r="AP34" s="26">
        <f>_xlfn.IFNA(IF(LEFT('Rock Climbing Log'!AP34)="C",_xlfn.IFNA(VLOOKUP('Rock Climbing Log'!AP34,'RC Lookup'!$A$3:$B$9,2,FALSE),0.5),VLOOKUP('Rock Climbing Log'!AP34,'RC Lookup'!$G$3:$H$5,2,FALSE)),0)*VLOOKUP(AN$7,'RC Lookup'!$D$3:$E$18,2,FALSE)</f>
        <v>0</v>
      </c>
      <c r="AQ34" s="26">
        <f>_xlfn.IFNA(IF(LEFT('Rock Climbing Log'!AQ34)="C",_xlfn.IFNA(VLOOKUP('Rock Climbing Log'!AQ34,'RC Lookup'!$A$3:$B$9,2,FALSE),0.5),VLOOKUP('Rock Climbing Log'!AQ34,'RC Lookup'!$G$3:$H$5,2,FALSE)),0)*VLOOKUP(AQ$7,'RC Lookup'!$D$3:$E$18,2,FALSE)</f>
        <v>92.790236975671462</v>
      </c>
      <c r="AR34" s="26">
        <f>_xlfn.IFNA(IF(LEFT('Rock Climbing Log'!AR34)="C",_xlfn.IFNA(VLOOKUP('Rock Climbing Log'!AR34,'RC Lookup'!$A$3:$B$9,2,FALSE),0.5),VLOOKUP('Rock Climbing Log'!AR34,'RC Lookup'!$G$3:$H$5,2,FALSE)),0)*VLOOKUP(AQ$7,'RC Lookup'!$D$3:$E$18,2,FALSE)</f>
        <v>0</v>
      </c>
      <c r="AS34" s="26">
        <f>_xlfn.IFNA(IF(LEFT('Rock Climbing Log'!AS34)="C",_xlfn.IFNA(VLOOKUP('Rock Climbing Log'!AS34,'RC Lookup'!$A$3:$B$9,2,FALSE),0.5),VLOOKUP('Rock Climbing Log'!AS34,'RC Lookup'!$G$3:$H$5,2,FALSE)),0)*VLOOKUP(AQ$7,'RC Lookup'!$D$3:$E$18,2,FALSE)</f>
        <v>0</v>
      </c>
      <c r="AT34" s="26">
        <f>_xlfn.IFNA(IF(LEFT('Rock Climbing Log'!AT34)="C",_xlfn.IFNA(VLOOKUP('Rock Climbing Log'!AT34,'RC Lookup'!$A$3:$B$9,2,FALSE),0.5),VLOOKUP('Rock Climbing Log'!AT34,'RC Lookup'!$G$3:$H$5,2,FALSE)),0)*VLOOKUP(AT$7,'RC Lookup'!$D$3:$E$18,2,FALSE)</f>
        <v>0</v>
      </c>
      <c r="AU34" s="26">
        <f>_xlfn.IFNA(IF(LEFT('Rock Climbing Log'!AU34)="C",_xlfn.IFNA(VLOOKUP('Rock Climbing Log'!AU34,'RC Lookup'!$A$3:$B$9,2,FALSE),0.5),VLOOKUP('Rock Climbing Log'!AU34,'RC Lookup'!$G$3:$H$5,2,FALSE)),0)*VLOOKUP(AT$7,'RC Lookup'!$D$3:$E$18,2,FALSE)</f>
        <v>0</v>
      </c>
      <c r="AV34" s="26">
        <f>_xlfn.IFNA(IF(LEFT('Rock Climbing Log'!AV34)="C",_xlfn.IFNA(VLOOKUP('Rock Climbing Log'!AV34,'RC Lookup'!$A$3:$B$9,2,FALSE),0.5),VLOOKUP('Rock Climbing Log'!AV34,'RC Lookup'!$G$3:$H$5,2,FALSE)),0)*VLOOKUP(AT$7,'RC Lookup'!$D$3:$E$18,2,FALSE)</f>
        <v>0</v>
      </c>
      <c r="AW34" s="30">
        <f t="shared" ca="1" si="0"/>
        <v>228.52558066953725</v>
      </c>
      <c r="AX34" s="30">
        <f ca="1">_xlfn.IFNA(VLOOKUP(SUMPRODUCT(LARGE(($C$8:$C34=Table1[[#This Row],[Climber]])*$A$8:$A34,1)),$A$8:$AW34,MATCH($AW$7,$A$7:$AW$7,FALSE),FALSE),0)/LEFT($AX$7,FIND(" ",$AX$7))+_xlfn.IFNA(VLOOKUP(SUMPRODUCT(LARGE(($C$8:$C34=Table1[[#This Row],[Climber]])*$A$8:$A34,MIN(2,COUNTIFS($C$8:$C34,$C34)))),$A$8:$AW34,MATCH($AW$7,$A$7:$AW$7,FALSE),FALSE),0)/LEFT($AX$7,FIND(" ",$AX$7))+_xlfn.IFNA(VLOOKUP(SUMPRODUCT(LARGE(($C$8:$C34=Table1[[#This Row],[Climber]])*$A$8:$A34,MIN(3,COUNTIFS($C$8:$C34,$C34)))),$A$8:$AW34,MATCH($AW$7,$A$7:$AW$7,FALSE),FALSE),0)/LEFT($AX$7,FIND(" ",$AX$7))</f>
        <v>250.52307998074306</v>
      </c>
      <c r="AY34" s="30">
        <f ca="1">_xlfn.IFNA(VLOOKUP(SUMPRODUCT(LARGE(($C$8:$C34=Table1[[#This Row],[Climber]])*$A$8:$A34,1)),$A$8:$AW34,MATCH($AW$7,$A$7:$AW$7,FALSE),FALSE),0)/LEFT($AY$7,FIND(" ",$AY$7))+_xlfn.IFNA(VLOOKUP(SUMPRODUCT(LARGE(($C$8:$C34=Table1[[#This Row],[Climber]])*$A$8:$A34,MIN(2,COUNTIFS($C$8:$C34,$C34)))),$A$8:$AW34,MATCH($AW$7,$A$7:$AW$7,FALSE),FALSE),0)/LEFT($AY$7,FIND(" ",$AY$7))+_xlfn.IFNA(VLOOKUP(SUMPRODUCT(LARGE(($C$8:$C34=Table1[[#This Row],[Climber]])*$A$8:$A34,MIN(3,COUNTIFS($C$8:$C34,$C34)))),$A$8:$AW34,MATCH($AW$7,$A$7:$AW$7,FALSE),FALSE),0)/LEFT($AY$7,FIND(" ",$AY$7))+_xlfn.IFNA(VLOOKUP(SUMPRODUCT(LARGE(($C$8:$C34=Table1[[#This Row],[Climber]])*$A$8:$A34,MIN(4,COUNTIFS($C$8:$C34,$C34)))),$A$8:$AW34,MATCH($AW$7,$A$7:$AW$7,FALSE),FALSE),0)/LEFT($AY$7,FIND(" ",$AY$7))+_xlfn.IFNA(VLOOKUP(SUMPRODUCT(LARGE(($C$8:$C34=Table1[[#This Row],[Climber]])*$A$8:$A34,MIN(5,COUNTIFS($C$8:$C34,$C34)))),$A$8:$AW34,MATCH($AW$7,$A$7:$AW$7,FALSE),FALSE),0)/LEFT($AY$7,FIND(" ",$AY$7))</f>
        <v>223.87551554692007</v>
      </c>
      <c r="AZ34" s="30">
        <f ca="1">(_xlfn.IFNA(VLOOKUP(SUMPRODUCT(LARGE(($C$8:$C34=Table1[[#This Row],[Climber]])*$A$8:$A34,4)),$A$8:$AW34,MATCH($AW$7,$A$7:$AW$7,FALSE),FALSE),0)+_xlfn.IFNA(VLOOKUP(SUMPRODUCT(LARGE(($C$8:$C34=Table1[[#This Row],[Climber]])*$A$8:$A34,5)),$A$8:$AW34,MATCH($AW$7,$A$7:$AW$7,FALSE),FALSE),0)+_xlfn.IFNA(VLOOKUP(SUMPRODUCT(LARGE(($C$8:$C34=Table1[[#This Row],[Climber]])*$A$8:$A34,6)),$A$8:$AW34,MATCH($AW$7,$A$7:$AW$7,FALSE),FALSE),0))/3</f>
        <v>174.98917532015744</v>
      </c>
      <c r="BA34" s="6">
        <f ca="1">_xlfn.MAXIFS(INDIRECT("$AW"&amp;IF(SUMPRODUCT(LARGE(($C$8:$C34=$C34)*$A$8:$A34,LEFT($BA$7,FIND(" ",$BA$7)-1)))=0,8,SUMPRODUCT(LARGE(($C$8:$C34=$C34)*$A$8:$A34,LEFT($BA$7,FIND(" ",$BA$7)-1)))+7)&amp;":$AW"&amp;ROW()),INDIRECT("$C"&amp;IF(SUMPRODUCT(LARGE(($C$8:$C34=$C34)*$A$8:$A34,LEFT($BA$7,FIND(" ",$BA$7)-1)))=0,8,SUMPRODUCT(LARGE(($C$8:$C34=$C34)*$A$8:$A34,LEFT($BA$7,FIND(" ",$BA$7)-1)))+7)&amp;":$C"&amp;ROW()),$C34)</f>
        <v>277.15636946438019</v>
      </c>
      <c r="BB34" s="6" t="str">
        <f ca="1">VLOOKUP(MAX(BG34,$AX34),'RC Lookup'!$G$14:$J$20,2,TRUE)</f>
        <v>T5</v>
      </c>
      <c r="BC34" s="6">
        <f ca="1">_xlfn.IFNA(VLOOKUP(VLOOKUP($C34,'RC Lookup'!$O$3:$P$50,2,FALSE),'RC Lookup'!$H$14:$J$23,2,FALSE),0)*AW34</f>
        <v>69.15465068349107</v>
      </c>
      <c r="BD34" s="6">
        <f ca="1">_xlfn.IFNA(VLOOKUP(SUMPRODUCT(LARGE(($C$8:$C34=Table1[[#This Row],[Climber]])*$A$8:$A34,1)),$A$8:$BC34,55,FALSE),0)/LEFT($AX$7,FIND(" ",$AX$7))+_xlfn.IFNA(VLOOKUP(SUMPRODUCT(LARGE(($C$8:$C34=Table1[[#This Row],[Climber]])*$A$8:$A34,MIN(2,COUNTIFS($C$8:$C34,$C34)))),$A$8:$BC34,55,FALSE),0)/LEFT($AX$7,FIND(" ",$AX$7))+_xlfn.IFNA(VLOOKUP(SUMPRODUCT(LARGE(($C$8:$C34=Table1[[#This Row],[Climber]])*$A$8:$A34,MIN(3,COUNTIFS($C$8:$C34,$C34)))),$A$8:$BC34,55,FALSE),0)/LEFT($AX$7,FIND(" ",$AX$7))</f>
        <v>75.81136445846478</v>
      </c>
      <c r="BE34" s="6">
        <f ca="1">(_xlfn.IFNA(VLOOKUP(SUMPRODUCT(LARGE(($C$8:$C34=Table1[[#This Row],[Climber]])*$A$8:$A34,4)),$A$8:$BD34,55,FALSE),0)+_xlfn.IFNA(VLOOKUP(SUMPRODUCT(LARGE(($C$8:$C34=Table1[[#This Row],[Climber]])*$A$8:$A34,5)),$A$8:$BD34,55,FALSE),0)+_xlfn.IFNA(VLOOKUP(SUMPRODUCT(LARGE(($C$8:$C34=Table1[[#This Row],[Climber]])*$A$8:$A34,6)),$A$8:$BD34,55,FALSE),0))/3</f>
        <v>52.953876135892862</v>
      </c>
      <c r="BF34" s="46">
        <f ca="1">_xlfn.MAXIFS(INDIRECT("$BC"&amp;IF(SUMPRODUCT(LARGE(($C$8:$C34=$C34)*$A$8:$A34,LEFT($BA$7,FIND(" ",$BA$7)-1)))=0,8,SUMPRODUCT(LARGE(($C$8:$C34=$C34)*$A$8:$A34,LEFT($BA$7,FIND(" ",$BA$7)-1)))+7)&amp;":$BC"&amp;ROW()),INDIRECT("$C"&amp;IF(SUMPRODUCT(LARGE(($C$8:$C34=$C34)*$A$8:$A34,LEFT($BA$7,FIND(" ",$BA$7)-1)))=0,8,SUMPRODUCT(LARGE(($C$8:$C34=$C34)*$A$8:$A34,LEFT($BA$7,FIND(" ",$BA$7)-1)))+7)&amp;":$C"&amp;ROW()),$C34)</f>
        <v>83.870925341745533</v>
      </c>
      <c r="BG34" s="46">
        <f t="array" aca="1" ref="BG34" ca="1">IFERROR(SUMPRODUCT(LARGE(($C$8:$C34=Table1[[#This Row],[Climber]])*$AW$8:$AW34,ROW(INDIRECT("1:5")))),AW34)/MIN(COUNTIFS($C$8:$C34,C34),5)</f>
        <v>223.8755155469201</v>
      </c>
      <c r="BH34" s="46"/>
    </row>
    <row r="35" spans="1:60" x14ac:dyDescent="0.3">
      <c r="A35" s="125">
        <f t="shared" si="1"/>
        <v>28</v>
      </c>
      <c r="B35" s="25">
        <f>'Rock Climbing Log'!B35</f>
        <v>43132</v>
      </c>
      <c r="C35" s="126" t="str">
        <f>'Rock Climbing Log'!C35</f>
        <v>Lester</v>
      </c>
      <c r="D35" s="26">
        <f>_xlfn.IFNA(IF(LEFT('Rock Climbing Log'!D35)="C",_xlfn.IFNA(VLOOKUP('Rock Climbing Log'!D35,'RC Lookup'!$A$3:$B$9,2,FALSE),0.5),VLOOKUP('Rock Climbing Log'!D35,'RC Lookup'!$G$3:$H$5,2,FALSE)),0)*VLOOKUP(D$7,'RC Lookup'!$D$3:$E$18,2,FALSE)</f>
        <v>0</v>
      </c>
      <c r="E35" s="26">
        <f>_xlfn.IFNA(IF(LEFT('Rock Climbing Log'!E35)="C",_xlfn.IFNA(VLOOKUP('Rock Climbing Log'!E35,'RC Lookup'!$A$3:$B$9,2,FALSE),0.5),VLOOKUP('Rock Climbing Log'!E35,'RC Lookup'!$G$3:$H$5,2,FALSE)),0)*VLOOKUP(D$7,'RC Lookup'!$D$3:$E$18,2,FALSE)</f>
        <v>0</v>
      </c>
      <c r="F35" s="26">
        <f>_xlfn.IFNA(IF(LEFT('Rock Climbing Log'!F35)="C",_xlfn.IFNA(VLOOKUP('Rock Climbing Log'!F35,'RC Lookup'!$A$3:$B$9,2,FALSE),0.5),VLOOKUP('Rock Climbing Log'!F35,'RC Lookup'!$G$3:$H$5,2,FALSE)),0)*VLOOKUP(D$7,'RC Lookup'!$D$3:$E$18,2,FALSE)</f>
        <v>0</v>
      </c>
      <c r="G35" s="26">
        <f>_xlfn.IFNA(IF(LEFT('Rock Climbing Log'!G35)="C",_xlfn.IFNA(VLOOKUP('Rock Climbing Log'!G35,'RC Lookup'!$A$3:$B$9,2,FALSE),0.5),VLOOKUP('Rock Climbing Log'!G35,'RC Lookup'!$G$3:$H$5,2,FALSE)),0)*VLOOKUP(G$7,'RC Lookup'!$D$3:$E$18,2,FALSE)</f>
        <v>12.5</v>
      </c>
      <c r="H35" s="26">
        <f>_xlfn.IFNA(IF(LEFT('Rock Climbing Log'!H35)="C",_xlfn.IFNA(VLOOKUP('Rock Climbing Log'!H35,'RC Lookup'!$A$3:$B$9,2,FALSE),0.5),VLOOKUP('Rock Climbing Log'!H35,'RC Lookup'!$G$3:$H$5,2,FALSE)),0)*VLOOKUP(G$7,'RC Lookup'!$D$3:$E$18,2,FALSE)</f>
        <v>0</v>
      </c>
      <c r="I35" s="26">
        <f>_xlfn.IFNA(IF(LEFT('Rock Climbing Log'!I35)="C",_xlfn.IFNA(VLOOKUP('Rock Climbing Log'!I35,'RC Lookup'!$A$3:$B$9,2,FALSE),0.5),VLOOKUP('Rock Climbing Log'!I35,'RC Lookup'!$G$3:$H$5,2,FALSE)),0)*VLOOKUP(G$7,'RC Lookup'!$D$3:$E$18,2,FALSE)</f>
        <v>0</v>
      </c>
      <c r="J35" s="26">
        <f>_xlfn.IFNA(IF(LEFT('Rock Climbing Log'!J35)="C",_xlfn.IFNA(VLOOKUP('Rock Climbing Log'!J35,'RC Lookup'!$A$3:$B$9,2,FALSE),0.5),VLOOKUP('Rock Climbing Log'!J35,'RC Lookup'!$G$3:$H$5,2,FALSE)),0)*VLOOKUP(J$7,'RC Lookup'!$D$3:$E$18,2,FALSE)</f>
        <v>0</v>
      </c>
      <c r="K35" s="26">
        <f>_xlfn.IFNA(IF(LEFT('Rock Climbing Log'!K35)="C",_xlfn.IFNA(VLOOKUP('Rock Climbing Log'!K35,'RC Lookup'!$A$3:$B$9,2,FALSE),0.5),VLOOKUP('Rock Climbing Log'!K35,'RC Lookup'!$G$3:$H$5,2,FALSE)),0)*VLOOKUP(J$7,'RC Lookup'!$D$3:$E$18,2,FALSE)</f>
        <v>0</v>
      </c>
      <c r="L35" s="26">
        <f>_xlfn.IFNA(IF(LEFT('Rock Climbing Log'!L35)="C",_xlfn.IFNA(VLOOKUP('Rock Climbing Log'!L35,'RC Lookup'!$A$3:$B$9,2,FALSE),0.5),VLOOKUP('Rock Climbing Log'!L35,'RC Lookup'!$G$3:$H$5,2,FALSE)),0)*VLOOKUP(J$7,'RC Lookup'!$D$3:$E$18,2,FALSE)</f>
        <v>0</v>
      </c>
      <c r="M35" s="26">
        <f>_xlfn.IFNA(IF(LEFT('Rock Climbing Log'!M35)="C",_xlfn.IFNA(VLOOKUP('Rock Climbing Log'!M35,'RC Lookup'!$A$3:$B$9,2,FALSE),0.5),VLOOKUP('Rock Climbing Log'!M35,'RC Lookup'!$G$3:$H$5,2,FALSE)),0)*VLOOKUP(M$7,'RC Lookup'!$D$3:$E$18,2,FALSE)</f>
        <v>0</v>
      </c>
      <c r="N35" s="26">
        <f>_xlfn.IFNA(IF(LEFT('Rock Climbing Log'!N35)="C",_xlfn.IFNA(VLOOKUP('Rock Climbing Log'!N35,'RC Lookup'!$A$3:$B$9,2,FALSE),0.5),VLOOKUP('Rock Climbing Log'!N35,'RC Lookup'!$G$3:$H$5,2,FALSE)),0)*VLOOKUP(M$7,'RC Lookup'!$D$3:$E$18,2,FALSE)</f>
        <v>0</v>
      </c>
      <c r="O35" s="26">
        <f>_xlfn.IFNA(IF(LEFT('Rock Climbing Log'!O35)="C",_xlfn.IFNA(VLOOKUP('Rock Climbing Log'!O35,'RC Lookup'!$A$3:$B$9,2,FALSE),0.5),VLOOKUP('Rock Climbing Log'!O35,'RC Lookup'!$G$3:$H$5,2,FALSE)),0)*VLOOKUP(M$7,'RC Lookup'!$D$3:$E$18,2,FALSE)</f>
        <v>0</v>
      </c>
      <c r="P35" s="26">
        <f>_xlfn.IFNA(IF(LEFT('Rock Climbing Log'!P35)="C",_xlfn.IFNA(VLOOKUP('Rock Climbing Log'!P35,'RC Lookup'!$A$3:$B$9,2,FALSE),0.5),VLOOKUP('Rock Climbing Log'!P35,'RC Lookup'!$G$3:$H$5,2,FALSE)),0)*VLOOKUP(P$7,'RC Lookup'!$D$3:$E$18,2,FALSE)</f>
        <v>0</v>
      </c>
      <c r="Q35" s="26">
        <f>_xlfn.IFNA(IF(LEFT('Rock Climbing Log'!Q35)="C",_xlfn.IFNA(VLOOKUP('Rock Climbing Log'!Q35,'RC Lookup'!$A$3:$B$9,2,FALSE),0.5),VLOOKUP('Rock Climbing Log'!Q35,'RC Lookup'!$G$3:$H$5,2,FALSE)),0)*VLOOKUP(P$7,'RC Lookup'!$D$3:$E$18,2,FALSE)</f>
        <v>0</v>
      </c>
      <c r="R35" s="26">
        <f>_xlfn.IFNA(IF(LEFT('Rock Climbing Log'!R35)="C",_xlfn.IFNA(VLOOKUP('Rock Climbing Log'!R35,'RC Lookup'!$A$3:$B$9,2,FALSE),0.5),VLOOKUP('Rock Climbing Log'!R35,'RC Lookup'!$G$3:$H$5,2,FALSE)),0)*VLOOKUP(P$7,'RC Lookup'!$D$3:$E$18,2,FALSE)</f>
        <v>0</v>
      </c>
      <c r="S35" s="26">
        <f>_xlfn.IFNA(IF(LEFT('Rock Climbing Log'!S35)="C",_xlfn.IFNA(VLOOKUP('Rock Climbing Log'!S35,'RC Lookup'!$A$3:$B$9,2,FALSE),0.5),VLOOKUP('Rock Climbing Log'!S35,'RC Lookup'!$G$3:$H$5,2,FALSE)),0)*VLOOKUP(S$7,'RC Lookup'!$D$3:$E$18,2,FALSE)</f>
        <v>0</v>
      </c>
      <c r="T35" s="26">
        <f>_xlfn.IFNA(IF(LEFT('Rock Climbing Log'!T35)="C",_xlfn.IFNA(VLOOKUP('Rock Climbing Log'!T35,'RC Lookup'!$A$3:$B$9,2,FALSE),0.5),VLOOKUP('Rock Climbing Log'!T35,'RC Lookup'!$G$3:$H$5,2,FALSE)),0)*VLOOKUP(S$7,'RC Lookup'!$D$3:$E$18,2,FALSE)</f>
        <v>0</v>
      </c>
      <c r="U35" s="26">
        <f>_xlfn.IFNA(IF(LEFT('Rock Climbing Log'!U35)="C",_xlfn.IFNA(VLOOKUP('Rock Climbing Log'!U35,'RC Lookup'!$A$3:$B$9,2,FALSE),0.5),VLOOKUP('Rock Climbing Log'!U35,'RC Lookup'!$G$3:$H$5,2,FALSE)),0)*VLOOKUP(S$7,'RC Lookup'!$D$3:$E$18,2,FALSE)</f>
        <v>0</v>
      </c>
      <c r="V35" s="26">
        <f>_xlfn.IFNA(IF(LEFT('Rock Climbing Log'!V35)="C",_xlfn.IFNA(VLOOKUP('Rock Climbing Log'!V35,'RC Lookup'!$A$3:$B$9,2,FALSE),0.5),VLOOKUP('Rock Climbing Log'!V35,'RC Lookup'!$G$3:$H$5,2,FALSE)),0)*VLOOKUP(V$7,'RC Lookup'!$D$3:$E$18,2,FALSE)</f>
        <v>0</v>
      </c>
      <c r="W35" s="26">
        <f>_xlfn.IFNA(IF(LEFT('Rock Climbing Log'!W35)="C",_xlfn.IFNA(VLOOKUP('Rock Climbing Log'!W35,'RC Lookup'!$A$3:$B$9,2,FALSE),0.5),VLOOKUP('Rock Climbing Log'!W35,'RC Lookup'!$G$3:$H$5,2,FALSE)),0)*VLOOKUP(V$7,'RC Lookup'!$D$3:$E$18,2,FALSE)</f>
        <v>0</v>
      </c>
      <c r="X35" s="26">
        <f>_xlfn.IFNA(IF(LEFT('Rock Climbing Log'!X35)="C",_xlfn.IFNA(VLOOKUP('Rock Climbing Log'!X35,'RC Lookup'!$A$3:$B$9,2,FALSE),0.5),VLOOKUP('Rock Climbing Log'!X35,'RC Lookup'!$G$3:$H$5,2,FALSE)),0)*VLOOKUP(V$7,'RC Lookup'!$D$3:$E$18,2,FALSE)</f>
        <v>0</v>
      </c>
      <c r="Y35" s="26">
        <f>_xlfn.IFNA(IF(LEFT('Rock Climbing Log'!Y35)="C",_xlfn.IFNA(VLOOKUP('Rock Climbing Log'!Y35,'RC Lookup'!$A$3:$B$9,2,FALSE),0.5),VLOOKUP('Rock Climbing Log'!Y35,'RC Lookup'!$G$3:$H$5,2,FALSE)),0)*VLOOKUP(Y$7,'RC Lookup'!$D$3:$E$18,2,FALSE)</f>
        <v>0</v>
      </c>
      <c r="Z35" s="26">
        <f>_xlfn.IFNA(IF(LEFT('Rock Climbing Log'!Z35)="C",_xlfn.IFNA(VLOOKUP('Rock Climbing Log'!Z35,'RC Lookup'!$A$3:$B$9,2,FALSE),0.5),VLOOKUP('Rock Climbing Log'!Z35,'RC Lookup'!$G$3:$H$5,2,FALSE)),0)*VLOOKUP(Y$7,'RC Lookup'!$D$3:$E$18,2,FALSE)</f>
        <v>0</v>
      </c>
      <c r="AA35" s="26">
        <f>_xlfn.IFNA(IF(LEFT('Rock Climbing Log'!AA35)="C",_xlfn.IFNA(VLOOKUP('Rock Climbing Log'!AA35,'RC Lookup'!$A$3:$B$9,2,FALSE),0.5),VLOOKUP('Rock Climbing Log'!AA35,'RC Lookup'!$G$3:$H$5,2,FALSE)),0)*VLOOKUP(Y$7,'RC Lookup'!$D$3:$E$18,2,FALSE)</f>
        <v>0</v>
      </c>
      <c r="AB35" s="26">
        <f>_xlfn.IFNA(IF(LEFT('Rock Climbing Log'!AB35)="C",_xlfn.IFNA(VLOOKUP('Rock Climbing Log'!AB35,'RC Lookup'!$A$3:$B$9,2,FALSE),0.5),VLOOKUP('Rock Climbing Log'!AB35,'RC Lookup'!$G$3:$H$5,2,FALSE)),0)*VLOOKUP(AB$7,'RC Lookup'!$D$3:$E$18,2,FALSE)</f>
        <v>0</v>
      </c>
      <c r="AC35" s="26">
        <f>_xlfn.IFNA(IF(LEFT('Rock Climbing Log'!AC35)="C",_xlfn.IFNA(VLOOKUP('Rock Climbing Log'!AC35,'RC Lookup'!$A$3:$B$9,2,FALSE),0.5),VLOOKUP('Rock Climbing Log'!AC35,'RC Lookup'!$G$3:$H$5,2,FALSE)),0)*VLOOKUP(AB$7,'RC Lookup'!$D$3:$E$18,2,FALSE)</f>
        <v>0</v>
      </c>
      <c r="AD35" s="26">
        <f>_xlfn.IFNA(IF(LEFT('Rock Climbing Log'!AD35)="C",_xlfn.IFNA(VLOOKUP('Rock Climbing Log'!AD35,'RC Lookup'!$A$3:$B$9,2,FALSE),0.5),VLOOKUP('Rock Climbing Log'!AD35,'RC Lookup'!$G$3:$H$5,2,FALSE)),0)*VLOOKUP(AB$7,'RC Lookup'!$D$3:$E$18,2,FALSE)</f>
        <v>0</v>
      </c>
      <c r="AE35" s="26">
        <f>_xlfn.IFNA(IF(LEFT('Rock Climbing Log'!AE35)="C",_xlfn.IFNA(VLOOKUP('Rock Climbing Log'!AE35,'RC Lookup'!$A$3:$B$9,2,FALSE),0.5),VLOOKUP('Rock Climbing Log'!AE35,'RC Lookup'!$G$3:$H$5,2,FALSE)),0)*VLOOKUP(AE$7,'RC Lookup'!$D$3:$E$18,2,FALSE)</f>
        <v>67.867671846932893</v>
      </c>
      <c r="AF35" s="26">
        <f>_xlfn.IFNA(IF(LEFT('Rock Climbing Log'!AF35)="C",_xlfn.IFNA(VLOOKUP('Rock Climbing Log'!AF35,'RC Lookup'!$A$3:$B$9,2,FALSE),0.5),VLOOKUP('Rock Climbing Log'!AF35,'RC Lookup'!$G$3:$H$5,2,FALSE)),0)*VLOOKUP(AE$7,'RC Lookup'!$D$3:$E$18,2,FALSE)</f>
        <v>67.867671846932893</v>
      </c>
      <c r="AG35" s="26">
        <f>_xlfn.IFNA(IF(LEFT('Rock Climbing Log'!AG35)="C",_xlfn.IFNA(VLOOKUP('Rock Climbing Log'!AG35,'RC Lookup'!$A$3:$B$9,2,FALSE),0.5),VLOOKUP('Rock Climbing Log'!AG35,'RC Lookup'!$G$3:$H$5,2,FALSE)),0)*VLOOKUP(AE$7,'RC Lookup'!$D$3:$E$18,2,FALSE)</f>
        <v>0</v>
      </c>
      <c r="AH35" s="26">
        <f>_xlfn.IFNA(IF(LEFT('Rock Climbing Log'!AH35)="C",_xlfn.IFNA(VLOOKUP('Rock Climbing Log'!AH35,'RC Lookup'!$A$3:$B$9,2,FALSE),0.5),VLOOKUP('Rock Climbing Log'!AH35,'RC Lookup'!$G$3:$H$5,2,FALSE)),0)*VLOOKUP(AH$7,'RC Lookup'!$D$3:$E$18,2,FALSE)</f>
        <v>0</v>
      </c>
      <c r="AI35" s="26">
        <f>_xlfn.IFNA(IF(LEFT('Rock Climbing Log'!AI35)="C",_xlfn.IFNA(VLOOKUP('Rock Climbing Log'!AI35,'RC Lookup'!$A$3:$B$9,2,FALSE),0.5),VLOOKUP('Rock Climbing Log'!AI35,'RC Lookup'!$G$3:$H$5,2,FALSE)),0)*VLOOKUP(AH$7,'RC Lookup'!$D$3:$E$18,2,FALSE)</f>
        <v>0</v>
      </c>
      <c r="AJ35" s="26">
        <f>_xlfn.IFNA(IF(LEFT('Rock Climbing Log'!AJ35)="C",_xlfn.IFNA(VLOOKUP('Rock Climbing Log'!AJ35,'RC Lookup'!$A$3:$B$9,2,FALSE),0.5),VLOOKUP('Rock Climbing Log'!AJ35,'RC Lookup'!$G$3:$H$5,2,FALSE)),0)*VLOOKUP(AH$7,'RC Lookup'!$D$3:$E$18,2,FALSE)</f>
        <v>0</v>
      </c>
      <c r="AK35" s="26">
        <f>_xlfn.IFNA(IF(LEFT('Rock Climbing Log'!AK35)="C",_xlfn.IFNA(VLOOKUP('Rock Climbing Log'!AK35,'RC Lookup'!$A$3:$B$9,2,FALSE),0.5),VLOOKUP('Rock Climbing Log'!AK35,'RC Lookup'!$G$3:$H$5,2,FALSE)),0)*VLOOKUP(AK$7,'RC Lookup'!$D$3:$E$18,2,FALSE)</f>
        <v>110.15194611444596</v>
      </c>
      <c r="AL35" s="26">
        <f>_xlfn.IFNA(IF(LEFT('Rock Climbing Log'!AL35)="C",_xlfn.IFNA(VLOOKUP('Rock Climbing Log'!AL35,'RC Lookup'!$A$3:$B$9,2,FALSE),0.5),VLOOKUP('Rock Climbing Log'!AL35,'RC Lookup'!$G$3:$H$5,2,FALSE)),0)*VLOOKUP(AK$7,'RC Lookup'!$D$3:$E$18,2,FALSE)</f>
        <v>99.136751503001364</v>
      </c>
      <c r="AM35" s="26">
        <f>_xlfn.IFNA(IF(LEFT('Rock Climbing Log'!AM35)="C",_xlfn.IFNA(VLOOKUP('Rock Climbing Log'!AM35,'RC Lookup'!$A$3:$B$9,2,FALSE),0.5),VLOOKUP('Rock Climbing Log'!AM35,'RC Lookup'!$G$3:$H$5,2,FALSE)),0)*VLOOKUP(AK$7,'RC Lookup'!$D$3:$E$18,2,FALSE)</f>
        <v>0</v>
      </c>
      <c r="AN35" s="26">
        <f>_xlfn.IFNA(IF(LEFT('Rock Climbing Log'!AN35)="C",_xlfn.IFNA(VLOOKUP('Rock Climbing Log'!AN35,'RC Lookup'!$A$3:$B$9,2,FALSE),0.5),VLOOKUP('Rock Climbing Log'!AN35,'RC Lookup'!$G$3:$H$5,2,FALSE)),0)*VLOOKUP(AN$7,'RC Lookup'!$D$3:$E$18,2,FALSE)</f>
        <v>0</v>
      </c>
      <c r="AO35" s="26">
        <f>_xlfn.IFNA(IF(LEFT('Rock Climbing Log'!AO35)="C",_xlfn.IFNA(VLOOKUP('Rock Climbing Log'!AO35,'RC Lookup'!$A$3:$B$9,2,FALSE),0.5),VLOOKUP('Rock Climbing Log'!AO35,'RC Lookup'!$G$3:$H$5,2,FALSE)),0)*VLOOKUP(AN$7,'RC Lookup'!$D$3:$E$18,2,FALSE)</f>
        <v>0</v>
      </c>
      <c r="AP35" s="26">
        <f>_xlfn.IFNA(IF(LEFT('Rock Climbing Log'!AP35)="C",_xlfn.IFNA(VLOOKUP('Rock Climbing Log'!AP35,'RC Lookup'!$A$3:$B$9,2,FALSE),0.5),VLOOKUP('Rock Climbing Log'!AP35,'RC Lookup'!$G$3:$H$5,2,FALSE)),0)*VLOOKUP(AN$7,'RC Lookup'!$D$3:$E$18,2,FALSE)</f>
        <v>0</v>
      </c>
      <c r="AQ35" s="26">
        <f>_xlfn.IFNA(IF(LEFT('Rock Climbing Log'!AQ35)="C",_xlfn.IFNA(VLOOKUP('Rock Climbing Log'!AQ35,'RC Lookup'!$A$3:$B$9,2,FALSE),0.5),VLOOKUP('Rock Climbing Log'!AQ35,'RC Lookup'!$G$3:$H$5,2,FALSE)),0)*VLOOKUP(AQ$7,'RC Lookup'!$D$3:$E$18,2,FALSE)</f>
        <v>0</v>
      </c>
      <c r="AR35" s="26">
        <f>_xlfn.IFNA(IF(LEFT('Rock Climbing Log'!AR35)="C",_xlfn.IFNA(VLOOKUP('Rock Climbing Log'!AR35,'RC Lookup'!$A$3:$B$9,2,FALSE),0.5),VLOOKUP('Rock Climbing Log'!AR35,'RC Lookup'!$G$3:$H$5,2,FALSE)),0)*VLOOKUP(AQ$7,'RC Lookup'!$D$3:$E$18,2,FALSE)</f>
        <v>0</v>
      </c>
      <c r="AS35" s="26">
        <f>_xlfn.IFNA(IF(LEFT('Rock Climbing Log'!AS35)="C",_xlfn.IFNA(VLOOKUP('Rock Climbing Log'!AS35,'RC Lookup'!$A$3:$B$9,2,FALSE),0.5),VLOOKUP('Rock Climbing Log'!AS35,'RC Lookup'!$G$3:$H$5,2,FALSE)),0)*VLOOKUP(AQ$7,'RC Lookup'!$D$3:$E$18,2,FALSE)</f>
        <v>0</v>
      </c>
      <c r="AT35" s="26">
        <f>_xlfn.IFNA(IF(LEFT('Rock Climbing Log'!AT35)="C",_xlfn.IFNA(VLOOKUP('Rock Climbing Log'!AT35,'RC Lookup'!$A$3:$B$9,2,FALSE),0.5),VLOOKUP('Rock Climbing Log'!AT35,'RC Lookup'!$G$3:$H$5,2,FALSE)),0)*VLOOKUP(AT$7,'RC Lookup'!$D$3:$E$18,2,FALSE)</f>
        <v>0</v>
      </c>
      <c r="AU35" s="26">
        <f>_xlfn.IFNA(IF(LEFT('Rock Climbing Log'!AU35)="C",_xlfn.IFNA(VLOOKUP('Rock Climbing Log'!AU35,'RC Lookup'!$A$3:$B$9,2,FALSE),0.5),VLOOKUP('Rock Climbing Log'!AU35,'RC Lookup'!$G$3:$H$5,2,FALSE)),0)*VLOOKUP(AT$7,'RC Lookup'!$D$3:$E$18,2,FALSE)</f>
        <v>0</v>
      </c>
      <c r="AV35" s="26">
        <f>_xlfn.IFNA(IF(LEFT('Rock Climbing Log'!AV35)="C",_xlfn.IFNA(VLOOKUP('Rock Climbing Log'!AV35,'RC Lookup'!$A$3:$B$9,2,FALSE),0.5),VLOOKUP('Rock Climbing Log'!AV35,'RC Lookup'!$G$3:$H$5,2,FALSE)),0)*VLOOKUP(AT$7,'RC Lookup'!$D$3:$E$18,2,FALSE)</f>
        <v>0</v>
      </c>
      <c r="AW35" s="30">
        <f t="shared" ca="1" si="0"/>
        <v>277.15636946438019</v>
      </c>
      <c r="AX35" s="30">
        <f ca="1">_xlfn.IFNA(VLOOKUP(SUMPRODUCT(LARGE(($C$8:$C35=Table1[[#This Row],[Climber]])*$A$8:$A35,1)),$A$8:$AW35,MATCH($AW$7,$A$7:$AW$7,FALSE),FALSE),0)/LEFT($AX$7,FIND(" ",$AX$7))+_xlfn.IFNA(VLOOKUP(SUMPRODUCT(LARGE(($C$8:$C35=Table1[[#This Row],[Climber]])*$A$8:$A35,MIN(2,COUNTIFS($C$8:$C35,$C35)))),$A$8:$AW35,MATCH($AW$7,$A$7:$AW$7,FALSE),FALSE),0)/LEFT($AX$7,FIND(" ",$AX$7))+_xlfn.IFNA(VLOOKUP(SUMPRODUCT(LARGE(($C$8:$C35=Table1[[#This Row],[Climber]])*$A$8:$A35,MIN(3,COUNTIFS($C$8:$C35,$C35)))),$A$8:$AW35,MATCH($AW$7,$A$7:$AW$7,FALSE),FALSE),0)/LEFT($AX$7,FIND(" ",$AX$7))</f>
        <v>260.9461065327659</v>
      </c>
      <c r="AY35" s="30">
        <f ca="1">_xlfn.IFNA(VLOOKUP(SUMPRODUCT(LARGE(($C$8:$C35=Table1[[#This Row],[Climber]])*$A$8:$A35,1)),$A$8:$AW35,MATCH($AW$7,$A$7:$AW$7,FALSE),FALSE),0)/LEFT($AY$7,FIND(" ",$AY$7))+_xlfn.IFNA(VLOOKUP(SUMPRODUCT(LARGE(($C$8:$C35=Table1[[#This Row],[Climber]])*$A$8:$A35,MIN(2,COUNTIFS($C$8:$C35,$C35)))),$A$8:$AW35,MATCH($AW$7,$A$7:$AW$7,FALSE),FALSE),0)/LEFT($AY$7,FIND(" ",$AY$7))+_xlfn.IFNA(VLOOKUP(SUMPRODUCT(LARGE(($C$8:$C35=Table1[[#This Row],[Climber]])*$A$8:$A35,MIN(3,COUNTIFS($C$8:$C35,$C35)))),$A$8:$AW35,MATCH($AW$7,$A$7:$AW$7,FALSE),FALSE),0)/LEFT($AY$7,FIND(" ",$AY$7))+_xlfn.IFNA(VLOOKUP(SUMPRODUCT(LARGE(($C$8:$C35=Table1[[#This Row],[Climber]])*$A$8:$A35,MIN(4,COUNTIFS($C$8:$C35,$C35)))),$A$8:$AW35,MATCH($AW$7,$A$7:$AW$7,FALSE),FALSE),0)/LEFT($AY$7,FIND(" ",$AY$7))+_xlfn.IFNA(VLOOKUP(SUMPRODUCT(LARGE(($C$8:$C35=Table1[[#This Row],[Climber]])*$A$8:$A35,MIN(5,COUNTIFS($C$8:$C35,$C35)))),$A$8:$AW35,MATCH($AW$7,$A$7:$AW$7,FALSE),FALSE),0)/LEFT($AY$7,FIND(" ",$AY$7))</f>
        <v>245.10837155254296</v>
      </c>
      <c r="AZ35" s="30">
        <f ca="1">(_xlfn.IFNA(VLOOKUP(SUMPRODUCT(LARGE(($C$8:$C35=Table1[[#This Row],[Climber]])*$A$8:$A35,4)),$A$8:$AW35,MATCH($AW$7,$A$7:$AW$7,FALSE),FALSE),0)+_xlfn.IFNA(VLOOKUP(SUMPRODUCT(LARGE(($C$8:$C35=Table1[[#This Row],[Climber]])*$A$8:$A35,5)),$A$8:$AW35,MATCH($AW$7,$A$7:$AW$7,FALSE),FALSE),0)+_xlfn.IFNA(VLOOKUP(SUMPRODUCT(LARGE(($C$8:$C35=Table1[[#This Row],[Climber]])*$A$8:$A35,6)),$A$8:$AW35,MATCH($AW$7,$A$7:$AW$7,FALSE),FALSE),0))/3</f>
        <v>204.56520920022766</v>
      </c>
      <c r="BA35" s="6">
        <f ca="1">_xlfn.MAXIFS(INDIRECT("$AW"&amp;IF(SUMPRODUCT(LARGE(($C$8:$C35=$C35)*$A$8:$A35,LEFT($BA$7,FIND(" ",$BA$7)-1)))=0,8,SUMPRODUCT(LARGE(($C$8:$C35=$C35)*$A$8:$A35,LEFT($BA$7,FIND(" ",$BA$7)-1)))+7)&amp;":$AW"&amp;ROW()),INDIRECT("$C"&amp;IF(SUMPRODUCT(LARGE(($C$8:$C35=$C35)*$A$8:$A35,LEFT($BA$7,FIND(" ",$BA$7)-1)))=0,8,SUMPRODUCT(LARGE(($C$8:$C35=$C35)*$A$8:$A35,LEFT($BA$7,FIND(" ",$BA$7)-1)))+7)&amp;":$C"&amp;ROW()),$C35)</f>
        <v>277.15636946438019</v>
      </c>
      <c r="BB35" s="6" t="str">
        <f ca="1">VLOOKUP(MAX(BG35,$AX35),'RC Lookup'!$G$14:$J$20,2,TRUE)</f>
        <v>T5</v>
      </c>
      <c r="BC35" s="6">
        <f ca="1">_xlfn.IFNA(VLOOKUP(VLOOKUP($C35,'RC Lookup'!$O$3:$P$50,2,FALSE),'RC Lookup'!$H$14:$J$23,2,FALSE),0)*AW35</f>
        <v>83.870925341745533</v>
      </c>
      <c r="BD35" s="6">
        <f ca="1">_xlfn.IFNA(VLOOKUP(SUMPRODUCT(LARGE(($C$8:$C35=Table1[[#This Row],[Climber]])*$A$8:$A35,1)),$A$8:$BC35,55,FALSE),0)/LEFT($AX$7,FIND(" ",$AX$7))+_xlfn.IFNA(VLOOKUP(SUMPRODUCT(LARGE(($C$8:$C35=Table1[[#This Row],[Climber]])*$A$8:$A35,MIN(2,COUNTIFS($C$8:$C35,$C35)))),$A$8:$BC35,55,FALSE),0)/LEFT($AX$7,FIND(" ",$AX$7))+_xlfn.IFNA(VLOOKUP(SUMPRODUCT(LARGE(($C$8:$C35=Table1[[#This Row],[Climber]])*$A$8:$A35,MIN(3,COUNTIFS($C$8:$C35,$C35)))),$A$8:$BC35,55,FALSE),0)/LEFT($AX$7,FIND(" ",$AX$7))</f>
        <v>78.965500455660717</v>
      </c>
      <c r="BE35" s="6">
        <f ca="1">(_xlfn.IFNA(VLOOKUP(SUMPRODUCT(LARGE(($C$8:$C35=Table1[[#This Row],[Climber]])*$A$8:$A35,4)),$A$8:$BD35,55,FALSE),0)+_xlfn.IFNA(VLOOKUP(SUMPRODUCT(LARGE(($C$8:$C35=Table1[[#This Row],[Climber]])*$A$8:$A35,5)),$A$8:$BD35,55,FALSE),0)+_xlfn.IFNA(VLOOKUP(SUMPRODUCT(LARGE(($C$8:$C35=Table1[[#This Row],[Climber]])*$A$8:$A35,6)),$A$8:$BD35,55,FALSE),0))/3</f>
        <v>61.903947657807144</v>
      </c>
      <c r="BF35" s="46">
        <f ca="1">_xlfn.MAXIFS(INDIRECT("$BC"&amp;IF(SUMPRODUCT(LARGE(($C$8:$C35=$C35)*$A$8:$A35,LEFT($BA$7,FIND(" ",$BA$7)-1)))=0,8,SUMPRODUCT(LARGE(($C$8:$C35=$C35)*$A$8:$A35,LEFT($BA$7,FIND(" ",$BA$7)-1)))+7)&amp;":$BC"&amp;ROW()),INDIRECT("$C"&amp;IF(SUMPRODUCT(LARGE(($C$8:$C35=$C35)*$A$8:$A35,LEFT($BA$7,FIND(" ",$BA$7)-1)))=0,8,SUMPRODUCT(LARGE(($C$8:$C35=$C35)*$A$8:$A35,LEFT($BA$7,FIND(" ",$BA$7)-1)))+7)&amp;":$C"&amp;ROW()),$C35)</f>
        <v>83.870925341745533</v>
      </c>
      <c r="BG35" s="46">
        <f t="array" aca="1" ref="BG35" ca="1">IFERROR(SUMPRODUCT(LARGE(($C$8:$C35=Table1[[#This Row],[Climber]])*$AW$8:$AW35,ROW(INDIRECT("1:5")))),AW35)/MIN(COUNTIFS($C$8:$C35,C35),5)</f>
        <v>245.10837155254293</v>
      </c>
      <c r="BH35" s="46"/>
    </row>
    <row r="36" spans="1:60" x14ac:dyDescent="0.3">
      <c r="A36" s="125">
        <f t="shared" si="1"/>
        <v>29</v>
      </c>
      <c r="B36" s="25">
        <f>'Rock Climbing Log'!B36</f>
        <v>43132</v>
      </c>
      <c r="C36" s="126" t="str">
        <f>'Rock Climbing Log'!C36</f>
        <v>Edwin</v>
      </c>
      <c r="D36" s="26">
        <f>_xlfn.IFNA(IF(LEFT('Rock Climbing Log'!D36)="C",_xlfn.IFNA(VLOOKUP('Rock Climbing Log'!D36,'RC Lookup'!$A$3:$B$9,2,FALSE),0.5),VLOOKUP('Rock Climbing Log'!D36,'RC Lookup'!$G$3:$H$5,2,FALSE)),0)*VLOOKUP(D$7,'RC Lookup'!$D$3:$E$18,2,FALSE)</f>
        <v>10</v>
      </c>
      <c r="E36" s="26">
        <f>_xlfn.IFNA(IF(LEFT('Rock Climbing Log'!E36)="C",_xlfn.IFNA(VLOOKUP('Rock Climbing Log'!E36,'RC Lookup'!$A$3:$B$9,2,FALSE),0.5),VLOOKUP('Rock Climbing Log'!E36,'RC Lookup'!$G$3:$H$5,2,FALSE)),0)*VLOOKUP(D$7,'RC Lookup'!$D$3:$E$18,2,FALSE)</f>
        <v>0</v>
      </c>
      <c r="F36" s="26">
        <f>_xlfn.IFNA(IF(LEFT('Rock Climbing Log'!F36)="C",_xlfn.IFNA(VLOOKUP('Rock Climbing Log'!F36,'RC Lookup'!$A$3:$B$9,2,FALSE),0.5),VLOOKUP('Rock Climbing Log'!F36,'RC Lookup'!$G$3:$H$5,2,FALSE)),0)*VLOOKUP(D$7,'RC Lookup'!$D$3:$E$18,2,FALSE)</f>
        <v>0</v>
      </c>
      <c r="G36" s="26">
        <f>_xlfn.IFNA(IF(LEFT('Rock Climbing Log'!G36)="C",_xlfn.IFNA(VLOOKUP('Rock Climbing Log'!G36,'RC Lookup'!$A$3:$B$9,2,FALSE),0.5),VLOOKUP('Rock Climbing Log'!G36,'RC Lookup'!$G$3:$H$5,2,FALSE)),0)*VLOOKUP(G$7,'RC Lookup'!$D$3:$E$18,2,FALSE)</f>
        <v>0</v>
      </c>
      <c r="H36" s="26">
        <f>_xlfn.IFNA(IF(LEFT('Rock Climbing Log'!H36)="C",_xlfn.IFNA(VLOOKUP('Rock Climbing Log'!H36,'RC Lookup'!$A$3:$B$9,2,FALSE),0.5),VLOOKUP('Rock Climbing Log'!H36,'RC Lookup'!$G$3:$H$5,2,FALSE)),0)*VLOOKUP(G$7,'RC Lookup'!$D$3:$E$18,2,FALSE)</f>
        <v>0</v>
      </c>
      <c r="I36" s="26">
        <f>_xlfn.IFNA(IF(LEFT('Rock Climbing Log'!I36)="C",_xlfn.IFNA(VLOOKUP('Rock Climbing Log'!I36,'RC Lookup'!$A$3:$B$9,2,FALSE),0.5),VLOOKUP('Rock Climbing Log'!I36,'RC Lookup'!$G$3:$H$5,2,FALSE)),0)*VLOOKUP(G$7,'RC Lookup'!$D$3:$E$18,2,FALSE)</f>
        <v>0</v>
      </c>
      <c r="J36" s="26">
        <f>_xlfn.IFNA(IF(LEFT('Rock Climbing Log'!J36)="C",_xlfn.IFNA(VLOOKUP('Rock Climbing Log'!J36,'RC Lookup'!$A$3:$B$9,2,FALSE),0.5),VLOOKUP('Rock Climbing Log'!J36,'RC Lookup'!$G$3:$H$5,2,FALSE)),0)*VLOOKUP(J$7,'RC Lookup'!$D$3:$E$18,2,FALSE)</f>
        <v>0</v>
      </c>
      <c r="K36" s="26">
        <f>_xlfn.IFNA(IF(LEFT('Rock Climbing Log'!K36)="C",_xlfn.IFNA(VLOOKUP('Rock Climbing Log'!K36,'RC Lookup'!$A$3:$B$9,2,FALSE),0.5),VLOOKUP('Rock Climbing Log'!K36,'RC Lookup'!$G$3:$H$5,2,FALSE)),0)*VLOOKUP(J$7,'RC Lookup'!$D$3:$E$18,2,FALSE)</f>
        <v>0</v>
      </c>
      <c r="L36" s="26">
        <f>_xlfn.IFNA(IF(LEFT('Rock Climbing Log'!L36)="C",_xlfn.IFNA(VLOOKUP('Rock Climbing Log'!L36,'RC Lookup'!$A$3:$B$9,2,FALSE),0.5),VLOOKUP('Rock Climbing Log'!L36,'RC Lookup'!$G$3:$H$5,2,FALSE)),0)*VLOOKUP(J$7,'RC Lookup'!$D$3:$E$18,2,FALSE)</f>
        <v>0</v>
      </c>
      <c r="M36" s="26">
        <f>_xlfn.IFNA(IF(LEFT('Rock Climbing Log'!M36)="C",_xlfn.IFNA(VLOOKUP('Rock Climbing Log'!M36,'RC Lookup'!$A$3:$B$9,2,FALSE),0.5),VLOOKUP('Rock Climbing Log'!M36,'RC Lookup'!$G$3:$H$5,2,FALSE)),0)*VLOOKUP(M$7,'RC Lookup'!$D$3:$E$18,2,FALSE)</f>
        <v>20.002500000000001</v>
      </c>
      <c r="N36" s="26">
        <f>_xlfn.IFNA(IF(LEFT('Rock Climbing Log'!N36)="C",_xlfn.IFNA(VLOOKUP('Rock Climbing Log'!N36,'RC Lookup'!$A$3:$B$9,2,FALSE),0.5),VLOOKUP('Rock Climbing Log'!N36,'RC Lookup'!$G$3:$H$5,2,FALSE)),0)*VLOOKUP(M$7,'RC Lookup'!$D$3:$E$18,2,FALSE)</f>
        <v>0</v>
      </c>
      <c r="O36" s="26">
        <f>_xlfn.IFNA(IF(LEFT('Rock Climbing Log'!O36)="C",_xlfn.IFNA(VLOOKUP('Rock Climbing Log'!O36,'RC Lookup'!$A$3:$B$9,2,FALSE),0.5),VLOOKUP('Rock Climbing Log'!O36,'RC Lookup'!$G$3:$H$5,2,FALSE)),0)*VLOOKUP(M$7,'RC Lookup'!$D$3:$E$18,2,FALSE)</f>
        <v>0</v>
      </c>
      <c r="P36" s="26">
        <f>_xlfn.IFNA(IF(LEFT('Rock Climbing Log'!P36)="C",_xlfn.IFNA(VLOOKUP('Rock Climbing Log'!P36,'RC Lookup'!$A$3:$B$9,2,FALSE),0.5),VLOOKUP('Rock Climbing Log'!P36,'RC Lookup'!$G$3:$H$5,2,FALSE)),0)*VLOOKUP(P$7,'RC Lookup'!$D$3:$E$18,2,FALSE)</f>
        <v>0</v>
      </c>
      <c r="Q36" s="26">
        <f>_xlfn.IFNA(IF(LEFT('Rock Climbing Log'!Q36)="C",_xlfn.IFNA(VLOOKUP('Rock Climbing Log'!Q36,'RC Lookup'!$A$3:$B$9,2,FALSE),0.5),VLOOKUP('Rock Climbing Log'!Q36,'RC Lookup'!$G$3:$H$5,2,FALSE)),0)*VLOOKUP(P$7,'RC Lookup'!$D$3:$E$18,2,FALSE)</f>
        <v>0</v>
      </c>
      <c r="R36" s="26">
        <f>_xlfn.IFNA(IF(LEFT('Rock Climbing Log'!R36)="C",_xlfn.IFNA(VLOOKUP('Rock Climbing Log'!R36,'RC Lookup'!$A$3:$B$9,2,FALSE),0.5),VLOOKUP('Rock Climbing Log'!R36,'RC Lookup'!$G$3:$H$5,2,FALSE)),0)*VLOOKUP(P$7,'RC Lookup'!$D$3:$E$18,2,FALSE)</f>
        <v>0</v>
      </c>
      <c r="S36" s="26">
        <f>_xlfn.IFNA(IF(LEFT('Rock Climbing Log'!S36)="C",_xlfn.IFNA(VLOOKUP('Rock Climbing Log'!S36,'RC Lookup'!$A$3:$B$9,2,FALSE),0.5),VLOOKUP('Rock Climbing Log'!S36,'RC Lookup'!$G$3:$H$5,2,FALSE)),0)*VLOOKUP(S$7,'RC Lookup'!$D$3:$E$18,2,FALSE)</f>
        <v>0</v>
      </c>
      <c r="T36" s="26">
        <f>_xlfn.IFNA(IF(LEFT('Rock Climbing Log'!T36)="C",_xlfn.IFNA(VLOOKUP('Rock Climbing Log'!T36,'RC Lookup'!$A$3:$B$9,2,FALSE),0.5),VLOOKUP('Rock Climbing Log'!T36,'RC Lookup'!$G$3:$H$5,2,FALSE)),0)*VLOOKUP(S$7,'RC Lookup'!$D$3:$E$18,2,FALSE)</f>
        <v>0</v>
      </c>
      <c r="U36" s="26">
        <f>_xlfn.IFNA(IF(LEFT('Rock Climbing Log'!U36)="C",_xlfn.IFNA(VLOOKUP('Rock Climbing Log'!U36,'RC Lookup'!$A$3:$B$9,2,FALSE),0.5),VLOOKUP('Rock Climbing Log'!U36,'RC Lookup'!$G$3:$H$5,2,FALSE)),0)*VLOOKUP(S$7,'RC Lookup'!$D$3:$E$18,2,FALSE)</f>
        <v>0</v>
      </c>
      <c r="V36" s="26">
        <f>_xlfn.IFNA(IF(LEFT('Rock Climbing Log'!V36)="C",_xlfn.IFNA(VLOOKUP('Rock Climbing Log'!V36,'RC Lookup'!$A$3:$B$9,2,FALSE),0.5),VLOOKUP('Rock Climbing Log'!V36,'RC Lookup'!$G$3:$H$5,2,FALSE)),0)*VLOOKUP(V$7,'RC Lookup'!$D$3:$E$18,2,FALSE)</f>
        <v>31.731071168160021</v>
      </c>
      <c r="W36" s="26">
        <f>_xlfn.IFNA(IF(LEFT('Rock Climbing Log'!W36)="C",_xlfn.IFNA(VLOOKUP('Rock Climbing Log'!W36,'RC Lookup'!$A$3:$B$9,2,FALSE),0.5),VLOOKUP('Rock Climbing Log'!W36,'RC Lookup'!$G$3:$H$5,2,FALSE)),0)*VLOOKUP(V$7,'RC Lookup'!$D$3:$E$18,2,FALSE)</f>
        <v>0</v>
      </c>
      <c r="X36" s="26">
        <f>_xlfn.IFNA(IF(LEFT('Rock Climbing Log'!X36)="C",_xlfn.IFNA(VLOOKUP('Rock Climbing Log'!X36,'RC Lookup'!$A$3:$B$9,2,FALSE),0.5),VLOOKUP('Rock Climbing Log'!X36,'RC Lookup'!$G$3:$H$5,2,FALSE)),0)*VLOOKUP(V$7,'RC Lookup'!$D$3:$E$18,2,FALSE)</f>
        <v>0</v>
      </c>
      <c r="Y36" s="26">
        <f>_xlfn.IFNA(IF(LEFT('Rock Climbing Log'!Y36)="C",_xlfn.IFNA(VLOOKUP('Rock Climbing Log'!Y36,'RC Lookup'!$A$3:$B$9,2,FALSE),0.5),VLOOKUP('Rock Climbing Log'!Y36,'RC Lookup'!$G$3:$H$5,2,FALSE)),0)*VLOOKUP(Y$7,'RC Lookup'!$D$3:$E$18,2,FALSE)</f>
        <v>0</v>
      </c>
      <c r="Z36" s="26">
        <f>_xlfn.IFNA(IF(LEFT('Rock Climbing Log'!Z36)="C",_xlfn.IFNA(VLOOKUP('Rock Climbing Log'!Z36,'RC Lookup'!$A$3:$B$9,2,FALSE),0.5),VLOOKUP('Rock Climbing Log'!Z36,'RC Lookup'!$G$3:$H$5,2,FALSE)),0)*VLOOKUP(Y$7,'RC Lookup'!$D$3:$E$18,2,FALSE)</f>
        <v>0</v>
      </c>
      <c r="AA36" s="26">
        <f>_xlfn.IFNA(IF(LEFT('Rock Climbing Log'!AA36)="C",_xlfn.IFNA(VLOOKUP('Rock Climbing Log'!AA36,'RC Lookup'!$A$3:$B$9,2,FALSE),0.5),VLOOKUP('Rock Climbing Log'!AA36,'RC Lookup'!$G$3:$H$5,2,FALSE)),0)*VLOOKUP(Y$7,'RC Lookup'!$D$3:$E$18,2,FALSE)</f>
        <v>0</v>
      </c>
      <c r="AB36" s="26">
        <f>_xlfn.IFNA(IF(LEFT('Rock Climbing Log'!AB36)="C",_xlfn.IFNA(VLOOKUP('Rock Climbing Log'!AB36,'RC Lookup'!$A$3:$B$9,2,FALSE),0.5),VLOOKUP('Rock Climbing Log'!AB36,'RC Lookup'!$G$3:$H$5,2,FALSE)),0)*VLOOKUP(AB$7,'RC Lookup'!$D$3:$E$18,2,FALSE)</f>
        <v>39.391347751922041</v>
      </c>
      <c r="AC36" s="26">
        <f>_xlfn.IFNA(IF(LEFT('Rock Climbing Log'!AC36)="C",_xlfn.IFNA(VLOOKUP('Rock Climbing Log'!AC36,'RC Lookup'!$A$3:$B$9,2,FALSE),0.5),VLOOKUP('Rock Climbing Log'!AC36,'RC Lookup'!$G$3:$H$5,2,FALSE)),0)*VLOOKUP(AB$7,'RC Lookup'!$D$3:$E$18,2,FALSE)</f>
        <v>0</v>
      </c>
      <c r="AD36" s="26">
        <f>_xlfn.IFNA(IF(LEFT('Rock Climbing Log'!AD36)="C",_xlfn.IFNA(VLOOKUP('Rock Climbing Log'!AD36,'RC Lookup'!$A$3:$B$9,2,FALSE),0.5),VLOOKUP('Rock Climbing Log'!AD36,'RC Lookup'!$G$3:$H$5,2,FALSE)),0)*VLOOKUP(AB$7,'RC Lookup'!$D$3:$E$18,2,FALSE)</f>
        <v>0</v>
      </c>
      <c r="AE36" s="26">
        <f>_xlfn.IFNA(IF(LEFT('Rock Climbing Log'!AE36)="C",_xlfn.IFNA(VLOOKUP('Rock Climbing Log'!AE36,'RC Lookup'!$A$3:$B$9,2,FALSE),0.5),VLOOKUP('Rock Climbing Log'!AE36,'RC Lookup'!$G$3:$H$5,2,FALSE)),0)*VLOOKUP(AE$7,'RC Lookup'!$D$3:$E$18,2,FALSE)</f>
        <v>0</v>
      </c>
      <c r="AF36" s="26">
        <f>_xlfn.IFNA(IF(LEFT('Rock Climbing Log'!AF36)="C",_xlfn.IFNA(VLOOKUP('Rock Climbing Log'!AF36,'RC Lookup'!$A$3:$B$9,2,FALSE),0.5),VLOOKUP('Rock Climbing Log'!AF36,'RC Lookup'!$G$3:$H$5,2,FALSE)),0)*VLOOKUP(AE$7,'RC Lookup'!$D$3:$E$18,2,FALSE)</f>
        <v>0</v>
      </c>
      <c r="AG36" s="26">
        <f>_xlfn.IFNA(IF(LEFT('Rock Climbing Log'!AG36)="C",_xlfn.IFNA(VLOOKUP('Rock Climbing Log'!AG36,'RC Lookup'!$A$3:$B$9,2,FALSE),0.5),VLOOKUP('Rock Climbing Log'!AG36,'RC Lookup'!$G$3:$H$5,2,FALSE)),0)*VLOOKUP(AE$7,'RC Lookup'!$D$3:$E$18,2,FALSE)</f>
        <v>0</v>
      </c>
      <c r="AH36" s="26">
        <f>_xlfn.IFNA(IF(LEFT('Rock Climbing Log'!AH36)="C",_xlfn.IFNA(VLOOKUP('Rock Climbing Log'!AH36,'RC Lookup'!$A$3:$B$9,2,FALSE),0.5),VLOOKUP('Rock Climbing Log'!AH36,'RC Lookup'!$G$3:$H$5,2,FALSE)),0)*VLOOKUP(AH$7,'RC Lookup'!$D$3:$E$18,2,FALSE)</f>
        <v>0</v>
      </c>
      <c r="AI36" s="26">
        <f>_xlfn.IFNA(IF(LEFT('Rock Climbing Log'!AI36)="C",_xlfn.IFNA(VLOOKUP('Rock Climbing Log'!AI36,'RC Lookup'!$A$3:$B$9,2,FALSE),0.5),VLOOKUP('Rock Climbing Log'!AI36,'RC Lookup'!$G$3:$H$5,2,FALSE)),0)*VLOOKUP(AH$7,'RC Lookup'!$D$3:$E$18,2,FALSE)</f>
        <v>0</v>
      </c>
      <c r="AJ36" s="26">
        <f>_xlfn.IFNA(IF(LEFT('Rock Climbing Log'!AJ36)="C",_xlfn.IFNA(VLOOKUP('Rock Climbing Log'!AJ36,'RC Lookup'!$A$3:$B$9,2,FALSE),0.5),VLOOKUP('Rock Climbing Log'!AJ36,'RC Lookup'!$G$3:$H$5,2,FALSE)),0)*VLOOKUP(AH$7,'RC Lookup'!$D$3:$E$18,2,FALSE)</f>
        <v>0</v>
      </c>
      <c r="AK36" s="26">
        <f>_xlfn.IFNA(IF(LEFT('Rock Climbing Log'!AK36)="C",_xlfn.IFNA(VLOOKUP('Rock Climbing Log'!AK36,'RC Lookup'!$A$3:$B$9,2,FALSE),0.5),VLOOKUP('Rock Climbing Log'!AK36,'RC Lookup'!$G$3:$H$5,2,FALSE)),0)*VLOOKUP(AK$7,'RC Lookup'!$D$3:$E$18,2,FALSE)</f>
        <v>0</v>
      </c>
      <c r="AL36" s="26">
        <f>_xlfn.IFNA(IF(LEFT('Rock Climbing Log'!AL36)="C",_xlfn.IFNA(VLOOKUP('Rock Climbing Log'!AL36,'RC Lookup'!$A$3:$B$9,2,FALSE),0.5),VLOOKUP('Rock Climbing Log'!AL36,'RC Lookup'!$G$3:$H$5,2,FALSE)),0)*VLOOKUP(AK$7,'RC Lookup'!$D$3:$E$18,2,FALSE)</f>
        <v>0</v>
      </c>
      <c r="AM36" s="26">
        <f>_xlfn.IFNA(IF(LEFT('Rock Climbing Log'!AM36)="C",_xlfn.IFNA(VLOOKUP('Rock Climbing Log'!AM36,'RC Lookup'!$A$3:$B$9,2,FALSE),0.5),VLOOKUP('Rock Climbing Log'!AM36,'RC Lookup'!$G$3:$H$5,2,FALSE)),0)*VLOOKUP(AK$7,'RC Lookup'!$D$3:$E$18,2,FALSE)</f>
        <v>0</v>
      </c>
      <c r="AN36" s="26">
        <f>_xlfn.IFNA(IF(LEFT('Rock Climbing Log'!AN36)="C",_xlfn.IFNA(VLOOKUP('Rock Climbing Log'!AN36,'RC Lookup'!$A$3:$B$9,2,FALSE),0.5),VLOOKUP('Rock Climbing Log'!AN36,'RC Lookup'!$G$3:$H$5,2,FALSE)),0)*VLOOKUP(AN$7,'RC Lookup'!$D$3:$E$18,2,FALSE)</f>
        <v>0</v>
      </c>
      <c r="AO36" s="26">
        <f>_xlfn.IFNA(IF(LEFT('Rock Climbing Log'!AO36)="C",_xlfn.IFNA(VLOOKUP('Rock Climbing Log'!AO36,'RC Lookup'!$A$3:$B$9,2,FALSE),0.5),VLOOKUP('Rock Climbing Log'!AO36,'RC Lookup'!$G$3:$H$5,2,FALSE)),0)*VLOOKUP(AN$7,'RC Lookup'!$D$3:$E$18,2,FALSE)</f>
        <v>0</v>
      </c>
      <c r="AP36" s="26">
        <f>_xlfn.IFNA(IF(LEFT('Rock Climbing Log'!AP36)="C",_xlfn.IFNA(VLOOKUP('Rock Climbing Log'!AP36,'RC Lookup'!$A$3:$B$9,2,FALSE),0.5),VLOOKUP('Rock Climbing Log'!AP36,'RC Lookup'!$G$3:$H$5,2,FALSE)),0)*VLOOKUP(AN$7,'RC Lookup'!$D$3:$E$18,2,FALSE)</f>
        <v>0</v>
      </c>
      <c r="AQ36" s="26">
        <f>_xlfn.IFNA(IF(LEFT('Rock Climbing Log'!AQ36)="C",_xlfn.IFNA(VLOOKUP('Rock Climbing Log'!AQ36,'RC Lookup'!$A$3:$B$9,2,FALSE),0.5),VLOOKUP('Rock Climbing Log'!AQ36,'RC Lookup'!$G$3:$H$5,2,FALSE)),0)*VLOOKUP(AQ$7,'RC Lookup'!$D$3:$E$18,2,FALSE)</f>
        <v>0</v>
      </c>
      <c r="AR36" s="26">
        <f>_xlfn.IFNA(IF(LEFT('Rock Climbing Log'!AR36)="C",_xlfn.IFNA(VLOOKUP('Rock Climbing Log'!AR36,'RC Lookup'!$A$3:$B$9,2,FALSE),0.5),VLOOKUP('Rock Climbing Log'!AR36,'RC Lookup'!$G$3:$H$5,2,FALSE)),0)*VLOOKUP(AQ$7,'RC Lookup'!$D$3:$E$18,2,FALSE)</f>
        <v>0</v>
      </c>
      <c r="AS36" s="26">
        <f>_xlfn.IFNA(IF(LEFT('Rock Climbing Log'!AS36)="C",_xlfn.IFNA(VLOOKUP('Rock Climbing Log'!AS36,'RC Lookup'!$A$3:$B$9,2,FALSE),0.5),VLOOKUP('Rock Climbing Log'!AS36,'RC Lookup'!$G$3:$H$5,2,FALSE)),0)*VLOOKUP(AQ$7,'RC Lookup'!$D$3:$E$18,2,FALSE)</f>
        <v>0</v>
      </c>
      <c r="AT36" s="26">
        <f>_xlfn.IFNA(IF(LEFT('Rock Climbing Log'!AT36)="C",_xlfn.IFNA(VLOOKUP('Rock Climbing Log'!AT36,'RC Lookup'!$A$3:$B$9,2,FALSE),0.5),VLOOKUP('Rock Climbing Log'!AT36,'RC Lookup'!$G$3:$H$5,2,FALSE)),0)*VLOOKUP(AT$7,'RC Lookup'!$D$3:$E$18,2,FALSE)</f>
        <v>0</v>
      </c>
      <c r="AU36" s="26">
        <f>_xlfn.IFNA(IF(LEFT('Rock Climbing Log'!AU36)="C",_xlfn.IFNA(VLOOKUP('Rock Climbing Log'!AU36,'RC Lookup'!$A$3:$B$9,2,FALSE),0.5),VLOOKUP('Rock Climbing Log'!AU36,'RC Lookup'!$G$3:$H$5,2,FALSE)),0)*VLOOKUP(AT$7,'RC Lookup'!$D$3:$E$18,2,FALSE)</f>
        <v>0</v>
      </c>
      <c r="AV36" s="26">
        <f>_xlfn.IFNA(IF(LEFT('Rock Climbing Log'!AV36)="C",_xlfn.IFNA(VLOOKUP('Rock Climbing Log'!AV36,'RC Lookup'!$A$3:$B$9,2,FALSE),0.5),VLOOKUP('Rock Climbing Log'!AV36,'RC Lookup'!$G$3:$H$5,2,FALSE)),0)*VLOOKUP(AT$7,'RC Lookup'!$D$3:$E$18,2,FALSE)</f>
        <v>0</v>
      </c>
      <c r="AW36" s="30">
        <f t="shared" ca="1" si="0"/>
        <v>91.124918920082052</v>
      </c>
      <c r="AX36" s="30">
        <f ca="1">_xlfn.IFNA(VLOOKUP(SUMPRODUCT(LARGE(($C$8:$C36=Table1[[#This Row],[Climber]])*$A$8:$A36,1)),$A$8:$AW36,MATCH($AW$7,$A$7:$AW$7,FALSE),FALSE),0)/LEFT($AX$7,FIND(" ",$AX$7))+_xlfn.IFNA(VLOOKUP(SUMPRODUCT(LARGE(($C$8:$C36=Table1[[#This Row],[Climber]])*$A$8:$A36,MIN(2,COUNTIFS($C$8:$C36,$C36)))),$A$8:$AW36,MATCH($AW$7,$A$7:$AW$7,FALSE),FALSE),0)/LEFT($AX$7,FIND(" ",$AX$7))+_xlfn.IFNA(VLOOKUP(SUMPRODUCT(LARGE(($C$8:$C36=Table1[[#This Row],[Climber]])*$A$8:$A36,MIN(3,COUNTIFS($C$8:$C36,$C36)))),$A$8:$AW36,MATCH($AW$7,$A$7:$AW$7,FALSE),FALSE),0)/LEFT($AX$7,FIND(" ",$AX$7))</f>
        <v>94.363460566264806</v>
      </c>
      <c r="AY36" s="30">
        <f ca="1">_xlfn.IFNA(VLOOKUP(SUMPRODUCT(LARGE(($C$8:$C36=Table1[[#This Row],[Climber]])*$A$8:$A36,1)),$A$8:$AW36,MATCH($AW$7,$A$7:$AW$7,FALSE),FALSE),0)/LEFT($AY$7,FIND(" ",$AY$7))+_xlfn.IFNA(VLOOKUP(SUMPRODUCT(LARGE(($C$8:$C36=Table1[[#This Row],[Climber]])*$A$8:$A36,MIN(2,COUNTIFS($C$8:$C36,$C36)))),$A$8:$AW36,MATCH($AW$7,$A$7:$AW$7,FALSE),FALSE),0)/LEFT($AY$7,FIND(" ",$AY$7))+_xlfn.IFNA(VLOOKUP(SUMPRODUCT(LARGE(($C$8:$C36=Table1[[#This Row],[Climber]])*$A$8:$A36,MIN(3,COUNTIFS($C$8:$C36,$C36)))),$A$8:$AW36,MATCH($AW$7,$A$7:$AW$7,FALSE),FALSE),0)/LEFT($AY$7,FIND(" ",$AY$7))+_xlfn.IFNA(VLOOKUP(SUMPRODUCT(LARGE(($C$8:$C36=Table1[[#This Row],[Climber]])*$A$8:$A36,MIN(4,COUNTIFS($C$8:$C36,$C36)))),$A$8:$AW36,MATCH($AW$7,$A$7:$AW$7,FALSE),FALSE),0)/LEFT($AY$7,FIND(" ",$AY$7))+_xlfn.IFNA(VLOOKUP(SUMPRODUCT(LARGE(($C$8:$C36=Table1[[#This Row],[Climber]])*$A$8:$A36,MIN(5,COUNTIFS($C$8:$C36,$C36)))),$A$8:$AW36,MATCH($AW$7,$A$7:$AW$7,FALSE),FALSE),0)/LEFT($AY$7,FIND(" ",$AY$7))</f>
        <v>84.095457017480811</v>
      </c>
      <c r="AZ36" s="30">
        <f ca="1">(_xlfn.IFNA(VLOOKUP(SUMPRODUCT(LARGE(($C$8:$C36=Table1[[#This Row],[Climber]])*$A$8:$A36,4)),$A$8:$AW36,MATCH($AW$7,$A$7:$AW$7,FALSE),FALSE),0)+_xlfn.IFNA(VLOOKUP(SUMPRODUCT(LARGE(($C$8:$C36=Table1[[#This Row],[Climber]])*$A$8:$A36,5)),$A$8:$AW36,MATCH($AW$7,$A$7:$AW$7,FALSE),FALSE),0)+_xlfn.IFNA(VLOOKUP(SUMPRODUCT(LARGE(($C$8:$C36=Table1[[#This Row],[Climber]])*$A$8:$A36,6)),$A$8:$AW36,MATCH($AW$7,$A$7:$AW$7,FALSE),FALSE),0))/3</f>
        <v>66.313588753269883</v>
      </c>
      <c r="BA36" s="6">
        <f ca="1">_xlfn.MAXIFS(INDIRECT("$AW"&amp;IF(SUMPRODUCT(LARGE(($C$8:$C36=$C36)*$A$8:$A36,LEFT($BA$7,FIND(" ",$BA$7)-1)))=0,8,SUMPRODUCT(LARGE(($C$8:$C36=$C36)*$A$8:$A36,LEFT($BA$7,FIND(" ",$BA$7)-1)))+7)&amp;":$AW"&amp;ROW()),INDIRECT("$C"&amp;IF(SUMPRODUCT(LARGE(($C$8:$C36=$C36)*$A$8:$A36,LEFT($BA$7,FIND(" ",$BA$7)-1)))=0,8,SUMPRODUCT(LARGE(($C$8:$C36=$C36)*$A$8:$A36,LEFT($BA$7,FIND(" ",$BA$7)-1)))+7)&amp;":$C"&amp;ROW()),$C36)</f>
        <v>113.21450632116824</v>
      </c>
      <c r="BB36" s="6" t="str">
        <f ca="1">VLOOKUP(MAX(BG36,$AX36),'RC Lookup'!$G$14:$J$20,2,TRUE)</f>
        <v>T3</v>
      </c>
      <c r="BC36" s="6">
        <f ca="1">_xlfn.IFNA(VLOOKUP(VLOOKUP($C36,'RC Lookup'!$O$3:$P$50,2,FALSE),'RC Lookup'!$H$14:$J$23,2,FALSE),0)*AW36</f>
        <v>69.929909897143261</v>
      </c>
      <c r="BD36" s="6">
        <f ca="1">_xlfn.IFNA(VLOOKUP(SUMPRODUCT(LARGE(($C$8:$C36=Table1[[#This Row],[Climber]])*$A$8:$A36,1)),$A$8:$BC36,55,FALSE),0)/LEFT($AX$7,FIND(" ",$AX$7))+_xlfn.IFNA(VLOOKUP(SUMPRODUCT(LARGE(($C$8:$C36=Table1[[#This Row],[Climber]])*$A$8:$A36,MIN(2,COUNTIFS($C$8:$C36,$C36)))),$A$8:$BC36,55,FALSE),0)/LEFT($AX$7,FIND(" ",$AX$7))+_xlfn.IFNA(VLOOKUP(SUMPRODUCT(LARGE(($C$8:$C36=Table1[[#This Row],[Climber]])*$A$8:$A36,MIN(3,COUNTIFS($C$8:$C36,$C36)))),$A$8:$BC36,55,FALSE),0)/LEFT($AX$7,FIND(" ",$AX$7))</f>
        <v>72.415189754723428</v>
      </c>
      <c r="BE36" s="6">
        <f ca="1">(_xlfn.IFNA(VLOOKUP(SUMPRODUCT(LARGE(($C$8:$C36=Table1[[#This Row],[Climber]])*$A$8:$A36,4)),$A$8:$BD36,55,FALSE),0)+_xlfn.IFNA(VLOOKUP(SUMPRODUCT(LARGE(($C$8:$C36=Table1[[#This Row],[Climber]])*$A$8:$A36,5)),$A$8:$BD36,55,FALSE),0)+_xlfn.IFNA(VLOOKUP(SUMPRODUCT(LARGE(($C$8:$C36=Table1[[#This Row],[Climber]])*$A$8:$A36,6)),$A$8:$BD36,55,FALSE),0))/3</f>
        <v>50.889518931033145</v>
      </c>
      <c r="BF36" s="46">
        <f ca="1">_xlfn.MAXIFS(INDIRECT("$BC"&amp;IF(SUMPRODUCT(LARGE(($C$8:$C36=$C36)*$A$8:$A36,LEFT($BA$7,FIND(" ",$BA$7)-1)))=0,8,SUMPRODUCT(LARGE(($C$8:$C36=$C36)*$A$8:$A36,LEFT($BA$7,FIND(" ",$BA$7)-1)))+7)&amp;":$BC"&amp;ROW()),INDIRECT("$C"&amp;IF(SUMPRODUCT(LARGE(($C$8:$C36=$C36)*$A$8:$A36,LEFT($BA$7,FIND(" ",$BA$7)-1)))=0,8,SUMPRODUCT(LARGE(($C$8:$C36=$C36)*$A$8:$A36,LEFT($BA$7,FIND(" ",$BA$7)-1)))+7)&amp;":$C"&amp;ROW()),$C36)</f>
        <v>86.881616136550448</v>
      </c>
      <c r="BG36" s="46">
        <f t="array" aca="1" ref="BG36" ca="1">IFERROR(SUMPRODUCT(LARGE(($C$8:$C36=Table1[[#This Row],[Climber]])*$AW$8:$AW36,ROW(INDIRECT("1:5")))),AW36)/MIN(COUNTIFS($C$8:$C36,C36),5)</f>
        <v>84.765296062478896</v>
      </c>
      <c r="BH36" s="46"/>
    </row>
    <row r="37" spans="1:60" x14ac:dyDescent="0.3">
      <c r="A37" s="125">
        <f t="shared" si="1"/>
        <v>30</v>
      </c>
      <c r="B37" s="25">
        <f>'Rock Climbing Log'!B37</f>
        <v>43134</v>
      </c>
      <c r="C37" s="126" t="str">
        <f>'Rock Climbing Log'!C37</f>
        <v>Lester</v>
      </c>
      <c r="D37" s="26">
        <f>_xlfn.IFNA(IF(LEFT('Rock Climbing Log'!D37)="C",_xlfn.IFNA(VLOOKUP('Rock Climbing Log'!D37,'RC Lookup'!$A$3:$B$9,2,FALSE),0.5),VLOOKUP('Rock Climbing Log'!D37,'RC Lookup'!$G$3:$H$5,2,FALSE)),0)*VLOOKUP(D$7,'RC Lookup'!$D$3:$E$18,2,FALSE)</f>
        <v>0</v>
      </c>
      <c r="E37" s="26">
        <f>_xlfn.IFNA(IF(LEFT('Rock Climbing Log'!E37)="C",_xlfn.IFNA(VLOOKUP('Rock Climbing Log'!E37,'RC Lookup'!$A$3:$B$9,2,FALSE),0.5),VLOOKUP('Rock Climbing Log'!E37,'RC Lookup'!$G$3:$H$5,2,FALSE)),0)*VLOOKUP(D$7,'RC Lookup'!$D$3:$E$18,2,FALSE)</f>
        <v>0</v>
      </c>
      <c r="F37" s="26">
        <f>_xlfn.IFNA(IF(LEFT('Rock Climbing Log'!F37)="C",_xlfn.IFNA(VLOOKUP('Rock Climbing Log'!F37,'RC Lookup'!$A$3:$B$9,2,FALSE),0.5),VLOOKUP('Rock Climbing Log'!F37,'RC Lookup'!$G$3:$H$5,2,FALSE)),0)*VLOOKUP(D$7,'RC Lookup'!$D$3:$E$18,2,FALSE)</f>
        <v>0</v>
      </c>
      <c r="G37" s="26">
        <f>_xlfn.IFNA(IF(LEFT('Rock Climbing Log'!G37)="C",_xlfn.IFNA(VLOOKUP('Rock Climbing Log'!G37,'RC Lookup'!$A$3:$B$9,2,FALSE),0.5),VLOOKUP('Rock Climbing Log'!G37,'RC Lookup'!$G$3:$H$5,2,FALSE)),0)*VLOOKUP(G$7,'RC Lookup'!$D$3:$E$18,2,FALSE)</f>
        <v>0</v>
      </c>
      <c r="H37" s="26">
        <f>_xlfn.IFNA(IF(LEFT('Rock Climbing Log'!H37)="C",_xlfn.IFNA(VLOOKUP('Rock Climbing Log'!H37,'RC Lookup'!$A$3:$B$9,2,FALSE),0.5),VLOOKUP('Rock Climbing Log'!H37,'RC Lookup'!$G$3:$H$5,2,FALSE)),0)*VLOOKUP(G$7,'RC Lookup'!$D$3:$E$18,2,FALSE)</f>
        <v>0</v>
      </c>
      <c r="I37" s="26">
        <f>_xlfn.IFNA(IF(LEFT('Rock Climbing Log'!I37)="C",_xlfn.IFNA(VLOOKUP('Rock Climbing Log'!I37,'RC Lookup'!$A$3:$B$9,2,FALSE),0.5),VLOOKUP('Rock Climbing Log'!I37,'RC Lookup'!$G$3:$H$5,2,FALSE)),0)*VLOOKUP(G$7,'RC Lookup'!$D$3:$E$18,2,FALSE)</f>
        <v>0</v>
      </c>
      <c r="J37" s="26">
        <f>_xlfn.IFNA(IF(LEFT('Rock Climbing Log'!J37)="C",_xlfn.IFNA(VLOOKUP('Rock Climbing Log'!J37,'RC Lookup'!$A$3:$B$9,2,FALSE),0.5),VLOOKUP('Rock Climbing Log'!J37,'RC Lookup'!$G$3:$H$5,2,FALSE)),0)*VLOOKUP(J$7,'RC Lookup'!$D$3:$E$18,2,FALSE)</f>
        <v>0</v>
      </c>
      <c r="K37" s="26">
        <f>_xlfn.IFNA(IF(LEFT('Rock Climbing Log'!K37)="C",_xlfn.IFNA(VLOOKUP('Rock Climbing Log'!K37,'RC Lookup'!$A$3:$B$9,2,FALSE),0.5),VLOOKUP('Rock Climbing Log'!K37,'RC Lookup'!$G$3:$H$5,2,FALSE)),0)*VLOOKUP(J$7,'RC Lookup'!$D$3:$E$18,2,FALSE)</f>
        <v>0</v>
      </c>
      <c r="L37" s="26">
        <f>_xlfn.IFNA(IF(LEFT('Rock Climbing Log'!L37)="C",_xlfn.IFNA(VLOOKUP('Rock Climbing Log'!L37,'RC Lookup'!$A$3:$B$9,2,FALSE),0.5),VLOOKUP('Rock Climbing Log'!L37,'RC Lookup'!$G$3:$H$5,2,FALSE)),0)*VLOOKUP(J$7,'RC Lookup'!$D$3:$E$18,2,FALSE)</f>
        <v>0</v>
      </c>
      <c r="M37" s="26">
        <f>_xlfn.IFNA(IF(LEFT('Rock Climbing Log'!M37)="C",_xlfn.IFNA(VLOOKUP('Rock Climbing Log'!M37,'RC Lookup'!$A$3:$B$9,2,FALSE),0.5),VLOOKUP('Rock Climbing Log'!M37,'RC Lookup'!$G$3:$H$5,2,FALSE)),0)*VLOOKUP(M$7,'RC Lookup'!$D$3:$E$18,2,FALSE)</f>
        <v>20.002500000000001</v>
      </c>
      <c r="N37" s="26">
        <f>_xlfn.IFNA(IF(LEFT('Rock Climbing Log'!N37)="C",_xlfn.IFNA(VLOOKUP('Rock Climbing Log'!N37,'RC Lookup'!$A$3:$B$9,2,FALSE),0.5),VLOOKUP('Rock Climbing Log'!N37,'RC Lookup'!$G$3:$H$5,2,FALSE)),0)*VLOOKUP(M$7,'RC Lookup'!$D$3:$E$18,2,FALSE)</f>
        <v>0</v>
      </c>
      <c r="O37" s="26">
        <f>_xlfn.IFNA(IF(LEFT('Rock Climbing Log'!O37)="C",_xlfn.IFNA(VLOOKUP('Rock Climbing Log'!O37,'RC Lookup'!$A$3:$B$9,2,FALSE),0.5),VLOOKUP('Rock Climbing Log'!O37,'RC Lookup'!$G$3:$H$5,2,FALSE)),0)*VLOOKUP(M$7,'RC Lookup'!$D$3:$E$18,2,FALSE)</f>
        <v>0</v>
      </c>
      <c r="P37" s="26">
        <f>_xlfn.IFNA(IF(LEFT('Rock Climbing Log'!P37)="C",_xlfn.IFNA(VLOOKUP('Rock Climbing Log'!P37,'RC Lookup'!$A$3:$B$9,2,FALSE),0.5),VLOOKUP('Rock Climbing Log'!P37,'RC Lookup'!$G$3:$H$5,2,FALSE)),0)*VLOOKUP(P$7,'RC Lookup'!$D$3:$E$18,2,FALSE)</f>
        <v>0</v>
      </c>
      <c r="Q37" s="26">
        <f>_xlfn.IFNA(IF(LEFT('Rock Climbing Log'!Q37)="C",_xlfn.IFNA(VLOOKUP('Rock Climbing Log'!Q37,'RC Lookup'!$A$3:$B$9,2,FALSE),0.5),VLOOKUP('Rock Climbing Log'!Q37,'RC Lookup'!$G$3:$H$5,2,FALSE)),0)*VLOOKUP(P$7,'RC Lookup'!$D$3:$E$18,2,FALSE)</f>
        <v>0</v>
      </c>
      <c r="R37" s="26">
        <f>_xlfn.IFNA(IF(LEFT('Rock Climbing Log'!R37)="C",_xlfn.IFNA(VLOOKUP('Rock Climbing Log'!R37,'RC Lookup'!$A$3:$B$9,2,FALSE),0.5),VLOOKUP('Rock Climbing Log'!R37,'RC Lookup'!$G$3:$H$5,2,FALSE)),0)*VLOOKUP(P$7,'RC Lookup'!$D$3:$E$18,2,FALSE)</f>
        <v>0</v>
      </c>
      <c r="S37" s="26">
        <f>_xlfn.IFNA(IF(LEFT('Rock Climbing Log'!S37)="C",_xlfn.IFNA(VLOOKUP('Rock Climbing Log'!S37,'RC Lookup'!$A$3:$B$9,2,FALSE),0.5),VLOOKUP('Rock Climbing Log'!S37,'RC Lookup'!$G$3:$H$5,2,FALSE)),0)*VLOOKUP(S$7,'RC Lookup'!$D$3:$E$18,2,FALSE)</f>
        <v>0</v>
      </c>
      <c r="T37" s="26">
        <f>_xlfn.IFNA(IF(LEFT('Rock Climbing Log'!T37)="C",_xlfn.IFNA(VLOOKUP('Rock Climbing Log'!T37,'RC Lookup'!$A$3:$B$9,2,FALSE),0.5),VLOOKUP('Rock Climbing Log'!T37,'RC Lookup'!$G$3:$H$5,2,FALSE)),0)*VLOOKUP(S$7,'RC Lookup'!$D$3:$E$18,2,FALSE)</f>
        <v>0</v>
      </c>
      <c r="U37" s="26">
        <f>_xlfn.IFNA(IF(LEFT('Rock Climbing Log'!U37)="C",_xlfn.IFNA(VLOOKUP('Rock Climbing Log'!U37,'RC Lookup'!$A$3:$B$9,2,FALSE),0.5),VLOOKUP('Rock Climbing Log'!U37,'RC Lookup'!$G$3:$H$5,2,FALSE)),0)*VLOOKUP(S$7,'RC Lookup'!$D$3:$E$18,2,FALSE)</f>
        <v>0</v>
      </c>
      <c r="V37" s="26">
        <f>_xlfn.IFNA(IF(LEFT('Rock Climbing Log'!V37)="C",_xlfn.IFNA(VLOOKUP('Rock Climbing Log'!V37,'RC Lookup'!$A$3:$B$9,2,FALSE),0.5),VLOOKUP('Rock Climbing Log'!V37,'RC Lookup'!$G$3:$H$5,2,FALSE)),0)*VLOOKUP(V$7,'RC Lookup'!$D$3:$E$18,2,FALSE)</f>
        <v>35.256745742400021</v>
      </c>
      <c r="W37" s="26">
        <f>_xlfn.IFNA(IF(LEFT('Rock Climbing Log'!W37)="C",_xlfn.IFNA(VLOOKUP('Rock Climbing Log'!W37,'RC Lookup'!$A$3:$B$9,2,FALSE),0.5),VLOOKUP('Rock Climbing Log'!W37,'RC Lookup'!$G$3:$H$5,2,FALSE)),0)*VLOOKUP(V$7,'RC Lookup'!$D$3:$E$18,2,FALSE)</f>
        <v>0</v>
      </c>
      <c r="X37" s="26">
        <f>_xlfn.IFNA(IF(LEFT('Rock Climbing Log'!X37)="C",_xlfn.IFNA(VLOOKUP('Rock Climbing Log'!X37,'RC Lookup'!$A$3:$B$9,2,FALSE),0.5),VLOOKUP('Rock Climbing Log'!X37,'RC Lookup'!$G$3:$H$5,2,FALSE)),0)*VLOOKUP(V$7,'RC Lookup'!$D$3:$E$18,2,FALSE)</f>
        <v>0</v>
      </c>
      <c r="Y37" s="26">
        <f>_xlfn.IFNA(IF(LEFT('Rock Climbing Log'!Y37)="C",_xlfn.IFNA(VLOOKUP('Rock Climbing Log'!Y37,'RC Lookup'!$A$3:$B$9,2,FALSE),0.5),VLOOKUP('Rock Climbing Log'!Y37,'RC Lookup'!$G$3:$H$5,2,FALSE)),0)*VLOOKUP(Y$7,'RC Lookup'!$D$3:$E$18,2,FALSE)</f>
        <v>0</v>
      </c>
      <c r="Z37" s="26">
        <f>_xlfn.IFNA(IF(LEFT('Rock Climbing Log'!Z37)="C",_xlfn.IFNA(VLOOKUP('Rock Climbing Log'!Z37,'RC Lookup'!$A$3:$B$9,2,FALSE),0.5),VLOOKUP('Rock Climbing Log'!Z37,'RC Lookup'!$G$3:$H$5,2,FALSE)),0)*VLOOKUP(Y$7,'RC Lookup'!$D$3:$E$18,2,FALSE)</f>
        <v>0</v>
      </c>
      <c r="AA37" s="26">
        <f>_xlfn.IFNA(IF(LEFT('Rock Climbing Log'!AA37)="C",_xlfn.IFNA(VLOOKUP('Rock Climbing Log'!AA37,'RC Lookup'!$A$3:$B$9,2,FALSE),0.5),VLOOKUP('Rock Climbing Log'!AA37,'RC Lookup'!$G$3:$H$5,2,FALSE)),0)*VLOOKUP(Y$7,'RC Lookup'!$D$3:$E$18,2,FALSE)</f>
        <v>0</v>
      </c>
      <c r="AB37" s="26">
        <f>_xlfn.IFNA(IF(LEFT('Rock Climbing Log'!AB37)="C",_xlfn.IFNA(VLOOKUP('Rock Climbing Log'!AB37,'RC Lookup'!$A$3:$B$9,2,FALSE),0.5),VLOOKUP('Rock Climbing Log'!AB37,'RC Lookup'!$G$3:$H$5,2,FALSE)),0)*VLOOKUP(AB$7,'RC Lookup'!$D$3:$E$18,2,FALSE)</f>
        <v>0</v>
      </c>
      <c r="AC37" s="26">
        <f>_xlfn.IFNA(IF(LEFT('Rock Climbing Log'!AC37)="C",_xlfn.IFNA(VLOOKUP('Rock Climbing Log'!AC37,'RC Lookup'!$A$3:$B$9,2,FALSE),0.5),VLOOKUP('Rock Climbing Log'!AC37,'RC Lookup'!$G$3:$H$5,2,FALSE)),0)*VLOOKUP(AB$7,'RC Lookup'!$D$3:$E$18,2,FALSE)</f>
        <v>0</v>
      </c>
      <c r="AD37" s="26">
        <f>_xlfn.IFNA(IF(LEFT('Rock Climbing Log'!AD37)="C",_xlfn.IFNA(VLOOKUP('Rock Climbing Log'!AD37,'RC Lookup'!$A$3:$B$9,2,FALSE),0.5),VLOOKUP('Rock Climbing Log'!AD37,'RC Lookup'!$G$3:$H$5,2,FALSE)),0)*VLOOKUP(AB$7,'RC Lookup'!$D$3:$E$18,2,FALSE)</f>
        <v>0</v>
      </c>
      <c r="AE37" s="26">
        <f>_xlfn.IFNA(IF(LEFT('Rock Climbing Log'!AE37)="C",_xlfn.IFNA(VLOOKUP('Rock Climbing Log'!AE37,'RC Lookup'!$A$3:$B$9,2,FALSE),0.5),VLOOKUP('Rock Climbing Log'!AE37,'RC Lookup'!$G$3:$H$5,2,FALSE)),0)*VLOOKUP(AE$7,'RC Lookup'!$D$3:$E$18,2,FALSE)</f>
        <v>67.867671846932893</v>
      </c>
      <c r="AF37" s="26">
        <f>_xlfn.IFNA(IF(LEFT('Rock Climbing Log'!AF37)="C",_xlfn.IFNA(VLOOKUP('Rock Climbing Log'!AF37,'RC Lookup'!$A$3:$B$9,2,FALSE),0.5),VLOOKUP('Rock Climbing Log'!AF37,'RC Lookup'!$G$3:$H$5,2,FALSE)),0)*VLOOKUP(AE$7,'RC Lookup'!$D$3:$E$18,2,FALSE)</f>
        <v>67.867671846932893</v>
      </c>
      <c r="AG37" s="26">
        <f>_xlfn.IFNA(IF(LEFT('Rock Climbing Log'!AG37)="C",_xlfn.IFNA(VLOOKUP('Rock Climbing Log'!AG37,'RC Lookup'!$A$3:$B$9,2,FALSE),0.5),VLOOKUP('Rock Climbing Log'!AG37,'RC Lookup'!$G$3:$H$5,2,FALSE)),0)*VLOOKUP(AE$7,'RC Lookup'!$D$3:$E$18,2,FALSE)</f>
        <v>0</v>
      </c>
      <c r="AH37" s="26">
        <f>_xlfn.IFNA(IF(LEFT('Rock Climbing Log'!AH37)="C",_xlfn.IFNA(VLOOKUP('Rock Climbing Log'!AH37,'RC Lookup'!$A$3:$B$9,2,FALSE),0.5),VLOOKUP('Rock Climbing Log'!AH37,'RC Lookup'!$G$3:$H$5,2,FALSE)),0)*VLOOKUP(AH$7,'RC Lookup'!$D$3:$E$18,2,FALSE)</f>
        <v>0</v>
      </c>
      <c r="AI37" s="26">
        <f>_xlfn.IFNA(IF(LEFT('Rock Climbing Log'!AI37)="C",_xlfn.IFNA(VLOOKUP('Rock Climbing Log'!AI37,'RC Lookup'!$A$3:$B$9,2,FALSE),0.5),VLOOKUP('Rock Climbing Log'!AI37,'RC Lookup'!$G$3:$H$5,2,FALSE)),0)*VLOOKUP(AH$7,'RC Lookup'!$D$3:$E$18,2,FALSE)</f>
        <v>0</v>
      </c>
      <c r="AJ37" s="26">
        <f>_xlfn.IFNA(IF(LEFT('Rock Climbing Log'!AJ37)="C",_xlfn.IFNA(VLOOKUP('Rock Climbing Log'!AJ37,'RC Lookup'!$A$3:$B$9,2,FALSE),0.5),VLOOKUP('Rock Climbing Log'!AJ37,'RC Lookup'!$G$3:$H$5,2,FALSE)),0)*VLOOKUP(AH$7,'RC Lookup'!$D$3:$E$18,2,FALSE)</f>
        <v>0</v>
      </c>
      <c r="AK37" s="26">
        <f>_xlfn.IFNA(IF(LEFT('Rock Climbing Log'!AK37)="C",_xlfn.IFNA(VLOOKUP('Rock Climbing Log'!AK37,'RC Lookup'!$A$3:$B$9,2,FALSE),0.5),VLOOKUP('Rock Climbing Log'!AK37,'RC Lookup'!$G$3:$H$5,2,FALSE)),0)*VLOOKUP(AK$7,'RC Lookup'!$D$3:$E$18,2,FALSE)</f>
        <v>110.15194611444596</v>
      </c>
      <c r="AL37" s="26">
        <f>_xlfn.IFNA(IF(LEFT('Rock Climbing Log'!AL37)="C",_xlfn.IFNA(VLOOKUP('Rock Climbing Log'!AL37,'RC Lookup'!$A$3:$B$9,2,FALSE),0.5),VLOOKUP('Rock Climbing Log'!AL37,'RC Lookup'!$G$3:$H$5,2,FALSE)),0)*VLOOKUP(AK$7,'RC Lookup'!$D$3:$E$18,2,FALSE)</f>
        <v>80.300768717431112</v>
      </c>
      <c r="AM37" s="26">
        <f>_xlfn.IFNA(IF(LEFT('Rock Climbing Log'!AM37)="C",_xlfn.IFNA(VLOOKUP('Rock Climbing Log'!AM37,'RC Lookup'!$A$3:$B$9,2,FALSE),0.5),VLOOKUP('Rock Climbing Log'!AM37,'RC Lookup'!$G$3:$H$5,2,FALSE)),0)*VLOOKUP(AK$7,'RC Lookup'!$D$3:$E$18,2,FALSE)</f>
        <v>0</v>
      </c>
      <c r="AN37" s="26">
        <f>_xlfn.IFNA(IF(LEFT('Rock Climbing Log'!AN37)="C",_xlfn.IFNA(VLOOKUP('Rock Climbing Log'!AN37,'RC Lookup'!$A$3:$B$9,2,FALSE),0.5),VLOOKUP('Rock Climbing Log'!AN37,'RC Lookup'!$G$3:$H$5,2,FALSE)),0)*VLOOKUP(AN$7,'RC Lookup'!$D$3:$E$18,2,FALSE)</f>
        <v>84.036360478166031</v>
      </c>
      <c r="AO37" s="26">
        <f>_xlfn.IFNA(IF(LEFT('Rock Climbing Log'!AO37)="C",_xlfn.IFNA(VLOOKUP('Rock Climbing Log'!AO37,'RC Lookup'!$A$3:$B$9,2,FALSE),0.5),VLOOKUP('Rock Climbing Log'!AO37,'RC Lookup'!$G$3:$H$5,2,FALSE)),0)*VLOOKUP(AN$7,'RC Lookup'!$D$3:$E$18,2,FALSE)</f>
        <v>0</v>
      </c>
      <c r="AP37" s="26">
        <f>_xlfn.IFNA(IF(LEFT('Rock Climbing Log'!AP37)="C",_xlfn.IFNA(VLOOKUP('Rock Climbing Log'!AP37,'RC Lookup'!$A$3:$B$9,2,FALSE),0.5),VLOOKUP('Rock Climbing Log'!AP37,'RC Lookup'!$G$3:$H$5,2,FALSE)),0)*VLOOKUP(AN$7,'RC Lookup'!$D$3:$E$18,2,FALSE)</f>
        <v>0</v>
      </c>
      <c r="AQ37" s="26">
        <f>_xlfn.IFNA(IF(LEFT('Rock Climbing Log'!AQ37)="C",_xlfn.IFNA(VLOOKUP('Rock Climbing Log'!AQ37,'RC Lookup'!$A$3:$B$9,2,FALSE),0.5),VLOOKUP('Rock Climbing Log'!AQ37,'RC Lookup'!$G$3:$H$5,2,FALSE)),0)*VLOOKUP(AQ$7,'RC Lookup'!$D$3:$E$18,2,FALSE)</f>
        <v>92.790236975671462</v>
      </c>
      <c r="AR37" s="26">
        <f>_xlfn.IFNA(IF(LEFT('Rock Climbing Log'!AR37)="C",_xlfn.IFNA(VLOOKUP('Rock Climbing Log'!AR37,'RC Lookup'!$A$3:$B$9,2,FALSE),0.5),VLOOKUP('Rock Climbing Log'!AR37,'RC Lookup'!$G$3:$H$5,2,FALSE)),0)*VLOOKUP(AQ$7,'RC Lookup'!$D$3:$E$18,2,FALSE)</f>
        <v>0</v>
      </c>
      <c r="AS37" s="26">
        <f>_xlfn.IFNA(IF(LEFT('Rock Climbing Log'!AS37)="C",_xlfn.IFNA(VLOOKUP('Rock Climbing Log'!AS37,'RC Lookup'!$A$3:$B$9,2,FALSE),0.5),VLOOKUP('Rock Climbing Log'!AS37,'RC Lookup'!$G$3:$H$5,2,FALSE)),0)*VLOOKUP(AQ$7,'RC Lookup'!$D$3:$E$18,2,FALSE)</f>
        <v>0</v>
      </c>
      <c r="AT37" s="26">
        <f>_xlfn.IFNA(IF(LEFT('Rock Climbing Log'!AT37)="C",_xlfn.IFNA(VLOOKUP('Rock Climbing Log'!AT37,'RC Lookup'!$A$3:$B$9,2,FALSE),0.5),VLOOKUP('Rock Climbing Log'!AT37,'RC Lookup'!$G$3:$H$5,2,FALSE)),0)*VLOOKUP(AT$7,'RC Lookup'!$D$3:$E$18,2,FALSE)</f>
        <v>0</v>
      </c>
      <c r="AU37" s="26">
        <f>_xlfn.IFNA(IF(LEFT('Rock Climbing Log'!AU37)="C",_xlfn.IFNA(VLOOKUP('Rock Climbing Log'!AU37,'RC Lookup'!$A$3:$B$9,2,FALSE),0.5),VLOOKUP('Rock Climbing Log'!AU37,'RC Lookup'!$G$3:$H$5,2,FALSE)),0)*VLOOKUP(AT$7,'RC Lookup'!$D$3:$E$18,2,FALSE)</f>
        <v>0</v>
      </c>
      <c r="AV37" s="26">
        <f>_xlfn.IFNA(IF(LEFT('Rock Climbing Log'!AV37)="C",_xlfn.IFNA(VLOOKUP('Rock Climbing Log'!AV37,'RC Lookup'!$A$3:$B$9,2,FALSE),0.5),VLOOKUP('Rock Climbing Log'!AV37,'RC Lookup'!$G$3:$H$5,2,FALSE)),0)*VLOOKUP(AT$7,'RC Lookup'!$D$3:$E$18,2,FALSE)</f>
        <v>0</v>
      </c>
      <c r="AW37" s="30">
        <f t="shared" ca="1" si="0"/>
        <v>286.97854356828344</v>
      </c>
      <c r="AX37" s="30">
        <f ca="1">_xlfn.IFNA(VLOOKUP(SUMPRODUCT(LARGE(($C$8:$C37=Table1[[#This Row],[Climber]])*$A$8:$A37,1)),$A$8:$AW37,MATCH($AW$7,$A$7:$AW$7,FALSE),FALSE),0)/LEFT($AX$7,FIND(" ",$AX$7))+_xlfn.IFNA(VLOOKUP(SUMPRODUCT(LARGE(($C$8:$C37=Table1[[#This Row],[Climber]])*$A$8:$A37,MIN(2,COUNTIFS($C$8:$C37,$C37)))),$A$8:$AW37,MATCH($AW$7,$A$7:$AW$7,FALSE),FALSE),0)/LEFT($AX$7,FIND(" ",$AX$7))+_xlfn.IFNA(VLOOKUP(SUMPRODUCT(LARGE(($C$8:$C37=Table1[[#This Row],[Climber]])*$A$8:$A37,MIN(3,COUNTIFS($C$8:$C37,$C37)))),$A$8:$AW37,MATCH($AW$7,$A$7:$AW$7,FALSE),FALSE),0)/LEFT($AX$7,FIND(" ",$AX$7))</f>
        <v>264.22016456740027</v>
      </c>
      <c r="AY37" s="30">
        <f ca="1">_xlfn.IFNA(VLOOKUP(SUMPRODUCT(LARGE(($C$8:$C37=Table1[[#This Row],[Climber]])*$A$8:$A37,1)),$A$8:$AW37,MATCH($AW$7,$A$7:$AW$7,FALSE),FALSE),0)/LEFT($AY$7,FIND(" ",$AY$7))+_xlfn.IFNA(VLOOKUP(SUMPRODUCT(LARGE(($C$8:$C37=Table1[[#This Row],[Climber]])*$A$8:$A37,MIN(2,COUNTIFS($C$8:$C37,$C37)))),$A$8:$AW37,MATCH($AW$7,$A$7:$AW$7,FALSE),FALSE),0)/LEFT($AY$7,FIND(" ",$AY$7))+_xlfn.IFNA(VLOOKUP(SUMPRODUCT(LARGE(($C$8:$C37=Table1[[#This Row],[Climber]])*$A$8:$A37,MIN(3,COUNTIFS($C$8:$C37,$C37)))),$A$8:$AW37,MATCH($AW$7,$A$7:$AW$7,FALSE),FALSE),0)/LEFT($AY$7,FIND(" ",$AY$7))+_xlfn.IFNA(VLOOKUP(SUMPRODUCT(LARGE(($C$8:$C37=Table1[[#This Row],[Climber]])*$A$8:$A37,MIN(4,COUNTIFS($C$8:$C37,$C37)))),$A$8:$AW37,MATCH($AW$7,$A$7:$AW$7,FALSE),FALSE),0)/LEFT($AY$7,FIND(" ",$AY$7))+_xlfn.IFNA(VLOOKUP(SUMPRODUCT(LARGE(($C$8:$C37=Table1[[#This Row],[Climber]])*$A$8:$A37,MIN(5,COUNTIFS($C$8:$C37,$C37)))),$A$8:$AW37,MATCH($AW$7,$A$7:$AW$7,FALSE),FALSE),0)/LEFT($AY$7,FIND(" ",$AY$7))</f>
        <v>263.14083059497858</v>
      </c>
      <c r="AZ37" s="30">
        <f ca="1">(_xlfn.IFNA(VLOOKUP(SUMPRODUCT(LARGE(($C$8:$C37=Table1[[#This Row],[Climber]])*$A$8:$A37,4)),$A$8:$AW37,MATCH($AW$7,$A$7:$AW$7,FALSE),FALSE),0)+_xlfn.IFNA(VLOOKUP(SUMPRODUCT(LARGE(($C$8:$C37=Table1[[#This Row],[Climber]])*$A$8:$A37,5)),$A$8:$AW37,MATCH($AW$7,$A$7:$AW$7,FALSE),FALSE),0)+_xlfn.IFNA(VLOOKUP(SUMPRODUCT(LARGE(($C$8:$C37=Table1[[#This Row],[Climber]])*$A$8:$A37,6)),$A$8:$AW37,MATCH($AW$7,$A$7:$AW$7,FALSE),FALSE),0))/3</f>
        <v>239.95330254293245</v>
      </c>
      <c r="BA37" s="6">
        <f ca="1">_xlfn.MAXIFS(INDIRECT("$AW"&amp;IF(SUMPRODUCT(LARGE(($C$8:$C37=$C37)*$A$8:$A37,LEFT($BA$7,FIND(" ",$BA$7)-1)))=0,8,SUMPRODUCT(LARGE(($C$8:$C37=$C37)*$A$8:$A37,LEFT($BA$7,FIND(" ",$BA$7)-1)))+7)&amp;":$AW"&amp;ROW()),INDIRECT("$C"&amp;IF(SUMPRODUCT(LARGE(($C$8:$C37=$C37)*$A$8:$A37,LEFT($BA$7,FIND(" ",$BA$7)-1)))=0,8,SUMPRODUCT(LARGE(($C$8:$C37=$C37)*$A$8:$A37,LEFT($BA$7,FIND(" ",$BA$7)-1)))+7)&amp;":$C"&amp;ROW()),$C37)</f>
        <v>286.97854356828344</v>
      </c>
      <c r="BB37" s="6" t="str">
        <f ca="1">VLOOKUP(MAX(BG37,$AX37),'RC Lookup'!$G$14:$J$20,2,TRUE)</f>
        <v>T5</v>
      </c>
      <c r="BC37" s="6">
        <f ca="1">_xlfn.IFNA(VLOOKUP(VLOOKUP($C37,'RC Lookup'!$O$3:$P$50,2,FALSE),'RC Lookup'!$H$14:$J$23,2,FALSE),0)*AW37</f>
        <v>86.843236000000019</v>
      </c>
      <c r="BD37" s="6">
        <f ca="1">_xlfn.IFNA(VLOOKUP(SUMPRODUCT(LARGE(($C$8:$C37=Table1[[#This Row],[Climber]])*$A$8:$A37,1)),$A$8:$BC37,55,FALSE),0)/LEFT($AX$7,FIND(" ",$AX$7))+_xlfn.IFNA(VLOOKUP(SUMPRODUCT(LARGE(($C$8:$C37=Table1[[#This Row],[Climber]])*$A$8:$A37,MIN(2,COUNTIFS($C$8:$C37,$C37)))),$A$8:$BC37,55,FALSE),0)/LEFT($AX$7,FIND(" ",$AX$7))+_xlfn.IFNA(VLOOKUP(SUMPRODUCT(LARGE(($C$8:$C37=Table1[[#This Row],[Climber]])*$A$8:$A37,MIN(3,COUNTIFS($C$8:$C37,$C37)))),$A$8:$BC37,55,FALSE),0)/LEFT($AX$7,FIND(" ",$AX$7))</f>
        <v>79.956270675078883</v>
      </c>
      <c r="BE37" s="6">
        <f ca="1">(_xlfn.IFNA(VLOOKUP(SUMPRODUCT(LARGE(($C$8:$C37=Table1[[#This Row],[Climber]])*$A$8:$A37,4)),$A$8:$BD37,55,FALSE),0)+_xlfn.IFNA(VLOOKUP(SUMPRODUCT(LARGE(($C$8:$C37=Table1[[#This Row],[Climber]])*$A$8:$A37,5)),$A$8:$BD37,55,FALSE),0)+_xlfn.IFNA(VLOOKUP(SUMPRODUCT(LARGE(($C$8:$C37=Table1[[#This Row],[Climber]])*$A$8:$A37,6)),$A$8:$BD37,55,FALSE),0))/3</f>
        <v>72.612819838766214</v>
      </c>
      <c r="BF37" s="46">
        <f ca="1">_xlfn.MAXIFS(INDIRECT("$BC"&amp;IF(SUMPRODUCT(LARGE(($C$8:$C37=$C37)*$A$8:$A37,LEFT($BA$7,FIND(" ",$BA$7)-1)))=0,8,SUMPRODUCT(LARGE(($C$8:$C37=$C37)*$A$8:$A37,LEFT($BA$7,FIND(" ",$BA$7)-1)))+7)&amp;":$BC"&amp;ROW()),INDIRECT("$C"&amp;IF(SUMPRODUCT(LARGE(($C$8:$C37=$C37)*$A$8:$A37,LEFT($BA$7,FIND(" ",$BA$7)-1)))=0,8,SUMPRODUCT(LARGE(($C$8:$C37=$C37)*$A$8:$A37,LEFT($BA$7,FIND(" ",$BA$7)-1)))+7)&amp;":$C"&amp;ROW()),$C37)</f>
        <v>86.843236000000019</v>
      </c>
      <c r="BG37" s="46">
        <f t="array" aca="1" ref="BG37" ca="1">IFERROR(SUMPRODUCT(LARGE(($C$8:$C37=Table1[[#This Row],[Climber]])*$AW$8:$AW37,ROW(INDIRECT("1:5")))),AW37)/MIN(COUNTIFS($C$8:$C37,C37),5)</f>
        <v>263.14083059497858</v>
      </c>
      <c r="BH37" s="46"/>
    </row>
    <row r="38" spans="1:60" x14ac:dyDescent="0.3">
      <c r="A38" s="125">
        <f t="shared" si="1"/>
        <v>31</v>
      </c>
      <c r="B38" s="25">
        <f>'Rock Climbing Log'!B38</f>
        <v>43134</v>
      </c>
      <c r="C38" s="126" t="str">
        <f>'Rock Climbing Log'!C38</f>
        <v>Sameena</v>
      </c>
      <c r="D38" s="26">
        <f>_xlfn.IFNA(IF(LEFT('Rock Climbing Log'!D38)="C",_xlfn.IFNA(VLOOKUP('Rock Climbing Log'!D38,'RC Lookup'!$A$3:$B$9,2,FALSE),0.5),VLOOKUP('Rock Climbing Log'!D38,'RC Lookup'!$G$3:$H$5,2,FALSE)),0)*VLOOKUP(D$7,'RC Lookup'!$D$3:$E$18,2,FALSE)</f>
        <v>0</v>
      </c>
      <c r="E38" s="26">
        <f>_xlfn.IFNA(IF(LEFT('Rock Climbing Log'!E38)="C",_xlfn.IFNA(VLOOKUP('Rock Climbing Log'!E38,'RC Lookup'!$A$3:$B$9,2,FALSE),0.5),VLOOKUP('Rock Climbing Log'!E38,'RC Lookup'!$G$3:$H$5,2,FALSE)),0)*VLOOKUP(D$7,'RC Lookup'!$D$3:$E$18,2,FALSE)</f>
        <v>0</v>
      </c>
      <c r="F38" s="26">
        <f>_xlfn.IFNA(IF(LEFT('Rock Climbing Log'!F38)="C",_xlfn.IFNA(VLOOKUP('Rock Climbing Log'!F38,'RC Lookup'!$A$3:$B$9,2,FALSE),0.5),VLOOKUP('Rock Climbing Log'!F38,'RC Lookup'!$G$3:$H$5,2,FALSE)),0)*VLOOKUP(D$7,'RC Lookup'!$D$3:$E$18,2,FALSE)</f>
        <v>0</v>
      </c>
      <c r="G38" s="26">
        <f>_xlfn.IFNA(IF(LEFT('Rock Climbing Log'!G38)="C",_xlfn.IFNA(VLOOKUP('Rock Climbing Log'!G38,'RC Lookup'!$A$3:$B$9,2,FALSE),0.5),VLOOKUP('Rock Climbing Log'!G38,'RC Lookup'!$G$3:$H$5,2,FALSE)),0)*VLOOKUP(G$7,'RC Lookup'!$D$3:$E$18,2,FALSE)</f>
        <v>0</v>
      </c>
      <c r="H38" s="26">
        <f>_xlfn.IFNA(IF(LEFT('Rock Climbing Log'!H38)="C",_xlfn.IFNA(VLOOKUP('Rock Climbing Log'!H38,'RC Lookup'!$A$3:$B$9,2,FALSE),0.5),VLOOKUP('Rock Climbing Log'!H38,'RC Lookup'!$G$3:$H$5,2,FALSE)),0)*VLOOKUP(G$7,'RC Lookup'!$D$3:$E$18,2,FALSE)</f>
        <v>0</v>
      </c>
      <c r="I38" s="26">
        <f>_xlfn.IFNA(IF(LEFT('Rock Climbing Log'!I38)="C",_xlfn.IFNA(VLOOKUP('Rock Climbing Log'!I38,'RC Lookup'!$A$3:$B$9,2,FALSE),0.5),VLOOKUP('Rock Climbing Log'!I38,'RC Lookup'!$G$3:$H$5,2,FALSE)),0)*VLOOKUP(G$7,'RC Lookup'!$D$3:$E$18,2,FALSE)</f>
        <v>0</v>
      </c>
      <c r="J38" s="26">
        <f>_xlfn.IFNA(IF(LEFT('Rock Climbing Log'!J38)="C",_xlfn.IFNA(VLOOKUP('Rock Climbing Log'!J38,'RC Lookup'!$A$3:$B$9,2,FALSE),0.5),VLOOKUP('Rock Climbing Log'!J38,'RC Lookup'!$G$3:$H$5,2,FALSE)),0)*VLOOKUP(J$7,'RC Lookup'!$D$3:$E$18,2,FALSE)</f>
        <v>0</v>
      </c>
      <c r="K38" s="26">
        <f>_xlfn.IFNA(IF(LEFT('Rock Climbing Log'!K38)="C",_xlfn.IFNA(VLOOKUP('Rock Climbing Log'!K38,'RC Lookup'!$A$3:$B$9,2,FALSE),0.5),VLOOKUP('Rock Climbing Log'!K38,'RC Lookup'!$G$3:$H$5,2,FALSE)),0)*VLOOKUP(J$7,'RC Lookup'!$D$3:$E$18,2,FALSE)</f>
        <v>0</v>
      </c>
      <c r="L38" s="26">
        <f>_xlfn.IFNA(IF(LEFT('Rock Climbing Log'!L38)="C",_xlfn.IFNA(VLOOKUP('Rock Climbing Log'!L38,'RC Lookup'!$A$3:$B$9,2,FALSE),0.5),VLOOKUP('Rock Climbing Log'!L38,'RC Lookup'!$G$3:$H$5,2,FALSE)),0)*VLOOKUP(J$7,'RC Lookup'!$D$3:$E$18,2,FALSE)</f>
        <v>0</v>
      </c>
      <c r="M38" s="26">
        <f>_xlfn.IFNA(IF(LEFT('Rock Climbing Log'!M38)="C",_xlfn.IFNA(VLOOKUP('Rock Climbing Log'!M38,'RC Lookup'!$A$3:$B$9,2,FALSE),0.5),VLOOKUP('Rock Climbing Log'!M38,'RC Lookup'!$G$3:$H$5,2,FALSE)),0)*VLOOKUP(M$7,'RC Lookup'!$D$3:$E$18,2,FALSE)</f>
        <v>0</v>
      </c>
      <c r="N38" s="26">
        <f>_xlfn.IFNA(IF(LEFT('Rock Climbing Log'!N38)="C",_xlfn.IFNA(VLOOKUP('Rock Climbing Log'!N38,'RC Lookup'!$A$3:$B$9,2,FALSE),0.5),VLOOKUP('Rock Climbing Log'!N38,'RC Lookup'!$G$3:$H$5,2,FALSE)),0)*VLOOKUP(M$7,'RC Lookup'!$D$3:$E$18,2,FALSE)</f>
        <v>0</v>
      </c>
      <c r="O38" s="26">
        <f>_xlfn.IFNA(IF(LEFT('Rock Climbing Log'!O38)="C",_xlfn.IFNA(VLOOKUP('Rock Climbing Log'!O38,'RC Lookup'!$A$3:$B$9,2,FALSE),0.5),VLOOKUP('Rock Climbing Log'!O38,'RC Lookup'!$G$3:$H$5,2,FALSE)),0)*VLOOKUP(M$7,'RC Lookup'!$D$3:$E$18,2,FALSE)</f>
        <v>0</v>
      </c>
      <c r="P38" s="26">
        <f>_xlfn.IFNA(IF(LEFT('Rock Climbing Log'!P38)="C",_xlfn.IFNA(VLOOKUP('Rock Climbing Log'!P38,'RC Lookup'!$A$3:$B$9,2,FALSE),0.5),VLOOKUP('Rock Climbing Log'!P38,'RC Lookup'!$G$3:$H$5,2,FALSE)),0)*VLOOKUP(P$7,'RC Lookup'!$D$3:$E$18,2,FALSE)</f>
        <v>0</v>
      </c>
      <c r="Q38" s="26">
        <f>_xlfn.IFNA(IF(LEFT('Rock Climbing Log'!Q38)="C",_xlfn.IFNA(VLOOKUP('Rock Climbing Log'!Q38,'RC Lookup'!$A$3:$B$9,2,FALSE),0.5),VLOOKUP('Rock Climbing Log'!Q38,'RC Lookup'!$G$3:$H$5,2,FALSE)),0)*VLOOKUP(P$7,'RC Lookup'!$D$3:$E$18,2,FALSE)</f>
        <v>0</v>
      </c>
      <c r="R38" s="26">
        <f>_xlfn.IFNA(IF(LEFT('Rock Climbing Log'!R38)="C",_xlfn.IFNA(VLOOKUP('Rock Climbing Log'!R38,'RC Lookup'!$A$3:$B$9,2,FALSE),0.5),VLOOKUP('Rock Climbing Log'!R38,'RC Lookup'!$G$3:$H$5,2,FALSE)),0)*VLOOKUP(P$7,'RC Lookup'!$D$3:$E$18,2,FALSE)</f>
        <v>0</v>
      </c>
      <c r="S38" s="26">
        <f>_xlfn.IFNA(IF(LEFT('Rock Climbing Log'!S38)="C",_xlfn.IFNA(VLOOKUP('Rock Climbing Log'!S38,'RC Lookup'!$A$3:$B$9,2,FALSE),0.5),VLOOKUP('Rock Climbing Log'!S38,'RC Lookup'!$G$3:$H$5,2,FALSE)),0)*VLOOKUP(S$7,'RC Lookup'!$D$3:$E$18,2,FALSE)</f>
        <v>0</v>
      </c>
      <c r="T38" s="26">
        <f>_xlfn.IFNA(IF(LEFT('Rock Climbing Log'!T38)="C",_xlfn.IFNA(VLOOKUP('Rock Climbing Log'!T38,'RC Lookup'!$A$3:$B$9,2,FALSE),0.5),VLOOKUP('Rock Climbing Log'!T38,'RC Lookup'!$G$3:$H$5,2,FALSE)),0)*VLOOKUP(S$7,'RC Lookup'!$D$3:$E$18,2,FALSE)</f>
        <v>0</v>
      </c>
      <c r="U38" s="26">
        <f>_xlfn.IFNA(IF(LEFT('Rock Climbing Log'!U38)="C",_xlfn.IFNA(VLOOKUP('Rock Climbing Log'!U38,'RC Lookup'!$A$3:$B$9,2,FALSE),0.5),VLOOKUP('Rock Climbing Log'!U38,'RC Lookup'!$G$3:$H$5,2,FALSE)),0)*VLOOKUP(S$7,'RC Lookup'!$D$3:$E$18,2,FALSE)</f>
        <v>0</v>
      </c>
      <c r="V38" s="26">
        <f>_xlfn.IFNA(IF(LEFT('Rock Climbing Log'!V38)="C",_xlfn.IFNA(VLOOKUP('Rock Climbing Log'!V38,'RC Lookup'!$A$3:$B$9,2,FALSE),0.5),VLOOKUP('Rock Climbing Log'!V38,'RC Lookup'!$G$3:$H$5,2,FALSE)),0)*VLOOKUP(V$7,'RC Lookup'!$D$3:$E$18,2,FALSE)</f>
        <v>35.256745742400021</v>
      </c>
      <c r="W38" s="26">
        <f>_xlfn.IFNA(IF(LEFT('Rock Climbing Log'!W38)="C",_xlfn.IFNA(VLOOKUP('Rock Climbing Log'!W38,'RC Lookup'!$A$3:$B$9,2,FALSE),0.5),VLOOKUP('Rock Climbing Log'!W38,'RC Lookup'!$G$3:$H$5,2,FALSE)),0)*VLOOKUP(V$7,'RC Lookup'!$D$3:$E$18,2,FALSE)</f>
        <v>35.256745742400021</v>
      </c>
      <c r="X38" s="26">
        <f>_xlfn.IFNA(IF(LEFT('Rock Climbing Log'!X38)="C",_xlfn.IFNA(VLOOKUP('Rock Climbing Log'!X38,'RC Lookup'!$A$3:$B$9,2,FALSE),0.5),VLOOKUP('Rock Climbing Log'!X38,'RC Lookup'!$G$3:$H$5,2,FALSE)),0)*VLOOKUP(V$7,'RC Lookup'!$D$3:$E$18,2,FALSE)</f>
        <v>0</v>
      </c>
      <c r="Y38" s="26">
        <f>_xlfn.IFNA(IF(LEFT('Rock Climbing Log'!Y38)="C",_xlfn.IFNA(VLOOKUP('Rock Climbing Log'!Y38,'RC Lookup'!$A$3:$B$9,2,FALSE),0.5),VLOOKUP('Rock Climbing Log'!Y38,'RC Lookup'!$G$3:$H$5,2,FALSE)),0)*VLOOKUP(Y$7,'RC Lookup'!$D$3:$E$18,2,FALSE)</f>
        <v>0</v>
      </c>
      <c r="Z38" s="26">
        <f>_xlfn.IFNA(IF(LEFT('Rock Climbing Log'!Z38)="C",_xlfn.IFNA(VLOOKUP('Rock Climbing Log'!Z38,'RC Lookup'!$A$3:$B$9,2,FALSE),0.5),VLOOKUP('Rock Climbing Log'!Z38,'RC Lookup'!$G$3:$H$5,2,FALSE)),0)*VLOOKUP(Y$7,'RC Lookup'!$D$3:$E$18,2,FALSE)</f>
        <v>0</v>
      </c>
      <c r="AA38" s="26">
        <f>_xlfn.IFNA(IF(LEFT('Rock Climbing Log'!AA38)="C",_xlfn.IFNA(VLOOKUP('Rock Climbing Log'!AA38,'RC Lookup'!$A$3:$B$9,2,FALSE),0.5),VLOOKUP('Rock Climbing Log'!AA38,'RC Lookup'!$G$3:$H$5,2,FALSE)),0)*VLOOKUP(Y$7,'RC Lookup'!$D$3:$E$18,2,FALSE)</f>
        <v>0</v>
      </c>
      <c r="AB38" s="26">
        <f>_xlfn.IFNA(IF(LEFT('Rock Climbing Log'!AB38)="C",_xlfn.IFNA(VLOOKUP('Rock Climbing Log'!AB38,'RC Lookup'!$A$3:$B$9,2,FALSE),0.5),VLOOKUP('Rock Climbing Log'!AB38,'RC Lookup'!$G$3:$H$5,2,FALSE)),0)*VLOOKUP(AB$7,'RC Lookup'!$D$3:$E$18,2,FALSE)</f>
        <v>39.391347751922041</v>
      </c>
      <c r="AC38" s="26">
        <f>_xlfn.IFNA(IF(LEFT('Rock Climbing Log'!AC38)="C",_xlfn.IFNA(VLOOKUP('Rock Climbing Log'!AC38,'RC Lookup'!$A$3:$B$9,2,FALSE),0.5),VLOOKUP('Rock Climbing Log'!AC38,'RC Lookup'!$G$3:$H$5,2,FALSE)),0)*VLOOKUP(AB$7,'RC Lookup'!$D$3:$E$18,2,FALSE)</f>
        <v>0</v>
      </c>
      <c r="AD38" s="26">
        <f>_xlfn.IFNA(IF(LEFT('Rock Climbing Log'!AD38)="C",_xlfn.IFNA(VLOOKUP('Rock Climbing Log'!AD38,'RC Lookup'!$A$3:$B$9,2,FALSE),0.5),VLOOKUP('Rock Climbing Log'!AD38,'RC Lookup'!$G$3:$H$5,2,FALSE)),0)*VLOOKUP(AB$7,'RC Lookup'!$D$3:$E$18,2,FALSE)</f>
        <v>0</v>
      </c>
      <c r="AE38" s="26">
        <f>_xlfn.IFNA(IF(LEFT('Rock Climbing Log'!AE38)="C",_xlfn.IFNA(VLOOKUP('Rock Climbing Log'!AE38,'RC Lookup'!$A$3:$B$9,2,FALSE),0.5),VLOOKUP('Rock Climbing Log'!AE38,'RC Lookup'!$G$3:$H$5,2,FALSE)),0)*VLOOKUP(AE$7,'RC Lookup'!$D$3:$E$18,2,FALSE)</f>
        <v>54.972814196015648</v>
      </c>
      <c r="AF38" s="26">
        <f>_xlfn.IFNA(IF(LEFT('Rock Climbing Log'!AF38)="C",_xlfn.IFNA(VLOOKUP('Rock Climbing Log'!AF38,'RC Lookup'!$A$3:$B$9,2,FALSE),0.5),VLOOKUP('Rock Climbing Log'!AF38,'RC Lookup'!$G$3:$H$5,2,FALSE)),0)*VLOOKUP(AE$7,'RC Lookup'!$D$3:$E$18,2,FALSE)</f>
        <v>0</v>
      </c>
      <c r="AG38" s="26">
        <f>_xlfn.IFNA(IF(LEFT('Rock Climbing Log'!AG38)="C",_xlfn.IFNA(VLOOKUP('Rock Climbing Log'!AG38,'RC Lookup'!$A$3:$B$9,2,FALSE),0.5),VLOOKUP('Rock Climbing Log'!AG38,'RC Lookup'!$G$3:$H$5,2,FALSE)),0)*VLOOKUP(AE$7,'RC Lookup'!$D$3:$E$18,2,FALSE)</f>
        <v>0</v>
      </c>
      <c r="AH38" s="26">
        <f>_xlfn.IFNA(IF(LEFT('Rock Climbing Log'!AH38)="C",_xlfn.IFNA(VLOOKUP('Rock Climbing Log'!AH38,'RC Lookup'!$A$3:$B$9,2,FALSE),0.5),VLOOKUP('Rock Climbing Log'!AH38,'RC Lookup'!$G$3:$H$5,2,FALSE)),0)*VLOOKUP(AH$7,'RC Lookup'!$D$3:$E$18,2,FALSE)</f>
        <v>0</v>
      </c>
      <c r="AI38" s="26">
        <f>_xlfn.IFNA(IF(LEFT('Rock Climbing Log'!AI38)="C",_xlfn.IFNA(VLOOKUP('Rock Climbing Log'!AI38,'RC Lookup'!$A$3:$B$9,2,FALSE),0.5),VLOOKUP('Rock Climbing Log'!AI38,'RC Lookup'!$G$3:$H$5,2,FALSE)),0)*VLOOKUP(AH$7,'RC Lookup'!$D$3:$E$18,2,FALSE)</f>
        <v>0</v>
      </c>
      <c r="AJ38" s="26">
        <f>_xlfn.IFNA(IF(LEFT('Rock Climbing Log'!AJ38)="C",_xlfn.IFNA(VLOOKUP('Rock Climbing Log'!AJ38,'RC Lookup'!$A$3:$B$9,2,FALSE),0.5),VLOOKUP('Rock Climbing Log'!AJ38,'RC Lookup'!$G$3:$H$5,2,FALSE)),0)*VLOOKUP(AH$7,'RC Lookup'!$D$3:$E$18,2,FALSE)</f>
        <v>0</v>
      </c>
      <c r="AK38" s="26">
        <f>_xlfn.IFNA(IF(LEFT('Rock Climbing Log'!AK38)="C",_xlfn.IFNA(VLOOKUP('Rock Climbing Log'!AK38,'RC Lookup'!$A$3:$B$9,2,FALSE),0.5),VLOOKUP('Rock Climbing Log'!AK38,'RC Lookup'!$G$3:$H$5,2,FALSE)),0)*VLOOKUP(AK$7,'RC Lookup'!$D$3:$E$18,2,FALSE)</f>
        <v>0</v>
      </c>
      <c r="AL38" s="26">
        <f>_xlfn.IFNA(IF(LEFT('Rock Climbing Log'!AL38)="C",_xlfn.IFNA(VLOOKUP('Rock Climbing Log'!AL38,'RC Lookup'!$A$3:$B$9,2,FALSE),0.5),VLOOKUP('Rock Climbing Log'!AL38,'RC Lookup'!$G$3:$H$5,2,FALSE)),0)*VLOOKUP(AK$7,'RC Lookup'!$D$3:$E$18,2,FALSE)</f>
        <v>0</v>
      </c>
      <c r="AM38" s="26">
        <f>_xlfn.IFNA(IF(LEFT('Rock Climbing Log'!AM38)="C",_xlfn.IFNA(VLOOKUP('Rock Climbing Log'!AM38,'RC Lookup'!$A$3:$B$9,2,FALSE),0.5),VLOOKUP('Rock Climbing Log'!AM38,'RC Lookup'!$G$3:$H$5,2,FALSE)),0)*VLOOKUP(AK$7,'RC Lookup'!$D$3:$E$18,2,FALSE)</f>
        <v>0</v>
      </c>
      <c r="AN38" s="26">
        <f>_xlfn.IFNA(IF(LEFT('Rock Climbing Log'!AN38)="C",_xlfn.IFNA(VLOOKUP('Rock Climbing Log'!AN38,'RC Lookup'!$A$3:$B$9,2,FALSE),0.5),VLOOKUP('Rock Climbing Log'!AN38,'RC Lookup'!$G$3:$H$5,2,FALSE)),0)*VLOOKUP(AN$7,'RC Lookup'!$D$3:$E$18,2,FALSE)</f>
        <v>0</v>
      </c>
      <c r="AO38" s="26">
        <f>_xlfn.IFNA(IF(LEFT('Rock Climbing Log'!AO38)="C",_xlfn.IFNA(VLOOKUP('Rock Climbing Log'!AO38,'RC Lookup'!$A$3:$B$9,2,FALSE),0.5),VLOOKUP('Rock Climbing Log'!AO38,'RC Lookup'!$G$3:$H$5,2,FALSE)),0)*VLOOKUP(AN$7,'RC Lookup'!$D$3:$E$18,2,FALSE)</f>
        <v>0</v>
      </c>
      <c r="AP38" s="26">
        <f>_xlfn.IFNA(IF(LEFT('Rock Climbing Log'!AP38)="C",_xlfn.IFNA(VLOOKUP('Rock Climbing Log'!AP38,'RC Lookup'!$A$3:$B$9,2,FALSE),0.5),VLOOKUP('Rock Climbing Log'!AP38,'RC Lookup'!$G$3:$H$5,2,FALSE)),0)*VLOOKUP(AN$7,'RC Lookup'!$D$3:$E$18,2,FALSE)</f>
        <v>0</v>
      </c>
      <c r="AQ38" s="26">
        <f>_xlfn.IFNA(IF(LEFT('Rock Climbing Log'!AQ38)="C",_xlfn.IFNA(VLOOKUP('Rock Climbing Log'!AQ38,'RC Lookup'!$A$3:$B$9,2,FALSE),0.5),VLOOKUP('Rock Climbing Log'!AQ38,'RC Lookup'!$G$3:$H$5,2,FALSE)),0)*VLOOKUP(AQ$7,'RC Lookup'!$D$3:$E$18,2,FALSE)</f>
        <v>0</v>
      </c>
      <c r="AR38" s="26">
        <f>_xlfn.IFNA(IF(LEFT('Rock Climbing Log'!AR38)="C",_xlfn.IFNA(VLOOKUP('Rock Climbing Log'!AR38,'RC Lookup'!$A$3:$B$9,2,FALSE),0.5),VLOOKUP('Rock Climbing Log'!AR38,'RC Lookup'!$G$3:$H$5,2,FALSE)),0)*VLOOKUP(AQ$7,'RC Lookup'!$D$3:$E$18,2,FALSE)</f>
        <v>0</v>
      </c>
      <c r="AS38" s="26">
        <f>_xlfn.IFNA(IF(LEFT('Rock Climbing Log'!AS38)="C",_xlfn.IFNA(VLOOKUP('Rock Climbing Log'!AS38,'RC Lookup'!$A$3:$B$9,2,FALSE),0.5),VLOOKUP('Rock Climbing Log'!AS38,'RC Lookup'!$G$3:$H$5,2,FALSE)),0)*VLOOKUP(AQ$7,'RC Lookup'!$D$3:$E$18,2,FALSE)</f>
        <v>0</v>
      </c>
      <c r="AT38" s="26">
        <f>_xlfn.IFNA(IF(LEFT('Rock Climbing Log'!AT38)="C",_xlfn.IFNA(VLOOKUP('Rock Climbing Log'!AT38,'RC Lookup'!$A$3:$B$9,2,FALSE),0.5),VLOOKUP('Rock Climbing Log'!AT38,'RC Lookup'!$G$3:$H$5,2,FALSE)),0)*VLOOKUP(AT$7,'RC Lookup'!$D$3:$E$18,2,FALSE)</f>
        <v>0</v>
      </c>
      <c r="AU38" s="26">
        <f>_xlfn.IFNA(IF(LEFT('Rock Climbing Log'!AU38)="C",_xlfn.IFNA(VLOOKUP('Rock Climbing Log'!AU38,'RC Lookup'!$A$3:$B$9,2,FALSE),0.5),VLOOKUP('Rock Climbing Log'!AU38,'RC Lookup'!$G$3:$H$5,2,FALSE)),0)*VLOOKUP(AT$7,'RC Lookup'!$D$3:$E$18,2,FALSE)</f>
        <v>0</v>
      </c>
      <c r="AV38" s="26">
        <f>_xlfn.IFNA(IF(LEFT('Rock Climbing Log'!AV38)="C",_xlfn.IFNA(VLOOKUP('Rock Climbing Log'!AV38,'RC Lookup'!$A$3:$B$9,2,FALSE),0.5),VLOOKUP('Rock Climbing Log'!AV38,'RC Lookup'!$G$3:$H$5,2,FALSE)),0)*VLOOKUP(AT$7,'RC Lookup'!$D$3:$E$18,2,FALSE)</f>
        <v>0</v>
      </c>
      <c r="AW38" s="30">
        <f t="shared" ca="1" si="0"/>
        <v>129.6209076903377</v>
      </c>
      <c r="AX38" s="30">
        <f ca="1">_xlfn.IFNA(VLOOKUP(SUMPRODUCT(LARGE(($C$8:$C38=Table1[[#This Row],[Climber]])*$A$8:$A38,1)),$A$8:$AW38,MATCH($AW$7,$A$7:$AW$7,FALSE),FALSE),0)/LEFT($AX$7,FIND(" ",$AX$7))+_xlfn.IFNA(VLOOKUP(SUMPRODUCT(LARGE(($C$8:$C38=Table1[[#This Row],[Climber]])*$A$8:$A38,MIN(2,COUNTIFS($C$8:$C38,$C38)))),$A$8:$AW38,MATCH($AW$7,$A$7:$AW$7,FALSE),FALSE),0)/LEFT($AX$7,FIND(" ",$AX$7))+_xlfn.IFNA(VLOOKUP(SUMPRODUCT(LARGE(($C$8:$C38=Table1[[#This Row],[Climber]])*$A$8:$A38,MIN(3,COUNTIFS($C$8:$C38,$C38)))),$A$8:$AW38,MATCH($AW$7,$A$7:$AW$7,FALSE),FALSE),0)/LEFT($AX$7,FIND(" ",$AX$7))</f>
        <v>107.07553687849821</v>
      </c>
      <c r="AY38" s="30">
        <f ca="1">_xlfn.IFNA(VLOOKUP(SUMPRODUCT(LARGE(($C$8:$C38=Table1[[#This Row],[Climber]])*$A$8:$A38,1)),$A$8:$AW38,MATCH($AW$7,$A$7:$AW$7,FALSE),FALSE),0)/LEFT($AY$7,FIND(" ",$AY$7))+_xlfn.IFNA(VLOOKUP(SUMPRODUCT(LARGE(($C$8:$C38=Table1[[#This Row],[Climber]])*$A$8:$A38,MIN(2,COUNTIFS($C$8:$C38,$C38)))),$A$8:$AW38,MATCH($AW$7,$A$7:$AW$7,FALSE),FALSE),0)/LEFT($AY$7,FIND(" ",$AY$7))+_xlfn.IFNA(VLOOKUP(SUMPRODUCT(LARGE(($C$8:$C38=Table1[[#This Row],[Climber]])*$A$8:$A38,MIN(3,COUNTIFS($C$8:$C38,$C38)))),$A$8:$AW38,MATCH($AW$7,$A$7:$AW$7,FALSE),FALSE),0)/LEFT($AY$7,FIND(" ",$AY$7))+_xlfn.IFNA(VLOOKUP(SUMPRODUCT(LARGE(($C$8:$C38=Table1[[#This Row],[Climber]])*$A$8:$A38,MIN(4,COUNTIFS($C$8:$C38,$C38)))),$A$8:$AW38,MATCH($AW$7,$A$7:$AW$7,FALSE),FALSE),0)/LEFT($AY$7,FIND(" ",$AY$7))+_xlfn.IFNA(VLOOKUP(SUMPRODUCT(LARGE(($C$8:$C38=Table1[[#This Row],[Climber]])*$A$8:$A38,MIN(5,COUNTIFS($C$8:$C38,$C38)))),$A$8:$AW38,MATCH($AW$7,$A$7:$AW$7,FALSE),FALSE),0)/LEFT($AY$7,FIND(" ",$AY$7))</f>
        <v>105.54468106372821</v>
      </c>
      <c r="AZ38" s="30">
        <f ca="1">(_xlfn.IFNA(VLOOKUP(SUMPRODUCT(LARGE(($C$8:$C38=Table1[[#This Row],[Climber]])*$A$8:$A38,4)),$A$8:$AW38,MATCH($AW$7,$A$7:$AW$7,FALSE),FALSE),0)+_xlfn.IFNA(VLOOKUP(SUMPRODUCT(LARGE(($C$8:$C38=Table1[[#This Row],[Climber]])*$A$8:$A38,5)),$A$8:$AW38,MATCH($AW$7,$A$7:$AW$7,FALSE),FALSE),0)+_xlfn.IFNA(VLOOKUP(SUMPRODUCT(LARGE(($C$8:$C38=Table1[[#This Row],[Climber]])*$A$8:$A38,6)),$A$8:$AW38,MATCH($AW$7,$A$7:$AW$7,FALSE),FALSE),0))/3</f>
        <v>34.41613244719106</v>
      </c>
      <c r="BA38" s="6">
        <f ca="1">_xlfn.MAXIFS(INDIRECT("$AW"&amp;IF(SUMPRODUCT(LARGE(($C$8:$C38=$C38)*$A$8:$A38,LEFT($BA$7,FIND(" ",$BA$7)-1)))=0,8,SUMPRODUCT(LARGE(($C$8:$C38=$C38)*$A$8:$A38,LEFT($BA$7,FIND(" ",$BA$7)-1)))+7)&amp;":$AW"&amp;ROW()),INDIRECT("$C"&amp;IF(SUMPRODUCT(LARGE(($C$8:$C38=$C38)*$A$8:$A38,LEFT($BA$7,FIND(" ",$BA$7)-1)))=0,8,SUMPRODUCT(LARGE(($C$8:$C38=$C38)*$A$8:$A38,LEFT($BA$7,FIND(" ",$BA$7)-1)))+7)&amp;":$C"&amp;ROW()),$C38)</f>
        <v>129.6209076903377</v>
      </c>
      <c r="BB38" s="6" t="str">
        <f ca="1">VLOOKUP(MAX(BG38,$AX38),'RC Lookup'!$G$14:$J$20,2,TRUE)</f>
        <v>T3</v>
      </c>
      <c r="BC38" s="6">
        <f ca="1">_xlfn.IFNA(VLOOKUP(VLOOKUP($C38,'RC Lookup'!$O$3:$P$50,2,FALSE),'RC Lookup'!$H$14:$J$23,2,FALSE),0)*AW38</f>
        <v>63.663550044210325</v>
      </c>
      <c r="BD38" s="6">
        <f ca="1">_xlfn.IFNA(VLOOKUP(SUMPRODUCT(LARGE(($C$8:$C38=Table1[[#This Row],[Climber]])*$A$8:$A38,1)),$A$8:$BC38,55,FALSE),0)/LEFT($AX$7,FIND(" ",$AX$7))+_xlfn.IFNA(VLOOKUP(SUMPRODUCT(LARGE(($C$8:$C38=Table1[[#This Row],[Climber]])*$A$8:$A38,MIN(2,COUNTIFS($C$8:$C38,$C38)))),$A$8:$BC38,55,FALSE),0)/LEFT($AX$7,FIND(" ",$AX$7))+_xlfn.IFNA(VLOOKUP(SUMPRODUCT(LARGE(($C$8:$C38=Table1[[#This Row],[Climber]])*$A$8:$A38,MIN(3,COUNTIFS($C$8:$C38,$C38)))),$A$8:$BC38,55,FALSE),0)/LEFT($AX$7,FIND(" ",$AX$7))</f>
        <v>52.590349211719825</v>
      </c>
      <c r="BE38" s="6">
        <f ca="1">(_xlfn.IFNA(VLOOKUP(SUMPRODUCT(LARGE(($C$8:$C38=Table1[[#This Row],[Climber]])*$A$8:$A38,4)),$A$8:$BD38,55,FALSE),0)+_xlfn.IFNA(VLOOKUP(SUMPRODUCT(LARGE(($C$8:$C38=Table1[[#This Row],[Climber]])*$A$8:$A38,5)),$A$8:$BD38,55,FALSE),0)+_xlfn.IFNA(VLOOKUP(SUMPRODUCT(LARGE(($C$8:$C38=Table1[[#This Row],[Climber]])*$A$8:$A38,6)),$A$8:$BD38,55,FALSE),0))/3</f>
        <v>16.903547501876087</v>
      </c>
      <c r="BF38" s="46">
        <f ca="1">_xlfn.MAXIFS(INDIRECT("$BC"&amp;IF(SUMPRODUCT(LARGE(($C$8:$C38=$C38)*$A$8:$A38,LEFT($BA$7,FIND(" ",$BA$7)-1)))=0,8,SUMPRODUCT(LARGE(($C$8:$C38=$C38)*$A$8:$A38,LEFT($BA$7,FIND(" ",$BA$7)-1)))+7)&amp;":$BC"&amp;ROW()),INDIRECT("$C"&amp;IF(SUMPRODUCT(LARGE(($C$8:$C38=$C38)*$A$8:$A38,LEFT($BA$7,FIND(" ",$BA$7)-1)))=0,8,SUMPRODUCT(LARGE(($C$8:$C38=$C38)*$A$8:$A38,LEFT($BA$7,FIND(" ",$BA$7)-1)))+7)&amp;":$C"&amp;ROW()),$C38)</f>
        <v>63.663550044210325</v>
      </c>
      <c r="BG38" s="46">
        <f t="array" aca="1" ref="BG38" ca="1">IFERROR(SUMPRODUCT(LARGE(($C$8:$C38=Table1[[#This Row],[Climber]])*$AW$8:$AW38,ROW(INDIRECT("1:5")))),AW38)/MIN(COUNTIFS($C$8:$C38,C38),5)</f>
        <v>106.11875199426696</v>
      </c>
      <c r="BH38" s="46"/>
    </row>
    <row r="39" spans="1:60" x14ac:dyDescent="0.3">
      <c r="A39" s="125">
        <f t="shared" si="1"/>
        <v>32</v>
      </c>
      <c r="B39" s="25">
        <f>'Rock Climbing Log'!B39</f>
        <v>43134</v>
      </c>
      <c r="C39" s="126" t="str">
        <f>'Rock Climbing Log'!C39</f>
        <v>Michelle</v>
      </c>
      <c r="D39" s="26">
        <f>_xlfn.IFNA(IF(LEFT('Rock Climbing Log'!D39)="C",_xlfn.IFNA(VLOOKUP('Rock Climbing Log'!D39,'RC Lookup'!$A$3:$B$9,2,FALSE),0.5),VLOOKUP('Rock Climbing Log'!D39,'RC Lookup'!$G$3:$H$5,2,FALSE)),0)*VLOOKUP(D$7,'RC Lookup'!$D$3:$E$18,2,FALSE)</f>
        <v>10</v>
      </c>
      <c r="E39" s="26">
        <f>_xlfn.IFNA(IF(LEFT('Rock Climbing Log'!E39)="C",_xlfn.IFNA(VLOOKUP('Rock Climbing Log'!E39,'RC Lookup'!$A$3:$B$9,2,FALSE),0.5),VLOOKUP('Rock Climbing Log'!E39,'RC Lookup'!$G$3:$H$5,2,FALSE)),0)*VLOOKUP(D$7,'RC Lookup'!$D$3:$E$18,2,FALSE)</f>
        <v>0</v>
      </c>
      <c r="F39" s="26">
        <f>_xlfn.IFNA(IF(LEFT('Rock Climbing Log'!F39)="C",_xlfn.IFNA(VLOOKUP('Rock Climbing Log'!F39,'RC Lookup'!$A$3:$B$9,2,FALSE),0.5),VLOOKUP('Rock Climbing Log'!F39,'RC Lookup'!$G$3:$H$5,2,FALSE)),0)*VLOOKUP(D$7,'RC Lookup'!$D$3:$E$18,2,FALSE)</f>
        <v>0</v>
      </c>
      <c r="G39" s="26">
        <f>_xlfn.IFNA(IF(LEFT('Rock Climbing Log'!G39)="C",_xlfn.IFNA(VLOOKUP('Rock Climbing Log'!G39,'RC Lookup'!$A$3:$B$9,2,FALSE),0.5),VLOOKUP('Rock Climbing Log'!G39,'RC Lookup'!$G$3:$H$5,2,FALSE)),0)*VLOOKUP(G$7,'RC Lookup'!$D$3:$E$18,2,FALSE)</f>
        <v>0</v>
      </c>
      <c r="H39" s="26">
        <f>_xlfn.IFNA(IF(LEFT('Rock Climbing Log'!H39)="C",_xlfn.IFNA(VLOOKUP('Rock Climbing Log'!H39,'RC Lookup'!$A$3:$B$9,2,FALSE),0.5),VLOOKUP('Rock Climbing Log'!H39,'RC Lookup'!$G$3:$H$5,2,FALSE)),0)*VLOOKUP(G$7,'RC Lookup'!$D$3:$E$18,2,FALSE)</f>
        <v>0</v>
      </c>
      <c r="I39" s="26">
        <f>_xlfn.IFNA(IF(LEFT('Rock Climbing Log'!I39)="C",_xlfn.IFNA(VLOOKUP('Rock Climbing Log'!I39,'RC Lookup'!$A$3:$B$9,2,FALSE),0.5),VLOOKUP('Rock Climbing Log'!I39,'RC Lookup'!$G$3:$H$5,2,FALSE)),0)*VLOOKUP(G$7,'RC Lookup'!$D$3:$E$18,2,FALSE)</f>
        <v>0</v>
      </c>
      <c r="J39" s="26">
        <f>_xlfn.IFNA(IF(LEFT('Rock Climbing Log'!J39)="C",_xlfn.IFNA(VLOOKUP('Rock Climbing Log'!J39,'RC Lookup'!$A$3:$B$9,2,FALSE),0.5),VLOOKUP('Rock Climbing Log'!J39,'RC Lookup'!$G$3:$H$5,2,FALSE)),0)*VLOOKUP(J$7,'RC Lookup'!$D$3:$E$18,2,FALSE)</f>
        <v>15.75</v>
      </c>
      <c r="K39" s="26">
        <f>_xlfn.IFNA(IF(LEFT('Rock Climbing Log'!K39)="C",_xlfn.IFNA(VLOOKUP('Rock Climbing Log'!K39,'RC Lookup'!$A$3:$B$9,2,FALSE),0.5),VLOOKUP('Rock Climbing Log'!K39,'RC Lookup'!$G$3:$H$5,2,FALSE)),0)*VLOOKUP(J$7,'RC Lookup'!$D$3:$E$18,2,FALSE)</f>
        <v>15.75</v>
      </c>
      <c r="L39" s="26">
        <f>_xlfn.IFNA(IF(LEFT('Rock Climbing Log'!L39)="C",_xlfn.IFNA(VLOOKUP('Rock Climbing Log'!L39,'RC Lookup'!$A$3:$B$9,2,FALSE),0.5),VLOOKUP('Rock Climbing Log'!L39,'RC Lookup'!$G$3:$H$5,2,FALSE)),0)*VLOOKUP(J$7,'RC Lookup'!$D$3:$E$18,2,FALSE)</f>
        <v>0</v>
      </c>
      <c r="M39" s="26">
        <f>_xlfn.IFNA(IF(LEFT('Rock Climbing Log'!M39)="C",_xlfn.IFNA(VLOOKUP('Rock Climbing Log'!M39,'RC Lookup'!$A$3:$B$9,2,FALSE),0.5),VLOOKUP('Rock Climbing Log'!M39,'RC Lookup'!$G$3:$H$5,2,FALSE)),0)*VLOOKUP(M$7,'RC Lookup'!$D$3:$E$18,2,FALSE)</f>
        <v>18.00225</v>
      </c>
      <c r="N39" s="26">
        <f>_xlfn.IFNA(IF(LEFT('Rock Climbing Log'!N39)="C",_xlfn.IFNA(VLOOKUP('Rock Climbing Log'!N39,'RC Lookup'!$A$3:$B$9,2,FALSE),0.5),VLOOKUP('Rock Climbing Log'!N39,'RC Lookup'!$G$3:$H$5,2,FALSE)),0)*VLOOKUP(M$7,'RC Lookup'!$D$3:$E$18,2,FALSE)</f>
        <v>10.001250000000001</v>
      </c>
      <c r="O39" s="26">
        <f>_xlfn.IFNA(IF(LEFT('Rock Climbing Log'!O39)="C",_xlfn.IFNA(VLOOKUP('Rock Climbing Log'!O39,'RC Lookup'!$A$3:$B$9,2,FALSE),0.5),VLOOKUP('Rock Climbing Log'!O39,'RC Lookup'!$G$3:$H$5,2,FALSE)),0)*VLOOKUP(M$7,'RC Lookup'!$D$3:$E$18,2,FALSE)</f>
        <v>0</v>
      </c>
      <c r="P39" s="26">
        <f>_xlfn.IFNA(IF(LEFT('Rock Climbing Log'!P39)="C",_xlfn.IFNA(VLOOKUP('Rock Climbing Log'!P39,'RC Lookup'!$A$3:$B$9,2,FALSE),0.5),VLOOKUP('Rock Climbing Log'!P39,'RC Lookup'!$G$3:$H$5,2,FALSE)),0)*VLOOKUP(P$7,'RC Lookup'!$D$3:$E$18,2,FALSE)</f>
        <v>11.961495000000003</v>
      </c>
      <c r="Q39" s="26">
        <f>_xlfn.IFNA(IF(LEFT('Rock Climbing Log'!Q39)="C",_xlfn.IFNA(VLOOKUP('Rock Climbing Log'!Q39,'RC Lookup'!$A$3:$B$9,2,FALSE),0.5),VLOOKUP('Rock Climbing Log'!Q39,'RC Lookup'!$G$3:$H$5,2,FALSE)),0)*VLOOKUP(P$7,'RC Lookup'!$D$3:$E$18,2,FALSE)</f>
        <v>0</v>
      </c>
      <c r="R39" s="26">
        <f>_xlfn.IFNA(IF(LEFT('Rock Climbing Log'!R39)="C",_xlfn.IFNA(VLOOKUP('Rock Climbing Log'!R39,'RC Lookup'!$A$3:$B$9,2,FALSE),0.5),VLOOKUP('Rock Climbing Log'!R39,'RC Lookup'!$G$3:$H$5,2,FALSE)),0)*VLOOKUP(P$7,'RC Lookup'!$D$3:$E$18,2,FALSE)</f>
        <v>0</v>
      </c>
      <c r="S39" s="26">
        <f>_xlfn.IFNA(IF(LEFT('Rock Climbing Log'!S39)="C",_xlfn.IFNA(VLOOKUP('Rock Climbing Log'!S39,'RC Lookup'!$A$3:$B$9,2,FALSE),0.5),VLOOKUP('Rock Climbing Log'!S39,'RC Lookup'!$G$3:$H$5,2,FALSE)),0)*VLOOKUP(S$7,'RC Lookup'!$D$3:$E$18,2,FALSE)</f>
        <v>0</v>
      </c>
      <c r="T39" s="26">
        <f>_xlfn.IFNA(IF(LEFT('Rock Climbing Log'!T39)="C",_xlfn.IFNA(VLOOKUP('Rock Climbing Log'!T39,'RC Lookup'!$A$3:$B$9,2,FALSE),0.5),VLOOKUP('Rock Climbing Log'!T39,'RC Lookup'!$G$3:$H$5,2,FALSE)),0)*VLOOKUP(S$7,'RC Lookup'!$D$3:$E$18,2,FALSE)</f>
        <v>0</v>
      </c>
      <c r="U39" s="26">
        <f>_xlfn.IFNA(IF(LEFT('Rock Climbing Log'!U39)="C",_xlfn.IFNA(VLOOKUP('Rock Climbing Log'!U39,'RC Lookup'!$A$3:$B$9,2,FALSE),0.5),VLOOKUP('Rock Climbing Log'!U39,'RC Lookup'!$G$3:$H$5,2,FALSE)),0)*VLOOKUP(S$7,'RC Lookup'!$D$3:$E$18,2,FALSE)</f>
        <v>0</v>
      </c>
      <c r="V39" s="26">
        <f>_xlfn.IFNA(IF(LEFT('Rock Climbing Log'!V39)="C",_xlfn.IFNA(VLOOKUP('Rock Climbing Log'!V39,'RC Lookup'!$A$3:$B$9,2,FALSE),0.5),VLOOKUP('Rock Climbing Log'!V39,'RC Lookup'!$G$3:$H$5,2,FALSE)),0)*VLOOKUP(V$7,'RC Lookup'!$D$3:$E$18,2,FALSE)</f>
        <v>17.628372871200011</v>
      </c>
      <c r="W39" s="26">
        <f>_xlfn.IFNA(IF(LEFT('Rock Climbing Log'!W39)="C",_xlfn.IFNA(VLOOKUP('Rock Climbing Log'!W39,'RC Lookup'!$A$3:$B$9,2,FALSE),0.5),VLOOKUP('Rock Climbing Log'!W39,'RC Lookup'!$G$3:$H$5,2,FALSE)),0)*VLOOKUP(V$7,'RC Lookup'!$D$3:$E$18,2,FALSE)</f>
        <v>0</v>
      </c>
      <c r="X39" s="26">
        <f>_xlfn.IFNA(IF(LEFT('Rock Climbing Log'!X39)="C",_xlfn.IFNA(VLOOKUP('Rock Climbing Log'!X39,'RC Lookup'!$A$3:$B$9,2,FALSE),0.5),VLOOKUP('Rock Climbing Log'!X39,'RC Lookup'!$G$3:$H$5,2,FALSE)),0)*VLOOKUP(V$7,'RC Lookup'!$D$3:$E$18,2,FALSE)</f>
        <v>0</v>
      </c>
      <c r="Y39" s="26">
        <f>_xlfn.IFNA(IF(LEFT('Rock Climbing Log'!Y39)="C",_xlfn.IFNA(VLOOKUP('Rock Climbing Log'!Y39,'RC Lookup'!$A$3:$B$9,2,FALSE),0.5),VLOOKUP('Rock Climbing Log'!Y39,'RC Lookup'!$G$3:$H$5,2,FALSE)),0)*VLOOKUP(Y$7,'RC Lookup'!$D$3:$E$18,2,FALSE)</f>
        <v>0</v>
      </c>
      <c r="Z39" s="26">
        <f>_xlfn.IFNA(IF(LEFT('Rock Climbing Log'!Z39)="C",_xlfn.IFNA(VLOOKUP('Rock Climbing Log'!Z39,'RC Lookup'!$A$3:$B$9,2,FALSE),0.5),VLOOKUP('Rock Climbing Log'!Z39,'RC Lookup'!$G$3:$H$5,2,FALSE)),0)*VLOOKUP(Y$7,'RC Lookup'!$D$3:$E$18,2,FALSE)</f>
        <v>0</v>
      </c>
      <c r="AA39" s="26">
        <f>_xlfn.IFNA(IF(LEFT('Rock Climbing Log'!AA39)="C",_xlfn.IFNA(VLOOKUP('Rock Climbing Log'!AA39,'RC Lookup'!$A$3:$B$9,2,FALSE),0.5),VLOOKUP('Rock Climbing Log'!AA39,'RC Lookup'!$G$3:$H$5,2,FALSE)),0)*VLOOKUP(Y$7,'RC Lookup'!$D$3:$E$18,2,FALSE)</f>
        <v>0</v>
      </c>
      <c r="AB39" s="26">
        <f>_xlfn.IFNA(IF(LEFT('Rock Climbing Log'!AB39)="C",_xlfn.IFNA(VLOOKUP('Rock Climbing Log'!AB39,'RC Lookup'!$A$3:$B$9,2,FALSE),0.5),VLOOKUP('Rock Climbing Log'!AB39,'RC Lookup'!$G$3:$H$5,2,FALSE)),0)*VLOOKUP(AB$7,'RC Lookup'!$D$3:$E$18,2,FALSE)</f>
        <v>0</v>
      </c>
      <c r="AC39" s="26">
        <f>_xlfn.IFNA(IF(LEFT('Rock Climbing Log'!AC39)="C",_xlfn.IFNA(VLOOKUP('Rock Climbing Log'!AC39,'RC Lookup'!$A$3:$B$9,2,FALSE),0.5),VLOOKUP('Rock Climbing Log'!AC39,'RC Lookup'!$G$3:$H$5,2,FALSE)),0)*VLOOKUP(AB$7,'RC Lookup'!$D$3:$E$18,2,FALSE)</f>
        <v>0</v>
      </c>
      <c r="AD39" s="26">
        <f>_xlfn.IFNA(IF(LEFT('Rock Climbing Log'!AD39)="C",_xlfn.IFNA(VLOOKUP('Rock Climbing Log'!AD39,'RC Lookup'!$A$3:$B$9,2,FALSE),0.5),VLOOKUP('Rock Climbing Log'!AD39,'RC Lookup'!$G$3:$H$5,2,FALSE)),0)*VLOOKUP(AB$7,'RC Lookup'!$D$3:$E$18,2,FALSE)</f>
        <v>0</v>
      </c>
      <c r="AE39" s="26">
        <f>_xlfn.IFNA(IF(LEFT('Rock Climbing Log'!AE39)="C",_xlfn.IFNA(VLOOKUP('Rock Climbing Log'!AE39,'RC Lookup'!$A$3:$B$9,2,FALSE),0.5),VLOOKUP('Rock Climbing Log'!AE39,'RC Lookup'!$G$3:$H$5,2,FALSE)),0)*VLOOKUP(AE$7,'RC Lookup'!$D$3:$E$18,2,FALSE)</f>
        <v>0</v>
      </c>
      <c r="AF39" s="26">
        <f>_xlfn.IFNA(IF(LEFT('Rock Climbing Log'!AF39)="C",_xlfn.IFNA(VLOOKUP('Rock Climbing Log'!AF39,'RC Lookup'!$A$3:$B$9,2,FALSE),0.5),VLOOKUP('Rock Climbing Log'!AF39,'RC Lookup'!$G$3:$H$5,2,FALSE)),0)*VLOOKUP(AE$7,'RC Lookup'!$D$3:$E$18,2,FALSE)</f>
        <v>0</v>
      </c>
      <c r="AG39" s="26">
        <f>_xlfn.IFNA(IF(LEFT('Rock Climbing Log'!AG39)="C",_xlfn.IFNA(VLOOKUP('Rock Climbing Log'!AG39,'RC Lookup'!$A$3:$B$9,2,FALSE),0.5),VLOOKUP('Rock Climbing Log'!AG39,'RC Lookup'!$G$3:$H$5,2,FALSE)),0)*VLOOKUP(AE$7,'RC Lookup'!$D$3:$E$18,2,FALSE)</f>
        <v>0</v>
      </c>
      <c r="AH39" s="26">
        <f>_xlfn.IFNA(IF(LEFT('Rock Climbing Log'!AH39)="C",_xlfn.IFNA(VLOOKUP('Rock Climbing Log'!AH39,'RC Lookup'!$A$3:$B$9,2,FALSE),0.5),VLOOKUP('Rock Climbing Log'!AH39,'RC Lookup'!$G$3:$H$5,2,FALSE)),0)*VLOOKUP(AH$7,'RC Lookup'!$D$3:$E$18,2,FALSE)</f>
        <v>0</v>
      </c>
      <c r="AI39" s="26">
        <f>_xlfn.IFNA(IF(LEFT('Rock Climbing Log'!AI39)="C",_xlfn.IFNA(VLOOKUP('Rock Climbing Log'!AI39,'RC Lookup'!$A$3:$B$9,2,FALSE),0.5),VLOOKUP('Rock Climbing Log'!AI39,'RC Lookup'!$G$3:$H$5,2,FALSE)),0)*VLOOKUP(AH$7,'RC Lookup'!$D$3:$E$18,2,FALSE)</f>
        <v>0</v>
      </c>
      <c r="AJ39" s="26">
        <f>_xlfn.IFNA(IF(LEFT('Rock Climbing Log'!AJ39)="C",_xlfn.IFNA(VLOOKUP('Rock Climbing Log'!AJ39,'RC Lookup'!$A$3:$B$9,2,FALSE),0.5),VLOOKUP('Rock Climbing Log'!AJ39,'RC Lookup'!$G$3:$H$5,2,FALSE)),0)*VLOOKUP(AH$7,'RC Lookup'!$D$3:$E$18,2,FALSE)</f>
        <v>0</v>
      </c>
      <c r="AK39" s="26">
        <f>_xlfn.IFNA(IF(LEFT('Rock Climbing Log'!AK39)="C",_xlfn.IFNA(VLOOKUP('Rock Climbing Log'!AK39,'RC Lookup'!$A$3:$B$9,2,FALSE),0.5),VLOOKUP('Rock Climbing Log'!AK39,'RC Lookup'!$G$3:$H$5,2,FALSE)),0)*VLOOKUP(AK$7,'RC Lookup'!$D$3:$E$18,2,FALSE)</f>
        <v>0</v>
      </c>
      <c r="AL39" s="26">
        <f>_xlfn.IFNA(IF(LEFT('Rock Climbing Log'!AL39)="C",_xlfn.IFNA(VLOOKUP('Rock Climbing Log'!AL39,'RC Lookup'!$A$3:$B$9,2,FALSE),0.5),VLOOKUP('Rock Climbing Log'!AL39,'RC Lookup'!$G$3:$H$5,2,FALSE)),0)*VLOOKUP(AK$7,'RC Lookup'!$D$3:$E$18,2,FALSE)</f>
        <v>0</v>
      </c>
      <c r="AM39" s="26">
        <f>_xlfn.IFNA(IF(LEFT('Rock Climbing Log'!AM39)="C",_xlfn.IFNA(VLOOKUP('Rock Climbing Log'!AM39,'RC Lookup'!$A$3:$B$9,2,FALSE),0.5),VLOOKUP('Rock Climbing Log'!AM39,'RC Lookup'!$G$3:$H$5,2,FALSE)),0)*VLOOKUP(AK$7,'RC Lookup'!$D$3:$E$18,2,FALSE)</f>
        <v>0</v>
      </c>
      <c r="AN39" s="26">
        <f>_xlfn.IFNA(IF(LEFT('Rock Climbing Log'!AN39)="C",_xlfn.IFNA(VLOOKUP('Rock Climbing Log'!AN39,'RC Lookup'!$A$3:$B$9,2,FALSE),0.5),VLOOKUP('Rock Climbing Log'!AN39,'RC Lookup'!$G$3:$H$5,2,FALSE)),0)*VLOOKUP(AN$7,'RC Lookup'!$D$3:$E$18,2,FALSE)</f>
        <v>0</v>
      </c>
      <c r="AO39" s="26">
        <f>_xlfn.IFNA(IF(LEFT('Rock Climbing Log'!AO39)="C",_xlfn.IFNA(VLOOKUP('Rock Climbing Log'!AO39,'RC Lookup'!$A$3:$B$9,2,FALSE),0.5),VLOOKUP('Rock Climbing Log'!AO39,'RC Lookup'!$G$3:$H$5,2,FALSE)),0)*VLOOKUP(AN$7,'RC Lookup'!$D$3:$E$18,2,FALSE)</f>
        <v>0</v>
      </c>
      <c r="AP39" s="26">
        <f>_xlfn.IFNA(IF(LEFT('Rock Climbing Log'!AP39)="C",_xlfn.IFNA(VLOOKUP('Rock Climbing Log'!AP39,'RC Lookup'!$A$3:$B$9,2,FALSE),0.5),VLOOKUP('Rock Climbing Log'!AP39,'RC Lookup'!$G$3:$H$5,2,FALSE)),0)*VLOOKUP(AN$7,'RC Lookup'!$D$3:$E$18,2,FALSE)</f>
        <v>0</v>
      </c>
      <c r="AQ39" s="26">
        <f>_xlfn.IFNA(IF(LEFT('Rock Climbing Log'!AQ39)="C",_xlfn.IFNA(VLOOKUP('Rock Climbing Log'!AQ39,'RC Lookup'!$A$3:$B$9,2,FALSE),0.5),VLOOKUP('Rock Climbing Log'!AQ39,'RC Lookup'!$G$3:$H$5,2,FALSE)),0)*VLOOKUP(AQ$7,'RC Lookup'!$D$3:$E$18,2,FALSE)</f>
        <v>0</v>
      </c>
      <c r="AR39" s="26">
        <f>_xlfn.IFNA(IF(LEFT('Rock Climbing Log'!AR39)="C",_xlfn.IFNA(VLOOKUP('Rock Climbing Log'!AR39,'RC Lookup'!$A$3:$B$9,2,FALSE),0.5),VLOOKUP('Rock Climbing Log'!AR39,'RC Lookup'!$G$3:$H$5,2,FALSE)),0)*VLOOKUP(AQ$7,'RC Lookup'!$D$3:$E$18,2,FALSE)</f>
        <v>0</v>
      </c>
      <c r="AS39" s="26">
        <f>_xlfn.IFNA(IF(LEFT('Rock Climbing Log'!AS39)="C",_xlfn.IFNA(VLOOKUP('Rock Climbing Log'!AS39,'RC Lookup'!$A$3:$B$9,2,FALSE),0.5),VLOOKUP('Rock Climbing Log'!AS39,'RC Lookup'!$G$3:$H$5,2,FALSE)),0)*VLOOKUP(AQ$7,'RC Lookup'!$D$3:$E$18,2,FALSE)</f>
        <v>0</v>
      </c>
      <c r="AT39" s="26">
        <f>_xlfn.IFNA(IF(LEFT('Rock Climbing Log'!AT39)="C",_xlfn.IFNA(VLOOKUP('Rock Climbing Log'!AT39,'RC Lookup'!$A$3:$B$9,2,FALSE),0.5),VLOOKUP('Rock Climbing Log'!AT39,'RC Lookup'!$G$3:$H$5,2,FALSE)),0)*VLOOKUP(AT$7,'RC Lookup'!$D$3:$E$18,2,FALSE)</f>
        <v>0</v>
      </c>
      <c r="AU39" s="26">
        <f>_xlfn.IFNA(IF(LEFT('Rock Climbing Log'!AU39)="C",_xlfn.IFNA(VLOOKUP('Rock Climbing Log'!AU39,'RC Lookup'!$A$3:$B$9,2,FALSE),0.5),VLOOKUP('Rock Climbing Log'!AU39,'RC Lookup'!$G$3:$H$5,2,FALSE)),0)*VLOOKUP(AT$7,'RC Lookup'!$D$3:$E$18,2,FALSE)</f>
        <v>0</v>
      </c>
      <c r="AV39" s="26">
        <f>_xlfn.IFNA(IF(LEFT('Rock Climbing Log'!AV39)="C",_xlfn.IFNA(VLOOKUP('Rock Climbing Log'!AV39,'RC Lookup'!$A$3:$B$9,2,FALSE),0.5),VLOOKUP('Rock Climbing Log'!AV39,'RC Lookup'!$G$3:$H$5,2,FALSE)),0)*VLOOKUP(AT$7,'RC Lookup'!$D$3:$E$18,2,FALSE)</f>
        <v>0</v>
      </c>
      <c r="AW39" s="30">
        <f t="shared" ca="1" si="0"/>
        <v>51.380622871200011</v>
      </c>
      <c r="AX39" s="30">
        <f ca="1">_xlfn.IFNA(VLOOKUP(SUMPRODUCT(LARGE(($C$8:$C39=Table1[[#This Row],[Climber]])*$A$8:$A39,1)),$A$8:$AW39,MATCH($AW$7,$A$7:$AW$7,FALSE),FALSE),0)/LEFT($AX$7,FIND(" ",$AX$7))+_xlfn.IFNA(VLOOKUP(SUMPRODUCT(LARGE(($C$8:$C39=Table1[[#This Row],[Climber]])*$A$8:$A39,MIN(2,COUNTIFS($C$8:$C39,$C39)))),$A$8:$AW39,MATCH($AW$7,$A$7:$AW$7,FALSE),FALSE),0)/LEFT($AX$7,FIND(" ",$AX$7))+_xlfn.IFNA(VLOOKUP(SUMPRODUCT(LARGE(($C$8:$C39=Table1[[#This Row],[Climber]])*$A$8:$A39,MIN(3,COUNTIFS($C$8:$C39,$C39)))),$A$8:$AW39,MATCH($AW$7,$A$7:$AW$7,FALSE),FALSE),0)/LEFT($AX$7,FIND(" ",$AX$7))</f>
        <v>45.005498580800008</v>
      </c>
      <c r="AY39" s="30">
        <f ca="1">_xlfn.IFNA(VLOOKUP(SUMPRODUCT(LARGE(($C$8:$C39=Table1[[#This Row],[Climber]])*$A$8:$A39,1)),$A$8:$AW39,MATCH($AW$7,$A$7:$AW$7,FALSE),FALSE),0)/LEFT($AY$7,FIND(" ",$AY$7))+_xlfn.IFNA(VLOOKUP(SUMPRODUCT(LARGE(($C$8:$C39=Table1[[#This Row],[Climber]])*$A$8:$A39,MIN(2,COUNTIFS($C$8:$C39,$C39)))),$A$8:$AW39,MATCH($AW$7,$A$7:$AW$7,FALSE),FALSE),0)/LEFT($AY$7,FIND(" ",$AY$7))+_xlfn.IFNA(VLOOKUP(SUMPRODUCT(LARGE(($C$8:$C39=Table1[[#This Row],[Climber]])*$A$8:$A39,MIN(3,COUNTIFS($C$8:$C39,$C39)))),$A$8:$AW39,MATCH($AW$7,$A$7:$AW$7,FALSE),FALSE),0)/LEFT($AY$7,FIND(" ",$AY$7))+_xlfn.IFNA(VLOOKUP(SUMPRODUCT(LARGE(($C$8:$C39=Table1[[#This Row],[Climber]])*$A$8:$A39,MIN(4,COUNTIFS($C$8:$C39,$C39)))),$A$8:$AW39,MATCH($AW$7,$A$7:$AW$7,FALSE),FALSE),0)/LEFT($AY$7,FIND(" ",$AY$7))+_xlfn.IFNA(VLOOKUP(SUMPRODUCT(LARGE(($C$8:$C39=Table1[[#This Row],[Climber]])*$A$8:$A39,MIN(5,COUNTIFS($C$8:$C39,$C39)))),$A$8:$AW39,MATCH($AW$7,$A$7:$AW$7,FALSE),FALSE),0)/LEFT($AY$7,FIND(" ",$AY$7))</f>
        <v>42.003299148480004</v>
      </c>
      <c r="AZ39" s="30">
        <f>(_xlfn.IFNA(VLOOKUP(SUMPRODUCT(LARGE(($C$8:$C39=Table1[[#This Row],[Climber]])*$A$8:$A39,4)),$A$8:$AW39,MATCH($AW$7,$A$7:$AW$7,FALSE),FALSE),0)+_xlfn.IFNA(VLOOKUP(SUMPRODUCT(LARGE(($C$8:$C39=Table1[[#This Row],[Climber]])*$A$8:$A39,5)),$A$8:$AW39,MATCH($AW$7,$A$7:$AW$7,FALSE),FALSE),0)+_xlfn.IFNA(VLOOKUP(SUMPRODUCT(LARGE(($C$8:$C39=Table1[[#This Row],[Climber]])*$A$8:$A39,6)),$A$8:$AW39,MATCH($AW$7,$A$7:$AW$7,FALSE),FALSE),0))/3</f>
        <v>0</v>
      </c>
      <c r="BA39" s="6">
        <f ca="1">_xlfn.MAXIFS(INDIRECT("$AW"&amp;IF(SUMPRODUCT(LARGE(($C$8:$C39=$C39)*$A$8:$A39,LEFT($BA$7,FIND(" ",$BA$7)-1)))=0,8,SUMPRODUCT(LARGE(($C$8:$C39=$C39)*$A$8:$A39,LEFT($BA$7,FIND(" ",$BA$7)-1)))+7)&amp;":$AW"&amp;ROW()),INDIRECT("$C"&amp;IF(SUMPRODUCT(LARGE(($C$8:$C39=$C39)*$A$8:$A39,LEFT($BA$7,FIND(" ",$BA$7)-1)))=0,8,SUMPRODUCT(LARGE(($C$8:$C39=$C39)*$A$8:$A39,LEFT($BA$7,FIND(" ",$BA$7)-1)))+7)&amp;":$C"&amp;ROW()),$C39)</f>
        <v>51.380622871200011</v>
      </c>
      <c r="BB39" s="6" t="str">
        <f ca="1">VLOOKUP(MAX(BG39,$AX39),'RC Lookup'!$G$14:$J$20,2,TRUE)</f>
        <v>T1</v>
      </c>
      <c r="BC39" s="6">
        <f ca="1">_xlfn.IFNA(VLOOKUP(VLOOKUP($C39,'RC Lookup'!$O$3:$P$50,2,FALSE),'RC Lookup'!$H$14:$J$23,2,FALSE),0)*AW39</f>
        <v>59.264649060221636</v>
      </c>
      <c r="BD39" s="6">
        <f ca="1">_xlfn.IFNA(VLOOKUP(SUMPRODUCT(LARGE(($C$8:$C39=Table1[[#This Row],[Climber]])*$A$8:$A39,1)),$A$8:$BC39,55,FALSE),0)/LEFT($AX$7,FIND(" ",$AX$7))+_xlfn.IFNA(VLOOKUP(SUMPRODUCT(LARGE(($C$8:$C39=Table1[[#This Row],[Climber]])*$A$8:$A39,MIN(2,COUNTIFS($C$8:$C39,$C39)))),$A$8:$BC39,55,FALSE),0)/LEFT($AX$7,FIND(" ",$AX$7))+_xlfn.IFNA(VLOOKUP(SUMPRODUCT(LARGE(($C$8:$C39=Table1[[#This Row],[Climber]])*$A$8:$A39,MIN(3,COUNTIFS($C$8:$C39,$C39)))),$A$8:$BC39,55,FALSE),0)/LEFT($AX$7,FIND(" ",$AX$7))</f>
        <v>51.911302941141656</v>
      </c>
      <c r="BE39" s="6">
        <f>(_xlfn.IFNA(VLOOKUP(SUMPRODUCT(LARGE(($C$8:$C39=Table1[[#This Row],[Climber]])*$A$8:$A39,4)),$A$8:$BD39,55,FALSE),0)+_xlfn.IFNA(VLOOKUP(SUMPRODUCT(LARGE(($C$8:$C39=Table1[[#This Row],[Climber]])*$A$8:$A39,5)),$A$8:$BD39,55,FALSE),0)+_xlfn.IFNA(VLOOKUP(SUMPRODUCT(LARGE(($C$8:$C39=Table1[[#This Row],[Climber]])*$A$8:$A39,6)),$A$8:$BD39,55,FALSE),0))/3</f>
        <v>0</v>
      </c>
      <c r="BF39" s="46">
        <f ca="1">_xlfn.MAXIFS(INDIRECT("$BC"&amp;IF(SUMPRODUCT(LARGE(($C$8:$C39=$C39)*$A$8:$A39,LEFT($BA$7,FIND(" ",$BA$7)-1)))=0,8,SUMPRODUCT(LARGE(($C$8:$C39=$C39)*$A$8:$A39,LEFT($BA$7,FIND(" ",$BA$7)-1)))+7)&amp;":$BC"&amp;ROW()),INDIRECT("$C"&amp;IF(SUMPRODUCT(LARGE(($C$8:$C39=$C39)*$A$8:$A39,LEFT($BA$7,FIND(" ",$BA$7)-1)))=0,8,SUMPRODUCT(LARGE(($C$8:$C39=$C39)*$A$8:$A39,LEFT($BA$7,FIND(" ",$BA$7)-1)))+7)&amp;":$C"&amp;ROW()),$C39)</f>
        <v>59.264649060221636</v>
      </c>
      <c r="BG39" s="46">
        <f t="array" aca="1" ref="BG39" ca="1">IFERROR(SUMPRODUCT(LARGE(($C$8:$C39=Table1[[#This Row],[Climber]])*$AW$8:$AW39,ROW(INDIRECT("1:5")))),AW39)/MIN(COUNTIFS($C$8:$C39,C39),5)</f>
        <v>45.005498580800008</v>
      </c>
      <c r="BH39" s="46"/>
    </row>
    <row r="40" spans="1:60" x14ac:dyDescent="0.3">
      <c r="A40" s="125">
        <f t="shared" si="1"/>
        <v>33</v>
      </c>
      <c r="B40" s="25">
        <f>'Rock Climbing Log'!B40</f>
        <v>43137</v>
      </c>
      <c r="C40" s="126" t="str">
        <f>'Rock Climbing Log'!C40</f>
        <v>Lester</v>
      </c>
      <c r="D40" s="26">
        <f>_xlfn.IFNA(IF(LEFT('Rock Climbing Log'!D40)="C",_xlfn.IFNA(VLOOKUP('Rock Climbing Log'!D40,'RC Lookup'!$A$3:$B$9,2,FALSE),0.5),VLOOKUP('Rock Climbing Log'!D40,'RC Lookup'!$G$3:$H$5,2,FALSE)),0)*VLOOKUP(D$7,'RC Lookup'!$D$3:$E$18,2,FALSE)</f>
        <v>0</v>
      </c>
      <c r="E40" s="26">
        <f>_xlfn.IFNA(IF(LEFT('Rock Climbing Log'!E40)="C",_xlfn.IFNA(VLOOKUP('Rock Climbing Log'!E40,'RC Lookup'!$A$3:$B$9,2,FALSE),0.5),VLOOKUP('Rock Climbing Log'!E40,'RC Lookup'!$G$3:$H$5,2,FALSE)),0)*VLOOKUP(D$7,'RC Lookup'!$D$3:$E$18,2,FALSE)</f>
        <v>0</v>
      </c>
      <c r="F40" s="26">
        <f>_xlfn.IFNA(IF(LEFT('Rock Climbing Log'!F40)="C",_xlfn.IFNA(VLOOKUP('Rock Climbing Log'!F40,'RC Lookup'!$A$3:$B$9,2,FALSE),0.5),VLOOKUP('Rock Climbing Log'!F40,'RC Lookup'!$G$3:$H$5,2,FALSE)),0)*VLOOKUP(D$7,'RC Lookup'!$D$3:$E$18,2,FALSE)</f>
        <v>0</v>
      </c>
      <c r="G40" s="26">
        <f>_xlfn.IFNA(IF(LEFT('Rock Climbing Log'!G40)="C",_xlfn.IFNA(VLOOKUP('Rock Climbing Log'!G40,'RC Lookup'!$A$3:$B$9,2,FALSE),0.5),VLOOKUP('Rock Climbing Log'!G40,'RC Lookup'!$G$3:$H$5,2,FALSE)),0)*VLOOKUP(G$7,'RC Lookup'!$D$3:$E$18,2,FALSE)</f>
        <v>0</v>
      </c>
      <c r="H40" s="26">
        <f>_xlfn.IFNA(IF(LEFT('Rock Climbing Log'!H40)="C",_xlfn.IFNA(VLOOKUP('Rock Climbing Log'!H40,'RC Lookup'!$A$3:$B$9,2,FALSE),0.5),VLOOKUP('Rock Climbing Log'!H40,'RC Lookup'!$G$3:$H$5,2,FALSE)),0)*VLOOKUP(G$7,'RC Lookup'!$D$3:$E$18,2,FALSE)</f>
        <v>0</v>
      </c>
      <c r="I40" s="26">
        <f>_xlfn.IFNA(IF(LEFT('Rock Climbing Log'!I40)="C",_xlfn.IFNA(VLOOKUP('Rock Climbing Log'!I40,'RC Lookup'!$A$3:$B$9,2,FALSE),0.5),VLOOKUP('Rock Climbing Log'!I40,'RC Lookup'!$G$3:$H$5,2,FALSE)),0)*VLOOKUP(G$7,'RC Lookup'!$D$3:$E$18,2,FALSE)</f>
        <v>0</v>
      </c>
      <c r="J40" s="26">
        <f>_xlfn.IFNA(IF(LEFT('Rock Climbing Log'!J40)="C",_xlfn.IFNA(VLOOKUP('Rock Climbing Log'!J40,'RC Lookup'!$A$3:$B$9,2,FALSE),0.5),VLOOKUP('Rock Climbing Log'!J40,'RC Lookup'!$G$3:$H$5,2,FALSE)),0)*VLOOKUP(J$7,'RC Lookup'!$D$3:$E$18,2,FALSE)</f>
        <v>0</v>
      </c>
      <c r="K40" s="26">
        <f>_xlfn.IFNA(IF(LEFT('Rock Climbing Log'!K40)="C",_xlfn.IFNA(VLOOKUP('Rock Climbing Log'!K40,'RC Lookup'!$A$3:$B$9,2,FALSE),0.5),VLOOKUP('Rock Climbing Log'!K40,'RC Lookup'!$G$3:$H$5,2,FALSE)),0)*VLOOKUP(J$7,'RC Lookup'!$D$3:$E$18,2,FALSE)</f>
        <v>0</v>
      </c>
      <c r="L40" s="26">
        <f>_xlfn.IFNA(IF(LEFT('Rock Climbing Log'!L40)="C",_xlfn.IFNA(VLOOKUP('Rock Climbing Log'!L40,'RC Lookup'!$A$3:$B$9,2,FALSE),0.5),VLOOKUP('Rock Climbing Log'!L40,'RC Lookup'!$G$3:$H$5,2,FALSE)),0)*VLOOKUP(J$7,'RC Lookup'!$D$3:$E$18,2,FALSE)</f>
        <v>0</v>
      </c>
      <c r="M40" s="26">
        <f>_xlfn.IFNA(IF(LEFT('Rock Climbing Log'!M40)="C",_xlfn.IFNA(VLOOKUP('Rock Climbing Log'!M40,'RC Lookup'!$A$3:$B$9,2,FALSE),0.5),VLOOKUP('Rock Climbing Log'!M40,'RC Lookup'!$G$3:$H$5,2,FALSE)),0)*VLOOKUP(M$7,'RC Lookup'!$D$3:$E$18,2,FALSE)</f>
        <v>0</v>
      </c>
      <c r="N40" s="26">
        <f>_xlfn.IFNA(IF(LEFT('Rock Climbing Log'!N40)="C",_xlfn.IFNA(VLOOKUP('Rock Climbing Log'!N40,'RC Lookup'!$A$3:$B$9,2,FALSE),0.5),VLOOKUP('Rock Climbing Log'!N40,'RC Lookup'!$G$3:$H$5,2,FALSE)),0)*VLOOKUP(M$7,'RC Lookup'!$D$3:$E$18,2,FALSE)</f>
        <v>0</v>
      </c>
      <c r="O40" s="26">
        <f>_xlfn.IFNA(IF(LEFT('Rock Climbing Log'!O40)="C",_xlfn.IFNA(VLOOKUP('Rock Climbing Log'!O40,'RC Lookup'!$A$3:$B$9,2,FALSE),0.5),VLOOKUP('Rock Climbing Log'!O40,'RC Lookup'!$G$3:$H$5,2,FALSE)),0)*VLOOKUP(M$7,'RC Lookup'!$D$3:$E$18,2,FALSE)</f>
        <v>0</v>
      </c>
      <c r="P40" s="26">
        <f>_xlfn.IFNA(IF(LEFT('Rock Climbing Log'!P40)="C",_xlfn.IFNA(VLOOKUP('Rock Climbing Log'!P40,'RC Lookup'!$A$3:$B$9,2,FALSE),0.5),VLOOKUP('Rock Climbing Log'!P40,'RC Lookup'!$G$3:$H$5,2,FALSE)),0)*VLOOKUP(P$7,'RC Lookup'!$D$3:$E$18,2,FALSE)</f>
        <v>0</v>
      </c>
      <c r="Q40" s="26">
        <f>_xlfn.IFNA(IF(LEFT('Rock Climbing Log'!Q40)="C",_xlfn.IFNA(VLOOKUP('Rock Climbing Log'!Q40,'RC Lookup'!$A$3:$B$9,2,FALSE),0.5),VLOOKUP('Rock Climbing Log'!Q40,'RC Lookup'!$G$3:$H$5,2,FALSE)),0)*VLOOKUP(P$7,'RC Lookup'!$D$3:$E$18,2,FALSE)</f>
        <v>0</v>
      </c>
      <c r="R40" s="26">
        <f>_xlfn.IFNA(IF(LEFT('Rock Climbing Log'!R40)="C",_xlfn.IFNA(VLOOKUP('Rock Climbing Log'!R40,'RC Lookup'!$A$3:$B$9,2,FALSE),0.5),VLOOKUP('Rock Climbing Log'!R40,'RC Lookup'!$G$3:$H$5,2,FALSE)),0)*VLOOKUP(P$7,'RC Lookup'!$D$3:$E$18,2,FALSE)</f>
        <v>0</v>
      </c>
      <c r="S40" s="26">
        <f>_xlfn.IFNA(IF(LEFT('Rock Climbing Log'!S40)="C",_xlfn.IFNA(VLOOKUP('Rock Climbing Log'!S40,'RC Lookup'!$A$3:$B$9,2,FALSE),0.5),VLOOKUP('Rock Climbing Log'!S40,'RC Lookup'!$G$3:$H$5,2,FALSE)),0)*VLOOKUP(S$7,'RC Lookup'!$D$3:$E$18,2,FALSE)</f>
        <v>0</v>
      </c>
      <c r="T40" s="26">
        <f>_xlfn.IFNA(IF(LEFT('Rock Climbing Log'!T40)="C",_xlfn.IFNA(VLOOKUP('Rock Climbing Log'!T40,'RC Lookup'!$A$3:$B$9,2,FALSE),0.5),VLOOKUP('Rock Climbing Log'!T40,'RC Lookup'!$G$3:$H$5,2,FALSE)),0)*VLOOKUP(S$7,'RC Lookup'!$D$3:$E$18,2,FALSE)</f>
        <v>0</v>
      </c>
      <c r="U40" s="26">
        <f>_xlfn.IFNA(IF(LEFT('Rock Climbing Log'!U40)="C",_xlfn.IFNA(VLOOKUP('Rock Climbing Log'!U40,'RC Lookup'!$A$3:$B$9,2,FALSE),0.5),VLOOKUP('Rock Climbing Log'!U40,'RC Lookup'!$G$3:$H$5,2,FALSE)),0)*VLOOKUP(S$7,'RC Lookup'!$D$3:$E$18,2,FALSE)</f>
        <v>0</v>
      </c>
      <c r="V40" s="26">
        <f>_xlfn.IFNA(IF(LEFT('Rock Climbing Log'!V40)="C",_xlfn.IFNA(VLOOKUP('Rock Climbing Log'!V40,'RC Lookup'!$A$3:$B$9,2,FALSE),0.5),VLOOKUP('Rock Climbing Log'!V40,'RC Lookup'!$G$3:$H$5,2,FALSE)),0)*VLOOKUP(V$7,'RC Lookup'!$D$3:$E$18,2,FALSE)</f>
        <v>35.256745742400021</v>
      </c>
      <c r="W40" s="26">
        <f>_xlfn.IFNA(IF(LEFT('Rock Climbing Log'!W40)="C",_xlfn.IFNA(VLOOKUP('Rock Climbing Log'!W40,'RC Lookup'!$A$3:$B$9,2,FALSE),0.5),VLOOKUP('Rock Climbing Log'!W40,'RC Lookup'!$G$3:$H$5,2,FALSE)),0)*VLOOKUP(V$7,'RC Lookup'!$D$3:$E$18,2,FALSE)</f>
        <v>0</v>
      </c>
      <c r="X40" s="26">
        <f>_xlfn.IFNA(IF(LEFT('Rock Climbing Log'!X40)="C",_xlfn.IFNA(VLOOKUP('Rock Climbing Log'!X40,'RC Lookup'!$A$3:$B$9,2,FALSE),0.5),VLOOKUP('Rock Climbing Log'!X40,'RC Lookup'!$G$3:$H$5,2,FALSE)),0)*VLOOKUP(V$7,'RC Lookup'!$D$3:$E$18,2,FALSE)</f>
        <v>0</v>
      </c>
      <c r="Y40" s="26">
        <f>_xlfn.IFNA(IF(LEFT('Rock Climbing Log'!Y40)="C",_xlfn.IFNA(VLOOKUP('Rock Climbing Log'!Y40,'RC Lookup'!$A$3:$B$9,2,FALSE),0.5),VLOOKUP('Rock Climbing Log'!Y40,'RC Lookup'!$G$3:$H$5,2,FALSE)),0)*VLOOKUP(Y$7,'RC Lookup'!$D$3:$E$18,2,FALSE)</f>
        <v>0</v>
      </c>
      <c r="Z40" s="26">
        <f>_xlfn.IFNA(IF(LEFT('Rock Climbing Log'!Z40)="C",_xlfn.IFNA(VLOOKUP('Rock Climbing Log'!Z40,'RC Lookup'!$A$3:$B$9,2,FALSE),0.5),VLOOKUP('Rock Climbing Log'!Z40,'RC Lookup'!$G$3:$H$5,2,FALSE)),0)*VLOOKUP(Y$7,'RC Lookup'!$D$3:$E$18,2,FALSE)</f>
        <v>0</v>
      </c>
      <c r="AA40" s="26">
        <f>_xlfn.IFNA(IF(LEFT('Rock Climbing Log'!AA40)="C",_xlfn.IFNA(VLOOKUP('Rock Climbing Log'!AA40,'RC Lookup'!$A$3:$B$9,2,FALSE),0.5),VLOOKUP('Rock Climbing Log'!AA40,'RC Lookup'!$G$3:$H$5,2,FALSE)),0)*VLOOKUP(Y$7,'RC Lookup'!$D$3:$E$18,2,FALSE)</f>
        <v>0</v>
      </c>
      <c r="AB40" s="26">
        <f>_xlfn.IFNA(IF(LEFT('Rock Climbing Log'!AB40)="C",_xlfn.IFNA(VLOOKUP('Rock Climbing Log'!AB40,'RC Lookup'!$A$3:$B$9,2,FALSE),0.5),VLOOKUP('Rock Climbing Log'!AB40,'RC Lookup'!$G$3:$H$5,2,FALSE)),0)*VLOOKUP(AB$7,'RC Lookup'!$D$3:$E$18,2,FALSE)</f>
        <v>0</v>
      </c>
      <c r="AC40" s="26">
        <f>_xlfn.IFNA(IF(LEFT('Rock Climbing Log'!AC40)="C",_xlfn.IFNA(VLOOKUP('Rock Climbing Log'!AC40,'RC Lookup'!$A$3:$B$9,2,FALSE),0.5),VLOOKUP('Rock Climbing Log'!AC40,'RC Lookup'!$G$3:$H$5,2,FALSE)),0)*VLOOKUP(AB$7,'RC Lookup'!$D$3:$E$18,2,FALSE)</f>
        <v>0</v>
      </c>
      <c r="AD40" s="26">
        <f>_xlfn.IFNA(IF(LEFT('Rock Climbing Log'!AD40)="C",_xlfn.IFNA(VLOOKUP('Rock Climbing Log'!AD40,'RC Lookup'!$A$3:$B$9,2,FALSE),0.5),VLOOKUP('Rock Climbing Log'!AD40,'RC Lookup'!$G$3:$H$5,2,FALSE)),0)*VLOOKUP(AB$7,'RC Lookup'!$D$3:$E$18,2,FALSE)</f>
        <v>0</v>
      </c>
      <c r="AE40" s="26">
        <f>_xlfn.IFNA(IF(LEFT('Rock Climbing Log'!AE40)="C",_xlfn.IFNA(VLOOKUP('Rock Climbing Log'!AE40,'RC Lookup'!$A$3:$B$9,2,FALSE),0.5),VLOOKUP('Rock Climbing Log'!AE40,'RC Lookup'!$G$3:$H$5,2,FALSE)),0)*VLOOKUP(AE$7,'RC Lookup'!$D$3:$E$18,2,FALSE)</f>
        <v>67.867671846932893</v>
      </c>
      <c r="AF40" s="26">
        <f>_xlfn.IFNA(IF(LEFT('Rock Climbing Log'!AF40)="C",_xlfn.IFNA(VLOOKUP('Rock Climbing Log'!AF40,'RC Lookup'!$A$3:$B$9,2,FALSE),0.5),VLOOKUP('Rock Climbing Log'!AF40,'RC Lookup'!$G$3:$H$5,2,FALSE)),0)*VLOOKUP(AE$7,'RC Lookup'!$D$3:$E$18,2,FALSE)</f>
        <v>67.867671846932893</v>
      </c>
      <c r="AG40" s="26">
        <f>_xlfn.IFNA(IF(LEFT('Rock Climbing Log'!AG40)="C",_xlfn.IFNA(VLOOKUP('Rock Climbing Log'!AG40,'RC Lookup'!$A$3:$B$9,2,FALSE),0.5),VLOOKUP('Rock Climbing Log'!AG40,'RC Lookup'!$G$3:$H$5,2,FALSE)),0)*VLOOKUP(AE$7,'RC Lookup'!$D$3:$E$18,2,FALSE)</f>
        <v>0</v>
      </c>
      <c r="AH40" s="26">
        <f>_xlfn.IFNA(IF(LEFT('Rock Climbing Log'!AH40)="C",_xlfn.IFNA(VLOOKUP('Rock Climbing Log'!AH40,'RC Lookup'!$A$3:$B$9,2,FALSE),0.5),VLOOKUP('Rock Climbing Log'!AH40,'RC Lookup'!$G$3:$H$5,2,FALSE)),0)*VLOOKUP(AH$7,'RC Lookup'!$D$3:$E$18,2,FALSE)</f>
        <v>0</v>
      </c>
      <c r="AI40" s="26">
        <f>_xlfn.IFNA(IF(LEFT('Rock Climbing Log'!AI40)="C",_xlfn.IFNA(VLOOKUP('Rock Climbing Log'!AI40,'RC Lookup'!$A$3:$B$9,2,FALSE),0.5),VLOOKUP('Rock Climbing Log'!AI40,'RC Lookup'!$G$3:$H$5,2,FALSE)),0)*VLOOKUP(AH$7,'RC Lookup'!$D$3:$E$18,2,FALSE)</f>
        <v>0</v>
      </c>
      <c r="AJ40" s="26">
        <f>_xlfn.IFNA(IF(LEFT('Rock Climbing Log'!AJ40)="C",_xlfn.IFNA(VLOOKUP('Rock Climbing Log'!AJ40,'RC Lookup'!$A$3:$B$9,2,FALSE),0.5),VLOOKUP('Rock Climbing Log'!AJ40,'RC Lookup'!$G$3:$H$5,2,FALSE)),0)*VLOOKUP(AH$7,'RC Lookup'!$D$3:$E$18,2,FALSE)</f>
        <v>0</v>
      </c>
      <c r="AK40" s="26">
        <f>_xlfn.IFNA(IF(LEFT('Rock Climbing Log'!AK40)="C",_xlfn.IFNA(VLOOKUP('Rock Climbing Log'!AK40,'RC Lookup'!$A$3:$B$9,2,FALSE),0.5),VLOOKUP('Rock Climbing Log'!AK40,'RC Lookup'!$G$3:$H$5,2,FALSE)),0)*VLOOKUP(AK$7,'RC Lookup'!$D$3:$E$18,2,FALSE)</f>
        <v>110.15194611444596</v>
      </c>
      <c r="AL40" s="26">
        <f>_xlfn.IFNA(IF(LEFT('Rock Climbing Log'!AL40)="C",_xlfn.IFNA(VLOOKUP('Rock Climbing Log'!AL40,'RC Lookup'!$A$3:$B$9,2,FALSE),0.5),VLOOKUP('Rock Climbing Log'!AL40,'RC Lookup'!$G$3:$H$5,2,FALSE)),0)*VLOOKUP(AK$7,'RC Lookup'!$D$3:$E$18,2,FALSE)</f>
        <v>0</v>
      </c>
      <c r="AM40" s="26">
        <f>_xlfn.IFNA(IF(LEFT('Rock Climbing Log'!AM40)="C",_xlfn.IFNA(VLOOKUP('Rock Climbing Log'!AM40,'RC Lookup'!$A$3:$B$9,2,FALSE),0.5),VLOOKUP('Rock Climbing Log'!AM40,'RC Lookup'!$G$3:$H$5,2,FALSE)),0)*VLOOKUP(AK$7,'RC Lookup'!$D$3:$E$18,2,FALSE)</f>
        <v>0</v>
      </c>
      <c r="AN40" s="26">
        <f>_xlfn.IFNA(IF(LEFT('Rock Climbing Log'!AN40)="C",_xlfn.IFNA(VLOOKUP('Rock Climbing Log'!AN40,'RC Lookup'!$A$3:$B$9,2,FALSE),0.5),VLOOKUP('Rock Climbing Log'!AN40,'RC Lookup'!$G$3:$H$5,2,FALSE)),0)*VLOOKUP(AN$7,'RC Lookup'!$D$3:$E$18,2,FALSE)</f>
        <v>0</v>
      </c>
      <c r="AO40" s="26">
        <f>_xlfn.IFNA(IF(LEFT('Rock Climbing Log'!AO40)="C",_xlfn.IFNA(VLOOKUP('Rock Climbing Log'!AO40,'RC Lookup'!$A$3:$B$9,2,FALSE),0.5),VLOOKUP('Rock Climbing Log'!AO40,'RC Lookup'!$G$3:$H$5,2,FALSE)),0)*VLOOKUP(AN$7,'RC Lookup'!$D$3:$E$18,2,FALSE)</f>
        <v>0</v>
      </c>
      <c r="AP40" s="26">
        <f>_xlfn.IFNA(IF(LEFT('Rock Climbing Log'!AP40)="C",_xlfn.IFNA(VLOOKUP('Rock Climbing Log'!AP40,'RC Lookup'!$A$3:$B$9,2,FALSE),0.5),VLOOKUP('Rock Climbing Log'!AP40,'RC Lookup'!$G$3:$H$5,2,FALSE)),0)*VLOOKUP(AN$7,'RC Lookup'!$D$3:$E$18,2,FALSE)</f>
        <v>0</v>
      </c>
      <c r="AQ40" s="26">
        <f>_xlfn.IFNA(IF(LEFT('Rock Climbing Log'!AQ40)="C",_xlfn.IFNA(VLOOKUP('Rock Climbing Log'!AQ40,'RC Lookup'!$A$3:$B$9,2,FALSE),0.5),VLOOKUP('Rock Climbing Log'!AQ40,'RC Lookup'!$G$3:$H$5,2,FALSE)),0)*VLOOKUP(AQ$7,'RC Lookup'!$D$3:$E$18,2,FALSE)</f>
        <v>92.790236975671462</v>
      </c>
      <c r="AR40" s="26">
        <f>_xlfn.IFNA(IF(LEFT('Rock Climbing Log'!AR40)="C",_xlfn.IFNA(VLOOKUP('Rock Climbing Log'!AR40,'RC Lookup'!$A$3:$B$9,2,FALSE),0.5),VLOOKUP('Rock Climbing Log'!AR40,'RC Lookup'!$G$3:$H$5,2,FALSE)),0)*VLOOKUP(AQ$7,'RC Lookup'!$D$3:$E$18,2,FALSE)</f>
        <v>0</v>
      </c>
      <c r="AS40" s="26">
        <f>_xlfn.IFNA(IF(LEFT('Rock Climbing Log'!AS40)="C",_xlfn.IFNA(VLOOKUP('Rock Climbing Log'!AS40,'RC Lookup'!$A$3:$B$9,2,FALSE),0.5),VLOOKUP('Rock Climbing Log'!AS40,'RC Lookup'!$G$3:$H$5,2,FALSE)),0)*VLOOKUP(AQ$7,'RC Lookup'!$D$3:$E$18,2,FALSE)</f>
        <v>0</v>
      </c>
      <c r="AT40" s="26">
        <f>_xlfn.IFNA(IF(LEFT('Rock Climbing Log'!AT40)="C",_xlfn.IFNA(VLOOKUP('Rock Climbing Log'!AT40,'RC Lookup'!$A$3:$B$9,2,FALSE),0.5),VLOOKUP('Rock Climbing Log'!AT40,'RC Lookup'!$G$3:$H$5,2,FALSE)),0)*VLOOKUP(AT$7,'RC Lookup'!$D$3:$E$18,2,FALSE)</f>
        <v>0</v>
      </c>
      <c r="AU40" s="26">
        <f>_xlfn.IFNA(IF(LEFT('Rock Climbing Log'!AU40)="C",_xlfn.IFNA(VLOOKUP('Rock Climbing Log'!AU40,'RC Lookup'!$A$3:$B$9,2,FALSE),0.5),VLOOKUP('Rock Climbing Log'!AU40,'RC Lookup'!$G$3:$H$5,2,FALSE)),0)*VLOOKUP(AT$7,'RC Lookup'!$D$3:$E$18,2,FALSE)</f>
        <v>0</v>
      </c>
      <c r="AV40" s="26">
        <f>_xlfn.IFNA(IF(LEFT('Rock Climbing Log'!AV40)="C",_xlfn.IFNA(VLOOKUP('Rock Climbing Log'!AV40,'RC Lookup'!$A$3:$B$9,2,FALSE),0.5),VLOOKUP('Rock Climbing Log'!AV40,'RC Lookup'!$G$3:$H$5,2,FALSE)),0)*VLOOKUP(AT$7,'RC Lookup'!$D$3:$E$18,2,FALSE)</f>
        <v>0</v>
      </c>
      <c r="AW40" s="30">
        <f t="shared" ref="AW40:AW71" ca="1" si="2">SUMPRODUCT(LARGE($D40:$AV40,ROW(INDIRECT("1:3"))))</f>
        <v>270.80985493705032</v>
      </c>
      <c r="AX40" s="30">
        <f ca="1">_xlfn.IFNA(VLOOKUP(SUMPRODUCT(LARGE(($C$8:$C40=Table1[[#This Row],[Climber]])*$A$8:$A40,1)),$A$8:$AW40,MATCH($AW$7,$A$7:$AW$7,FALSE),FALSE),0)/LEFT($AX$7,FIND(" ",$AX$7))+_xlfn.IFNA(VLOOKUP(SUMPRODUCT(LARGE(($C$8:$C40=Table1[[#This Row],[Climber]])*$A$8:$A40,MIN(2,COUNTIFS($C$8:$C40,$C40)))),$A$8:$AW40,MATCH($AW$7,$A$7:$AW$7,FALSE),FALSE),0)/LEFT($AX$7,FIND(" ",$AX$7))+_xlfn.IFNA(VLOOKUP(SUMPRODUCT(LARGE(($C$8:$C40=Table1[[#This Row],[Climber]])*$A$8:$A40,MIN(3,COUNTIFS($C$8:$C40,$C40)))),$A$8:$AW40,MATCH($AW$7,$A$7:$AW$7,FALSE),FALSE),0)/LEFT($AX$7,FIND(" ",$AX$7))</f>
        <v>278.3149226565713</v>
      </c>
      <c r="AY40" s="30">
        <f ca="1">_xlfn.IFNA(VLOOKUP(SUMPRODUCT(LARGE(($C$8:$C40=Table1[[#This Row],[Climber]])*$A$8:$A40,1)),$A$8:$AW40,MATCH($AW$7,$A$7:$AW$7,FALSE),FALSE),0)/LEFT($AY$7,FIND(" ",$AY$7))+_xlfn.IFNA(VLOOKUP(SUMPRODUCT(LARGE(($C$8:$C40=Table1[[#This Row],[Climber]])*$A$8:$A40,MIN(2,COUNTIFS($C$8:$C40,$C40)))),$A$8:$AW40,MATCH($AW$7,$A$7:$AW$7,FALSE),FALSE),0)/LEFT($AY$7,FIND(" ",$AY$7))+_xlfn.IFNA(VLOOKUP(SUMPRODUCT(LARGE(($C$8:$C40=Table1[[#This Row],[Climber]])*$A$8:$A40,MIN(3,COUNTIFS($C$8:$C40,$C40)))),$A$8:$AW40,MATCH($AW$7,$A$7:$AW$7,FALSE),FALSE),0)/LEFT($AY$7,FIND(" ",$AY$7))+_xlfn.IFNA(VLOOKUP(SUMPRODUCT(LARGE(($C$8:$C40=Table1[[#This Row],[Climber]])*$A$8:$A40,MIN(4,COUNTIFS($C$8:$C40,$C40)))),$A$8:$AW40,MATCH($AW$7,$A$7:$AW$7,FALSE),FALSE),0)/LEFT($AY$7,FIND(" ",$AY$7))+_xlfn.IFNA(VLOOKUP(SUMPRODUCT(LARGE(($C$8:$C40=Table1[[#This Row],[Climber]])*$A$8:$A40,MIN(5,COUNTIFS($C$8:$C40,$C40)))),$A$8:$AW40,MATCH($AW$7,$A$7:$AW$7,FALSE),FALSE),0)/LEFT($AY$7,FIND(" ",$AY$7))</f>
        <v>268.12534362072626</v>
      </c>
      <c r="AZ40" s="30">
        <f ca="1">(_xlfn.IFNA(VLOOKUP(SUMPRODUCT(LARGE(($C$8:$C40=Table1[[#This Row],[Climber]])*$A$8:$A40,4)),$A$8:$AW40,MATCH($AW$7,$A$7:$AW$7,FALSE),FALSE),0)+_xlfn.IFNA(VLOOKUP(SUMPRODUCT(LARGE(($C$8:$C40=Table1[[#This Row],[Climber]])*$A$8:$A40,5)),$A$8:$AW40,MATCH($AW$7,$A$7:$AW$7,FALSE),FALSE),0)+_xlfn.IFNA(VLOOKUP(SUMPRODUCT(LARGE(($C$8:$C40=Table1[[#This Row],[Climber]])*$A$8:$A40,6)),$A$8:$AW40,MATCH($AW$7,$A$7:$AW$7,FALSE),FALSE),0))/3</f>
        <v>250.52307998074306</v>
      </c>
      <c r="BA40" s="6">
        <f ca="1">_xlfn.MAXIFS(INDIRECT("$AW"&amp;IF(SUMPRODUCT(LARGE(($C$8:$C40=$C40)*$A$8:$A40,LEFT($BA$7,FIND(" ",$BA$7)-1)))=0,8,SUMPRODUCT(LARGE(($C$8:$C40=$C40)*$A$8:$A40,LEFT($BA$7,FIND(" ",$BA$7)-1)))+7)&amp;":$AW"&amp;ROW()),INDIRECT("$C"&amp;IF(SUMPRODUCT(LARGE(($C$8:$C40=$C40)*$A$8:$A40,LEFT($BA$7,FIND(" ",$BA$7)-1)))=0,8,SUMPRODUCT(LARGE(($C$8:$C40=$C40)*$A$8:$A40,LEFT($BA$7,FIND(" ",$BA$7)-1)))+7)&amp;":$C"&amp;ROW()),$C40)</f>
        <v>286.97854356828344</v>
      </c>
      <c r="BB40" s="6" t="str">
        <f ca="1">VLOOKUP(MAX(BG40,$AX40),'RC Lookup'!$G$14:$J$20,2,TRUE)</f>
        <v>T5</v>
      </c>
      <c r="BC40" s="6">
        <f ca="1">_xlfn.IFNA(VLOOKUP(VLOOKUP($C40,'RC Lookup'!$O$3:$P$50,2,FALSE),'RC Lookup'!$H$14:$J$23,2,FALSE),0)*AW40</f>
        <v>81.950392008412209</v>
      </c>
      <c r="BD40" s="6">
        <f ca="1">_xlfn.IFNA(VLOOKUP(SUMPRODUCT(LARGE(($C$8:$C40=Table1[[#This Row],[Climber]])*$A$8:$A40,1)),$A$8:$BC40,55,FALSE),0)/LEFT($AX$7,FIND(" ",$AX$7))+_xlfn.IFNA(VLOOKUP(SUMPRODUCT(LARGE(($C$8:$C40=Table1[[#This Row],[Climber]])*$A$8:$A40,MIN(2,COUNTIFS($C$8:$C40,$C40)))),$A$8:$BC40,55,FALSE),0)/LEFT($AX$7,FIND(" ",$AX$7))+_xlfn.IFNA(VLOOKUP(SUMPRODUCT(LARGE(($C$8:$C40=Table1[[#This Row],[Climber]])*$A$8:$A40,MIN(3,COUNTIFS($C$8:$C40,$C40)))),$A$8:$BC40,55,FALSE),0)/LEFT($AX$7,FIND(" ",$AX$7))</f>
        <v>84.22151778338592</v>
      </c>
      <c r="BE40" s="6">
        <f ca="1">(_xlfn.IFNA(VLOOKUP(SUMPRODUCT(LARGE(($C$8:$C40=Table1[[#This Row],[Climber]])*$A$8:$A40,4)),$A$8:$BD40,55,FALSE),0)+_xlfn.IFNA(VLOOKUP(SUMPRODUCT(LARGE(($C$8:$C40=Table1[[#This Row],[Climber]])*$A$8:$A40,5)),$A$8:$BD40,55,FALSE),0)+_xlfn.IFNA(VLOOKUP(SUMPRODUCT(LARGE(($C$8:$C40=Table1[[#This Row],[Climber]])*$A$8:$A40,6)),$A$8:$BD40,55,FALSE),0))/3</f>
        <v>75.81136445846478</v>
      </c>
      <c r="BF40" s="46">
        <f ca="1">_xlfn.MAXIFS(INDIRECT("$BC"&amp;IF(SUMPRODUCT(LARGE(($C$8:$C40=$C40)*$A$8:$A40,LEFT($BA$7,FIND(" ",$BA$7)-1)))=0,8,SUMPRODUCT(LARGE(($C$8:$C40=$C40)*$A$8:$A40,LEFT($BA$7,FIND(" ",$BA$7)-1)))+7)&amp;":$BC"&amp;ROW()),INDIRECT("$C"&amp;IF(SUMPRODUCT(LARGE(($C$8:$C40=$C40)*$A$8:$A40,LEFT($BA$7,FIND(" ",$BA$7)-1)))=0,8,SUMPRODUCT(LARGE(($C$8:$C40=$C40)*$A$8:$A40,LEFT($BA$7,FIND(" ",$BA$7)-1)))+7)&amp;":$C"&amp;ROW()),$C40)</f>
        <v>86.843236000000019</v>
      </c>
      <c r="BG40" s="46">
        <f t="array" aca="1" ref="BG40" ca="1">IFERROR(SUMPRODUCT(LARGE(($C$8:$C40=Table1[[#This Row],[Climber]])*$AW$8:$AW40,ROW(INDIRECT("1:5")))),AW40)/MIN(COUNTIFS($C$8:$C40,C40),5)</f>
        <v>271.59768544848123</v>
      </c>
      <c r="BH40" s="46"/>
    </row>
    <row r="41" spans="1:60" x14ac:dyDescent="0.3">
      <c r="A41" s="125">
        <f t="shared" si="1"/>
        <v>34</v>
      </c>
      <c r="B41" s="25">
        <f>'Rock Climbing Log'!B41</f>
        <v>43137</v>
      </c>
      <c r="C41" s="126" t="str">
        <f>'Rock Climbing Log'!C41</f>
        <v>Michelle</v>
      </c>
      <c r="D41" s="26">
        <f>_xlfn.IFNA(IF(LEFT('Rock Climbing Log'!D41)="C",_xlfn.IFNA(VLOOKUP('Rock Climbing Log'!D41,'RC Lookup'!$A$3:$B$9,2,FALSE),0.5),VLOOKUP('Rock Climbing Log'!D41,'RC Lookup'!$G$3:$H$5,2,FALSE)),0)*VLOOKUP(D$7,'RC Lookup'!$D$3:$E$18,2,FALSE)</f>
        <v>10</v>
      </c>
      <c r="E41" s="26">
        <f>_xlfn.IFNA(IF(LEFT('Rock Climbing Log'!E41)="C",_xlfn.IFNA(VLOOKUP('Rock Climbing Log'!E41,'RC Lookup'!$A$3:$B$9,2,FALSE),0.5),VLOOKUP('Rock Climbing Log'!E41,'RC Lookup'!$G$3:$H$5,2,FALSE)),0)*VLOOKUP(D$7,'RC Lookup'!$D$3:$E$18,2,FALSE)</f>
        <v>10</v>
      </c>
      <c r="F41" s="26">
        <f>_xlfn.IFNA(IF(LEFT('Rock Climbing Log'!F41)="C",_xlfn.IFNA(VLOOKUP('Rock Climbing Log'!F41,'RC Lookup'!$A$3:$B$9,2,FALSE),0.5),VLOOKUP('Rock Climbing Log'!F41,'RC Lookup'!$G$3:$H$5,2,FALSE)),0)*VLOOKUP(D$7,'RC Lookup'!$D$3:$E$18,2,FALSE)</f>
        <v>0</v>
      </c>
      <c r="G41" s="26">
        <f>_xlfn.IFNA(IF(LEFT('Rock Climbing Log'!G41)="C",_xlfn.IFNA(VLOOKUP('Rock Climbing Log'!G41,'RC Lookup'!$A$3:$B$9,2,FALSE),0.5),VLOOKUP('Rock Climbing Log'!G41,'RC Lookup'!$G$3:$H$5,2,FALSE)),0)*VLOOKUP(G$7,'RC Lookup'!$D$3:$E$18,2,FALSE)</f>
        <v>12.5</v>
      </c>
      <c r="H41" s="26">
        <f>_xlfn.IFNA(IF(LEFT('Rock Climbing Log'!H41)="C",_xlfn.IFNA(VLOOKUP('Rock Climbing Log'!H41,'RC Lookup'!$A$3:$B$9,2,FALSE),0.5),VLOOKUP('Rock Climbing Log'!H41,'RC Lookup'!$G$3:$H$5,2,FALSE)),0)*VLOOKUP(G$7,'RC Lookup'!$D$3:$E$18,2,FALSE)</f>
        <v>0</v>
      </c>
      <c r="I41" s="26">
        <f>_xlfn.IFNA(IF(LEFT('Rock Climbing Log'!I41)="C",_xlfn.IFNA(VLOOKUP('Rock Climbing Log'!I41,'RC Lookup'!$A$3:$B$9,2,FALSE),0.5),VLOOKUP('Rock Climbing Log'!I41,'RC Lookup'!$G$3:$H$5,2,FALSE)),0)*VLOOKUP(G$7,'RC Lookup'!$D$3:$E$18,2,FALSE)</f>
        <v>0</v>
      </c>
      <c r="J41" s="26">
        <f>_xlfn.IFNA(IF(LEFT('Rock Climbing Log'!J41)="C",_xlfn.IFNA(VLOOKUP('Rock Climbing Log'!J41,'RC Lookup'!$A$3:$B$9,2,FALSE),0.5),VLOOKUP('Rock Climbing Log'!J41,'RC Lookup'!$G$3:$H$5,2,FALSE)),0)*VLOOKUP(J$7,'RC Lookup'!$D$3:$E$18,2,FALSE)</f>
        <v>15.75</v>
      </c>
      <c r="K41" s="26">
        <f>_xlfn.IFNA(IF(LEFT('Rock Climbing Log'!K41)="C",_xlfn.IFNA(VLOOKUP('Rock Climbing Log'!K41,'RC Lookup'!$A$3:$B$9,2,FALSE),0.5),VLOOKUP('Rock Climbing Log'!K41,'RC Lookup'!$G$3:$H$5,2,FALSE)),0)*VLOOKUP(J$7,'RC Lookup'!$D$3:$E$18,2,FALSE)</f>
        <v>0</v>
      </c>
      <c r="L41" s="26">
        <f>_xlfn.IFNA(IF(LEFT('Rock Climbing Log'!L41)="C",_xlfn.IFNA(VLOOKUP('Rock Climbing Log'!L41,'RC Lookup'!$A$3:$B$9,2,FALSE),0.5),VLOOKUP('Rock Climbing Log'!L41,'RC Lookup'!$G$3:$H$5,2,FALSE)),0)*VLOOKUP(J$7,'RC Lookup'!$D$3:$E$18,2,FALSE)</f>
        <v>0</v>
      </c>
      <c r="M41" s="26">
        <f>_xlfn.IFNA(IF(LEFT('Rock Climbing Log'!M41)="C",_xlfn.IFNA(VLOOKUP('Rock Climbing Log'!M41,'RC Lookup'!$A$3:$B$9,2,FALSE),0.5),VLOOKUP('Rock Climbing Log'!M41,'RC Lookup'!$G$3:$H$5,2,FALSE)),0)*VLOOKUP(M$7,'RC Lookup'!$D$3:$E$18,2,FALSE)</f>
        <v>18.00225</v>
      </c>
      <c r="N41" s="26">
        <f>_xlfn.IFNA(IF(LEFT('Rock Climbing Log'!N41)="C",_xlfn.IFNA(VLOOKUP('Rock Climbing Log'!N41,'RC Lookup'!$A$3:$B$9,2,FALSE),0.5),VLOOKUP('Rock Climbing Log'!N41,'RC Lookup'!$G$3:$H$5,2,FALSE)),0)*VLOOKUP(M$7,'RC Lookup'!$D$3:$E$18,2,FALSE)</f>
        <v>0</v>
      </c>
      <c r="O41" s="26">
        <f>_xlfn.IFNA(IF(LEFT('Rock Climbing Log'!O41)="C",_xlfn.IFNA(VLOOKUP('Rock Climbing Log'!O41,'RC Lookup'!$A$3:$B$9,2,FALSE),0.5),VLOOKUP('Rock Climbing Log'!O41,'RC Lookup'!$G$3:$H$5,2,FALSE)),0)*VLOOKUP(M$7,'RC Lookup'!$D$3:$E$18,2,FALSE)</f>
        <v>0</v>
      </c>
      <c r="P41" s="26">
        <f>_xlfn.IFNA(IF(LEFT('Rock Climbing Log'!P41)="C",_xlfn.IFNA(VLOOKUP('Rock Climbing Log'!P41,'RC Lookup'!$A$3:$B$9,2,FALSE),0.5),VLOOKUP('Rock Climbing Log'!P41,'RC Lookup'!$G$3:$H$5,2,FALSE)),0)*VLOOKUP(P$7,'RC Lookup'!$D$3:$E$18,2,FALSE)</f>
        <v>0</v>
      </c>
      <c r="Q41" s="26">
        <f>_xlfn.IFNA(IF(LEFT('Rock Climbing Log'!Q41)="C",_xlfn.IFNA(VLOOKUP('Rock Climbing Log'!Q41,'RC Lookup'!$A$3:$B$9,2,FALSE),0.5),VLOOKUP('Rock Climbing Log'!Q41,'RC Lookup'!$G$3:$H$5,2,FALSE)),0)*VLOOKUP(P$7,'RC Lookup'!$D$3:$E$18,2,FALSE)</f>
        <v>0</v>
      </c>
      <c r="R41" s="26">
        <f>_xlfn.IFNA(IF(LEFT('Rock Climbing Log'!R41)="C",_xlfn.IFNA(VLOOKUP('Rock Climbing Log'!R41,'RC Lookup'!$A$3:$B$9,2,FALSE),0.5),VLOOKUP('Rock Climbing Log'!R41,'RC Lookup'!$G$3:$H$5,2,FALSE)),0)*VLOOKUP(P$7,'RC Lookup'!$D$3:$E$18,2,FALSE)</f>
        <v>0</v>
      </c>
      <c r="S41" s="26">
        <f>_xlfn.IFNA(IF(LEFT('Rock Climbing Log'!S41)="C",_xlfn.IFNA(VLOOKUP('Rock Climbing Log'!S41,'RC Lookup'!$A$3:$B$9,2,FALSE),0.5),VLOOKUP('Rock Climbing Log'!S41,'RC Lookup'!$G$3:$H$5,2,FALSE)),0)*VLOOKUP(S$7,'RC Lookup'!$D$3:$E$18,2,FALSE)</f>
        <v>0</v>
      </c>
      <c r="T41" s="26">
        <f>_xlfn.IFNA(IF(LEFT('Rock Climbing Log'!T41)="C",_xlfn.IFNA(VLOOKUP('Rock Climbing Log'!T41,'RC Lookup'!$A$3:$B$9,2,FALSE),0.5),VLOOKUP('Rock Climbing Log'!T41,'RC Lookup'!$G$3:$H$5,2,FALSE)),0)*VLOOKUP(S$7,'RC Lookup'!$D$3:$E$18,2,FALSE)</f>
        <v>0</v>
      </c>
      <c r="U41" s="26">
        <f>_xlfn.IFNA(IF(LEFT('Rock Climbing Log'!U41)="C",_xlfn.IFNA(VLOOKUP('Rock Climbing Log'!U41,'RC Lookup'!$A$3:$B$9,2,FALSE),0.5),VLOOKUP('Rock Climbing Log'!U41,'RC Lookup'!$G$3:$H$5,2,FALSE)),0)*VLOOKUP(S$7,'RC Lookup'!$D$3:$E$18,2,FALSE)</f>
        <v>0</v>
      </c>
      <c r="V41" s="26">
        <f>_xlfn.IFNA(IF(LEFT('Rock Climbing Log'!V41)="C",_xlfn.IFNA(VLOOKUP('Rock Climbing Log'!V41,'RC Lookup'!$A$3:$B$9,2,FALSE),0.5),VLOOKUP('Rock Climbing Log'!V41,'RC Lookup'!$G$3:$H$5,2,FALSE)),0)*VLOOKUP(V$7,'RC Lookup'!$D$3:$E$18,2,FALSE)</f>
        <v>23.131950881588658</v>
      </c>
      <c r="W41" s="26">
        <f>_xlfn.IFNA(IF(LEFT('Rock Climbing Log'!W41)="C",_xlfn.IFNA(VLOOKUP('Rock Climbing Log'!W41,'RC Lookup'!$A$3:$B$9,2,FALSE),0.5),VLOOKUP('Rock Climbing Log'!W41,'RC Lookup'!$G$3:$H$5,2,FALSE)),0)*VLOOKUP(V$7,'RC Lookup'!$D$3:$E$18,2,FALSE)</f>
        <v>0</v>
      </c>
      <c r="X41" s="26">
        <f>_xlfn.IFNA(IF(LEFT('Rock Climbing Log'!X41)="C",_xlfn.IFNA(VLOOKUP('Rock Climbing Log'!X41,'RC Lookup'!$A$3:$B$9,2,FALSE),0.5),VLOOKUP('Rock Climbing Log'!X41,'RC Lookup'!$G$3:$H$5,2,FALSE)),0)*VLOOKUP(V$7,'RC Lookup'!$D$3:$E$18,2,FALSE)</f>
        <v>0</v>
      </c>
      <c r="Y41" s="26">
        <f>_xlfn.IFNA(IF(LEFT('Rock Climbing Log'!Y41)="C",_xlfn.IFNA(VLOOKUP('Rock Climbing Log'!Y41,'RC Lookup'!$A$3:$B$9,2,FALSE),0.5),VLOOKUP('Rock Climbing Log'!Y41,'RC Lookup'!$G$3:$H$5,2,FALSE)),0)*VLOOKUP(Y$7,'RC Lookup'!$D$3:$E$18,2,FALSE)</f>
        <v>0</v>
      </c>
      <c r="Z41" s="26">
        <f>_xlfn.IFNA(IF(LEFT('Rock Climbing Log'!Z41)="C",_xlfn.IFNA(VLOOKUP('Rock Climbing Log'!Z41,'RC Lookup'!$A$3:$B$9,2,FALSE),0.5),VLOOKUP('Rock Climbing Log'!Z41,'RC Lookup'!$G$3:$H$5,2,FALSE)),0)*VLOOKUP(Y$7,'RC Lookup'!$D$3:$E$18,2,FALSE)</f>
        <v>0</v>
      </c>
      <c r="AA41" s="26">
        <f>_xlfn.IFNA(IF(LEFT('Rock Climbing Log'!AA41)="C",_xlfn.IFNA(VLOOKUP('Rock Climbing Log'!AA41,'RC Lookup'!$A$3:$B$9,2,FALSE),0.5),VLOOKUP('Rock Climbing Log'!AA41,'RC Lookup'!$G$3:$H$5,2,FALSE)),0)*VLOOKUP(Y$7,'RC Lookup'!$D$3:$E$18,2,FALSE)</f>
        <v>0</v>
      </c>
      <c r="AB41" s="26">
        <f>_xlfn.IFNA(IF(LEFT('Rock Climbing Log'!AB41)="C",_xlfn.IFNA(VLOOKUP('Rock Climbing Log'!AB41,'RC Lookup'!$A$3:$B$9,2,FALSE),0.5),VLOOKUP('Rock Climbing Log'!AB41,'RC Lookup'!$G$3:$H$5,2,FALSE)),0)*VLOOKUP(AB$7,'RC Lookup'!$D$3:$E$18,2,FALSE)</f>
        <v>0</v>
      </c>
      <c r="AC41" s="26">
        <f>_xlfn.IFNA(IF(LEFT('Rock Climbing Log'!AC41)="C",_xlfn.IFNA(VLOOKUP('Rock Climbing Log'!AC41,'RC Lookup'!$A$3:$B$9,2,FALSE),0.5),VLOOKUP('Rock Climbing Log'!AC41,'RC Lookup'!$G$3:$H$5,2,FALSE)),0)*VLOOKUP(AB$7,'RC Lookup'!$D$3:$E$18,2,FALSE)</f>
        <v>0</v>
      </c>
      <c r="AD41" s="26">
        <f>_xlfn.IFNA(IF(LEFT('Rock Climbing Log'!AD41)="C",_xlfn.IFNA(VLOOKUP('Rock Climbing Log'!AD41,'RC Lookup'!$A$3:$B$9,2,FALSE),0.5),VLOOKUP('Rock Climbing Log'!AD41,'RC Lookup'!$G$3:$H$5,2,FALSE)),0)*VLOOKUP(AB$7,'RC Lookup'!$D$3:$E$18,2,FALSE)</f>
        <v>0</v>
      </c>
      <c r="AE41" s="26">
        <f>_xlfn.IFNA(IF(LEFT('Rock Climbing Log'!AE41)="C",_xlfn.IFNA(VLOOKUP('Rock Climbing Log'!AE41,'RC Lookup'!$A$3:$B$9,2,FALSE),0.5),VLOOKUP('Rock Climbing Log'!AE41,'RC Lookup'!$G$3:$H$5,2,FALSE)),0)*VLOOKUP(AE$7,'RC Lookup'!$D$3:$E$18,2,FALSE)</f>
        <v>0</v>
      </c>
      <c r="AF41" s="26">
        <f>_xlfn.IFNA(IF(LEFT('Rock Climbing Log'!AF41)="C",_xlfn.IFNA(VLOOKUP('Rock Climbing Log'!AF41,'RC Lookup'!$A$3:$B$9,2,FALSE),0.5),VLOOKUP('Rock Climbing Log'!AF41,'RC Lookup'!$G$3:$H$5,2,FALSE)),0)*VLOOKUP(AE$7,'RC Lookup'!$D$3:$E$18,2,FALSE)</f>
        <v>0</v>
      </c>
      <c r="AG41" s="26">
        <f>_xlfn.IFNA(IF(LEFT('Rock Climbing Log'!AG41)="C",_xlfn.IFNA(VLOOKUP('Rock Climbing Log'!AG41,'RC Lookup'!$A$3:$B$9,2,FALSE),0.5),VLOOKUP('Rock Climbing Log'!AG41,'RC Lookup'!$G$3:$H$5,2,FALSE)),0)*VLOOKUP(AE$7,'RC Lookup'!$D$3:$E$18,2,FALSE)</f>
        <v>0</v>
      </c>
      <c r="AH41" s="26">
        <f>_xlfn.IFNA(IF(LEFT('Rock Climbing Log'!AH41)="C",_xlfn.IFNA(VLOOKUP('Rock Climbing Log'!AH41,'RC Lookup'!$A$3:$B$9,2,FALSE),0.5),VLOOKUP('Rock Climbing Log'!AH41,'RC Lookup'!$G$3:$H$5,2,FALSE)),0)*VLOOKUP(AH$7,'RC Lookup'!$D$3:$E$18,2,FALSE)</f>
        <v>0</v>
      </c>
      <c r="AI41" s="26">
        <f>_xlfn.IFNA(IF(LEFT('Rock Climbing Log'!AI41)="C",_xlfn.IFNA(VLOOKUP('Rock Climbing Log'!AI41,'RC Lookup'!$A$3:$B$9,2,FALSE),0.5),VLOOKUP('Rock Climbing Log'!AI41,'RC Lookup'!$G$3:$H$5,2,FALSE)),0)*VLOOKUP(AH$7,'RC Lookup'!$D$3:$E$18,2,FALSE)</f>
        <v>0</v>
      </c>
      <c r="AJ41" s="26">
        <f>_xlfn.IFNA(IF(LEFT('Rock Climbing Log'!AJ41)="C",_xlfn.IFNA(VLOOKUP('Rock Climbing Log'!AJ41,'RC Lookup'!$A$3:$B$9,2,FALSE),0.5),VLOOKUP('Rock Climbing Log'!AJ41,'RC Lookup'!$G$3:$H$5,2,FALSE)),0)*VLOOKUP(AH$7,'RC Lookup'!$D$3:$E$18,2,FALSE)</f>
        <v>0</v>
      </c>
      <c r="AK41" s="26">
        <f>_xlfn.IFNA(IF(LEFT('Rock Climbing Log'!AK41)="C",_xlfn.IFNA(VLOOKUP('Rock Climbing Log'!AK41,'RC Lookup'!$A$3:$B$9,2,FALSE),0.5),VLOOKUP('Rock Climbing Log'!AK41,'RC Lookup'!$G$3:$H$5,2,FALSE)),0)*VLOOKUP(AK$7,'RC Lookup'!$D$3:$E$18,2,FALSE)</f>
        <v>0</v>
      </c>
      <c r="AL41" s="26">
        <f>_xlfn.IFNA(IF(LEFT('Rock Climbing Log'!AL41)="C",_xlfn.IFNA(VLOOKUP('Rock Climbing Log'!AL41,'RC Lookup'!$A$3:$B$9,2,FALSE),0.5),VLOOKUP('Rock Climbing Log'!AL41,'RC Lookup'!$G$3:$H$5,2,FALSE)),0)*VLOOKUP(AK$7,'RC Lookup'!$D$3:$E$18,2,FALSE)</f>
        <v>0</v>
      </c>
      <c r="AM41" s="26">
        <f>_xlfn.IFNA(IF(LEFT('Rock Climbing Log'!AM41)="C",_xlfn.IFNA(VLOOKUP('Rock Climbing Log'!AM41,'RC Lookup'!$A$3:$B$9,2,FALSE),0.5),VLOOKUP('Rock Climbing Log'!AM41,'RC Lookup'!$G$3:$H$5,2,FALSE)),0)*VLOOKUP(AK$7,'RC Lookup'!$D$3:$E$18,2,FALSE)</f>
        <v>0</v>
      </c>
      <c r="AN41" s="26">
        <f>_xlfn.IFNA(IF(LEFT('Rock Climbing Log'!AN41)="C",_xlfn.IFNA(VLOOKUP('Rock Climbing Log'!AN41,'RC Lookup'!$A$3:$B$9,2,FALSE),0.5),VLOOKUP('Rock Climbing Log'!AN41,'RC Lookup'!$G$3:$H$5,2,FALSE)),0)*VLOOKUP(AN$7,'RC Lookup'!$D$3:$E$18,2,FALSE)</f>
        <v>0</v>
      </c>
      <c r="AO41" s="26">
        <f>_xlfn.IFNA(IF(LEFT('Rock Climbing Log'!AO41)="C",_xlfn.IFNA(VLOOKUP('Rock Climbing Log'!AO41,'RC Lookup'!$A$3:$B$9,2,FALSE),0.5),VLOOKUP('Rock Climbing Log'!AO41,'RC Lookup'!$G$3:$H$5,2,FALSE)),0)*VLOOKUP(AN$7,'RC Lookup'!$D$3:$E$18,2,FALSE)</f>
        <v>0</v>
      </c>
      <c r="AP41" s="26">
        <f>_xlfn.IFNA(IF(LEFT('Rock Climbing Log'!AP41)="C",_xlfn.IFNA(VLOOKUP('Rock Climbing Log'!AP41,'RC Lookup'!$A$3:$B$9,2,FALSE),0.5),VLOOKUP('Rock Climbing Log'!AP41,'RC Lookup'!$G$3:$H$5,2,FALSE)),0)*VLOOKUP(AN$7,'RC Lookup'!$D$3:$E$18,2,FALSE)</f>
        <v>0</v>
      </c>
      <c r="AQ41" s="26">
        <f>_xlfn.IFNA(IF(LEFT('Rock Climbing Log'!AQ41)="C",_xlfn.IFNA(VLOOKUP('Rock Climbing Log'!AQ41,'RC Lookup'!$A$3:$B$9,2,FALSE),0.5),VLOOKUP('Rock Climbing Log'!AQ41,'RC Lookup'!$G$3:$H$5,2,FALSE)),0)*VLOOKUP(AQ$7,'RC Lookup'!$D$3:$E$18,2,FALSE)</f>
        <v>0</v>
      </c>
      <c r="AR41" s="26">
        <f>_xlfn.IFNA(IF(LEFT('Rock Climbing Log'!AR41)="C",_xlfn.IFNA(VLOOKUP('Rock Climbing Log'!AR41,'RC Lookup'!$A$3:$B$9,2,FALSE),0.5),VLOOKUP('Rock Climbing Log'!AR41,'RC Lookup'!$G$3:$H$5,2,FALSE)),0)*VLOOKUP(AQ$7,'RC Lookup'!$D$3:$E$18,2,FALSE)</f>
        <v>0</v>
      </c>
      <c r="AS41" s="26">
        <f>_xlfn.IFNA(IF(LEFT('Rock Climbing Log'!AS41)="C",_xlfn.IFNA(VLOOKUP('Rock Climbing Log'!AS41,'RC Lookup'!$A$3:$B$9,2,FALSE),0.5),VLOOKUP('Rock Climbing Log'!AS41,'RC Lookup'!$G$3:$H$5,2,FALSE)),0)*VLOOKUP(AQ$7,'RC Lookup'!$D$3:$E$18,2,FALSE)</f>
        <v>0</v>
      </c>
      <c r="AT41" s="26">
        <f>_xlfn.IFNA(IF(LEFT('Rock Climbing Log'!AT41)="C",_xlfn.IFNA(VLOOKUP('Rock Climbing Log'!AT41,'RC Lookup'!$A$3:$B$9,2,FALSE),0.5),VLOOKUP('Rock Climbing Log'!AT41,'RC Lookup'!$G$3:$H$5,2,FALSE)),0)*VLOOKUP(AT$7,'RC Lookup'!$D$3:$E$18,2,FALSE)</f>
        <v>0</v>
      </c>
      <c r="AU41" s="26">
        <f>_xlfn.IFNA(IF(LEFT('Rock Climbing Log'!AU41)="C",_xlfn.IFNA(VLOOKUP('Rock Climbing Log'!AU41,'RC Lookup'!$A$3:$B$9,2,FALSE),0.5),VLOOKUP('Rock Climbing Log'!AU41,'RC Lookup'!$G$3:$H$5,2,FALSE)),0)*VLOOKUP(AT$7,'RC Lookup'!$D$3:$E$18,2,FALSE)</f>
        <v>0</v>
      </c>
      <c r="AV41" s="26">
        <f>_xlfn.IFNA(IF(LEFT('Rock Climbing Log'!AV41)="C",_xlfn.IFNA(VLOOKUP('Rock Climbing Log'!AV41,'RC Lookup'!$A$3:$B$9,2,FALSE),0.5),VLOOKUP('Rock Climbing Log'!AV41,'RC Lookup'!$G$3:$H$5,2,FALSE)),0)*VLOOKUP(AT$7,'RC Lookup'!$D$3:$E$18,2,FALSE)</f>
        <v>0</v>
      </c>
      <c r="AW41" s="30">
        <f t="shared" ca="1" si="2"/>
        <v>56.884200881588654</v>
      </c>
      <c r="AX41" s="30">
        <f ca="1">_xlfn.IFNA(VLOOKUP(SUMPRODUCT(LARGE(($C$8:$C41=Table1[[#This Row],[Climber]])*$A$8:$A41,1)),$A$8:$AW41,MATCH($AW$7,$A$7:$AW$7,FALSE),FALSE),0)/LEFT($AX$7,FIND(" ",$AX$7))+_xlfn.IFNA(VLOOKUP(SUMPRODUCT(LARGE(($C$8:$C41=Table1[[#This Row],[Climber]])*$A$8:$A41,MIN(2,COUNTIFS($C$8:$C41,$C41)))),$A$8:$AW41,MATCH($AW$7,$A$7:$AW$7,FALSE),FALSE),0)/LEFT($AX$7,FIND(" ",$AX$7))+_xlfn.IFNA(VLOOKUP(SUMPRODUCT(LARGE(($C$8:$C41=Table1[[#This Row],[Climber]])*$A$8:$A41,MIN(3,COUNTIFS($C$8:$C41,$C41)))),$A$8:$AW41,MATCH($AW$7,$A$7:$AW$7,FALSE),FALSE),0)/LEFT($AX$7,FIND(" ",$AX$7))</f>
        <v>51.466898874662895</v>
      </c>
      <c r="AY41" s="30">
        <f ca="1">_xlfn.IFNA(VLOOKUP(SUMPRODUCT(LARGE(($C$8:$C41=Table1[[#This Row],[Climber]])*$A$8:$A41,1)),$A$8:$AW41,MATCH($AW$7,$A$7:$AW$7,FALSE),FALSE),0)/LEFT($AY$7,FIND(" ",$AY$7))+_xlfn.IFNA(VLOOKUP(SUMPRODUCT(LARGE(($C$8:$C41=Table1[[#This Row],[Climber]])*$A$8:$A41,MIN(2,COUNTIFS($C$8:$C41,$C41)))),$A$8:$AW41,MATCH($AW$7,$A$7:$AW$7,FALSE),FALSE),0)/LEFT($AY$7,FIND(" ",$AY$7))+_xlfn.IFNA(VLOOKUP(SUMPRODUCT(LARGE(($C$8:$C41=Table1[[#This Row],[Climber]])*$A$8:$A41,MIN(3,COUNTIFS($C$8:$C41,$C41)))),$A$8:$AW41,MATCH($AW$7,$A$7:$AW$7,FALSE),FALSE),0)/LEFT($AY$7,FIND(" ",$AY$7))+_xlfn.IFNA(VLOOKUP(SUMPRODUCT(LARGE(($C$8:$C41=Table1[[#This Row],[Climber]])*$A$8:$A41,MIN(4,COUNTIFS($C$8:$C41,$C41)))),$A$8:$AW41,MATCH($AW$7,$A$7:$AW$7,FALSE),FALSE),0)/LEFT($AY$7,FIND(" ",$AY$7))+_xlfn.IFNA(VLOOKUP(SUMPRODUCT(LARGE(($C$8:$C41=Table1[[#This Row],[Climber]])*$A$8:$A41,MIN(5,COUNTIFS($C$8:$C41,$C41)))),$A$8:$AW41,MATCH($AW$7,$A$7:$AW$7,FALSE),FALSE),0)/LEFT($AY$7,FIND(" ",$AY$7))</f>
        <v>45.880139324797739</v>
      </c>
      <c r="AZ41" s="30">
        <f ca="1">(_xlfn.IFNA(VLOOKUP(SUMPRODUCT(LARGE(($C$8:$C41=Table1[[#This Row],[Climber]])*$A$8:$A41,4)),$A$8:$AW41,MATCH($AW$7,$A$7:$AW$7,FALSE),FALSE),0)+_xlfn.IFNA(VLOOKUP(SUMPRODUCT(LARGE(($C$8:$C41=Table1[[#This Row],[Climber]])*$A$8:$A41,5)),$A$8:$AW41,MATCH($AW$7,$A$7:$AW$7,FALSE),FALSE),0)+_xlfn.IFNA(VLOOKUP(SUMPRODUCT(LARGE(($C$8:$C41=Table1[[#This Row],[Climber]])*$A$8:$A41,6)),$A$8:$AW41,MATCH($AW$7,$A$7:$AW$7,FALSE),FALSE),0))/3</f>
        <v>12.5</v>
      </c>
      <c r="BA41" s="6">
        <f ca="1">_xlfn.MAXIFS(INDIRECT("$AW"&amp;IF(SUMPRODUCT(LARGE(($C$8:$C41=$C41)*$A$8:$A41,LEFT($BA$7,FIND(" ",$BA$7)-1)))=0,8,SUMPRODUCT(LARGE(($C$8:$C41=$C41)*$A$8:$A41,LEFT($BA$7,FIND(" ",$BA$7)-1)))+7)&amp;":$AW"&amp;ROW()),INDIRECT("$C"&amp;IF(SUMPRODUCT(LARGE(($C$8:$C41=$C41)*$A$8:$A41,LEFT($BA$7,FIND(" ",$BA$7)-1)))=0,8,SUMPRODUCT(LARGE(($C$8:$C41=$C41)*$A$8:$A41,LEFT($BA$7,FIND(" ",$BA$7)-1)))+7)&amp;":$C"&amp;ROW()),$C41)</f>
        <v>56.884200881588654</v>
      </c>
      <c r="BB41" s="6" t="str">
        <f ca="1">VLOOKUP(MAX(BG41,$AX41),'RC Lookup'!$G$14:$J$20,2,TRUE)</f>
        <v>T1</v>
      </c>
      <c r="BC41" s="6">
        <f ca="1">_xlfn.IFNA(VLOOKUP(VLOOKUP($C41,'RC Lookup'!$O$3:$P$50,2,FALSE),'RC Lookup'!$H$14:$J$23,2,FALSE),0)*AW41</f>
        <v>65.612715726888311</v>
      </c>
      <c r="BD41" s="6">
        <f ca="1">_xlfn.IFNA(VLOOKUP(SUMPRODUCT(LARGE(($C$8:$C41=Table1[[#This Row],[Climber]])*$A$8:$A41,1)),$A$8:$BC41,55,FALSE),0)/LEFT($AX$7,FIND(" ",$AX$7))+_xlfn.IFNA(VLOOKUP(SUMPRODUCT(LARGE(($C$8:$C41=Table1[[#This Row],[Climber]])*$A$8:$A41,MIN(2,COUNTIFS($C$8:$C41,$C41)))),$A$8:$BC41,55,FALSE),0)/LEFT($AX$7,FIND(" ",$AX$7))+_xlfn.IFNA(VLOOKUP(SUMPRODUCT(LARGE(($C$8:$C41=Table1[[#This Row],[Climber]])*$A$8:$A41,MIN(3,COUNTIFS($C$8:$C41,$C41)))),$A$8:$BC41,55,FALSE),0)/LEFT($AX$7,FIND(" ",$AX$7))</f>
        <v>59.364163561639103</v>
      </c>
      <c r="BE41" s="6">
        <f ca="1">(_xlfn.IFNA(VLOOKUP(SUMPRODUCT(LARGE(($C$8:$C41=Table1[[#This Row],[Climber]])*$A$8:$A41,4)),$A$8:$BD41,55,FALSE),0)+_xlfn.IFNA(VLOOKUP(SUMPRODUCT(LARGE(($C$8:$C41=Table1[[#This Row],[Climber]])*$A$8:$A41,5)),$A$8:$BD41,55,FALSE),0)+_xlfn.IFNA(VLOOKUP(SUMPRODUCT(LARGE(($C$8:$C41=Table1[[#This Row],[Climber]])*$A$8:$A41,6)),$A$8:$BD41,55,FALSE),0))/3</f>
        <v>14.418044621798659</v>
      </c>
      <c r="BF41" s="46">
        <f ca="1">_xlfn.MAXIFS(INDIRECT("$BC"&amp;IF(SUMPRODUCT(LARGE(($C$8:$C41=$C41)*$A$8:$A41,LEFT($BA$7,FIND(" ",$BA$7)-1)))=0,8,SUMPRODUCT(LARGE(($C$8:$C41=$C41)*$A$8:$A41,LEFT($BA$7,FIND(" ",$BA$7)-1)))+7)&amp;":$BC"&amp;ROW()),INDIRECT("$C"&amp;IF(SUMPRODUCT(LARGE(($C$8:$C41=$C41)*$A$8:$A41,LEFT($BA$7,FIND(" ",$BA$7)-1)))=0,8,SUMPRODUCT(LARGE(($C$8:$C41=$C41)*$A$8:$A41,LEFT($BA$7,FIND(" ",$BA$7)-1)))+7)&amp;":$C"&amp;ROW()),$C41)</f>
        <v>65.612715726888311</v>
      </c>
      <c r="BG41" s="46">
        <f t="array" aca="1" ref="BG41" ca="1">IFERROR(SUMPRODUCT(LARGE(($C$8:$C41=Table1[[#This Row],[Climber]])*$AW$8:$AW41,ROW(INDIRECT("1:5")))),AW41)/MIN(COUNTIFS($C$8:$C41,C41),5)</f>
        <v>47.975174155997166</v>
      </c>
      <c r="BH41" s="46"/>
    </row>
    <row r="42" spans="1:60" x14ac:dyDescent="0.3">
      <c r="A42" s="125">
        <f t="shared" si="1"/>
        <v>35</v>
      </c>
      <c r="B42" s="25">
        <f>'Rock Climbing Log'!B42</f>
        <v>43137</v>
      </c>
      <c r="C42" s="126" t="str">
        <f>'Rock Climbing Log'!C42</f>
        <v>Sameena</v>
      </c>
      <c r="D42" s="26">
        <f>_xlfn.IFNA(IF(LEFT('Rock Climbing Log'!D42)="C",_xlfn.IFNA(VLOOKUP('Rock Climbing Log'!D42,'RC Lookup'!$A$3:$B$9,2,FALSE),0.5),VLOOKUP('Rock Climbing Log'!D42,'RC Lookup'!$G$3:$H$5,2,FALSE)),0)*VLOOKUP(D$7,'RC Lookup'!$D$3:$E$18,2,FALSE)</f>
        <v>0</v>
      </c>
      <c r="E42" s="26">
        <f>_xlfn.IFNA(IF(LEFT('Rock Climbing Log'!E42)="C",_xlfn.IFNA(VLOOKUP('Rock Climbing Log'!E42,'RC Lookup'!$A$3:$B$9,2,FALSE),0.5),VLOOKUP('Rock Climbing Log'!E42,'RC Lookup'!$G$3:$H$5,2,FALSE)),0)*VLOOKUP(D$7,'RC Lookup'!$D$3:$E$18,2,FALSE)</f>
        <v>0</v>
      </c>
      <c r="F42" s="26">
        <f>_xlfn.IFNA(IF(LEFT('Rock Climbing Log'!F42)="C",_xlfn.IFNA(VLOOKUP('Rock Climbing Log'!F42,'RC Lookup'!$A$3:$B$9,2,FALSE),0.5),VLOOKUP('Rock Climbing Log'!F42,'RC Lookup'!$G$3:$H$5,2,FALSE)),0)*VLOOKUP(D$7,'RC Lookup'!$D$3:$E$18,2,FALSE)</f>
        <v>0</v>
      </c>
      <c r="G42" s="26">
        <f>_xlfn.IFNA(IF(LEFT('Rock Climbing Log'!G42)="C",_xlfn.IFNA(VLOOKUP('Rock Climbing Log'!G42,'RC Lookup'!$A$3:$B$9,2,FALSE),0.5),VLOOKUP('Rock Climbing Log'!G42,'RC Lookup'!$G$3:$H$5,2,FALSE)),0)*VLOOKUP(G$7,'RC Lookup'!$D$3:$E$18,2,FALSE)</f>
        <v>0</v>
      </c>
      <c r="H42" s="26">
        <f>_xlfn.IFNA(IF(LEFT('Rock Climbing Log'!H42)="C",_xlfn.IFNA(VLOOKUP('Rock Climbing Log'!H42,'RC Lookup'!$A$3:$B$9,2,FALSE),0.5),VLOOKUP('Rock Climbing Log'!H42,'RC Lookup'!$G$3:$H$5,2,FALSE)),0)*VLOOKUP(G$7,'RC Lookup'!$D$3:$E$18,2,FALSE)</f>
        <v>0</v>
      </c>
      <c r="I42" s="26">
        <f>_xlfn.IFNA(IF(LEFT('Rock Climbing Log'!I42)="C",_xlfn.IFNA(VLOOKUP('Rock Climbing Log'!I42,'RC Lookup'!$A$3:$B$9,2,FALSE),0.5),VLOOKUP('Rock Climbing Log'!I42,'RC Lookup'!$G$3:$H$5,2,FALSE)),0)*VLOOKUP(G$7,'RC Lookup'!$D$3:$E$18,2,FALSE)</f>
        <v>0</v>
      </c>
      <c r="J42" s="26">
        <f>_xlfn.IFNA(IF(LEFT('Rock Climbing Log'!J42)="C",_xlfn.IFNA(VLOOKUP('Rock Climbing Log'!J42,'RC Lookup'!$A$3:$B$9,2,FALSE),0.5),VLOOKUP('Rock Climbing Log'!J42,'RC Lookup'!$G$3:$H$5,2,FALSE)),0)*VLOOKUP(J$7,'RC Lookup'!$D$3:$E$18,2,FALSE)</f>
        <v>0</v>
      </c>
      <c r="K42" s="26">
        <f>_xlfn.IFNA(IF(LEFT('Rock Climbing Log'!K42)="C",_xlfn.IFNA(VLOOKUP('Rock Climbing Log'!K42,'RC Lookup'!$A$3:$B$9,2,FALSE),0.5),VLOOKUP('Rock Climbing Log'!K42,'RC Lookup'!$G$3:$H$5,2,FALSE)),0)*VLOOKUP(J$7,'RC Lookup'!$D$3:$E$18,2,FALSE)</f>
        <v>0</v>
      </c>
      <c r="L42" s="26">
        <f>_xlfn.IFNA(IF(LEFT('Rock Climbing Log'!L42)="C",_xlfn.IFNA(VLOOKUP('Rock Climbing Log'!L42,'RC Lookup'!$A$3:$B$9,2,FALSE),0.5),VLOOKUP('Rock Climbing Log'!L42,'RC Lookup'!$G$3:$H$5,2,FALSE)),0)*VLOOKUP(J$7,'RC Lookup'!$D$3:$E$18,2,FALSE)</f>
        <v>0</v>
      </c>
      <c r="M42" s="26">
        <f>_xlfn.IFNA(IF(LEFT('Rock Climbing Log'!M42)="C",_xlfn.IFNA(VLOOKUP('Rock Climbing Log'!M42,'RC Lookup'!$A$3:$B$9,2,FALSE),0.5),VLOOKUP('Rock Climbing Log'!M42,'RC Lookup'!$G$3:$H$5,2,FALSE)),0)*VLOOKUP(M$7,'RC Lookup'!$D$3:$E$18,2,FALSE)</f>
        <v>0</v>
      </c>
      <c r="N42" s="26">
        <f>_xlfn.IFNA(IF(LEFT('Rock Climbing Log'!N42)="C",_xlfn.IFNA(VLOOKUP('Rock Climbing Log'!N42,'RC Lookup'!$A$3:$B$9,2,FALSE),0.5),VLOOKUP('Rock Climbing Log'!N42,'RC Lookup'!$G$3:$H$5,2,FALSE)),0)*VLOOKUP(M$7,'RC Lookup'!$D$3:$E$18,2,FALSE)</f>
        <v>0</v>
      </c>
      <c r="O42" s="26">
        <f>_xlfn.IFNA(IF(LEFT('Rock Climbing Log'!O42)="C",_xlfn.IFNA(VLOOKUP('Rock Climbing Log'!O42,'RC Lookup'!$A$3:$B$9,2,FALSE),0.5),VLOOKUP('Rock Climbing Log'!O42,'RC Lookup'!$G$3:$H$5,2,FALSE)),0)*VLOOKUP(M$7,'RC Lookup'!$D$3:$E$18,2,FALSE)</f>
        <v>0</v>
      </c>
      <c r="P42" s="26">
        <f>_xlfn.IFNA(IF(LEFT('Rock Climbing Log'!P42)="C",_xlfn.IFNA(VLOOKUP('Rock Climbing Log'!P42,'RC Lookup'!$A$3:$B$9,2,FALSE),0.5),VLOOKUP('Rock Climbing Log'!P42,'RC Lookup'!$G$3:$H$5,2,FALSE)),0)*VLOOKUP(P$7,'RC Lookup'!$D$3:$E$18,2,FALSE)</f>
        <v>0</v>
      </c>
      <c r="Q42" s="26">
        <f>_xlfn.IFNA(IF(LEFT('Rock Climbing Log'!Q42)="C",_xlfn.IFNA(VLOOKUP('Rock Climbing Log'!Q42,'RC Lookup'!$A$3:$B$9,2,FALSE),0.5),VLOOKUP('Rock Climbing Log'!Q42,'RC Lookup'!$G$3:$H$5,2,FALSE)),0)*VLOOKUP(P$7,'RC Lookup'!$D$3:$E$18,2,FALSE)</f>
        <v>0</v>
      </c>
      <c r="R42" s="26">
        <f>_xlfn.IFNA(IF(LEFT('Rock Climbing Log'!R42)="C",_xlfn.IFNA(VLOOKUP('Rock Climbing Log'!R42,'RC Lookup'!$A$3:$B$9,2,FALSE),0.5),VLOOKUP('Rock Climbing Log'!R42,'RC Lookup'!$G$3:$H$5,2,FALSE)),0)*VLOOKUP(P$7,'RC Lookup'!$D$3:$E$18,2,FALSE)</f>
        <v>0</v>
      </c>
      <c r="S42" s="26">
        <f>_xlfn.IFNA(IF(LEFT('Rock Climbing Log'!S42)="C",_xlfn.IFNA(VLOOKUP('Rock Climbing Log'!S42,'RC Lookup'!$A$3:$B$9,2,FALSE),0.5),VLOOKUP('Rock Climbing Log'!S42,'RC Lookup'!$G$3:$H$5,2,FALSE)),0)*VLOOKUP(S$7,'RC Lookup'!$D$3:$E$18,2,FALSE)</f>
        <v>0</v>
      </c>
      <c r="T42" s="26">
        <f>_xlfn.IFNA(IF(LEFT('Rock Climbing Log'!T42)="C",_xlfn.IFNA(VLOOKUP('Rock Climbing Log'!T42,'RC Lookup'!$A$3:$B$9,2,FALSE),0.5),VLOOKUP('Rock Climbing Log'!T42,'RC Lookup'!$G$3:$H$5,2,FALSE)),0)*VLOOKUP(S$7,'RC Lookup'!$D$3:$E$18,2,FALSE)</f>
        <v>0</v>
      </c>
      <c r="U42" s="26">
        <f>_xlfn.IFNA(IF(LEFT('Rock Climbing Log'!U42)="C",_xlfn.IFNA(VLOOKUP('Rock Climbing Log'!U42,'RC Lookup'!$A$3:$B$9,2,FALSE),0.5),VLOOKUP('Rock Climbing Log'!U42,'RC Lookup'!$G$3:$H$5,2,FALSE)),0)*VLOOKUP(S$7,'RC Lookup'!$D$3:$E$18,2,FALSE)</f>
        <v>0</v>
      </c>
      <c r="V42" s="26">
        <f>_xlfn.IFNA(IF(LEFT('Rock Climbing Log'!V42)="C",_xlfn.IFNA(VLOOKUP('Rock Climbing Log'!V42,'RC Lookup'!$A$3:$B$9,2,FALSE),0.5),VLOOKUP('Rock Climbing Log'!V42,'RC Lookup'!$G$3:$H$5,2,FALSE)),0)*VLOOKUP(V$7,'RC Lookup'!$D$3:$E$18,2,FALSE)</f>
        <v>35.256745742400021</v>
      </c>
      <c r="W42" s="26">
        <f>_xlfn.IFNA(IF(LEFT('Rock Climbing Log'!W42)="C",_xlfn.IFNA(VLOOKUP('Rock Climbing Log'!W42,'RC Lookup'!$A$3:$B$9,2,FALSE),0.5),VLOOKUP('Rock Climbing Log'!W42,'RC Lookup'!$G$3:$H$5,2,FALSE)),0)*VLOOKUP(V$7,'RC Lookup'!$D$3:$E$18,2,FALSE)</f>
        <v>35.256745742400021</v>
      </c>
      <c r="X42" s="26">
        <f>_xlfn.IFNA(IF(LEFT('Rock Climbing Log'!X42)="C",_xlfn.IFNA(VLOOKUP('Rock Climbing Log'!X42,'RC Lookup'!$A$3:$B$9,2,FALSE),0.5),VLOOKUP('Rock Climbing Log'!X42,'RC Lookup'!$G$3:$H$5,2,FALSE)),0)*VLOOKUP(V$7,'RC Lookup'!$D$3:$E$18,2,FALSE)</f>
        <v>0</v>
      </c>
      <c r="Y42" s="26">
        <f>_xlfn.IFNA(IF(LEFT('Rock Climbing Log'!Y42)="C",_xlfn.IFNA(VLOOKUP('Rock Climbing Log'!Y42,'RC Lookup'!$A$3:$B$9,2,FALSE),0.5),VLOOKUP('Rock Climbing Log'!Y42,'RC Lookup'!$G$3:$H$5,2,FALSE)),0)*VLOOKUP(Y$7,'RC Lookup'!$D$3:$E$18,2,FALSE)</f>
        <v>0</v>
      </c>
      <c r="Z42" s="26">
        <f>_xlfn.IFNA(IF(LEFT('Rock Climbing Log'!Z42)="C",_xlfn.IFNA(VLOOKUP('Rock Climbing Log'!Z42,'RC Lookup'!$A$3:$B$9,2,FALSE),0.5),VLOOKUP('Rock Climbing Log'!Z42,'RC Lookup'!$G$3:$H$5,2,FALSE)),0)*VLOOKUP(Y$7,'RC Lookup'!$D$3:$E$18,2,FALSE)</f>
        <v>0</v>
      </c>
      <c r="AA42" s="26">
        <f>_xlfn.IFNA(IF(LEFT('Rock Climbing Log'!AA42)="C",_xlfn.IFNA(VLOOKUP('Rock Climbing Log'!AA42,'RC Lookup'!$A$3:$B$9,2,FALSE),0.5),VLOOKUP('Rock Climbing Log'!AA42,'RC Lookup'!$G$3:$H$5,2,FALSE)),0)*VLOOKUP(Y$7,'RC Lookup'!$D$3:$E$18,2,FALSE)</f>
        <v>0</v>
      </c>
      <c r="AB42" s="26">
        <f>_xlfn.IFNA(IF(LEFT('Rock Climbing Log'!AB42)="C",_xlfn.IFNA(VLOOKUP('Rock Climbing Log'!AB42,'RC Lookup'!$A$3:$B$9,2,FALSE),0.5),VLOOKUP('Rock Climbing Log'!AB42,'RC Lookup'!$G$3:$H$5,2,FALSE)),0)*VLOOKUP(AB$7,'RC Lookup'!$D$3:$E$18,2,FALSE)</f>
        <v>0</v>
      </c>
      <c r="AC42" s="26">
        <f>_xlfn.IFNA(IF(LEFT('Rock Climbing Log'!AC42)="C",_xlfn.IFNA(VLOOKUP('Rock Climbing Log'!AC42,'RC Lookup'!$A$3:$B$9,2,FALSE),0.5),VLOOKUP('Rock Climbing Log'!AC42,'RC Lookup'!$G$3:$H$5,2,FALSE)),0)*VLOOKUP(AB$7,'RC Lookup'!$D$3:$E$18,2,FALSE)</f>
        <v>0</v>
      </c>
      <c r="AD42" s="26">
        <f>_xlfn.IFNA(IF(LEFT('Rock Climbing Log'!AD42)="C",_xlfn.IFNA(VLOOKUP('Rock Climbing Log'!AD42,'RC Lookup'!$A$3:$B$9,2,FALSE),0.5),VLOOKUP('Rock Climbing Log'!AD42,'RC Lookup'!$G$3:$H$5,2,FALSE)),0)*VLOOKUP(AB$7,'RC Lookup'!$D$3:$E$18,2,FALSE)</f>
        <v>0</v>
      </c>
      <c r="AE42" s="26">
        <f>_xlfn.IFNA(IF(LEFT('Rock Climbing Log'!AE42)="C",_xlfn.IFNA(VLOOKUP('Rock Climbing Log'!AE42,'RC Lookup'!$A$3:$B$9,2,FALSE),0.5),VLOOKUP('Rock Climbing Log'!AE42,'RC Lookup'!$G$3:$H$5,2,FALSE)),0)*VLOOKUP(AE$7,'RC Lookup'!$D$3:$E$18,2,FALSE)</f>
        <v>67.867671846932893</v>
      </c>
      <c r="AF42" s="26">
        <f>_xlfn.IFNA(IF(LEFT('Rock Climbing Log'!AF42)="C",_xlfn.IFNA(VLOOKUP('Rock Climbing Log'!AF42,'RC Lookup'!$A$3:$B$9,2,FALSE),0.5),VLOOKUP('Rock Climbing Log'!AF42,'RC Lookup'!$G$3:$H$5,2,FALSE)),0)*VLOOKUP(AE$7,'RC Lookup'!$D$3:$E$18,2,FALSE)</f>
        <v>0</v>
      </c>
      <c r="AG42" s="26">
        <f>_xlfn.IFNA(IF(LEFT('Rock Climbing Log'!AG42)="C",_xlfn.IFNA(VLOOKUP('Rock Climbing Log'!AG42,'RC Lookup'!$A$3:$B$9,2,FALSE),0.5),VLOOKUP('Rock Climbing Log'!AG42,'RC Lookup'!$G$3:$H$5,2,FALSE)),0)*VLOOKUP(AE$7,'RC Lookup'!$D$3:$E$18,2,FALSE)</f>
        <v>0</v>
      </c>
      <c r="AH42" s="26">
        <f>_xlfn.IFNA(IF(LEFT('Rock Climbing Log'!AH42)="C",_xlfn.IFNA(VLOOKUP('Rock Climbing Log'!AH42,'RC Lookup'!$A$3:$B$9,2,FALSE),0.5),VLOOKUP('Rock Climbing Log'!AH42,'RC Lookup'!$G$3:$H$5,2,FALSE)),0)*VLOOKUP(AH$7,'RC Lookup'!$D$3:$E$18,2,FALSE)</f>
        <v>0</v>
      </c>
      <c r="AI42" s="26">
        <f>_xlfn.IFNA(IF(LEFT('Rock Climbing Log'!AI42)="C",_xlfn.IFNA(VLOOKUP('Rock Climbing Log'!AI42,'RC Lookup'!$A$3:$B$9,2,FALSE),0.5),VLOOKUP('Rock Climbing Log'!AI42,'RC Lookup'!$G$3:$H$5,2,FALSE)),0)*VLOOKUP(AH$7,'RC Lookup'!$D$3:$E$18,2,FALSE)</f>
        <v>0</v>
      </c>
      <c r="AJ42" s="26">
        <f>_xlfn.IFNA(IF(LEFT('Rock Climbing Log'!AJ42)="C",_xlfn.IFNA(VLOOKUP('Rock Climbing Log'!AJ42,'RC Lookup'!$A$3:$B$9,2,FALSE),0.5),VLOOKUP('Rock Climbing Log'!AJ42,'RC Lookup'!$G$3:$H$5,2,FALSE)),0)*VLOOKUP(AH$7,'RC Lookup'!$D$3:$E$18,2,FALSE)</f>
        <v>0</v>
      </c>
      <c r="AK42" s="26">
        <f>_xlfn.IFNA(IF(LEFT('Rock Climbing Log'!AK42)="C",_xlfn.IFNA(VLOOKUP('Rock Climbing Log'!AK42,'RC Lookup'!$A$3:$B$9,2,FALSE),0.5),VLOOKUP('Rock Climbing Log'!AK42,'RC Lookup'!$G$3:$H$5,2,FALSE)),0)*VLOOKUP(AK$7,'RC Lookup'!$D$3:$E$18,2,FALSE)</f>
        <v>0</v>
      </c>
      <c r="AL42" s="26">
        <f>_xlfn.IFNA(IF(LEFT('Rock Climbing Log'!AL42)="C",_xlfn.IFNA(VLOOKUP('Rock Climbing Log'!AL42,'RC Lookup'!$A$3:$B$9,2,FALSE),0.5),VLOOKUP('Rock Climbing Log'!AL42,'RC Lookup'!$G$3:$H$5,2,FALSE)),0)*VLOOKUP(AK$7,'RC Lookup'!$D$3:$E$18,2,FALSE)</f>
        <v>0</v>
      </c>
      <c r="AM42" s="26">
        <f>_xlfn.IFNA(IF(LEFT('Rock Climbing Log'!AM42)="C",_xlfn.IFNA(VLOOKUP('Rock Climbing Log'!AM42,'RC Lookup'!$A$3:$B$9,2,FALSE),0.5),VLOOKUP('Rock Climbing Log'!AM42,'RC Lookup'!$G$3:$H$5,2,FALSE)),0)*VLOOKUP(AK$7,'RC Lookup'!$D$3:$E$18,2,FALSE)</f>
        <v>0</v>
      </c>
      <c r="AN42" s="26">
        <f>_xlfn.IFNA(IF(LEFT('Rock Climbing Log'!AN42)="C",_xlfn.IFNA(VLOOKUP('Rock Climbing Log'!AN42,'RC Lookup'!$A$3:$B$9,2,FALSE),0.5),VLOOKUP('Rock Climbing Log'!AN42,'RC Lookup'!$G$3:$H$5,2,FALSE)),0)*VLOOKUP(AN$7,'RC Lookup'!$D$3:$E$18,2,FALSE)</f>
        <v>0</v>
      </c>
      <c r="AO42" s="26">
        <f>_xlfn.IFNA(IF(LEFT('Rock Climbing Log'!AO42)="C",_xlfn.IFNA(VLOOKUP('Rock Climbing Log'!AO42,'RC Lookup'!$A$3:$B$9,2,FALSE),0.5),VLOOKUP('Rock Climbing Log'!AO42,'RC Lookup'!$G$3:$H$5,2,FALSE)),0)*VLOOKUP(AN$7,'RC Lookup'!$D$3:$E$18,2,FALSE)</f>
        <v>0</v>
      </c>
      <c r="AP42" s="26">
        <f>_xlfn.IFNA(IF(LEFT('Rock Climbing Log'!AP42)="C",_xlfn.IFNA(VLOOKUP('Rock Climbing Log'!AP42,'RC Lookup'!$A$3:$B$9,2,FALSE),0.5),VLOOKUP('Rock Climbing Log'!AP42,'RC Lookup'!$G$3:$H$5,2,FALSE)),0)*VLOOKUP(AN$7,'RC Lookup'!$D$3:$E$18,2,FALSE)</f>
        <v>0</v>
      </c>
      <c r="AQ42" s="26">
        <f>_xlfn.IFNA(IF(LEFT('Rock Climbing Log'!AQ42)="C",_xlfn.IFNA(VLOOKUP('Rock Climbing Log'!AQ42,'RC Lookup'!$A$3:$B$9,2,FALSE),0.5),VLOOKUP('Rock Climbing Log'!AQ42,'RC Lookup'!$G$3:$H$5,2,FALSE)),0)*VLOOKUP(AQ$7,'RC Lookup'!$D$3:$E$18,2,FALSE)</f>
        <v>0</v>
      </c>
      <c r="AR42" s="26">
        <f>_xlfn.IFNA(IF(LEFT('Rock Climbing Log'!AR42)="C",_xlfn.IFNA(VLOOKUP('Rock Climbing Log'!AR42,'RC Lookup'!$A$3:$B$9,2,FALSE),0.5),VLOOKUP('Rock Climbing Log'!AR42,'RC Lookup'!$G$3:$H$5,2,FALSE)),0)*VLOOKUP(AQ$7,'RC Lookup'!$D$3:$E$18,2,FALSE)</f>
        <v>0</v>
      </c>
      <c r="AS42" s="26">
        <f>_xlfn.IFNA(IF(LEFT('Rock Climbing Log'!AS42)="C",_xlfn.IFNA(VLOOKUP('Rock Climbing Log'!AS42,'RC Lookup'!$A$3:$B$9,2,FALSE),0.5),VLOOKUP('Rock Climbing Log'!AS42,'RC Lookup'!$G$3:$H$5,2,FALSE)),0)*VLOOKUP(AQ$7,'RC Lookup'!$D$3:$E$18,2,FALSE)</f>
        <v>0</v>
      </c>
      <c r="AT42" s="26">
        <f>_xlfn.IFNA(IF(LEFT('Rock Climbing Log'!AT42)="C",_xlfn.IFNA(VLOOKUP('Rock Climbing Log'!AT42,'RC Lookup'!$A$3:$B$9,2,FALSE),0.5),VLOOKUP('Rock Climbing Log'!AT42,'RC Lookup'!$G$3:$H$5,2,FALSE)),0)*VLOOKUP(AT$7,'RC Lookup'!$D$3:$E$18,2,FALSE)</f>
        <v>0</v>
      </c>
      <c r="AU42" s="26">
        <f>_xlfn.IFNA(IF(LEFT('Rock Climbing Log'!AU42)="C",_xlfn.IFNA(VLOOKUP('Rock Climbing Log'!AU42,'RC Lookup'!$A$3:$B$9,2,FALSE),0.5),VLOOKUP('Rock Climbing Log'!AU42,'RC Lookup'!$G$3:$H$5,2,FALSE)),0)*VLOOKUP(AT$7,'RC Lookup'!$D$3:$E$18,2,FALSE)</f>
        <v>0</v>
      </c>
      <c r="AV42" s="26">
        <f>_xlfn.IFNA(IF(LEFT('Rock Climbing Log'!AV42)="C",_xlfn.IFNA(VLOOKUP('Rock Climbing Log'!AV42,'RC Lookup'!$A$3:$B$9,2,FALSE),0.5),VLOOKUP('Rock Climbing Log'!AV42,'RC Lookup'!$G$3:$H$5,2,FALSE)),0)*VLOOKUP(AT$7,'RC Lookup'!$D$3:$E$18,2,FALSE)</f>
        <v>0</v>
      </c>
      <c r="AW42" s="30">
        <f t="shared" ca="1" si="2"/>
        <v>138.38116333173295</v>
      </c>
      <c r="AX42" s="30">
        <f ca="1">_xlfn.IFNA(VLOOKUP(SUMPRODUCT(LARGE(($C$8:$C42=Table1[[#This Row],[Climber]])*$A$8:$A42,1)),$A$8:$AW42,MATCH($AW$7,$A$7:$AW$7,FALSE),FALSE),0)/LEFT($AX$7,FIND(" ",$AX$7))+_xlfn.IFNA(VLOOKUP(SUMPRODUCT(LARGE(($C$8:$C42=Table1[[#This Row],[Climber]])*$A$8:$A42,MIN(2,COUNTIFS($C$8:$C42,$C42)))),$A$8:$AW42,MATCH($AW$7,$A$7:$AW$7,FALSE),FALSE),0)/LEFT($AX$7,FIND(" ",$AX$7))+_xlfn.IFNA(VLOOKUP(SUMPRODUCT(LARGE(($C$8:$C42=Table1[[#This Row],[Climber]])*$A$8:$A42,MIN(3,COUNTIFS($C$8:$C42,$C42)))),$A$8:$AW42,MATCH($AW$7,$A$7:$AW$7,FALSE),FALSE),0)/LEFT($AX$7,FIND(" ",$AX$7))</f>
        <v>130.85011102854631</v>
      </c>
      <c r="AY42" s="30">
        <f ca="1">_xlfn.IFNA(VLOOKUP(SUMPRODUCT(LARGE(($C$8:$C42=Table1[[#This Row],[Climber]])*$A$8:$A42,1)),$A$8:$AW42,MATCH($AW$7,$A$7:$AW$7,FALSE),FALSE),0)/LEFT($AY$7,FIND(" ",$AY$7))+_xlfn.IFNA(VLOOKUP(SUMPRODUCT(LARGE(($C$8:$C42=Table1[[#This Row],[Climber]])*$A$8:$A42,MIN(2,COUNTIFS($C$8:$C42,$C42)))),$A$8:$AW42,MATCH($AW$7,$A$7:$AW$7,FALSE),FALSE),0)/LEFT($AY$7,FIND(" ",$AY$7))+_xlfn.IFNA(VLOOKUP(SUMPRODUCT(LARGE(($C$8:$C42=Table1[[#This Row],[Climber]])*$A$8:$A42,MIN(3,COUNTIFS($C$8:$C42,$C42)))),$A$8:$AW42,MATCH($AW$7,$A$7:$AW$7,FALSE),FALSE),0)/LEFT($AY$7,FIND(" ",$AY$7))+_xlfn.IFNA(VLOOKUP(SUMPRODUCT(LARGE(($C$8:$C42=Table1[[#This Row],[Climber]])*$A$8:$A42,MIN(4,COUNTIFS($C$8:$C42,$C42)))),$A$8:$AW42,MATCH($AW$7,$A$7:$AW$7,FALSE),FALSE),0)/LEFT($AY$7,FIND(" ",$AY$7))+_xlfn.IFNA(VLOOKUP(SUMPRODUCT(LARGE(($C$8:$C42=Table1[[#This Row],[Climber]])*$A$8:$A42,MIN(5,COUNTIFS($C$8:$C42,$C42)))),$A$8:$AW42,MATCH($AW$7,$A$7:$AW$7,FALSE),FALSE),0)/LEFT($AY$7,FIND(" ",$AY$7))</f>
        <v>112.57123426176017</v>
      </c>
      <c r="AZ42" s="30">
        <f ca="1">(_xlfn.IFNA(VLOOKUP(SUMPRODUCT(LARGE(($C$8:$C42=Table1[[#This Row],[Climber]])*$A$8:$A42,4)),$A$8:$AW42,MATCH($AW$7,$A$7:$AW$7,FALSE),FALSE),0)+_xlfn.IFNA(VLOOKUP(SUMPRODUCT(LARGE(($C$8:$C42=Table1[[#This Row],[Climber]])*$A$8:$A42,5)),$A$8:$AW42,MATCH($AW$7,$A$7:$AW$7,FALSE),FALSE),0)+_xlfn.IFNA(VLOOKUP(SUMPRODUCT(LARGE(($C$8:$C42=Table1[[#This Row],[Climber]])*$A$8:$A42,6)),$A$8:$AW42,MATCH($AW$7,$A$7:$AW$7,FALSE),FALSE),0))/3</f>
        <v>56.76861274105395</v>
      </c>
      <c r="BA42" s="6">
        <f ca="1">_xlfn.MAXIFS(INDIRECT("$AW"&amp;IF(SUMPRODUCT(LARGE(($C$8:$C42=$C42)*$A$8:$A42,LEFT($BA$7,FIND(" ",$BA$7)-1)))=0,8,SUMPRODUCT(LARGE(($C$8:$C42=$C42)*$A$8:$A42,LEFT($BA$7,FIND(" ",$BA$7)-1)))+7)&amp;":$AW"&amp;ROW()),INDIRECT("$C"&amp;IF(SUMPRODUCT(LARGE(($C$8:$C42=$C42)*$A$8:$A42,LEFT($BA$7,FIND(" ",$BA$7)-1)))=0,8,SUMPRODUCT(LARGE(($C$8:$C42=$C42)*$A$8:$A42,LEFT($BA$7,FIND(" ",$BA$7)-1)))+7)&amp;":$C"&amp;ROW()),$C42)</f>
        <v>138.38116333173295</v>
      </c>
      <c r="BB42" s="6" t="str">
        <f ca="1">VLOOKUP(MAX(BG42,$AX42),'RC Lookup'!$G$14:$J$20,2,TRUE)</f>
        <v>T4</v>
      </c>
      <c r="BC42" s="6">
        <f ca="1">_xlfn.IFNA(VLOOKUP(VLOOKUP($C42,'RC Lookup'!$O$3:$P$50,2,FALSE),'RC Lookup'!$H$14:$J$23,2,FALSE),0)*AW42</f>
        <v>67.966165905830437</v>
      </c>
      <c r="BD42" s="6">
        <f ca="1">_xlfn.IFNA(VLOOKUP(SUMPRODUCT(LARGE(($C$8:$C42=Table1[[#This Row],[Climber]])*$A$8:$A42,1)),$A$8:$BC42,55,FALSE),0)/LEFT($AX$7,FIND(" ",$AX$7))+_xlfn.IFNA(VLOOKUP(SUMPRODUCT(LARGE(($C$8:$C42=Table1[[#This Row],[Climber]])*$A$8:$A42,MIN(2,COUNTIFS($C$8:$C42,$C42)))),$A$8:$BC42,55,FALSE),0)/LEFT($AX$7,FIND(" ",$AX$7))+_xlfn.IFNA(VLOOKUP(SUMPRODUCT(LARGE(($C$8:$C42=Table1[[#This Row],[Climber]])*$A$8:$A42,MIN(3,COUNTIFS($C$8:$C42,$C42)))),$A$8:$BC42,55,FALSE),0)/LEFT($AX$7,FIND(" ",$AX$7))</f>
        <v>64.267275551390895</v>
      </c>
      <c r="BE42" s="6">
        <f ca="1">(_xlfn.IFNA(VLOOKUP(SUMPRODUCT(LARGE(($C$8:$C42=Table1[[#This Row],[Climber]])*$A$8:$A42,4)),$A$8:$BD42,55,FALSE),0)+_xlfn.IFNA(VLOOKUP(SUMPRODUCT(LARGE(($C$8:$C42=Table1[[#This Row],[Climber]])*$A$8:$A42,5)),$A$8:$BD42,55,FALSE),0)+_xlfn.IFNA(VLOOKUP(SUMPRODUCT(LARGE(($C$8:$C42=Table1[[#This Row],[Climber]])*$A$8:$A42,6)),$A$8:$BD42,55,FALSE),0))/3</f>
        <v>27.882009797481832</v>
      </c>
      <c r="BF42" s="46">
        <f ca="1">_xlfn.MAXIFS(INDIRECT("$BC"&amp;IF(SUMPRODUCT(LARGE(($C$8:$C42=$C42)*$A$8:$A42,LEFT($BA$7,FIND(" ",$BA$7)-1)))=0,8,SUMPRODUCT(LARGE(($C$8:$C42=$C42)*$A$8:$A42,LEFT($BA$7,FIND(" ",$BA$7)-1)))+7)&amp;":$BC"&amp;ROW()),INDIRECT("$C"&amp;IF(SUMPRODUCT(LARGE(($C$8:$C42=$C42)*$A$8:$A42,LEFT($BA$7,FIND(" ",$BA$7)-1)))=0,8,SUMPRODUCT(LARGE(($C$8:$C42=$C42)*$A$8:$A42,LEFT($BA$7,FIND(" ",$BA$7)-1)))+7)&amp;":$C"&amp;ROW()),$C42)</f>
        <v>67.966165905830437</v>
      </c>
      <c r="BG42" s="46">
        <f t="array" aca="1" ref="BG42" ca="1">IFERROR(SUMPRODUCT(LARGE(($C$8:$C42=Table1[[#This Row],[Climber]])*$AW$8:$AW42,ROW(INDIRECT("1:5")))),AW42)/MIN(COUNTIFS($C$8:$C42,C42),5)</f>
        <v>112.57123426176017</v>
      </c>
      <c r="BH42" s="46"/>
    </row>
    <row r="43" spans="1:60" x14ac:dyDescent="0.3">
      <c r="A43" s="125">
        <f t="shared" si="1"/>
        <v>36</v>
      </c>
      <c r="B43" s="25">
        <f>'Rock Climbing Log'!B43</f>
        <v>43137</v>
      </c>
      <c r="C43" s="126" t="str">
        <f>'Rock Climbing Log'!C43</f>
        <v>Edwin</v>
      </c>
      <c r="D43" s="26">
        <f>_xlfn.IFNA(IF(LEFT('Rock Climbing Log'!D43)="C",_xlfn.IFNA(VLOOKUP('Rock Climbing Log'!D43,'RC Lookup'!$A$3:$B$9,2,FALSE),0.5),VLOOKUP('Rock Climbing Log'!D43,'RC Lookup'!$G$3:$H$5,2,FALSE)),0)*VLOOKUP(D$7,'RC Lookup'!$D$3:$E$18,2,FALSE)</f>
        <v>10</v>
      </c>
      <c r="E43" s="26">
        <f>_xlfn.IFNA(IF(LEFT('Rock Climbing Log'!E43)="C",_xlfn.IFNA(VLOOKUP('Rock Climbing Log'!E43,'RC Lookup'!$A$3:$B$9,2,FALSE),0.5),VLOOKUP('Rock Climbing Log'!E43,'RC Lookup'!$G$3:$H$5,2,FALSE)),0)*VLOOKUP(D$7,'RC Lookup'!$D$3:$E$18,2,FALSE)</f>
        <v>0</v>
      </c>
      <c r="F43" s="26">
        <f>_xlfn.IFNA(IF(LEFT('Rock Climbing Log'!F43)="C",_xlfn.IFNA(VLOOKUP('Rock Climbing Log'!F43,'RC Lookup'!$A$3:$B$9,2,FALSE),0.5),VLOOKUP('Rock Climbing Log'!F43,'RC Lookup'!$G$3:$H$5,2,FALSE)),0)*VLOOKUP(D$7,'RC Lookup'!$D$3:$E$18,2,FALSE)</f>
        <v>0</v>
      </c>
      <c r="G43" s="26">
        <f>_xlfn.IFNA(IF(LEFT('Rock Climbing Log'!G43)="C",_xlfn.IFNA(VLOOKUP('Rock Climbing Log'!G43,'RC Lookup'!$A$3:$B$9,2,FALSE),0.5),VLOOKUP('Rock Climbing Log'!G43,'RC Lookup'!$G$3:$H$5,2,FALSE)),0)*VLOOKUP(G$7,'RC Lookup'!$D$3:$E$18,2,FALSE)</f>
        <v>0</v>
      </c>
      <c r="H43" s="26">
        <f>_xlfn.IFNA(IF(LEFT('Rock Climbing Log'!H43)="C",_xlfn.IFNA(VLOOKUP('Rock Climbing Log'!H43,'RC Lookup'!$A$3:$B$9,2,FALSE),0.5),VLOOKUP('Rock Climbing Log'!H43,'RC Lookup'!$G$3:$H$5,2,FALSE)),0)*VLOOKUP(G$7,'RC Lookup'!$D$3:$E$18,2,FALSE)</f>
        <v>0</v>
      </c>
      <c r="I43" s="26">
        <f>_xlfn.IFNA(IF(LEFT('Rock Climbing Log'!I43)="C",_xlfn.IFNA(VLOOKUP('Rock Climbing Log'!I43,'RC Lookup'!$A$3:$B$9,2,FALSE),0.5),VLOOKUP('Rock Climbing Log'!I43,'RC Lookup'!$G$3:$H$5,2,FALSE)),0)*VLOOKUP(G$7,'RC Lookup'!$D$3:$E$18,2,FALSE)</f>
        <v>0</v>
      </c>
      <c r="J43" s="26">
        <f>_xlfn.IFNA(IF(LEFT('Rock Climbing Log'!J43)="C",_xlfn.IFNA(VLOOKUP('Rock Climbing Log'!J43,'RC Lookup'!$A$3:$B$9,2,FALSE),0.5),VLOOKUP('Rock Climbing Log'!J43,'RC Lookup'!$G$3:$H$5,2,FALSE)),0)*VLOOKUP(J$7,'RC Lookup'!$D$3:$E$18,2,FALSE)</f>
        <v>0</v>
      </c>
      <c r="K43" s="26">
        <f>_xlfn.IFNA(IF(LEFT('Rock Climbing Log'!K43)="C",_xlfn.IFNA(VLOOKUP('Rock Climbing Log'!K43,'RC Lookup'!$A$3:$B$9,2,FALSE),0.5),VLOOKUP('Rock Climbing Log'!K43,'RC Lookup'!$G$3:$H$5,2,FALSE)),0)*VLOOKUP(J$7,'RC Lookup'!$D$3:$E$18,2,FALSE)</f>
        <v>0</v>
      </c>
      <c r="L43" s="26">
        <f>_xlfn.IFNA(IF(LEFT('Rock Climbing Log'!L43)="C",_xlfn.IFNA(VLOOKUP('Rock Climbing Log'!L43,'RC Lookup'!$A$3:$B$9,2,FALSE),0.5),VLOOKUP('Rock Climbing Log'!L43,'RC Lookup'!$G$3:$H$5,2,FALSE)),0)*VLOOKUP(J$7,'RC Lookup'!$D$3:$E$18,2,FALSE)</f>
        <v>0</v>
      </c>
      <c r="M43" s="26">
        <f>_xlfn.IFNA(IF(LEFT('Rock Climbing Log'!M43)="C",_xlfn.IFNA(VLOOKUP('Rock Climbing Log'!M43,'RC Lookup'!$A$3:$B$9,2,FALSE),0.5),VLOOKUP('Rock Climbing Log'!M43,'RC Lookup'!$G$3:$H$5,2,FALSE)),0)*VLOOKUP(M$7,'RC Lookup'!$D$3:$E$18,2,FALSE)</f>
        <v>20.002500000000001</v>
      </c>
      <c r="N43" s="26">
        <f>_xlfn.IFNA(IF(LEFT('Rock Climbing Log'!N43)="C",_xlfn.IFNA(VLOOKUP('Rock Climbing Log'!N43,'RC Lookup'!$A$3:$B$9,2,FALSE),0.5),VLOOKUP('Rock Climbing Log'!N43,'RC Lookup'!$G$3:$H$5,2,FALSE)),0)*VLOOKUP(M$7,'RC Lookup'!$D$3:$E$18,2,FALSE)</f>
        <v>0</v>
      </c>
      <c r="O43" s="26">
        <f>_xlfn.IFNA(IF(LEFT('Rock Climbing Log'!O43)="C",_xlfn.IFNA(VLOOKUP('Rock Climbing Log'!O43,'RC Lookup'!$A$3:$B$9,2,FALSE),0.5),VLOOKUP('Rock Climbing Log'!O43,'RC Lookup'!$G$3:$H$5,2,FALSE)),0)*VLOOKUP(M$7,'RC Lookup'!$D$3:$E$18,2,FALSE)</f>
        <v>0</v>
      </c>
      <c r="P43" s="26">
        <f>_xlfn.IFNA(IF(LEFT('Rock Climbing Log'!P43)="C",_xlfn.IFNA(VLOOKUP('Rock Climbing Log'!P43,'RC Lookup'!$A$3:$B$9,2,FALSE),0.5),VLOOKUP('Rock Climbing Log'!P43,'RC Lookup'!$G$3:$H$5,2,FALSE)),0)*VLOOKUP(P$7,'RC Lookup'!$D$3:$E$18,2,FALSE)</f>
        <v>0</v>
      </c>
      <c r="Q43" s="26">
        <f>_xlfn.IFNA(IF(LEFT('Rock Climbing Log'!Q43)="C",_xlfn.IFNA(VLOOKUP('Rock Climbing Log'!Q43,'RC Lookup'!$A$3:$B$9,2,FALSE),0.5),VLOOKUP('Rock Climbing Log'!Q43,'RC Lookup'!$G$3:$H$5,2,FALSE)),0)*VLOOKUP(P$7,'RC Lookup'!$D$3:$E$18,2,FALSE)</f>
        <v>0</v>
      </c>
      <c r="R43" s="26">
        <f>_xlfn.IFNA(IF(LEFT('Rock Climbing Log'!R43)="C",_xlfn.IFNA(VLOOKUP('Rock Climbing Log'!R43,'RC Lookup'!$A$3:$B$9,2,FALSE),0.5),VLOOKUP('Rock Climbing Log'!R43,'RC Lookup'!$G$3:$H$5,2,FALSE)),0)*VLOOKUP(P$7,'RC Lookup'!$D$3:$E$18,2,FALSE)</f>
        <v>0</v>
      </c>
      <c r="S43" s="26">
        <f>_xlfn.IFNA(IF(LEFT('Rock Climbing Log'!S43)="C",_xlfn.IFNA(VLOOKUP('Rock Climbing Log'!S43,'RC Lookup'!$A$3:$B$9,2,FALSE),0.5),VLOOKUP('Rock Climbing Log'!S43,'RC Lookup'!$G$3:$H$5,2,FALSE)),0)*VLOOKUP(S$7,'RC Lookup'!$D$3:$E$18,2,FALSE)</f>
        <v>0</v>
      </c>
      <c r="T43" s="26">
        <f>_xlfn.IFNA(IF(LEFT('Rock Climbing Log'!T43)="C",_xlfn.IFNA(VLOOKUP('Rock Climbing Log'!T43,'RC Lookup'!$A$3:$B$9,2,FALSE),0.5),VLOOKUP('Rock Climbing Log'!T43,'RC Lookup'!$G$3:$H$5,2,FALSE)),0)*VLOOKUP(S$7,'RC Lookup'!$D$3:$E$18,2,FALSE)</f>
        <v>0</v>
      </c>
      <c r="U43" s="26">
        <f>_xlfn.IFNA(IF(LEFT('Rock Climbing Log'!U43)="C",_xlfn.IFNA(VLOOKUP('Rock Climbing Log'!U43,'RC Lookup'!$A$3:$B$9,2,FALSE),0.5),VLOOKUP('Rock Climbing Log'!U43,'RC Lookup'!$G$3:$H$5,2,FALSE)),0)*VLOOKUP(S$7,'RC Lookup'!$D$3:$E$18,2,FALSE)</f>
        <v>0</v>
      </c>
      <c r="V43" s="26">
        <f>_xlfn.IFNA(IF(LEFT('Rock Climbing Log'!V43)="C",_xlfn.IFNA(VLOOKUP('Rock Climbing Log'!V43,'RC Lookup'!$A$3:$B$9,2,FALSE),0.5),VLOOKUP('Rock Climbing Log'!V43,'RC Lookup'!$G$3:$H$5,2,FALSE)),0)*VLOOKUP(V$7,'RC Lookup'!$D$3:$E$18,2,FALSE)</f>
        <v>35.256745742400021</v>
      </c>
      <c r="W43" s="26">
        <f>_xlfn.IFNA(IF(LEFT('Rock Climbing Log'!W43)="C",_xlfn.IFNA(VLOOKUP('Rock Climbing Log'!W43,'RC Lookup'!$A$3:$B$9,2,FALSE),0.5),VLOOKUP('Rock Climbing Log'!W43,'RC Lookup'!$G$3:$H$5,2,FALSE)),0)*VLOOKUP(V$7,'RC Lookup'!$D$3:$E$18,2,FALSE)</f>
        <v>0</v>
      </c>
      <c r="X43" s="26">
        <f>_xlfn.IFNA(IF(LEFT('Rock Climbing Log'!X43)="C",_xlfn.IFNA(VLOOKUP('Rock Climbing Log'!X43,'RC Lookup'!$A$3:$B$9,2,FALSE),0.5),VLOOKUP('Rock Climbing Log'!X43,'RC Lookup'!$G$3:$H$5,2,FALSE)),0)*VLOOKUP(V$7,'RC Lookup'!$D$3:$E$18,2,FALSE)</f>
        <v>0</v>
      </c>
      <c r="Y43" s="26">
        <f>_xlfn.IFNA(IF(LEFT('Rock Climbing Log'!Y43)="C",_xlfn.IFNA(VLOOKUP('Rock Climbing Log'!Y43,'RC Lookup'!$A$3:$B$9,2,FALSE),0.5),VLOOKUP('Rock Climbing Log'!Y43,'RC Lookup'!$G$3:$H$5,2,FALSE)),0)*VLOOKUP(Y$7,'RC Lookup'!$D$3:$E$18,2,FALSE)</f>
        <v>0</v>
      </c>
      <c r="Z43" s="26">
        <f>_xlfn.IFNA(IF(LEFT('Rock Climbing Log'!Z43)="C",_xlfn.IFNA(VLOOKUP('Rock Climbing Log'!Z43,'RC Lookup'!$A$3:$B$9,2,FALSE),0.5),VLOOKUP('Rock Climbing Log'!Z43,'RC Lookup'!$G$3:$H$5,2,FALSE)),0)*VLOOKUP(Y$7,'RC Lookup'!$D$3:$E$18,2,FALSE)</f>
        <v>0</v>
      </c>
      <c r="AA43" s="26">
        <f>_xlfn.IFNA(IF(LEFT('Rock Climbing Log'!AA43)="C",_xlfn.IFNA(VLOOKUP('Rock Climbing Log'!AA43,'RC Lookup'!$A$3:$B$9,2,FALSE),0.5),VLOOKUP('Rock Climbing Log'!AA43,'RC Lookup'!$G$3:$H$5,2,FALSE)),0)*VLOOKUP(Y$7,'RC Lookup'!$D$3:$E$18,2,FALSE)</f>
        <v>0</v>
      </c>
      <c r="AB43" s="26">
        <f>_xlfn.IFNA(IF(LEFT('Rock Climbing Log'!AB43)="C",_xlfn.IFNA(VLOOKUP('Rock Climbing Log'!AB43,'RC Lookup'!$A$3:$B$9,2,FALSE),0.5),VLOOKUP('Rock Climbing Log'!AB43,'RC Lookup'!$G$3:$H$5,2,FALSE)),0)*VLOOKUP(AB$7,'RC Lookup'!$D$3:$E$18,2,FALSE)</f>
        <v>43.768164168802265</v>
      </c>
      <c r="AC43" s="26">
        <f>_xlfn.IFNA(IF(LEFT('Rock Climbing Log'!AC43)="C",_xlfn.IFNA(VLOOKUP('Rock Climbing Log'!AC43,'RC Lookup'!$A$3:$B$9,2,FALSE),0.5),VLOOKUP('Rock Climbing Log'!AC43,'RC Lookup'!$G$3:$H$5,2,FALSE)),0)*VLOOKUP(AB$7,'RC Lookup'!$D$3:$E$18,2,FALSE)</f>
        <v>0</v>
      </c>
      <c r="AD43" s="26">
        <f>_xlfn.IFNA(IF(LEFT('Rock Climbing Log'!AD43)="C",_xlfn.IFNA(VLOOKUP('Rock Climbing Log'!AD43,'RC Lookup'!$A$3:$B$9,2,FALSE),0.5),VLOOKUP('Rock Climbing Log'!AD43,'RC Lookup'!$G$3:$H$5,2,FALSE)),0)*VLOOKUP(AB$7,'RC Lookup'!$D$3:$E$18,2,FALSE)</f>
        <v>0</v>
      </c>
      <c r="AE43" s="26">
        <f>_xlfn.IFNA(IF(LEFT('Rock Climbing Log'!AE43)="C",_xlfn.IFNA(VLOOKUP('Rock Climbing Log'!AE43,'RC Lookup'!$A$3:$B$9,2,FALSE),0.5),VLOOKUP('Rock Climbing Log'!AE43,'RC Lookup'!$G$3:$H$5,2,FALSE)),0)*VLOOKUP(AE$7,'RC Lookup'!$D$3:$E$18,2,FALSE)</f>
        <v>0</v>
      </c>
      <c r="AF43" s="26">
        <f>_xlfn.IFNA(IF(LEFT('Rock Climbing Log'!AF43)="C",_xlfn.IFNA(VLOOKUP('Rock Climbing Log'!AF43,'RC Lookup'!$A$3:$B$9,2,FALSE),0.5),VLOOKUP('Rock Climbing Log'!AF43,'RC Lookup'!$G$3:$H$5,2,FALSE)),0)*VLOOKUP(AE$7,'RC Lookup'!$D$3:$E$18,2,FALSE)</f>
        <v>0</v>
      </c>
      <c r="AG43" s="26">
        <f>_xlfn.IFNA(IF(LEFT('Rock Climbing Log'!AG43)="C",_xlfn.IFNA(VLOOKUP('Rock Climbing Log'!AG43,'RC Lookup'!$A$3:$B$9,2,FALSE),0.5),VLOOKUP('Rock Climbing Log'!AG43,'RC Lookup'!$G$3:$H$5,2,FALSE)),0)*VLOOKUP(AE$7,'RC Lookup'!$D$3:$E$18,2,FALSE)</f>
        <v>0</v>
      </c>
      <c r="AH43" s="26">
        <f>_xlfn.IFNA(IF(LEFT('Rock Climbing Log'!AH43)="C",_xlfn.IFNA(VLOOKUP('Rock Climbing Log'!AH43,'RC Lookup'!$A$3:$B$9,2,FALSE),0.5),VLOOKUP('Rock Climbing Log'!AH43,'RC Lookup'!$G$3:$H$5,2,FALSE)),0)*VLOOKUP(AH$7,'RC Lookup'!$D$3:$E$18,2,FALSE)</f>
        <v>0</v>
      </c>
      <c r="AI43" s="26">
        <f>_xlfn.IFNA(IF(LEFT('Rock Climbing Log'!AI43)="C",_xlfn.IFNA(VLOOKUP('Rock Climbing Log'!AI43,'RC Lookup'!$A$3:$B$9,2,FALSE),0.5),VLOOKUP('Rock Climbing Log'!AI43,'RC Lookup'!$G$3:$H$5,2,FALSE)),0)*VLOOKUP(AH$7,'RC Lookup'!$D$3:$E$18,2,FALSE)</f>
        <v>0</v>
      </c>
      <c r="AJ43" s="26">
        <f>_xlfn.IFNA(IF(LEFT('Rock Climbing Log'!AJ43)="C",_xlfn.IFNA(VLOOKUP('Rock Climbing Log'!AJ43,'RC Lookup'!$A$3:$B$9,2,FALSE),0.5),VLOOKUP('Rock Climbing Log'!AJ43,'RC Lookup'!$G$3:$H$5,2,FALSE)),0)*VLOOKUP(AH$7,'RC Lookup'!$D$3:$E$18,2,FALSE)</f>
        <v>0</v>
      </c>
      <c r="AK43" s="26">
        <f>_xlfn.IFNA(IF(LEFT('Rock Climbing Log'!AK43)="C",_xlfn.IFNA(VLOOKUP('Rock Climbing Log'!AK43,'RC Lookup'!$A$3:$B$9,2,FALSE),0.5),VLOOKUP('Rock Climbing Log'!AK43,'RC Lookup'!$G$3:$H$5,2,FALSE)),0)*VLOOKUP(AK$7,'RC Lookup'!$D$3:$E$18,2,FALSE)</f>
        <v>0</v>
      </c>
      <c r="AL43" s="26">
        <f>_xlfn.IFNA(IF(LEFT('Rock Climbing Log'!AL43)="C",_xlfn.IFNA(VLOOKUP('Rock Climbing Log'!AL43,'RC Lookup'!$A$3:$B$9,2,FALSE),0.5),VLOOKUP('Rock Climbing Log'!AL43,'RC Lookup'!$G$3:$H$5,2,FALSE)),0)*VLOOKUP(AK$7,'RC Lookup'!$D$3:$E$18,2,FALSE)</f>
        <v>0</v>
      </c>
      <c r="AM43" s="26">
        <f>_xlfn.IFNA(IF(LEFT('Rock Climbing Log'!AM43)="C",_xlfn.IFNA(VLOOKUP('Rock Climbing Log'!AM43,'RC Lookup'!$A$3:$B$9,2,FALSE),0.5),VLOOKUP('Rock Climbing Log'!AM43,'RC Lookup'!$G$3:$H$5,2,FALSE)),0)*VLOOKUP(AK$7,'RC Lookup'!$D$3:$E$18,2,FALSE)</f>
        <v>0</v>
      </c>
      <c r="AN43" s="26">
        <f>_xlfn.IFNA(IF(LEFT('Rock Climbing Log'!AN43)="C",_xlfn.IFNA(VLOOKUP('Rock Climbing Log'!AN43,'RC Lookup'!$A$3:$B$9,2,FALSE),0.5),VLOOKUP('Rock Climbing Log'!AN43,'RC Lookup'!$G$3:$H$5,2,FALSE)),0)*VLOOKUP(AN$7,'RC Lookup'!$D$3:$E$18,2,FALSE)</f>
        <v>0</v>
      </c>
      <c r="AO43" s="26">
        <f>_xlfn.IFNA(IF(LEFT('Rock Climbing Log'!AO43)="C",_xlfn.IFNA(VLOOKUP('Rock Climbing Log'!AO43,'RC Lookup'!$A$3:$B$9,2,FALSE),0.5),VLOOKUP('Rock Climbing Log'!AO43,'RC Lookup'!$G$3:$H$5,2,FALSE)),0)*VLOOKUP(AN$7,'RC Lookup'!$D$3:$E$18,2,FALSE)</f>
        <v>0</v>
      </c>
      <c r="AP43" s="26">
        <f>_xlfn.IFNA(IF(LEFT('Rock Climbing Log'!AP43)="C",_xlfn.IFNA(VLOOKUP('Rock Climbing Log'!AP43,'RC Lookup'!$A$3:$B$9,2,FALSE),0.5),VLOOKUP('Rock Climbing Log'!AP43,'RC Lookup'!$G$3:$H$5,2,FALSE)),0)*VLOOKUP(AN$7,'RC Lookup'!$D$3:$E$18,2,FALSE)</f>
        <v>0</v>
      </c>
      <c r="AQ43" s="26">
        <f>_xlfn.IFNA(IF(LEFT('Rock Climbing Log'!AQ43)="C",_xlfn.IFNA(VLOOKUP('Rock Climbing Log'!AQ43,'RC Lookup'!$A$3:$B$9,2,FALSE),0.5),VLOOKUP('Rock Climbing Log'!AQ43,'RC Lookup'!$G$3:$H$5,2,FALSE)),0)*VLOOKUP(AQ$7,'RC Lookup'!$D$3:$E$18,2,FALSE)</f>
        <v>0</v>
      </c>
      <c r="AR43" s="26">
        <f>_xlfn.IFNA(IF(LEFT('Rock Climbing Log'!AR43)="C",_xlfn.IFNA(VLOOKUP('Rock Climbing Log'!AR43,'RC Lookup'!$A$3:$B$9,2,FALSE),0.5),VLOOKUP('Rock Climbing Log'!AR43,'RC Lookup'!$G$3:$H$5,2,FALSE)),0)*VLOOKUP(AQ$7,'RC Lookup'!$D$3:$E$18,2,FALSE)</f>
        <v>0</v>
      </c>
      <c r="AS43" s="26">
        <f>_xlfn.IFNA(IF(LEFT('Rock Climbing Log'!AS43)="C",_xlfn.IFNA(VLOOKUP('Rock Climbing Log'!AS43,'RC Lookup'!$A$3:$B$9,2,FALSE),0.5),VLOOKUP('Rock Climbing Log'!AS43,'RC Lookup'!$G$3:$H$5,2,FALSE)),0)*VLOOKUP(AQ$7,'RC Lookup'!$D$3:$E$18,2,FALSE)</f>
        <v>0</v>
      </c>
      <c r="AT43" s="26">
        <f>_xlfn.IFNA(IF(LEFT('Rock Climbing Log'!AT43)="C",_xlfn.IFNA(VLOOKUP('Rock Climbing Log'!AT43,'RC Lookup'!$A$3:$B$9,2,FALSE),0.5),VLOOKUP('Rock Climbing Log'!AT43,'RC Lookup'!$G$3:$H$5,2,FALSE)),0)*VLOOKUP(AT$7,'RC Lookup'!$D$3:$E$18,2,FALSE)</f>
        <v>0</v>
      </c>
      <c r="AU43" s="26">
        <f>_xlfn.IFNA(IF(LEFT('Rock Climbing Log'!AU43)="C",_xlfn.IFNA(VLOOKUP('Rock Climbing Log'!AU43,'RC Lookup'!$A$3:$B$9,2,FALSE),0.5),VLOOKUP('Rock Climbing Log'!AU43,'RC Lookup'!$G$3:$H$5,2,FALSE)),0)*VLOOKUP(AT$7,'RC Lookup'!$D$3:$E$18,2,FALSE)</f>
        <v>0</v>
      </c>
      <c r="AV43" s="26">
        <f>_xlfn.IFNA(IF(LEFT('Rock Climbing Log'!AV43)="C",_xlfn.IFNA(VLOOKUP('Rock Climbing Log'!AV43,'RC Lookup'!$A$3:$B$9,2,FALSE),0.5),VLOOKUP('Rock Climbing Log'!AV43,'RC Lookup'!$G$3:$H$5,2,FALSE)),0)*VLOOKUP(AT$7,'RC Lookup'!$D$3:$E$18,2,FALSE)</f>
        <v>0</v>
      </c>
      <c r="AW43" s="30">
        <f t="shared" ca="1" si="2"/>
        <v>99.027409911202284</v>
      </c>
      <c r="AX43" s="30">
        <f ca="1">_xlfn.IFNA(VLOOKUP(SUMPRODUCT(LARGE(($C$8:$C43=Table1[[#This Row],[Climber]])*$A$8:$A43,1)),$A$8:$AW43,MATCH($AW$7,$A$7:$AW$7,FALSE),FALSE),0)/LEFT($AX$7,FIND(" ",$AX$7))+_xlfn.IFNA(VLOOKUP(SUMPRODUCT(LARGE(($C$8:$C43=Table1[[#This Row],[Climber]])*$A$8:$A43,MIN(2,COUNTIFS($C$8:$C43,$C43)))),$A$8:$AW43,MATCH($AW$7,$A$7:$AW$7,FALSE),FALSE),0)/LEFT($AX$7,FIND(" ",$AX$7))+_xlfn.IFNA(VLOOKUP(SUMPRODUCT(LARGE(($C$8:$C43=Table1[[#This Row],[Climber]])*$A$8:$A43,MIN(3,COUNTIFS($C$8:$C43,$C43)))),$A$8:$AW43,MATCH($AW$7,$A$7:$AW$7,FALSE),FALSE),0)/LEFT($AX$7,FIND(" ",$AX$7))</f>
        <v>101.12227838415086</v>
      </c>
      <c r="AY43" s="30">
        <f ca="1">_xlfn.IFNA(VLOOKUP(SUMPRODUCT(LARGE(($C$8:$C43=Table1[[#This Row],[Climber]])*$A$8:$A43,1)),$A$8:$AW43,MATCH($AW$7,$A$7:$AW$7,FALSE),FALSE),0)/LEFT($AY$7,FIND(" ",$AY$7))+_xlfn.IFNA(VLOOKUP(SUMPRODUCT(LARGE(($C$8:$C43=Table1[[#This Row],[Climber]])*$A$8:$A43,MIN(2,COUNTIFS($C$8:$C43,$C43)))),$A$8:$AW43,MATCH($AW$7,$A$7:$AW$7,FALSE),FALSE),0)/LEFT($AY$7,FIND(" ",$AY$7))+_xlfn.IFNA(VLOOKUP(SUMPRODUCT(LARGE(($C$8:$C43=Table1[[#This Row],[Climber]])*$A$8:$A43,MIN(3,COUNTIFS($C$8:$C43,$C43)))),$A$8:$AW43,MATCH($AW$7,$A$7:$AW$7,FALSE),FALSE),0)/LEFT($AY$7,FIND(" ",$AY$7))+_xlfn.IFNA(VLOOKUP(SUMPRODUCT(LARGE(($C$8:$C43=Table1[[#This Row],[Climber]])*$A$8:$A43,MIN(4,COUNTIFS($C$8:$C43,$C43)))),$A$8:$AW43,MATCH($AW$7,$A$7:$AW$7,FALSE),FALSE),0)/LEFT($AY$7,FIND(" ",$AY$7))+_xlfn.IFNA(VLOOKUP(SUMPRODUCT(LARGE(($C$8:$C43=Table1[[#This Row],[Climber]])*$A$8:$A43,MIN(5,COUNTIFS($C$8:$C43,$C43)))),$A$8:$AW43,MATCH($AW$7,$A$7:$AW$7,FALSE),FALSE),0)/LEFT($AY$7,FIND(" ",$AY$7))</f>
        <v>92.260005470479342</v>
      </c>
      <c r="AZ43" s="30">
        <f ca="1">(_xlfn.IFNA(VLOOKUP(SUMPRODUCT(LARGE(($C$8:$C43=Table1[[#This Row],[Climber]])*$A$8:$A43,4)),$A$8:$AW43,MATCH($AW$7,$A$7:$AW$7,FALSE),FALSE),0)+_xlfn.IFNA(VLOOKUP(SUMPRODUCT(LARGE(($C$8:$C43=Table1[[#This Row],[Climber]])*$A$8:$A43,5)),$A$8:$AW43,MATCH($AW$7,$A$7:$AW$7,FALSE),FALSE),0)+_xlfn.IFNA(VLOOKUP(SUMPRODUCT(LARGE(($C$8:$C43=Table1[[#This Row],[Climber]])*$A$8:$A43,6)),$A$8:$AW43,MATCH($AW$7,$A$7:$AW$7,FALSE),FALSE),0))/3</f>
        <v>72.045953282051258</v>
      </c>
      <c r="BA43" s="6">
        <f ca="1">_xlfn.MAXIFS(INDIRECT("$AW"&amp;IF(SUMPRODUCT(LARGE(($C$8:$C43=$C43)*$A$8:$A43,LEFT($BA$7,FIND(" ",$BA$7)-1)))=0,8,SUMPRODUCT(LARGE(($C$8:$C43=$C43)*$A$8:$A43,LEFT($BA$7,FIND(" ",$BA$7)-1)))+7)&amp;":$AW"&amp;ROW()),INDIRECT("$C"&amp;IF(SUMPRODUCT(LARGE(($C$8:$C43=$C43)*$A$8:$A43,LEFT($BA$7,FIND(" ",$BA$7)-1)))=0,8,SUMPRODUCT(LARGE(($C$8:$C43=$C43)*$A$8:$A43,LEFT($BA$7,FIND(" ",$BA$7)-1)))+7)&amp;":$C"&amp;ROW()),$C43)</f>
        <v>113.21450632116824</v>
      </c>
      <c r="BB43" s="6" t="str">
        <f ca="1">VLOOKUP(MAX(BG43,$AX43),'RC Lookup'!$G$14:$J$20,2,TRUE)</f>
        <v>T3</v>
      </c>
      <c r="BC43" s="6">
        <f ca="1">_xlfn.IFNA(VLOOKUP(VLOOKUP($C43,'RC Lookup'!$O$3:$P$50,2,FALSE),'RC Lookup'!$H$14:$J$23,2,FALSE),0)*AW43</f>
        <v>75.994337602770969</v>
      </c>
      <c r="BD43" s="6">
        <f ca="1">_xlfn.IFNA(VLOOKUP(SUMPRODUCT(LARGE(($C$8:$C43=Table1[[#This Row],[Climber]])*$A$8:$A43,1)),$A$8:$BC43,55,FALSE),0)/LEFT($AX$7,FIND(" ",$AX$7))+_xlfn.IFNA(VLOOKUP(SUMPRODUCT(LARGE(($C$8:$C43=Table1[[#This Row],[Climber]])*$A$8:$A43,MIN(2,COUNTIFS($C$8:$C43,$C43)))),$A$8:$BC43,55,FALSE),0)/LEFT($AX$7,FIND(" ",$AX$7))+_xlfn.IFNA(VLOOKUP(SUMPRODUCT(LARGE(($C$8:$C43=Table1[[#This Row],[Climber]])*$A$8:$A43,MIN(3,COUNTIFS($C$8:$C43,$C43)))),$A$8:$BC43,55,FALSE),0)/LEFT($AX$7,FIND(" ",$AX$7))</f>
        <v>77.601954545488226</v>
      </c>
      <c r="BE43" s="6">
        <f ca="1">(_xlfn.IFNA(VLOOKUP(SUMPRODUCT(LARGE(($C$8:$C43=Table1[[#This Row],[Climber]])*$A$8:$A43,4)),$A$8:$BD43,55,FALSE),0)+_xlfn.IFNA(VLOOKUP(SUMPRODUCT(LARGE(($C$8:$C43=Table1[[#This Row],[Climber]])*$A$8:$A43,5)),$A$8:$BD43,55,FALSE),0)+_xlfn.IFNA(VLOOKUP(SUMPRODUCT(LARGE(($C$8:$C43=Table1[[#This Row],[Climber]])*$A$8:$A43,6)),$A$8:$BD43,55,FALSE),0))/3</f>
        <v>55.288576178445624</v>
      </c>
      <c r="BF43" s="46">
        <f ca="1">_xlfn.MAXIFS(INDIRECT("$BC"&amp;IF(SUMPRODUCT(LARGE(($C$8:$C43=$C43)*$A$8:$A43,LEFT($BA$7,FIND(" ",$BA$7)-1)))=0,8,SUMPRODUCT(LARGE(($C$8:$C43=$C43)*$A$8:$A43,LEFT($BA$7,FIND(" ",$BA$7)-1)))+7)&amp;":$BC"&amp;ROW()),INDIRECT("$C"&amp;IF(SUMPRODUCT(LARGE(($C$8:$C43=$C43)*$A$8:$A43,LEFT($BA$7,FIND(" ",$BA$7)-1)))=0,8,SUMPRODUCT(LARGE(($C$8:$C43=$C43)*$A$8:$A43,LEFT($BA$7,FIND(" ",$BA$7)-1)))+7)&amp;":$C"&amp;ROW()),$C43)</f>
        <v>86.881616136550448</v>
      </c>
      <c r="BG43" s="46">
        <f t="array" aca="1" ref="BG43" ca="1">IFERROR(SUMPRODUCT(LARGE(($C$8:$C43=Table1[[#This Row],[Climber]])*$AW$8:$AW43,ROW(INDIRECT("1:5")))),AW43)/MIN(COUNTIFS($C$8:$C43,C43),5)</f>
        <v>92.260005470479356</v>
      </c>
      <c r="BH43" s="46"/>
    </row>
    <row r="44" spans="1:60" x14ac:dyDescent="0.3">
      <c r="A44" s="125">
        <f t="shared" si="1"/>
        <v>37</v>
      </c>
      <c r="B44" s="25">
        <f>'Rock Climbing Log'!B44</f>
        <v>43137</v>
      </c>
      <c r="C44" s="126" t="str">
        <f>'Rock Climbing Log'!C44</f>
        <v>Kenneth Bautista</v>
      </c>
      <c r="D44" s="26">
        <f>_xlfn.IFNA(IF(LEFT('Rock Climbing Log'!D44)="C",_xlfn.IFNA(VLOOKUP('Rock Climbing Log'!D44,'RC Lookup'!$A$3:$B$9,2,FALSE),0.5),VLOOKUP('Rock Climbing Log'!D44,'RC Lookup'!$G$3:$H$5,2,FALSE)),0)*VLOOKUP(D$7,'RC Lookup'!$D$3:$E$18,2,FALSE)</f>
        <v>10</v>
      </c>
      <c r="E44" s="26">
        <f>_xlfn.IFNA(IF(LEFT('Rock Climbing Log'!E44)="C",_xlfn.IFNA(VLOOKUP('Rock Climbing Log'!E44,'RC Lookup'!$A$3:$B$9,2,FALSE),0.5),VLOOKUP('Rock Climbing Log'!E44,'RC Lookup'!$G$3:$H$5,2,FALSE)),0)*VLOOKUP(D$7,'RC Lookup'!$D$3:$E$18,2,FALSE)</f>
        <v>5</v>
      </c>
      <c r="F44" s="26">
        <f>_xlfn.IFNA(IF(LEFT('Rock Climbing Log'!F44)="C",_xlfn.IFNA(VLOOKUP('Rock Climbing Log'!F44,'RC Lookup'!$A$3:$B$9,2,FALSE),0.5),VLOOKUP('Rock Climbing Log'!F44,'RC Lookup'!$G$3:$H$5,2,FALSE)),0)*VLOOKUP(D$7,'RC Lookup'!$D$3:$E$18,2,FALSE)</f>
        <v>5</v>
      </c>
      <c r="G44" s="26">
        <f>_xlfn.IFNA(IF(LEFT('Rock Climbing Log'!G44)="C",_xlfn.IFNA(VLOOKUP('Rock Climbing Log'!G44,'RC Lookup'!$A$3:$B$9,2,FALSE),0.5),VLOOKUP('Rock Climbing Log'!G44,'RC Lookup'!$G$3:$H$5,2,FALSE)),0)*VLOOKUP(G$7,'RC Lookup'!$D$3:$E$18,2,FALSE)</f>
        <v>6.25</v>
      </c>
      <c r="H44" s="26">
        <f>_xlfn.IFNA(IF(LEFT('Rock Climbing Log'!H44)="C",_xlfn.IFNA(VLOOKUP('Rock Climbing Log'!H44,'RC Lookup'!$A$3:$B$9,2,FALSE),0.5),VLOOKUP('Rock Climbing Log'!H44,'RC Lookup'!$G$3:$H$5,2,FALSE)),0)*VLOOKUP(G$7,'RC Lookup'!$D$3:$E$18,2,FALSE)</f>
        <v>6.25</v>
      </c>
      <c r="I44" s="26">
        <f>_xlfn.IFNA(IF(LEFT('Rock Climbing Log'!I44)="C",_xlfn.IFNA(VLOOKUP('Rock Climbing Log'!I44,'RC Lookup'!$A$3:$B$9,2,FALSE),0.5),VLOOKUP('Rock Climbing Log'!I44,'RC Lookup'!$G$3:$H$5,2,FALSE)),0)*VLOOKUP(G$7,'RC Lookup'!$D$3:$E$18,2,FALSE)</f>
        <v>0</v>
      </c>
      <c r="J44" s="26">
        <f>_xlfn.IFNA(IF(LEFT('Rock Climbing Log'!J44)="C",_xlfn.IFNA(VLOOKUP('Rock Climbing Log'!J44,'RC Lookup'!$A$3:$B$9,2,FALSE),0.5),VLOOKUP('Rock Climbing Log'!J44,'RC Lookup'!$G$3:$H$5,2,FALSE)),0)*VLOOKUP(J$7,'RC Lookup'!$D$3:$E$18,2,FALSE)</f>
        <v>0</v>
      </c>
      <c r="K44" s="26">
        <f>_xlfn.IFNA(IF(LEFT('Rock Climbing Log'!K44)="C",_xlfn.IFNA(VLOOKUP('Rock Climbing Log'!K44,'RC Lookup'!$A$3:$B$9,2,FALSE),0.5),VLOOKUP('Rock Climbing Log'!K44,'RC Lookup'!$G$3:$H$5,2,FALSE)),0)*VLOOKUP(J$7,'RC Lookup'!$D$3:$E$18,2,FALSE)</f>
        <v>0</v>
      </c>
      <c r="L44" s="26">
        <f>_xlfn.IFNA(IF(LEFT('Rock Climbing Log'!L44)="C",_xlfn.IFNA(VLOOKUP('Rock Climbing Log'!L44,'RC Lookup'!$A$3:$B$9,2,FALSE),0.5),VLOOKUP('Rock Climbing Log'!L44,'RC Lookup'!$G$3:$H$5,2,FALSE)),0)*VLOOKUP(J$7,'RC Lookup'!$D$3:$E$18,2,FALSE)</f>
        <v>0</v>
      </c>
      <c r="M44" s="26">
        <f>_xlfn.IFNA(IF(LEFT('Rock Climbing Log'!M44)="C",_xlfn.IFNA(VLOOKUP('Rock Climbing Log'!M44,'RC Lookup'!$A$3:$B$9,2,FALSE),0.5),VLOOKUP('Rock Climbing Log'!M44,'RC Lookup'!$G$3:$H$5,2,FALSE)),0)*VLOOKUP(M$7,'RC Lookup'!$D$3:$E$18,2,FALSE)</f>
        <v>10.001250000000001</v>
      </c>
      <c r="N44" s="26">
        <f>_xlfn.IFNA(IF(LEFT('Rock Climbing Log'!N44)="C",_xlfn.IFNA(VLOOKUP('Rock Climbing Log'!N44,'RC Lookup'!$A$3:$B$9,2,FALSE),0.5),VLOOKUP('Rock Climbing Log'!N44,'RC Lookup'!$G$3:$H$5,2,FALSE)),0)*VLOOKUP(M$7,'RC Lookup'!$D$3:$E$18,2,FALSE)</f>
        <v>10.001250000000001</v>
      </c>
      <c r="O44" s="26">
        <f>_xlfn.IFNA(IF(LEFT('Rock Climbing Log'!O44)="C",_xlfn.IFNA(VLOOKUP('Rock Climbing Log'!O44,'RC Lookup'!$A$3:$B$9,2,FALSE),0.5),VLOOKUP('Rock Climbing Log'!O44,'RC Lookup'!$G$3:$H$5,2,FALSE)),0)*VLOOKUP(M$7,'RC Lookup'!$D$3:$E$18,2,FALSE)</f>
        <v>0</v>
      </c>
      <c r="P44" s="26">
        <f>_xlfn.IFNA(IF(LEFT('Rock Climbing Log'!P44)="C",_xlfn.IFNA(VLOOKUP('Rock Climbing Log'!P44,'RC Lookup'!$A$3:$B$9,2,FALSE),0.5),VLOOKUP('Rock Climbing Log'!P44,'RC Lookup'!$G$3:$H$5,2,FALSE)),0)*VLOOKUP(P$7,'RC Lookup'!$D$3:$E$18,2,FALSE)</f>
        <v>0</v>
      </c>
      <c r="Q44" s="26">
        <f>_xlfn.IFNA(IF(LEFT('Rock Climbing Log'!Q44)="C",_xlfn.IFNA(VLOOKUP('Rock Climbing Log'!Q44,'RC Lookup'!$A$3:$B$9,2,FALSE),0.5),VLOOKUP('Rock Climbing Log'!Q44,'RC Lookup'!$G$3:$H$5,2,FALSE)),0)*VLOOKUP(P$7,'RC Lookup'!$D$3:$E$18,2,FALSE)</f>
        <v>0</v>
      </c>
      <c r="R44" s="26">
        <f>_xlfn.IFNA(IF(LEFT('Rock Climbing Log'!R44)="C",_xlfn.IFNA(VLOOKUP('Rock Climbing Log'!R44,'RC Lookup'!$A$3:$B$9,2,FALSE),0.5),VLOOKUP('Rock Climbing Log'!R44,'RC Lookup'!$G$3:$H$5,2,FALSE)),0)*VLOOKUP(P$7,'RC Lookup'!$D$3:$E$18,2,FALSE)</f>
        <v>0</v>
      </c>
      <c r="S44" s="26">
        <f>_xlfn.IFNA(IF(LEFT('Rock Climbing Log'!S44)="C",_xlfn.IFNA(VLOOKUP('Rock Climbing Log'!S44,'RC Lookup'!$A$3:$B$9,2,FALSE),0.5),VLOOKUP('Rock Climbing Log'!S44,'RC Lookup'!$G$3:$H$5,2,FALSE)),0)*VLOOKUP(S$7,'RC Lookup'!$D$3:$E$18,2,FALSE)</f>
        <v>0</v>
      </c>
      <c r="T44" s="26">
        <f>_xlfn.IFNA(IF(LEFT('Rock Climbing Log'!T44)="C",_xlfn.IFNA(VLOOKUP('Rock Climbing Log'!T44,'RC Lookup'!$A$3:$B$9,2,FALSE),0.5),VLOOKUP('Rock Climbing Log'!T44,'RC Lookup'!$G$3:$H$5,2,FALSE)),0)*VLOOKUP(S$7,'RC Lookup'!$D$3:$E$18,2,FALSE)</f>
        <v>0</v>
      </c>
      <c r="U44" s="26">
        <f>_xlfn.IFNA(IF(LEFT('Rock Climbing Log'!U44)="C",_xlfn.IFNA(VLOOKUP('Rock Climbing Log'!U44,'RC Lookup'!$A$3:$B$9,2,FALSE),0.5),VLOOKUP('Rock Climbing Log'!U44,'RC Lookup'!$G$3:$H$5,2,FALSE)),0)*VLOOKUP(S$7,'RC Lookup'!$D$3:$E$18,2,FALSE)</f>
        <v>0</v>
      </c>
      <c r="V44" s="26">
        <f>_xlfn.IFNA(IF(LEFT('Rock Climbing Log'!V44)="C",_xlfn.IFNA(VLOOKUP('Rock Climbing Log'!V44,'RC Lookup'!$A$3:$B$9,2,FALSE),0.5),VLOOKUP('Rock Climbing Log'!V44,'RC Lookup'!$G$3:$H$5,2,FALSE)),0)*VLOOKUP(V$7,'RC Lookup'!$D$3:$E$18,2,FALSE)</f>
        <v>0</v>
      </c>
      <c r="W44" s="26">
        <f>_xlfn.IFNA(IF(LEFT('Rock Climbing Log'!W44)="C",_xlfn.IFNA(VLOOKUP('Rock Climbing Log'!W44,'RC Lookup'!$A$3:$B$9,2,FALSE),0.5),VLOOKUP('Rock Climbing Log'!W44,'RC Lookup'!$G$3:$H$5,2,FALSE)),0)*VLOOKUP(V$7,'RC Lookup'!$D$3:$E$18,2,FALSE)</f>
        <v>0</v>
      </c>
      <c r="X44" s="26">
        <f>_xlfn.IFNA(IF(LEFT('Rock Climbing Log'!X44)="C",_xlfn.IFNA(VLOOKUP('Rock Climbing Log'!X44,'RC Lookup'!$A$3:$B$9,2,FALSE),0.5),VLOOKUP('Rock Climbing Log'!X44,'RC Lookup'!$G$3:$H$5,2,FALSE)),0)*VLOOKUP(V$7,'RC Lookup'!$D$3:$E$18,2,FALSE)</f>
        <v>0</v>
      </c>
      <c r="Y44" s="26">
        <f>_xlfn.IFNA(IF(LEFT('Rock Climbing Log'!Y44)="C",_xlfn.IFNA(VLOOKUP('Rock Climbing Log'!Y44,'RC Lookup'!$A$3:$B$9,2,FALSE),0.5),VLOOKUP('Rock Climbing Log'!Y44,'RC Lookup'!$G$3:$H$5,2,FALSE)),0)*VLOOKUP(Y$7,'RC Lookup'!$D$3:$E$18,2,FALSE)</f>
        <v>0</v>
      </c>
      <c r="Z44" s="26">
        <f>_xlfn.IFNA(IF(LEFT('Rock Climbing Log'!Z44)="C",_xlfn.IFNA(VLOOKUP('Rock Climbing Log'!Z44,'RC Lookup'!$A$3:$B$9,2,FALSE),0.5),VLOOKUP('Rock Climbing Log'!Z44,'RC Lookup'!$G$3:$H$5,2,FALSE)),0)*VLOOKUP(Y$7,'RC Lookup'!$D$3:$E$18,2,FALSE)</f>
        <v>0</v>
      </c>
      <c r="AA44" s="26">
        <f>_xlfn.IFNA(IF(LEFT('Rock Climbing Log'!AA44)="C",_xlfn.IFNA(VLOOKUP('Rock Climbing Log'!AA44,'RC Lookup'!$A$3:$B$9,2,FALSE),0.5),VLOOKUP('Rock Climbing Log'!AA44,'RC Lookup'!$G$3:$H$5,2,FALSE)),0)*VLOOKUP(Y$7,'RC Lookup'!$D$3:$E$18,2,FALSE)</f>
        <v>0</v>
      </c>
      <c r="AB44" s="26">
        <f>_xlfn.IFNA(IF(LEFT('Rock Climbing Log'!AB44)="C",_xlfn.IFNA(VLOOKUP('Rock Climbing Log'!AB44,'RC Lookup'!$A$3:$B$9,2,FALSE),0.5),VLOOKUP('Rock Climbing Log'!AB44,'RC Lookup'!$G$3:$H$5,2,FALSE)),0)*VLOOKUP(AB$7,'RC Lookup'!$D$3:$E$18,2,FALSE)</f>
        <v>0</v>
      </c>
      <c r="AC44" s="26">
        <f>_xlfn.IFNA(IF(LEFT('Rock Climbing Log'!AC44)="C",_xlfn.IFNA(VLOOKUP('Rock Climbing Log'!AC44,'RC Lookup'!$A$3:$B$9,2,FALSE),0.5),VLOOKUP('Rock Climbing Log'!AC44,'RC Lookup'!$G$3:$H$5,2,FALSE)),0)*VLOOKUP(AB$7,'RC Lookup'!$D$3:$E$18,2,FALSE)</f>
        <v>0</v>
      </c>
      <c r="AD44" s="26">
        <f>_xlfn.IFNA(IF(LEFT('Rock Climbing Log'!AD44)="C",_xlfn.IFNA(VLOOKUP('Rock Climbing Log'!AD44,'RC Lookup'!$A$3:$B$9,2,FALSE),0.5),VLOOKUP('Rock Climbing Log'!AD44,'RC Lookup'!$G$3:$H$5,2,FALSE)),0)*VLOOKUP(AB$7,'RC Lookup'!$D$3:$E$18,2,FALSE)</f>
        <v>0</v>
      </c>
      <c r="AE44" s="26">
        <f>_xlfn.IFNA(IF(LEFT('Rock Climbing Log'!AE44)="C",_xlfn.IFNA(VLOOKUP('Rock Climbing Log'!AE44,'RC Lookup'!$A$3:$B$9,2,FALSE),0.5),VLOOKUP('Rock Climbing Log'!AE44,'RC Lookup'!$G$3:$H$5,2,FALSE)),0)*VLOOKUP(AE$7,'RC Lookup'!$D$3:$E$18,2,FALSE)</f>
        <v>0</v>
      </c>
      <c r="AF44" s="26">
        <f>_xlfn.IFNA(IF(LEFT('Rock Climbing Log'!AF44)="C",_xlfn.IFNA(VLOOKUP('Rock Climbing Log'!AF44,'RC Lookup'!$A$3:$B$9,2,FALSE),0.5),VLOOKUP('Rock Climbing Log'!AF44,'RC Lookup'!$G$3:$H$5,2,FALSE)),0)*VLOOKUP(AE$7,'RC Lookup'!$D$3:$E$18,2,FALSE)</f>
        <v>0</v>
      </c>
      <c r="AG44" s="26">
        <f>_xlfn.IFNA(IF(LEFT('Rock Climbing Log'!AG44)="C",_xlfn.IFNA(VLOOKUP('Rock Climbing Log'!AG44,'RC Lookup'!$A$3:$B$9,2,FALSE),0.5),VLOOKUP('Rock Climbing Log'!AG44,'RC Lookup'!$G$3:$H$5,2,FALSE)),0)*VLOOKUP(AE$7,'RC Lookup'!$D$3:$E$18,2,FALSE)</f>
        <v>0</v>
      </c>
      <c r="AH44" s="26">
        <f>_xlfn.IFNA(IF(LEFT('Rock Climbing Log'!AH44)="C",_xlfn.IFNA(VLOOKUP('Rock Climbing Log'!AH44,'RC Lookup'!$A$3:$B$9,2,FALSE),0.5),VLOOKUP('Rock Climbing Log'!AH44,'RC Lookup'!$G$3:$H$5,2,FALSE)),0)*VLOOKUP(AH$7,'RC Lookup'!$D$3:$E$18,2,FALSE)</f>
        <v>0</v>
      </c>
      <c r="AI44" s="26">
        <f>_xlfn.IFNA(IF(LEFT('Rock Climbing Log'!AI44)="C",_xlfn.IFNA(VLOOKUP('Rock Climbing Log'!AI44,'RC Lookup'!$A$3:$B$9,2,FALSE),0.5),VLOOKUP('Rock Climbing Log'!AI44,'RC Lookup'!$G$3:$H$5,2,FALSE)),0)*VLOOKUP(AH$7,'RC Lookup'!$D$3:$E$18,2,FALSE)</f>
        <v>0</v>
      </c>
      <c r="AJ44" s="26">
        <f>_xlfn.IFNA(IF(LEFT('Rock Climbing Log'!AJ44)="C",_xlfn.IFNA(VLOOKUP('Rock Climbing Log'!AJ44,'RC Lookup'!$A$3:$B$9,2,FALSE),0.5),VLOOKUP('Rock Climbing Log'!AJ44,'RC Lookup'!$G$3:$H$5,2,FALSE)),0)*VLOOKUP(AH$7,'RC Lookup'!$D$3:$E$18,2,FALSE)</f>
        <v>0</v>
      </c>
      <c r="AK44" s="26">
        <f>_xlfn.IFNA(IF(LEFT('Rock Climbing Log'!AK44)="C",_xlfn.IFNA(VLOOKUP('Rock Climbing Log'!AK44,'RC Lookup'!$A$3:$B$9,2,FALSE),0.5),VLOOKUP('Rock Climbing Log'!AK44,'RC Lookup'!$G$3:$H$5,2,FALSE)),0)*VLOOKUP(AK$7,'RC Lookup'!$D$3:$E$18,2,FALSE)</f>
        <v>0</v>
      </c>
      <c r="AL44" s="26">
        <f>_xlfn.IFNA(IF(LEFT('Rock Climbing Log'!AL44)="C",_xlfn.IFNA(VLOOKUP('Rock Climbing Log'!AL44,'RC Lookup'!$A$3:$B$9,2,FALSE),0.5),VLOOKUP('Rock Climbing Log'!AL44,'RC Lookup'!$G$3:$H$5,2,FALSE)),0)*VLOOKUP(AK$7,'RC Lookup'!$D$3:$E$18,2,FALSE)</f>
        <v>0</v>
      </c>
      <c r="AM44" s="26">
        <f>_xlfn.IFNA(IF(LEFT('Rock Climbing Log'!AM44)="C",_xlfn.IFNA(VLOOKUP('Rock Climbing Log'!AM44,'RC Lookup'!$A$3:$B$9,2,FALSE),0.5),VLOOKUP('Rock Climbing Log'!AM44,'RC Lookup'!$G$3:$H$5,2,FALSE)),0)*VLOOKUP(AK$7,'RC Lookup'!$D$3:$E$18,2,FALSE)</f>
        <v>0</v>
      </c>
      <c r="AN44" s="26">
        <f>_xlfn.IFNA(IF(LEFT('Rock Climbing Log'!AN44)="C",_xlfn.IFNA(VLOOKUP('Rock Climbing Log'!AN44,'RC Lookup'!$A$3:$B$9,2,FALSE),0.5),VLOOKUP('Rock Climbing Log'!AN44,'RC Lookup'!$G$3:$H$5,2,FALSE)),0)*VLOOKUP(AN$7,'RC Lookup'!$D$3:$E$18,2,FALSE)</f>
        <v>0</v>
      </c>
      <c r="AO44" s="26">
        <f>_xlfn.IFNA(IF(LEFT('Rock Climbing Log'!AO44)="C",_xlfn.IFNA(VLOOKUP('Rock Climbing Log'!AO44,'RC Lookup'!$A$3:$B$9,2,FALSE),0.5),VLOOKUP('Rock Climbing Log'!AO44,'RC Lookup'!$G$3:$H$5,2,FALSE)),0)*VLOOKUP(AN$7,'RC Lookup'!$D$3:$E$18,2,FALSE)</f>
        <v>0</v>
      </c>
      <c r="AP44" s="26">
        <f>_xlfn.IFNA(IF(LEFT('Rock Climbing Log'!AP44)="C",_xlfn.IFNA(VLOOKUP('Rock Climbing Log'!AP44,'RC Lookup'!$A$3:$B$9,2,FALSE),0.5),VLOOKUP('Rock Climbing Log'!AP44,'RC Lookup'!$G$3:$H$5,2,FALSE)),0)*VLOOKUP(AN$7,'RC Lookup'!$D$3:$E$18,2,FALSE)</f>
        <v>0</v>
      </c>
      <c r="AQ44" s="26">
        <f>_xlfn.IFNA(IF(LEFT('Rock Climbing Log'!AQ44)="C",_xlfn.IFNA(VLOOKUP('Rock Climbing Log'!AQ44,'RC Lookup'!$A$3:$B$9,2,FALSE),0.5),VLOOKUP('Rock Climbing Log'!AQ44,'RC Lookup'!$G$3:$H$5,2,FALSE)),0)*VLOOKUP(AQ$7,'RC Lookup'!$D$3:$E$18,2,FALSE)</f>
        <v>0</v>
      </c>
      <c r="AR44" s="26">
        <f>_xlfn.IFNA(IF(LEFT('Rock Climbing Log'!AR44)="C",_xlfn.IFNA(VLOOKUP('Rock Climbing Log'!AR44,'RC Lookup'!$A$3:$B$9,2,FALSE),0.5),VLOOKUP('Rock Climbing Log'!AR44,'RC Lookup'!$G$3:$H$5,2,FALSE)),0)*VLOOKUP(AQ$7,'RC Lookup'!$D$3:$E$18,2,FALSE)</f>
        <v>0</v>
      </c>
      <c r="AS44" s="26">
        <f>_xlfn.IFNA(IF(LEFT('Rock Climbing Log'!AS44)="C",_xlfn.IFNA(VLOOKUP('Rock Climbing Log'!AS44,'RC Lookup'!$A$3:$B$9,2,FALSE),0.5),VLOOKUP('Rock Climbing Log'!AS44,'RC Lookup'!$G$3:$H$5,2,FALSE)),0)*VLOOKUP(AQ$7,'RC Lookup'!$D$3:$E$18,2,FALSE)</f>
        <v>0</v>
      </c>
      <c r="AT44" s="26">
        <f>_xlfn.IFNA(IF(LEFT('Rock Climbing Log'!AT44)="C",_xlfn.IFNA(VLOOKUP('Rock Climbing Log'!AT44,'RC Lookup'!$A$3:$B$9,2,FALSE),0.5),VLOOKUP('Rock Climbing Log'!AT44,'RC Lookup'!$G$3:$H$5,2,FALSE)),0)*VLOOKUP(AT$7,'RC Lookup'!$D$3:$E$18,2,FALSE)</f>
        <v>0</v>
      </c>
      <c r="AU44" s="26">
        <f>_xlfn.IFNA(IF(LEFT('Rock Climbing Log'!AU44)="C",_xlfn.IFNA(VLOOKUP('Rock Climbing Log'!AU44,'RC Lookup'!$A$3:$B$9,2,FALSE),0.5),VLOOKUP('Rock Climbing Log'!AU44,'RC Lookup'!$G$3:$H$5,2,FALSE)),0)*VLOOKUP(AT$7,'RC Lookup'!$D$3:$E$18,2,FALSE)</f>
        <v>0</v>
      </c>
      <c r="AV44" s="26">
        <f>_xlfn.IFNA(IF(LEFT('Rock Climbing Log'!AV44)="C",_xlfn.IFNA(VLOOKUP('Rock Climbing Log'!AV44,'RC Lookup'!$A$3:$B$9,2,FALSE),0.5),VLOOKUP('Rock Climbing Log'!AV44,'RC Lookup'!$G$3:$H$5,2,FALSE)),0)*VLOOKUP(AT$7,'RC Lookup'!$D$3:$E$18,2,FALSE)</f>
        <v>0</v>
      </c>
      <c r="AW44" s="30">
        <f t="shared" ca="1" si="2"/>
        <v>30.002500000000001</v>
      </c>
      <c r="AX44" s="30">
        <f ca="1">_xlfn.IFNA(VLOOKUP(SUMPRODUCT(LARGE(($C$8:$C44=Table1[[#This Row],[Climber]])*$A$8:$A44,1)),$A$8:$AW44,MATCH($AW$7,$A$7:$AW$7,FALSE),FALSE),0)/LEFT($AX$7,FIND(" ",$AX$7))+_xlfn.IFNA(VLOOKUP(SUMPRODUCT(LARGE(($C$8:$C44=Table1[[#This Row],[Climber]])*$A$8:$A44,MIN(2,COUNTIFS($C$8:$C44,$C44)))),$A$8:$AW44,MATCH($AW$7,$A$7:$AW$7,FALSE),FALSE),0)/LEFT($AX$7,FIND(" ",$AX$7))+_xlfn.IFNA(VLOOKUP(SUMPRODUCT(LARGE(($C$8:$C44=Table1[[#This Row],[Climber]])*$A$8:$A44,MIN(3,COUNTIFS($C$8:$C44,$C44)))),$A$8:$AW44,MATCH($AW$7,$A$7:$AW$7,FALSE),FALSE),0)/LEFT($AX$7,FIND(" ",$AX$7))</f>
        <v>30.002500000000005</v>
      </c>
      <c r="AY44" s="30">
        <f ca="1">_xlfn.IFNA(VLOOKUP(SUMPRODUCT(LARGE(($C$8:$C44=Table1[[#This Row],[Climber]])*$A$8:$A44,1)),$A$8:$AW44,MATCH($AW$7,$A$7:$AW$7,FALSE),FALSE),0)/LEFT($AY$7,FIND(" ",$AY$7))+_xlfn.IFNA(VLOOKUP(SUMPRODUCT(LARGE(($C$8:$C44=Table1[[#This Row],[Climber]])*$A$8:$A44,MIN(2,COUNTIFS($C$8:$C44,$C44)))),$A$8:$AW44,MATCH($AW$7,$A$7:$AW$7,FALSE),FALSE),0)/LEFT($AY$7,FIND(" ",$AY$7))+_xlfn.IFNA(VLOOKUP(SUMPRODUCT(LARGE(($C$8:$C44=Table1[[#This Row],[Climber]])*$A$8:$A44,MIN(3,COUNTIFS($C$8:$C44,$C44)))),$A$8:$AW44,MATCH($AW$7,$A$7:$AW$7,FALSE),FALSE),0)/LEFT($AY$7,FIND(" ",$AY$7))+_xlfn.IFNA(VLOOKUP(SUMPRODUCT(LARGE(($C$8:$C44=Table1[[#This Row],[Climber]])*$A$8:$A44,MIN(4,COUNTIFS($C$8:$C44,$C44)))),$A$8:$AW44,MATCH($AW$7,$A$7:$AW$7,FALSE),FALSE),0)/LEFT($AY$7,FIND(" ",$AY$7))+_xlfn.IFNA(VLOOKUP(SUMPRODUCT(LARGE(($C$8:$C44=Table1[[#This Row],[Climber]])*$A$8:$A44,MIN(5,COUNTIFS($C$8:$C44,$C44)))),$A$8:$AW44,MATCH($AW$7,$A$7:$AW$7,FALSE),FALSE),0)/LEFT($AY$7,FIND(" ",$AY$7))</f>
        <v>30.002500000000005</v>
      </c>
      <c r="AZ44" s="30">
        <f>(_xlfn.IFNA(VLOOKUP(SUMPRODUCT(LARGE(($C$8:$C44=Table1[[#This Row],[Climber]])*$A$8:$A44,4)),$A$8:$AW44,MATCH($AW$7,$A$7:$AW$7,FALSE),FALSE),0)+_xlfn.IFNA(VLOOKUP(SUMPRODUCT(LARGE(($C$8:$C44=Table1[[#This Row],[Climber]])*$A$8:$A44,5)),$A$8:$AW44,MATCH($AW$7,$A$7:$AW$7,FALSE),FALSE),0)+_xlfn.IFNA(VLOOKUP(SUMPRODUCT(LARGE(($C$8:$C44=Table1[[#This Row],[Climber]])*$A$8:$A44,6)),$A$8:$AW44,MATCH($AW$7,$A$7:$AW$7,FALSE),FALSE),0))/3</f>
        <v>0</v>
      </c>
      <c r="BA44" s="6">
        <f ca="1">_xlfn.MAXIFS(INDIRECT("$AW"&amp;IF(SUMPRODUCT(LARGE(($C$8:$C44=$C44)*$A$8:$A44,LEFT($BA$7,FIND(" ",$BA$7)-1)))=0,8,SUMPRODUCT(LARGE(($C$8:$C44=$C44)*$A$8:$A44,LEFT($BA$7,FIND(" ",$BA$7)-1)))+7)&amp;":$AW"&amp;ROW()),INDIRECT("$C"&amp;IF(SUMPRODUCT(LARGE(($C$8:$C44=$C44)*$A$8:$A44,LEFT($BA$7,FIND(" ",$BA$7)-1)))=0,8,SUMPRODUCT(LARGE(($C$8:$C44=$C44)*$A$8:$A44,LEFT($BA$7,FIND(" ",$BA$7)-1)))+7)&amp;":$C"&amp;ROW()),$C44)</f>
        <v>30.002500000000001</v>
      </c>
      <c r="BB44" s="6" t="str">
        <f ca="1">VLOOKUP(MAX(BG44,$AX44),'RC Lookup'!$G$14:$J$20,2,TRUE)</f>
        <v>T1</v>
      </c>
      <c r="BC44" s="6">
        <f ca="1">_xlfn.IFNA(VLOOKUP(VLOOKUP($C44,'RC Lookup'!$O$3:$P$50,2,FALSE),'RC Lookup'!$H$14:$J$23,2,FALSE),0)*AW44</f>
        <v>49.997916927050781</v>
      </c>
      <c r="BD44" s="6">
        <f ca="1">_xlfn.IFNA(VLOOKUP(SUMPRODUCT(LARGE(($C$8:$C44=Table1[[#This Row],[Climber]])*$A$8:$A44,1)),$A$8:$BC44,55,FALSE),0)/LEFT($AX$7,FIND(" ",$AX$7))+_xlfn.IFNA(VLOOKUP(SUMPRODUCT(LARGE(($C$8:$C44=Table1[[#This Row],[Climber]])*$A$8:$A44,MIN(2,COUNTIFS($C$8:$C44,$C44)))),$A$8:$BC44,55,FALSE),0)/LEFT($AX$7,FIND(" ",$AX$7))+_xlfn.IFNA(VLOOKUP(SUMPRODUCT(LARGE(($C$8:$C44=Table1[[#This Row],[Climber]])*$A$8:$A44,MIN(3,COUNTIFS($C$8:$C44,$C44)))),$A$8:$BC44,55,FALSE),0)/LEFT($AX$7,FIND(" ",$AX$7))</f>
        <v>49.997916927050781</v>
      </c>
      <c r="BE44" s="6">
        <f>(_xlfn.IFNA(VLOOKUP(SUMPRODUCT(LARGE(($C$8:$C44=Table1[[#This Row],[Climber]])*$A$8:$A44,4)),$A$8:$BD44,55,FALSE),0)+_xlfn.IFNA(VLOOKUP(SUMPRODUCT(LARGE(($C$8:$C44=Table1[[#This Row],[Climber]])*$A$8:$A44,5)),$A$8:$BD44,55,FALSE),0)+_xlfn.IFNA(VLOOKUP(SUMPRODUCT(LARGE(($C$8:$C44=Table1[[#This Row],[Climber]])*$A$8:$A44,6)),$A$8:$BD44,55,FALSE),0))/3</f>
        <v>0</v>
      </c>
      <c r="BF44" s="46">
        <f ca="1">_xlfn.MAXIFS(INDIRECT("$BC"&amp;IF(SUMPRODUCT(LARGE(($C$8:$C44=$C44)*$A$8:$A44,LEFT($BA$7,FIND(" ",$BA$7)-1)))=0,8,SUMPRODUCT(LARGE(($C$8:$C44=$C44)*$A$8:$A44,LEFT($BA$7,FIND(" ",$BA$7)-1)))+7)&amp;":$BC"&amp;ROW()),INDIRECT("$C"&amp;IF(SUMPRODUCT(LARGE(($C$8:$C44=$C44)*$A$8:$A44,LEFT($BA$7,FIND(" ",$BA$7)-1)))=0,8,SUMPRODUCT(LARGE(($C$8:$C44=$C44)*$A$8:$A44,LEFT($BA$7,FIND(" ",$BA$7)-1)))+7)&amp;":$C"&amp;ROW()),$C44)</f>
        <v>49.997916927050781</v>
      </c>
      <c r="BG44" s="46">
        <f t="array" aca="1" ref="BG44" ca="1">IFERROR(SUMPRODUCT(LARGE(($C$8:$C44=Table1[[#This Row],[Climber]])*$AW$8:$AW44,ROW(INDIRECT("1:5")))),AW44)/MIN(COUNTIFS($C$8:$C44,C44),5)</f>
        <v>30.002500000000001</v>
      </c>
      <c r="BH44" s="46"/>
    </row>
    <row r="45" spans="1:60" x14ac:dyDescent="0.3">
      <c r="A45" s="125">
        <f t="shared" si="1"/>
        <v>38</v>
      </c>
      <c r="B45" s="25">
        <f>'Rock Climbing Log'!B45</f>
        <v>43139</v>
      </c>
      <c r="C45" s="126" t="str">
        <f>'Rock Climbing Log'!C45</f>
        <v>Lester</v>
      </c>
      <c r="D45" s="26">
        <f>_xlfn.IFNA(IF(LEFT('Rock Climbing Log'!D45)="C",_xlfn.IFNA(VLOOKUP('Rock Climbing Log'!D45,'RC Lookup'!$A$3:$B$9,2,FALSE),0.5),VLOOKUP('Rock Climbing Log'!D45,'RC Lookup'!$G$3:$H$5,2,FALSE)),0)*VLOOKUP(D$7,'RC Lookup'!$D$3:$E$18,2,FALSE)</f>
        <v>0</v>
      </c>
      <c r="E45" s="26">
        <f>_xlfn.IFNA(IF(LEFT('Rock Climbing Log'!E45)="C",_xlfn.IFNA(VLOOKUP('Rock Climbing Log'!E45,'RC Lookup'!$A$3:$B$9,2,FALSE),0.5),VLOOKUP('Rock Climbing Log'!E45,'RC Lookup'!$G$3:$H$5,2,FALSE)),0)*VLOOKUP(D$7,'RC Lookup'!$D$3:$E$18,2,FALSE)</f>
        <v>0</v>
      </c>
      <c r="F45" s="26">
        <f>_xlfn.IFNA(IF(LEFT('Rock Climbing Log'!F45)="C",_xlfn.IFNA(VLOOKUP('Rock Climbing Log'!F45,'RC Lookup'!$A$3:$B$9,2,FALSE),0.5),VLOOKUP('Rock Climbing Log'!F45,'RC Lookup'!$G$3:$H$5,2,FALSE)),0)*VLOOKUP(D$7,'RC Lookup'!$D$3:$E$18,2,FALSE)</f>
        <v>0</v>
      </c>
      <c r="G45" s="26">
        <f>_xlfn.IFNA(IF(LEFT('Rock Climbing Log'!G45)="C",_xlfn.IFNA(VLOOKUP('Rock Climbing Log'!G45,'RC Lookup'!$A$3:$B$9,2,FALSE),0.5),VLOOKUP('Rock Climbing Log'!G45,'RC Lookup'!$G$3:$H$5,2,FALSE)),0)*VLOOKUP(G$7,'RC Lookup'!$D$3:$E$18,2,FALSE)</f>
        <v>0</v>
      </c>
      <c r="H45" s="26">
        <f>_xlfn.IFNA(IF(LEFT('Rock Climbing Log'!H45)="C",_xlfn.IFNA(VLOOKUP('Rock Climbing Log'!H45,'RC Lookup'!$A$3:$B$9,2,FALSE),0.5),VLOOKUP('Rock Climbing Log'!H45,'RC Lookup'!$G$3:$H$5,2,FALSE)),0)*VLOOKUP(G$7,'RC Lookup'!$D$3:$E$18,2,FALSE)</f>
        <v>0</v>
      </c>
      <c r="I45" s="26">
        <f>_xlfn.IFNA(IF(LEFT('Rock Climbing Log'!I45)="C",_xlfn.IFNA(VLOOKUP('Rock Climbing Log'!I45,'RC Lookup'!$A$3:$B$9,2,FALSE),0.5),VLOOKUP('Rock Climbing Log'!I45,'RC Lookup'!$G$3:$H$5,2,FALSE)),0)*VLOOKUP(G$7,'RC Lookup'!$D$3:$E$18,2,FALSE)</f>
        <v>0</v>
      </c>
      <c r="J45" s="26">
        <f>_xlfn.IFNA(IF(LEFT('Rock Climbing Log'!J45)="C",_xlfn.IFNA(VLOOKUP('Rock Climbing Log'!J45,'RC Lookup'!$A$3:$B$9,2,FALSE),0.5),VLOOKUP('Rock Climbing Log'!J45,'RC Lookup'!$G$3:$H$5,2,FALSE)),0)*VLOOKUP(J$7,'RC Lookup'!$D$3:$E$18,2,FALSE)</f>
        <v>0</v>
      </c>
      <c r="K45" s="26">
        <f>_xlfn.IFNA(IF(LEFT('Rock Climbing Log'!K45)="C",_xlfn.IFNA(VLOOKUP('Rock Climbing Log'!K45,'RC Lookup'!$A$3:$B$9,2,FALSE),0.5),VLOOKUP('Rock Climbing Log'!K45,'RC Lookup'!$G$3:$H$5,2,FALSE)),0)*VLOOKUP(J$7,'RC Lookup'!$D$3:$E$18,2,FALSE)</f>
        <v>0</v>
      </c>
      <c r="L45" s="26">
        <f>_xlfn.IFNA(IF(LEFT('Rock Climbing Log'!L45)="C",_xlfn.IFNA(VLOOKUP('Rock Climbing Log'!L45,'RC Lookup'!$A$3:$B$9,2,FALSE),0.5),VLOOKUP('Rock Climbing Log'!L45,'RC Lookup'!$G$3:$H$5,2,FALSE)),0)*VLOOKUP(J$7,'RC Lookup'!$D$3:$E$18,2,FALSE)</f>
        <v>0</v>
      </c>
      <c r="M45" s="26">
        <f>_xlfn.IFNA(IF(LEFT('Rock Climbing Log'!M45)="C",_xlfn.IFNA(VLOOKUP('Rock Climbing Log'!M45,'RC Lookup'!$A$3:$B$9,2,FALSE),0.5),VLOOKUP('Rock Climbing Log'!M45,'RC Lookup'!$G$3:$H$5,2,FALSE)),0)*VLOOKUP(M$7,'RC Lookup'!$D$3:$E$18,2,FALSE)</f>
        <v>20.002500000000001</v>
      </c>
      <c r="N45" s="26">
        <f>_xlfn.IFNA(IF(LEFT('Rock Climbing Log'!N45)="C",_xlfn.IFNA(VLOOKUP('Rock Climbing Log'!N45,'RC Lookup'!$A$3:$B$9,2,FALSE),0.5),VLOOKUP('Rock Climbing Log'!N45,'RC Lookup'!$G$3:$H$5,2,FALSE)),0)*VLOOKUP(M$7,'RC Lookup'!$D$3:$E$18,2,FALSE)</f>
        <v>0</v>
      </c>
      <c r="O45" s="26">
        <f>_xlfn.IFNA(IF(LEFT('Rock Climbing Log'!O45)="C",_xlfn.IFNA(VLOOKUP('Rock Climbing Log'!O45,'RC Lookup'!$A$3:$B$9,2,FALSE),0.5),VLOOKUP('Rock Climbing Log'!O45,'RC Lookup'!$G$3:$H$5,2,FALSE)),0)*VLOOKUP(M$7,'RC Lookup'!$D$3:$E$18,2,FALSE)</f>
        <v>0</v>
      </c>
      <c r="P45" s="26">
        <f>_xlfn.IFNA(IF(LEFT('Rock Climbing Log'!P45)="C",_xlfn.IFNA(VLOOKUP('Rock Climbing Log'!P45,'RC Lookup'!$A$3:$B$9,2,FALSE),0.5),VLOOKUP('Rock Climbing Log'!P45,'RC Lookup'!$G$3:$H$5,2,FALSE)),0)*VLOOKUP(P$7,'RC Lookup'!$D$3:$E$18,2,FALSE)</f>
        <v>0</v>
      </c>
      <c r="Q45" s="26">
        <f>_xlfn.IFNA(IF(LEFT('Rock Climbing Log'!Q45)="C",_xlfn.IFNA(VLOOKUP('Rock Climbing Log'!Q45,'RC Lookup'!$A$3:$B$9,2,FALSE),0.5),VLOOKUP('Rock Climbing Log'!Q45,'RC Lookup'!$G$3:$H$5,2,FALSE)),0)*VLOOKUP(P$7,'RC Lookup'!$D$3:$E$18,2,FALSE)</f>
        <v>0</v>
      </c>
      <c r="R45" s="26">
        <f>_xlfn.IFNA(IF(LEFT('Rock Climbing Log'!R45)="C",_xlfn.IFNA(VLOOKUP('Rock Climbing Log'!R45,'RC Lookup'!$A$3:$B$9,2,FALSE),0.5),VLOOKUP('Rock Climbing Log'!R45,'RC Lookup'!$G$3:$H$5,2,FALSE)),0)*VLOOKUP(P$7,'RC Lookup'!$D$3:$E$18,2,FALSE)</f>
        <v>0</v>
      </c>
      <c r="S45" s="26">
        <f>_xlfn.IFNA(IF(LEFT('Rock Climbing Log'!S45)="C",_xlfn.IFNA(VLOOKUP('Rock Climbing Log'!S45,'RC Lookup'!$A$3:$B$9,2,FALSE),0.5),VLOOKUP('Rock Climbing Log'!S45,'RC Lookup'!$G$3:$H$5,2,FALSE)),0)*VLOOKUP(S$7,'RC Lookup'!$D$3:$E$18,2,FALSE)</f>
        <v>0</v>
      </c>
      <c r="T45" s="26">
        <f>_xlfn.IFNA(IF(LEFT('Rock Climbing Log'!T45)="C",_xlfn.IFNA(VLOOKUP('Rock Climbing Log'!T45,'RC Lookup'!$A$3:$B$9,2,FALSE),0.5),VLOOKUP('Rock Climbing Log'!T45,'RC Lookup'!$G$3:$H$5,2,FALSE)),0)*VLOOKUP(S$7,'RC Lookup'!$D$3:$E$18,2,FALSE)</f>
        <v>0</v>
      </c>
      <c r="U45" s="26">
        <f>_xlfn.IFNA(IF(LEFT('Rock Climbing Log'!U45)="C",_xlfn.IFNA(VLOOKUP('Rock Climbing Log'!U45,'RC Lookup'!$A$3:$B$9,2,FALSE),0.5),VLOOKUP('Rock Climbing Log'!U45,'RC Lookup'!$G$3:$H$5,2,FALSE)),0)*VLOOKUP(S$7,'RC Lookup'!$D$3:$E$18,2,FALSE)</f>
        <v>0</v>
      </c>
      <c r="V45" s="26">
        <f>_xlfn.IFNA(IF(LEFT('Rock Climbing Log'!V45)="C",_xlfn.IFNA(VLOOKUP('Rock Climbing Log'!V45,'RC Lookup'!$A$3:$B$9,2,FALSE),0.5),VLOOKUP('Rock Climbing Log'!V45,'RC Lookup'!$G$3:$H$5,2,FALSE)),0)*VLOOKUP(V$7,'RC Lookup'!$D$3:$E$18,2,FALSE)</f>
        <v>0</v>
      </c>
      <c r="W45" s="26">
        <f>_xlfn.IFNA(IF(LEFT('Rock Climbing Log'!W45)="C",_xlfn.IFNA(VLOOKUP('Rock Climbing Log'!W45,'RC Lookup'!$A$3:$B$9,2,FALSE),0.5),VLOOKUP('Rock Climbing Log'!W45,'RC Lookup'!$G$3:$H$5,2,FALSE)),0)*VLOOKUP(V$7,'RC Lookup'!$D$3:$E$18,2,FALSE)</f>
        <v>0</v>
      </c>
      <c r="X45" s="26">
        <f>_xlfn.IFNA(IF(LEFT('Rock Climbing Log'!X45)="C",_xlfn.IFNA(VLOOKUP('Rock Climbing Log'!X45,'RC Lookup'!$A$3:$B$9,2,FALSE),0.5),VLOOKUP('Rock Climbing Log'!X45,'RC Lookup'!$G$3:$H$5,2,FALSE)),0)*VLOOKUP(V$7,'RC Lookup'!$D$3:$E$18,2,FALSE)</f>
        <v>0</v>
      </c>
      <c r="Y45" s="26">
        <f>_xlfn.IFNA(IF(LEFT('Rock Climbing Log'!Y45)="C",_xlfn.IFNA(VLOOKUP('Rock Climbing Log'!Y45,'RC Lookup'!$A$3:$B$9,2,FALSE),0.5),VLOOKUP('Rock Climbing Log'!Y45,'RC Lookup'!$G$3:$H$5,2,FALSE)),0)*VLOOKUP(Y$7,'RC Lookup'!$D$3:$E$18,2,FALSE)</f>
        <v>0</v>
      </c>
      <c r="Z45" s="26">
        <f>_xlfn.IFNA(IF(LEFT('Rock Climbing Log'!Z45)="C",_xlfn.IFNA(VLOOKUP('Rock Climbing Log'!Z45,'RC Lookup'!$A$3:$B$9,2,FALSE),0.5),VLOOKUP('Rock Climbing Log'!Z45,'RC Lookup'!$G$3:$H$5,2,FALSE)),0)*VLOOKUP(Y$7,'RC Lookup'!$D$3:$E$18,2,FALSE)</f>
        <v>0</v>
      </c>
      <c r="AA45" s="26">
        <f>_xlfn.IFNA(IF(LEFT('Rock Climbing Log'!AA45)="C",_xlfn.IFNA(VLOOKUP('Rock Climbing Log'!AA45,'RC Lookup'!$A$3:$B$9,2,FALSE),0.5),VLOOKUP('Rock Climbing Log'!AA45,'RC Lookup'!$G$3:$H$5,2,FALSE)),0)*VLOOKUP(Y$7,'RC Lookup'!$D$3:$E$18,2,FALSE)</f>
        <v>0</v>
      </c>
      <c r="AB45" s="26">
        <f>_xlfn.IFNA(IF(LEFT('Rock Climbing Log'!AB45)="C",_xlfn.IFNA(VLOOKUP('Rock Climbing Log'!AB45,'RC Lookup'!$A$3:$B$9,2,FALSE),0.5),VLOOKUP('Rock Climbing Log'!AB45,'RC Lookup'!$G$3:$H$5,2,FALSE)),0)*VLOOKUP(AB$7,'RC Lookup'!$D$3:$E$18,2,FALSE)</f>
        <v>0</v>
      </c>
      <c r="AC45" s="26">
        <f>_xlfn.IFNA(IF(LEFT('Rock Climbing Log'!AC45)="C",_xlfn.IFNA(VLOOKUP('Rock Climbing Log'!AC45,'RC Lookup'!$A$3:$B$9,2,FALSE),0.5),VLOOKUP('Rock Climbing Log'!AC45,'RC Lookup'!$G$3:$H$5,2,FALSE)),0)*VLOOKUP(AB$7,'RC Lookup'!$D$3:$E$18,2,FALSE)</f>
        <v>0</v>
      </c>
      <c r="AD45" s="26">
        <f>_xlfn.IFNA(IF(LEFT('Rock Climbing Log'!AD45)="C",_xlfn.IFNA(VLOOKUP('Rock Climbing Log'!AD45,'RC Lookup'!$A$3:$B$9,2,FALSE),0.5),VLOOKUP('Rock Climbing Log'!AD45,'RC Lookup'!$G$3:$H$5,2,FALSE)),0)*VLOOKUP(AB$7,'RC Lookup'!$D$3:$E$18,2,FALSE)</f>
        <v>0</v>
      </c>
      <c r="AE45" s="26">
        <f>_xlfn.IFNA(IF(LEFT('Rock Climbing Log'!AE45)="C",_xlfn.IFNA(VLOOKUP('Rock Climbing Log'!AE45,'RC Lookup'!$A$3:$B$9,2,FALSE),0.5),VLOOKUP('Rock Climbing Log'!AE45,'RC Lookup'!$G$3:$H$5,2,FALSE)),0)*VLOOKUP(AE$7,'RC Lookup'!$D$3:$E$18,2,FALSE)</f>
        <v>67.867671846932893</v>
      </c>
      <c r="AF45" s="26">
        <f>_xlfn.IFNA(IF(LEFT('Rock Climbing Log'!AF45)="C",_xlfn.IFNA(VLOOKUP('Rock Climbing Log'!AF45,'RC Lookup'!$A$3:$B$9,2,FALSE),0.5),VLOOKUP('Rock Climbing Log'!AF45,'RC Lookup'!$G$3:$H$5,2,FALSE)),0)*VLOOKUP(AE$7,'RC Lookup'!$D$3:$E$18,2,FALSE)</f>
        <v>0</v>
      </c>
      <c r="AG45" s="26">
        <f>_xlfn.IFNA(IF(LEFT('Rock Climbing Log'!AG45)="C",_xlfn.IFNA(VLOOKUP('Rock Climbing Log'!AG45,'RC Lookup'!$A$3:$B$9,2,FALSE),0.5),VLOOKUP('Rock Climbing Log'!AG45,'RC Lookup'!$G$3:$H$5,2,FALSE)),0)*VLOOKUP(AE$7,'RC Lookup'!$D$3:$E$18,2,FALSE)</f>
        <v>0</v>
      </c>
      <c r="AH45" s="26">
        <f>_xlfn.IFNA(IF(LEFT('Rock Climbing Log'!AH45)="C",_xlfn.IFNA(VLOOKUP('Rock Climbing Log'!AH45,'RC Lookup'!$A$3:$B$9,2,FALSE),0.5),VLOOKUP('Rock Climbing Log'!AH45,'RC Lookup'!$G$3:$H$5,2,FALSE)),0)*VLOOKUP(AH$7,'RC Lookup'!$D$3:$E$18,2,FALSE)</f>
        <v>0</v>
      </c>
      <c r="AI45" s="26">
        <f>_xlfn.IFNA(IF(LEFT('Rock Climbing Log'!AI45)="C",_xlfn.IFNA(VLOOKUP('Rock Climbing Log'!AI45,'RC Lookup'!$A$3:$B$9,2,FALSE),0.5),VLOOKUP('Rock Climbing Log'!AI45,'RC Lookup'!$G$3:$H$5,2,FALSE)),0)*VLOOKUP(AH$7,'RC Lookup'!$D$3:$E$18,2,FALSE)</f>
        <v>0</v>
      </c>
      <c r="AJ45" s="26">
        <f>_xlfn.IFNA(IF(LEFT('Rock Climbing Log'!AJ45)="C",_xlfn.IFNA(VLOOKUP('Rock Climbing Log'!AJ45,'RC Lookup'!$A$3:$B$9,2,FALSE),0.5),VLOOKUP('Rock Climbing Log'!AJ45,'RC Lookup'!$G$3:$H$5,2,FALSE)),0)*VLOOKUP(AH$7,'RC Lookup'!$D$3:$E$18,2,FALSE)</f>
        <v>0</v>
      </c>
      <c r="AK45" s="26">
        <f>_xlfn.IFNA(IF(LEFT('Rock Climbing Log'!AK45)="C",_xlfn.IFNA(VLOOKUP('Rock Climbing Log'!AK45,'RC Lookup'!$A$3:$B$9,2,FALSE),0.5),VLOOKUP('Rock Climbing Log'!AK45,'RC Lookup'!$G$3:$H$5,2,FALSE)),0)*VLOOKUP(AK$7,'RC Lookup'!$D$3:$E$18,2,FALSE)</f>
        <v>110.15194611444596</v>
      </c>
      <c r="AL45" s="26">
        <f>_xlfn.IFNA(IF(LEFT('Rock Climbing Log'!AL45)="C",_xlfn.IFNA(VLOOKUP('Rock Climbing Log'!AL45,'RC Lookup'!$A$3:$B$9,2,FALSE),0.5),VLOOKUP('Rock Climbing Log'!AL45,'RC Lookup'!$G$3:$H$5,2,FALSE)),0)*VLOOKUP(AK$7,'RC Lookup'!$D$3:$E$18,2,FALSE)</f>
        <v>0</v>
      </c>
      <c r="AM45" s="26">
        <f>_xlfn.IFNA(IF(LEFT('Rock Climbing Log'!AM45)="C",_xlfn.IFNA(VLOOKUP('Rock Climbing Log'!AM45,'RC Lookup'!$A$3:$B$9,2,FALSE),0.5),VLOOKUP('Rock Climbing Log'!AM45,'RC Lookup'!$G$3:$H$5,2,FALSE)),0)*VLOOKUP(AK$7,'RC Lookup'!$D$3:$E$18,2,FALSE)</f>
        <v>0</v>
      </c>
      <c r="AN45" s="26">
        <f>_xlfn.IFNA(IF(LEFT('Rock Climbing Log'!AN45)="C",_xlfn.IFNA(VLOOKUP('Rock Climbing Log'!AN45,'RC Lookup'!$A$3:$B$9,2,FALSE),0.5),VLOOKUP('Rock Climbing Log'!AN45,'RC Lookup'!$G$3:$H$5,2,FALSE)),0)*VLOOKUP(AN$7,'RC Lookup'!$D$3:$E$18,2,FALSE)</f>
        <v>103.74859318292101</v>
      </c>
      <c r="AO45" s="26">
        <f>_xlfn.IFNA(IF(LEFT('Rock Climbing Log'!AO45)="C",_xlfn.IFNA(VLOOKUP('Rock Climbing Log'!AO45,'RC Lookup'!$A$3:$B$9,2,FALSE),0.5),VLOOKUP('Rock Climbing Log'!AO45,'RC Lookup'!$G$3:$H$5,2,FALSE)),0)*VLOOKUP(AN$7,'RC Lookup'!$D$3:$E$18,2,FALSE)</f>
        <v>0</v>
      </c>
      <c r="AP45" s="26">
        <f>_xlfn.IFNA(IF(LEFT('Rock Climbing Log'!AP45)="C",_xlfn.IFNA(VLOOKUP('Rock Climbing Log'!AP45,'RC Lookup'!$A$3:$B$9,2,FALSE),0.5),VLOOKUP('Rock Climbing Log'!AP45,'RC Lookup'!$G$3:$H$5,2,FALSE)),0)*VLOOKUP(AN$7,'RC Lookup'!$D$3:$E$18,2,FALSE)</f>
        <v>0</v>
      </c>
      <c r="AQ45" s="26">
        <f>_xlfn.IFNA(IF(LEFT('Rock Climbing Log'!AQ45)="C",_xlfn.IFNA(VLOOKUP('Rock Climbing Log'!AQ45,'RC Lookup'!$A$3:$B$9,2,FALSE),0.5),VLOOKUP('Rock Climbing Log'!AQ45,'RC Lookup'!$G$3:$H$5,2,FALSE)),0)*VLOOKUP(AQ$7,'RC Lookup'!$D$3:$E$18,2,FALSE)</f>
        <v>92.790236975671462</v>
      </c>
      <c r="AR45" s="26">
        <f>_xlfn.IFNA(IF(LEFT('Rock Climbing Log'!AR45)="C",_xlfn.IFNA(VLOOKUP('Rock Climbing Log'!AR45,'RC Lookup'!$A$3:$B$9,2,FALSE),0.5),VLOOKUP('Rock Climbing Log'!AR45,'RC Lookup'!$G$3:$H$5,2,FALSE)),0)*VLOOKUP(AQ$7,'RC Lookup'!$D$3:$E$18,2,FALSE)</f>
        <v>0</v>
      </c>
      <c r="AS45" s="26">
        <f>_xlfn.IFNA(IF(LEFT('Rock Climbing Log'!AS45)="C",_xlfn.IFNA(VLOOKUP('Rock Climbing Log'!AS45,'RC Lookup'!$A$3:$B$9,2,FALSE),0.5),VLOOKUP('Rock Climbing Log'!AS45,'RC Lookup'!$G$3:$H$5,2,FALSE)),0)*VLOOKUP(AQ$7,'RC Lookup'!$D$3:$E$18,2,FALSE)</f>
        <v>0</v>
      </c>
      <c r="AT45" s="26">
        <f>_xlfn.IFNA(IF(LEFT('Rock Climbing Log'!AT45)="C",_xlfn.IFNA(VLOOKUP('Rock Climbing Log'!AT45,'RC Lookup'!$A$3:$B$9,2,FALSE),0.5),VLOOKUP('Rock Climbing Log'!AT45,'RC Lookup'!$G$3:$H$5,2,FALSE)),0)*VLOOKUP(AT$7,'RC Lookup'!$D$3:$E$18,2,FALSE)</f>
        <v>0</v>
      </c>
      <c r="AU45" s="26">
        <f>_xlfn.IFNA(IF(LEFT('Rock Climbing Log'!AU45)="C",_xlfn.IFNA(VLOOKUP('Rock Climbing Log'!AU45,'RC Lookup'!$A$3:$B$9,2,FALSE),0.5),VLOOKUP('Rock Climbing Log'!AU45,'RC Lookup'!$G$3:$H$5,2,FALSE)),0)*VLOOKUP(AT$7,'RC Lookup'!$D$3:$E$18,2,FALSE)</f>
        <v>0</v>
      </c>
      <c r="AV45" s="26">
        <f>_xlfn.IFNA(IF(LEFT('Rock Climbing Log'!AV45)="C",_xlfn.IFNA(VLOOKUP('Rock Climbing Log'!AV45,'RC Lookup'!$A$3:$B$9,2,FALSE),0.5),VLOOKUP('Rock Climbing Log'!AV45,'RC Lookup'!$G$3:$H$5,2,FALSE)),0)*VLOOKUP(AT$7,'RC Lookup'!$D$3:$E$18,2,FALSE)</f>
        <v>0</v>
      </c>
      <c r="AW45" s="30">
        <f t="shared" ca="1" si="2"/>
        <v>306.69077627303841</v>
      </c>
      <c r="AX45" s="30">
        <f ca="1">_xlfn.IFNA(VLOOKUP(SUMPRODUCT(LARGE(($C$8:$C45=Table1[[#This Row],[Climber]])*$A$8:$A45,1)),$A$8:$AW45,MATCH($AW$7,$A$7:$AW$7,FALSE),FALSE),0)/LEFT($AX$7,FIND(" ",$AX$7))+_xlfn.IFNA(VLOOKUP(SUMPRODUCT(LARGE(($C$8:$C45=Table1[[#This Row],[Climber]])*$A$8:$A45,MIN(2,COUNTIFS($C$8:$C45,$C45)))),$A$8:$AW45,MATCH($AW$7,$A$7:$AW$7,FALSE),FALSE),0)/LEFT($AX$7,FIND(" ",$AX$7))+_xlfn.IFNA(VLOOKUP(SUMPRODUCT(LARGE(($C$8:$C45=Table1[[#This Row],[Climber]])*$A$8:$A45,MIN(3,COUNTIFS($C$8:$C45,$C45)))),$A$8:$AW45,MATCH($AW$7,$A$7:$AW$7,FALSE),FALSE),0)/LEFT($AX$7,FIND(" ",$AX$7))</f>
        <v>288.15972492612406</v>
      </c>
      <c r="AY45" s="30">
        <f ca="1">_xlfn.IFNA(VLOOKUP(SUMPRODUCT(LARGE(($C$8:$C45=Table1[[#This Row],[Climber]])*$A$8:$A45,1)),$A$8:$AW45,MATCH($AW$7,$A$7:$AW$7,FALSE),FALSE),0)/LEFT($AY$7,FIND(" ",$AY$7))+_xlfn.IFNA(VLOOKUP(SUMPRODUCT(LARGE(($C$8:$C45=Table1[[#This Row],[Climber]])*$A$8:$A45,MIN(2,COUNTIFS($C$8:$C45,$C45)))),$A$8:$AW45,MATCH($AW$7,$A$7:$AW$7,FALSE),FALSE),0)/LEFT($AY$7,FIND(" ",$AY$7))+_xlfn.IFNA(VLOOKUP(SUMPRODUCT(LARGE(($C$8:$C45=Table1[[#This Row],[Climber]])*$A$8:$A45,MIN(3,COUNTIFS($C$8:$C45,$C45)))),$A$8:$AW45,MATCH($AW$7,$A$7:$AW$7,FALSE),FALSE),0)/LEFT($AY$7,FIND(" ",$AY$7))+_xlfn.IFNA(VLOOKUP(SUMPRODUCT(LARGE(($C$8:$C45=Table1[[#This Row],[Climber]])*$A$8:$A45,MIN(4,COUNTIFS($C$8:$C45,$C45)))),$A$8:$AW45,MATCH($AW$7,$A$7:$AW$7,FALSE),FALSE),0)/LEFT($AY$7,FIND(" ",$AY$7))+_xlfn.IFNA(VLOOKUP(SUMPRODUCT(LARGE(($C$8:$C45=Table1[[#This Row],[Climber]])*$A$8:$A45,MIN(5,COUNTIFS($C$8:$C45,$C45)))),$A$8:$AW45,MATCH($AW$7,$A$7:$AW$7,FALSE),FALSE),0)/LEFT($AY$7,FIND(" ",$AY$7))</f>
        <v>274.03222498245793</v>
      </c>
      <c r="AZ45" s="30">
        <f ca="1">(_xlfn.IFNA(VLOOKUP(SUMPRODUCT(LARGE(($C$8:$C45=Table1[[#This Row],[Climber]])*$A$8:$A45,4)),$A$8:$AW45,MATCH($AW$7,$A$7:$AW$7,FALSE),FALSE),0)+_xlfn.IFNA(VLOOKUP(SUMPRODUCT(LARGE(($C$8:$C45=Table1[[#This Row],[Climber]])*$A$8:$A45,5)),$A$8:$AW45,MATCH($AW$7,$A$7:$AW$7,FALSE),FALSE),0)+_xlfn.IFNA(VLOOKUP(SUMPRODUCT(LARGE(($C$8:$C45=Table1[[#This Row],[Climber]])*$A$8:$A45,6)),$A$8:$AW45,MATCH($AW$7,$A$7:$AW$7,FALSE),FALSE),0))/3</f>
        <v>260.9461065327659</v>
      </c>
      <c r="BA45" s="6">
        <f ca="1">_xlfn.MAXIFS(INDIRECT("$AW"&amp;IF(SUMPRODUCT(LARGE(($C$8:$C45=$C45)*$A$8:$A45,LEFT($BA$7,FIND(" ",$BA$7)-1)))=0,8,SUMPRODUCT(LARGE(($C$8:$C45=$C45)*$A$8:$A45,LEFT($BA$7,FIND(" ",$BA$7)-1)))+7)&amp;":$AW"&amp;ROW()),INDIRECT("$C"&amp;IF(SUMPRODUCT(LARGE(($C$8:$C45=$C45)*$A$8:$A45,LEFT($BA$7,FIND(" ",$BA$7)-1)))=0,8,SUMPRODUCT(LARGE(($C$8:$C45=$C45)*$A$8:$A45,LEFT($BA$7,FIND(" ",$BA$7)-1)))+7)&amp;":$C"&amp;ROW()),$C45)</f>
        <v>306.69077627303841</v>
      </c>
      <c r="BB45" s="6" t="str">
        <f ca="1">VLOOKUP(MAX(BG45,$AX45),'RC Lookup'!$G$14:$J$20,2,TRUE)</f>
        <v>T5</v>
      </c>
      <c r="BC45" s="6">
        <f ca="1">_xlfn.IFNA(VLOOKUP(VLOOKUP($C45,'RC Lookup'!$O$3:$P$50,2,FALSE),'RC Lookup'!$H$14:$J$23,2,FALSE),0)*AW45</f>
        <v>92.80840000000002</v>
      </c>
      <c r="BD45" s="6">
        <f ca="1">_xlfn.IFNA(VLOOKUP(SUMPRODUCT(LARGE(($C$8:$C45=Table1[[#This Row],[Climber]])*$A$8:$A45,1)),$A$8:$BC45,55,FALSE),0)/LEFT($AX$7,FIND(" ",$AX$7))+_xlfn.IFNA(VLOOKUP(SUMPRODUCT(LARGE(($C$8:$C45=Table1[[#This Row],[Climber]])*$A$8:$A45,MIN(2,COUNTIFS($C$8:$C45,$C45)))),$A$8:$BC45,55,FALSE),0)/LEFT($AX$7,FIND(" ",$AX$7))+_xlfn.IFNA(VLOOKUP(SUMPRODUCT(LARGE(($C$8:$C45=Table1[[#This Row],[Climber]])*$A$8:$A45,MIN(3,COUNTIFS($C$8:$C45,$C45)))),$A$8:$BC45,55,FALSE),0)/LEFT($AX$7,FIND(" ",$AX$7))</f>
        <v>87.200676002804087</v>
      </c>
      <c r="BE45" s="6">
        <f ca="1">(_xlfn.IFNA(VLOOKUP(SUMPRODUCT(LARGE(($C$8:$C45=Table1[[#This Row],[Climber]])*$A$8:$A45,4)),$A$8:$BD45,55,FALSE),0)+_xlfn.IFNA(VLOOKUP(SUMPRODUCT(LARGE(($C$8:$C45=Table1[[#This Row],[Climber]])*$A$8:$A45,5)),$A$8:$BD45,55,FALSE),0)+_xlfn.IFNA(VLOOKUP(SUMPRODUCT(LARGE(($C$8:$C45=Table1[[#This Row],[Climber]])*$A$8:$A45,6)),$A$8:$BD45,55,FALSE),0))/3</f>
        <v>78.965500455660717</v>
      </c>
      <c r="BF45" s="46">
        <f ca="1">_xlfn.MAXIFS(INDIRECT("$BC"&amp;IF(SUMPRODUCT(LARGE(($C$8:$C45=$C45)*$A$8:$A45,LEFT($BA$7,FIND(" ",$BA$7)-1)))=0,8,SUMPRODUCT(LARGE(($C$8:$C45=$C45)*$A$8:$A45,LEFT($BA$7,FIND(" ",$BA$7)-1)))+7)&amp;":$BC"&amp;ROW()),INDIRECT("$C"&amp;IF(SUMPRODUCT(LARGE(($C$8:$C45=$C45)*$A$8:$A45,LEFT($BA$7,FIND(" ",$BA$7)-1)))=0,8,SUMPRODUCT(LARGE(($C$8:$C45=$C45)*$A$8:$A45,LEFT($BA$7,FIND(" ",$BA$7)-1)))+7)&amp;":$C"&amp;ROW()),$C45)</f>
        <v>92.80840000000002</v>
      </c>
      <c r="BG45" s="46">
        <f t="array" aca="1" ref="BG45" ca="1">IFERROR(SUMPRODUCT(LARGE(($C$8:$C45=Table1[[#This Row],[Climber]])*$AW$8:$AW45,ROW(INDIRECT("1:5")))),AW45)/MIN(COUNTIFS($C$8:$C45,C45),5)</f>
        <v>283.75838274142654</v>
      </c>
      <c r="BH45" s="46"/>
    </row>
    <row r="46" spans="1:60" x14ac:dyDescent="0.3">
      <c r="A46" s="125">
        <f t="shared" si="1"/>
        <v>39</v>
      </c>
      <c r="B46" s="25">
        <f>'Rock Climbing Log'!B46</f>
        <v>43139</v>
      </c>
      <c r="C46" s="126" t="str">
        <f>'Rock Climbing Log'!C46</f>
        <v>Jan</v>
      </c>
      <c r="D46" s="26">
        <f>_xlfn.IFNA(IF(LEFT('Rock Climbing Log'!D46)="C",_xlfn.IFNA(VLOOKUP('Rock Climbing Log'!D46,'RC Lookup'!$A$3:$B$9,2,FALSE),0.5),VLOOKUP('Rock Climbing Log'!D46,'RC Lookup'!$G$3:$H$5,2,FALSE)),0)*VLOOKUP(D$7,'RC Lookup'!$D$3:$E$18,2,FALSE)</f>
        <v>0</v>
      </c>
      <c r="E46" s="26">
        <f>_xlfn.IFNA(IF(LEFT('Rock Climbing Log'!E46)="C",_xlfn.IFNA(VLOOKUP('Rock Climbing Log'!E46,'RC Lookup'!$A$3:$B$9,2,FALSE),0.5),VLOOKUP('Rock Climbing Log'!E46,'RC Lookup'!$G$3:$H$5,2,FALSE)),0)*VLOOKUP(D$7,'RC Lookup'!$D$3:$E$18,2,FALSE)</f>
        <v>0</v>
      </c>
      <c r="F46" s="26">
        <f>_xlfn.IFNA(IF(LEFT('Rock Climbing Log'!F46)="C",_xlfn.IFNA(VLOOKUP('Rock Climbing Log'!F46,'RC Lookup'!$A$3:$B$9,2,FALSE),0.5),VLOOKUP('Rock Climbing Log'!F46,'RC Lookup'!$G$3:$H$5,2,FALSE)),0)*VLOOKUP(D$7,'RC Lookup'!$D$3:$E$18,2,FALSE)</f>
        <v>0</v>
      </c>
      <c r="G46" s="26">
        <f>_xlfn.IFNA(IF(LEFT('Rock Climbing Log'!G46)="C",_xlfn.IFNA(VLOOKUP('Rock Climbing Log'!G46,'RC Lookup'!$A$3:$B$9,2,FALSE),0.5),VLOOKUP('Rock Climbing Log'!G46,'RC Lookup'!$G$3:$H$5,2,FALSE)),0)*VLOOKUP(G$7,'RC Lookup'!$D$3:$E$18,2,FALSE)</f>
        <v>12.5</v>
      </c>
      <c r="H46" s="26">
        <f>_xlfn.IFNA(IF(LEFT('Rock Climbing Log'!H46)="C",_xlfn.IFNA(VLOOKUP('Rock Climbing Log'!H46,'RC Lookup'!$A$3:$B$9,2,FALSE),0.5),VLOOKUP('Rock Climbing Log'!H46,'RC Lookup'!$G$3:$H$5,2,FALSE)),0)*VLOOKUP(G$7,'RC Lookup'!$D$3:$E$18,2,FALSE)</f>
        <v>0</v>
      </c>
      <c r="I46" s="26">
        <f>_xlfn.IFNA(IF(LEFT('Rock Climbing Log'!I46)="C",_xlfn.IFNA(VLOOKUP('Rock Climbing Log'!I46,'RC Lookup'!$A$3:$B$9,2,FALSE),0.5),VLOOKUP('Rock Climbing Log'!I46,'RC Lookup'!$G$3:$H$5,2,FALSE)),0)*VLOOKUP(G$7,'RC Lookup'!$D$3:$E$18,2,FALSE)</f>
        <v>0</v>
      </c>
      <c r="J46" s="26">
        <f>_xlfn.IFNA(IF(LEFT('Rock Climbing Log'!J46)="C",_xlfn.IFNA(VLOOKUP('Rock Climbing Log'!J46,'RC Lookup'!$A$3:$B$9,2,FALSE),0.5),VLOOKUP('Rock Climbing Log'!J46,'RC Lookup'!$G$3:$H$5,2,FALSE)),0)*VLOOKUP(J$7,'RC Lookup'!$D$3:$E$18,2,FALSE)</f>
        <v>15.75</v>
      </c>
      <c r="K46" s="26">
        <f>_xlfn.IFNA(IF(LEFT('Rock Climbing Log'!K46)="C",_xlfn.IFNA(VLOOKUP('Rock Climbing Log'!K46,'RC Lookup'!$A$3:$B$9,2,FALSE),0.5),VLOOKUP('Rock Climbing Log'!K46,'RC Lookup'!$G$3:$H$5,2,FALSE)),0)*VLOOKUP(J$7,'RC Lookup'!$D$3:$E$18,2,FALSE)</f>
        <v>0</v>
      </c>
      <c r="L46" s="26">
        <f>_xlfn.IFNA(IF(LEFT('Rock Climbing Log'!L46)="C",_xlfn.IFNA(VLOOKUP('Rock Climbing Log'!L46,'RC Lookup'!$A$3:$B$9,2,FALSE),0.5),VLOOKUP('Rock Climbing Log'!L46,'RC Lookup'!$G$3:$H$5,2,FALSE)),0)*VLOOKUP(J$7,'RC Lookup'!$D$3:$E$18,2,FALSE)</f>
        <v>0</v>
      </c>
      <c r="M46" s="26">
        <f>_xlfn.IFNA(IF(LEFT('Rock Climbing Log'!M46)="C",_xlfn.IFNA(VLOOKUP('Rock Climbing Log'!M46,'RC Lookup'!$A$3:$B$9,2,FALSE),0.5),VLOOKUP('Rock Climbing Log'!M46,'RC Lookup'!$G$3:$H$5,2,FALSE)),0)*VLOOKUP(M$7,'RC Lookup'!$D$3:$E$18,2,FALSE)</f>
        <v>20.002500000000001</v>
      </c>
      <c r="N46" s="26">
        <f>_xlfn.IFNA(IF(LEFT('Rock Climbing Log'!N46)="C",_xlfn.IFNA(VLOOKUP('Rock Climbing Log'!N46,'RC Lookup'!$A$3:$B$9,2,FALSE),0.5),VLOOKUP('Rock Climbing Log'!N46,'RC Lookup'!$G$3:$H$5,2,FALSE)),0)*VLOOKUP(M$7,'RC Lookup'!$D$3:$E$18,2,FALSE)</f>
        <v>0</v>
      </c>
      <c r="O46" s="26">
        <f>_xlfn.IFNA(IF(LEFT('Rock Climbing Log'!O46)="C",_xlfn.IFNA(VLOOKUP('Rock Climbing Log'!O46,'RC Lookup'!$A$3:$B$9,2,FALSE),0.5),VLOOKUP('Rock Climbing Log'!O46,'RC Lookup'!$G$3:$H$5,2,FALSE)),0)*VLOOKUP(M$7,'RC Lookup'!$D$3:$E$18,2,FALSE)</f>
        <v>0</v>
      </c>
      <c r="P46" s="26">
        <f>_xlfn.IFNA(IF(LEFT('Rock Climbing Log'!P46)="C",_xlfn.IFNA(VLOOKUP('Rock Climbing Log'!P46,'RC Lookup'!$A$3:$B$9,2,FALSE),0.5),VLOOKUP('Rock Climbing Log'!P46,'RC Lookup'!$G$3:$H$5,2,FALSE)),0)*VLOOKUP(P$7,'RC Lookup'!$D$3:$E$18,2,FALSE)</f>
        <v>0</v>
      </c>
      <c r="Q46" s="26">
        <f>_xlfn.IFNA(IF(LEFT('Rock Climbing Log'!Q46)="C",_xlfn.IFNA(VLOOKUP('Rock Climbing Log'!Q46,'RC Lookup'!$A$3:$B$9,2,FALSE),0.5),VLOOKUP('Rock Climbing Log'!Q46,'RC Lookup'!$G$3:$H$5,2,FALSE)),0)*VLOOKUP(P$7,'RC Lookup'!$D$3:$E$18,2,FALSE)</f>
        <v>0</v>
      </c>
      <c r="R46" s="26">
        <f>_xlfn.IFNA(IF(LEFT('Rock Climbing Log'!R46)="C",_xlfn.IFNA(VLOOKUP('Rock Climbing Log'!R46,'RC Lookup'!$A$3:$B$9,2,FALSE),0.5),VLOOKUP('Rock Climbing Log'!R46,'RC Lookup'!$G$3:$H$5,2,FALSE)),0)*VLOOKUP(P$7,'RC Lookup'!$D$3:$E$18,2,FALSE)</f>
        <v>0</v>
      </c>
      <c r="S46" s="26">
        <f>_xlfn.IFNA(IF(LEFT('Rock Climbing Log'!S46)="C",_xlfn.IFNA(VLOOKUP('Rock Climbing Log'!S46,'RC Lookup'!$A$3:$B$9,2,FALSE),0.5),VLOOKUP('Rock Climbing Log'!S46,'RC Lookup'!$G$3:$H$5,2,FALSE)),0)*VLOOKUP(S$7,'RC Lookup'!$D$3:$E$18,2,FALSE)</f>
        <v>0</v>
      </c>
      <c r="T46" s="26">
        <f>_xlfn.IFNA(IF(LEFT('Rock Climbing Log'!T46)="C",_xlfn.IFNA(VLOOKUP('Rock Climbing Log'!T46,'RC Lookup'!$A$3:$B$9,2,FALSE),0.5),VLOOKUP('Rock Climbing Log'!T46,'RC Lookup'!$G$3:$H$5,2,FALSE)),0)*VLOOKUP(S$7,'RC Lookup'!$D$3:$E$18,2,FALSE)</f>
        <v>0</v>
      </c>
      <c r="U46" s="26">
        <f>_xlfn.IFNA(IF(LEFT('Rock Climbing Log'!U46)="C",_xlfn.IFNA(VLOOKUP('Rock Climbing Log'!U46,'RC Lookup'!$A$3:$B$9,2,FALSE),0.5),VLOOKUP('Rock Climbing Log'!U46,'RC Lookup'!$G$3:$H$5,2,FALSE)),0)*VLOOKUP(S$7,'RC Lookup'!$D$3:$E$18,2,FALSE)</f>
        <v>0</v>
      </c>
      <c r="V46" s="26">
        <f>_xlfn.IFNA(IF(LEFT('Rock Climbing Log'!V46)="C",_xlfn.IFNA(VLOOKUP('Rock Climbing Log'!V46,'RC Lookup'!$A$3:$B$9,2,FALSE),0.5),VLOOKUP('Rock Climbing Log'!V46,'RC Lookup'!$G$3:$H$5,2,FALSE)),0)*VLOOKUP(V$7,'RC Lookup'!$D$3:$E$18,2,FALSE)</f>
        <v>0</v>
      </c>
      <c r="W46" s="26">
        <f>_xlfn.IFNA(IF(LEFT('Rock Climbing Log'!W46)="C",_xlfn.IFNA(VLOOKUP('Rock Climbing Log'!W46,'RC Lookup'!$A$3:$B$9,2,FALSE),0.5),VLOOKUP('Rock Climbing Log'!W46,'RC Lookup'!$G$3:$H$5,2,FALSE)),0)*VLOOKUP(V$7,'RC Lookup'!$D$3:$E$18,2,FALSE)</f>
        <v>0</v>
      </c>
      <c r="X46" s="26">
        <f>_xlfn.IFNA(IF(LEFT('Rock Climbing Log'!X46)="C",_xlfn.IFNA(VLOOKUP('Rock Climbing Log'!X46,'RC Lookup'!$A$3:$B$9,2,FALSE),0.5),VLOOKUP('Rock Climbing Log'!X46,'RC Lookup'!$G$3:$H$5,2,FALSE)),0)*VLOOKUP(V$7,'RC Lookup'!$D$3:$E$18,2,FALSE)</f>
        <v>0</v>
      </c>
      <c r="Y46" s="26">
        <f>_xlfn.IFNA(IF(LEFT('Rock Climbing Log'!Y46)="C",_xlfn.IFNA(VLOOKUP('Rock Climbing Log'!Y46,'RC Lookup'!$A$3:$B$9,2,FALSE),0.5),VLOOKUP('Rock Climbing Log'!Y46,'RC Lookup'!$G$3:$H$5,2,FALSE)),0)*VLOOKUP(Y$7,'RC Lookup'!$D$3:$E$18,2,FALSE)</f>
        <v>0</v>
      </c>
      <c r="Z46" s="26">
        <f>_xlfn.IFNA(IF(LEFT('Rock Climbing Log'!Z46)="C",_xlfn.IFNA(VLOOKUP('Rock Climbing Log'!Z46,'RC Lookup'!$A$3:$B$9,2,FALSE),0.5),VLOOKUP('Rock Climbing Log'!Z46,'RC Lookup'!$G$3:$H$5,2,FALSE)),0)*VLOOKUP(Y$7,'RC Lookup'!$D$3:$E$18,2,FALSE)</f>
        <v>0</v>
      </c>
      <c r="AA46" s="26">
        <f>_xlfn.IFNA(IF(LEFT('Rock Climbing Log'!AA46)="C",_xlfn.IFNA(VLOOKUP('Rock Climbing Log'!AA46,'RC Lookup'!$A$3:$B$9,2,FALSE),0.5),VLOOKUP('Rock Climbing Log'!AA46,'RC Lookup'!$G$3:$H$5,2,FALSE)),0)*VLOOKUP(Y$7,'RC Lookup'!$D$3:$E$18,2,FALSE)</f>
        <v>0</v>
      </c>
      <c r="AB46" s="26">
        <f>_xlfn.IFNA(IF(LEFT('Rock Climbing Log'!AB46)="C",_xlfn.IFNA(VLOOKUP('Rock Climbing Log'!AB46,'RC Lookup'!$A$3:$B$9,2,FALSE),0.5),VLOOKUP('Rock Climbing Log'!AB46,'RC Lookup'!$G$3:$H$5,2,FALSE)),0)*VLOOKUP(AB$7,'RC Lookup'!$D$3:$E$18,2,FALSE)</f>
        <v>0</v>
      </c>
      <c r="AC46" s="26">
        <f>_xlfn.IFNA(IF(LEFT('Rock Climbing Log'!AC46)="C",_xlfn.IFNA(VLOOKUP('Rock Climbing Log'!AC46,'RC Lookup'!$A$3:$B$9,2,FALSE),0.5),VLOOKUP('Rock Climbing Log'!AC46,'RC Lookup'!$G$3:$H$5,2,FALSE)),0)*VLOOKUP(AB$7,'RC Lookup'!$D$3:$E$18,2,FALSE)</f>
        <v>0</v>
      </c>
      <c r="AD46" s="26">
        <f>_xlfn.IFNA(IF(LEFT('Rock Climbing Log'!AD46)="C",_xlfn.IFNA(VLOOKUP('Rock Climbing Log'!AD46,'RC Lookup'!$A$3:$B$9,2,FALSE),0.5),VLOOKUP('Rock Climbing Log'!AD46,'RC Lookup'!$G$3:$H$5,2,FALSE)),0)*VLOOKUP(AB$7,'RC Lookup'!$D$3:$E$18,2,FALSE)</f>
        <v>0</v>
      </c>
      <c r="AE46" s="26">
        <f>_xlfn.IFNA(IF(LEFT('Rock Climbing Log'!AE46)="C",_xlfn.IFNA(VLOOKUP('Rock Climbing Log'!AE46,'RC Lookup'!$A$3:$B$9,2,FALSE),0.5),VLOOKUP('Rock Climbing Log'!AE46,'RC Lookup'!$G$3:$H$5,2,FALSE)),0)*VLOOKUP(AE$7,'RC Lookup'!$D$3:$E$18,2,FALSE)</f>
        <v>0</v>
      </c>
      <c r="AF46" s="26">
        <f>_xlfn.IFNA(IF(LEFT('Rock Climbing Log'!AF46)="C",_xlfn.IFNA(VLOOKUP('Rock Climbing Log'!AF46,'RC Lookup'!$A$3:$B$9,2,FALSE),0.5),VLOOKUP('Rock Climbing Log'!AF46,'RC Lookup'!$G$3:$H$5,2,FALSE)),0)*VLOOKUP(AE$7,'RC Lookup'!$D$3:$E$18,2,FALSE)</f>
        <v>0</v>
      </c>
      <c r="AG46" s="26">
        <f>_xlfn.IFNA(IF(LEFT('Rock Climbing Log'!AG46)="C",_xlfn.IFNA(VLOOKUP('Rock Climbing Log'!AG46,'RC Lookup'!$A$3:$B$9,2,FALSE),0.5),VLOOKUP('Rock Climbing Log'!AG46,'RC Lookup'!$G$3:$H$5,2,FALSE)),0)*VLOOKUP(AE$7,'RC Lookup'!$D$3:$E$18,2,FALSE)</f>
        <v>0</v>
      </c>
      <c r="AH46" s="26">
        <f>_xlfn.IFNA(IF(LEFT('Rock Climbing Log'!AH46)="C",_xlfn.IFNA(VLOOKUP('Rock Climbing Log'!AH46,'RC Lookup'!$A$3:$B$9,2,FALSE),0.5),VLOOKUP('Rock Climbing Log'!AH46,'RC Lookup'!$G$3:$H$5,2,FALSE)),0)*VLOOKUP(AH$7,'RC Lookup'!$D$3:$E$18,2,FALSE)</f>
        <v>0</v>
      </c>
      <c r="AI46" s="26">
        <f>_xlfn.IFNA(IF(LEFT('Rock Climbing Log'!AI46)="C",_xlfn.IFNA(VLOOKUP('Rock Climbing Log'!AI46,'RC Lookup'!$A$3:$B$9,2,FALSE),0.5),VLOOKUP('Rock Climbing Log'!AI46,'RC Lookup'!$G$3:$H$5,2,FALSE)),0)*VLOOKUP(AH$7,'RC Lookup'!$D$3:$E$18,2,FALSE)</f>
        <v>0</v>
      </c>
      <c r="AJ46" s="26">
        <f>_xlfn.IFNA(IF(LEFT('Rock Climbing Log'!AJ46)="C",_xlfn.IFNA(VLOOKUP('Rock Climbing Log'!AJ46,'RC Lookup'!$A$3:$B$9,2,FALSE),0.5),VLOOKUP('Rock Climbing Log'!AJ46,'RC Lookup'!$G$3:$H$5,2,FALSE)),0)*VLOOKUP(AH$7,'RC Lookup'!$D$3:$E$18,2,FALSE)</f>
        <v>0</v>
      </c>
      <c r="AK46" s="26">
        <f>_xlfn.IFNA(IF(LEFT('Rock Climbing Log'!AK46)="C",_xlfn.IFNA(VLOOKUP('Rock Climbing Log'!AK46,'RC Lookup'!$A$3:$B$9,2,FALSE),0.5),VLOOKUP('Rock Climbing Log'!AK46,'RC Lookup'!$G$3:$H$5,2,FALSE)),0)*VLOOKUP(AK$7,'RC Lookup'!$D$3:$E$18,2,FALSE)</f>
        <v>0</v>
      </c>
      <c r="AL46" s="26">
        <f>_xlfn.IFNA(IF(LEFT('Rock Climbing Log'!AL46)="C",_xlfn.IFNA(VLOOKUP('Rock Climbing Log'!AL46,'RC Lookup'!$A$3:$B$9,2,FALSE),0.5),VLOOKUP('Rock Climbing Log'!AL46,'RC Lookup'!$G$3:$H$5,2,FALSE)),0)*VLOOKUP(AK$7,'RC Lookup'!$D$3:$E$18,2,FALSE)</f>
        <v>0</v>
      </c>
      <c r="AM46" s="26">
        <f>_xlfn.IFNA(IF(LEFT('Rock Climbing Log'!AM46)="C",_xlfn.IFNA(VLOOKUP('Rock Climbing Log'!AM46,'RC Lookup'!$A$3:$B$9,2,FALSE),0.5),VLOOKUP('Rock Climbing Log'!AM46,'RC Lookup'!$G$3:$H$5,2,FALSE)),0)*VLOOKUP(AK$7,'RC Lookup'!$D$3:$E$18,2,FALSE)</f>
        <v>0</v>
      </c>
      <c r="AN46" s="26">
        <f>_xlfn.IFNA(IF(LEFT('Rock Climbing Log'!AN46)="C",_xlfn.IFNA(VLOOKUP('Rock Climbing Log'!AN46,'RC Lookup'!$A$3:$B$9,2,FALSE),0.5),VLOOKUP('Rock Climbing Log'!AN46,'RC Lookup'!$G$3:$H$5,2,FALSE)),0)*VLOOKUP(AN$7,'RC Lookup'!$D$3:$E$18,2,FALSE)</f>
        <v>0</v>
      </c>
      <c r="AO46" s="26">
        <f>_xlfn.IFNA(IF(LEFT('Rock Climbing Log'!AO46)="C",_xlfn.IFNA(VLOOKUP('Rock Climbing Log'!AO46,'RC Lookup'!$A$3:$B$9,2,FALSE),0.5),VLOOKUP('Rock Climbing Log'!AO46,'RC Lookup'!$G$3:$H$5,2,FALSE)),0)*VLOOKUP(AN$7,'RC Lookup'!$D$3:$E$18,2,FALSE)</f>
        <v>0</v>
      </c>
      <c r="AP46" s="26">
        <f>_xlfn.IFNA(IF(LEFT('Rock Climbing Log'!AP46)="C",_xlfn.IFNA(VLOOKUP('Rock Climbing Log'!AP46,'RC Lookup'!$A$3:$B$9,2,FALSE),0.5),VLOOKUP('Rock Climbing Log'!AP46,'RC Lookup'!$G$3:$H$5,2,FALSE)),0)*VLOOKUP(AN$7,'RC Lookup'!$D$3:$E$18,2,FALSE)</f>
        <v>0</v>
      </c>
      <c r="AQ46" s="26">
        <f>_xlfn.IFNA(IF(LEFT('Rock Climbing Log'!AQ46)="C",_xlfn.IFNA(VLOOKUP('Rock Climbing Log'!AQ46,'RC Lookup'!$A$3:$B$9,2,FALSE),0.5),VLOOKUP('Rock Climbing Log'!AQ46,'RC Lookup'!$G$3:$H$5,2,FALSE)),0)*VLOOKUP(AQ$7,'RC Lookup'!$D$3:$E$18,2,FALSE)</f>
        <v>0</v>
      </c>
      <c r="AR46" s="26">
        <f>_xlfn.IFNA(IF(LEFT('Rock Climbing Log'!AR46)="C",_xlfn.IFNA(VLOOKUP('Rock Climbing Log'!AR46,'RC Lookup'!$A$3:$B$9,2,FALSE),0.5),VLOOKUP('Rock Climbing Log'!AR46,'RC Lookup'!$G$3:$H$5,2,FALSE)),0)*VLOOKUP(AQ$7,'RC Lookup'!$D$3:$E$18,2,FALSE)</f>
        <v>0</v>
      </c>
      <c r="AS46" s="26">
        <f>_xlfn.IFNA(IF(LEFT('Rock Climbing Log'!AS46)="C",_xlfn.IFNA(VLOOKUP('Rock Climbing Log'!AS46,'RC Lookup'!$A$3:$B$9,2,FALSE),0.5),VLOOKUP('Rock Climbing Log'!AS46,'RC Lookup'!$G$3:$H$5,2,FALSE)),0)*VLOOKUP(AQ$7,'RC Lookup'!$D$3:$E$18,2,FALSE)</f>
        <v>0</v>
      </c>
      <c r="AT46" s="26">
        <f>_xlfn.IFNA(IF(LEFT('Rock Climbing Log'!AT46)="C",_xlfn.IFNA(VLOOKUP('Rock Climbing Log'!AT46,'RC Lookup'!$A$3:$B$9,2,FALSE),0.5),VLOOKUP('Rock Climbing Log'!AT46,'RC Lookup'!$G$3:$H$5,2,FALSE)),0)*VLOOKUP(AT$7,'RC Lookup'!$D$3:$E$18,2,FALSE)</f>
        <v>0</v>
      </c>
      <c r="AU46" s="26">
        <f>_xlfn.IFNA(IF(LEFT('Rock Climbing Log'!AU46)="C",_xlfn.IFNA(VLOOKUP('Rock Climbing Log'!AU46,'RC Lookup'!$A$3:$B$9,2,FALSE),0.5),VLOOKUP('Rock Climbing Log'!AU46,'RC Lookup'!$G$3:$H$5,2,FALSE)),0)*VLOOKUP(AT$7,'RC Lookup'!$D$3:$E$18,2,FALSE)</f>
        <v>0</v>
      </c>
      <c r="AV46" s="26">
        <f>_xlfn.IFNA(IF(LEFT('Rock Climbing Log'!AV46)="C",_xlfn.IFNA(VLOOKUP('Rock Climbing Log'!AV46,'RC Lookup'!$A$3:$B$9,2,FALSE),0.5),VLOOKUP('Rock Climbing Log'!AV46,'RC Lookup'!$G$3:$H$5,2,FALSE)),0)*VLOOKUP(AT$7,'RC Lookup'!$D$3:$E$18,2,FALSE)</f>
        <v>0</v>
      </c>
      <c r="AW46" s="30">
        <f t="shared" ca="1" si="2"/>
        <v>48.252499999999998</v>
      </c>
      <c r="AX46" s="30">
        <f ca="1">_xlfn.IFNA(VLOOKUP(SUMPRODUCT(LARGE(($C$8:$C46=Table1[[#This Row],[Climber]])*$A$8:$A46,1)),$A$8:$AW46,MATCH($AW$7,$A$7:$AW$7,FALSE),FALSE),0)/LEFT($AX$7,FIND(" ",$AX$7))+_xlfn.IFNA(VLOOKUP(SUMPRODUCT(LARGE(($C$8:$C46=Table1[[#This Row],[Climber]])*$A$8:$A46,MIN(2,COUNTIFS($C$8:$C46,$C46)))),$A$8:$AW46,MATCH($AW$7,$A$7:$AW$7,FALSE),FALSE),0)/LEFT($AX$7,FIND(" ",$AX$7))+_xlfn.IFNA(VLOOKUP(SUMPRODUCT(LARGE(($C$8:$C46=Table1[[#This Row],[Climber]])*$A$8:$A46,MIN(3,COUNTIFS($C$8:$C46,$C46)))),$A$8:$AW46,MATCH($AW$7,$A$7:$AW$7,FALSE),FALSE),0)/LEFT($AX$7,FIND(" ",$AX$7))</f>
        <v>53.605154683781336</v>
      </c>
      <c r="AY46" s="30">
        <f ca="1">_xlfn.IFNA(VLOOKUP(SUMPRODUCT(LARGE(($C$8:$C46=Table1[[#This Row],[Climber]])*$A$8:$A46,1)),$A$8:$AW46,MATCH($AW$7,$A$7:$AW$7,FALSE),FALSE),0)/LEFT($AY$7,FIND(" ",$AY$7))+_xlfn.IFNA(VLOOKUP(SUMPRODUCT(LARGE(($C$8:$C46=Table1[[#This Row],[Climber]])*$A$8:$A46,MIN(2,COUNTIFS($C$8:$C46,$C46)))),$A$8:$AW46,MATCH($AW$7,$A$7:$AW$7,FALSE),FALSE),0)/LEFT($AY$7,FIND(" ",$AY$7))+_xlfn.IFNA(VLOOKUP(SUMPRODUCT(LARGE(($C$8:$C46=Table1[[#This Row],[Climber]])*$A$8:$A46,MIN(3,COUNTIFS($C$8:$C46,$C46)))),$A$8:$AW46,MATCH($AW$7,$A$7:$AW$7,FALSE),FALSE),0)/LEFT($AY$7,FIND(" ",$AY$7))+_xlfn.IFNA(VLOOKUP(SUMPRODUCT(LARGE(($C$8:$C46=Table1[[#This Row],[Climber]])*$A$8:$A46,MIN(4,COUNTIFS($C$8:$C46,$C46)))),$A$8:$AW46,MATCH($AW$7,$A$7:$AW$7,FALSE),FALSE),0)/LEFT($AY$7,FIND(" ",$AY$7))+_xlfn.IFNA(VLOOKUP(SUMPRODUCT(LARGE(($C$8:$C46=Table1[[#This Row],[Climber]])*$A$8:$A46,MIN(5,COUNTIFS($C$8:$C46,$C46)))),$A$8:$AW46,MATCH($AW$7,$A$7:$AW$7,FALSE),FALSE),0)/LEFT($AY$7,FIND(" ",$AY$7))</f>
        <v>47.3069823845088</v>
      </c>
      <c r="AZ46" s="30">
        <f ca="1">(_xlfn.IFNA(VLOOKUP(SUMPRODUCT(LARGE(($C$8:$C46=Table1[[#This Row],[Climber]])*$A$8:$A46,4)),$A$8:$AW46,MATCH($AW$7,$A$7:$AW$7,FALSE),FALSE),0)+_xlfn.IFNA(VLOOKUP(SUMPRODUCT(LARGE(($C$8:$C46=Table1[[#This Row],[Climber]])*$A$8:$A46,5)),$A$8:$AW46,MATCH($AW$7,$A$7:$AW$7,FALSE),FALSE),0)+_xlfn.IFNA(VLOOKUP(SUMPRODUCT(LARGE(($C$8:$C46=Table1[[#This Row],[Climber]])*$A$8:$A46,6)),$A$8:$AW46,MATCH($AW$7,$A$7:$AW$7,FALSE),FALSE),0))/3</f>
        <v>36.992315957066666</v>
      </c>
      <c r="BA46" s="6">
        <f ca="1">_xlfn.MAXIFS(INDIRECT("$AW"&amp;IF(SUMPRODUCT(LARGE(($C$8:$C46=$C46)*$A$8:$A46,LEFT($BA$7,FIND(" ",$BA$7)-1)))=0,8,SUMPRODUCT(LARGE(($C$8:$C46=$C46)*$A$8:$A46,LEFT($BA$7,FIND(" ",$BA$7)-1)))+7)&amp;":$AW"&amp;ROW()),INDIRECT("$C"&amp;IF(SUMPRODUCT(LARGE(($C$8:$C46=$C46)*$A$8:$A46,LEFT($BA$7,FIND(" ",$BA$7)-1)))=0,8,SUMPRODUCT(LARGE(($C$8:$C46=$C46)*$A$8:$A46,LEFT($BA$7,FIND(" ",$BA$7)-1)))+7)&amp;":$C"&amp;ROW()),$C46)</f>
        <v>56.807964051344015</v>
      </c>
      <c r="BB46" s="6" t="str">
        <f ca="1">VLOOKUP(MAX(BG46,$AX46),'RC Lookup'!$G$14:$J$20,2,TRUE)</f>
        <v>T1</v>
      </c>
      <c r="BC46" s="6">
        <f ca="1">_xlfn.IFNA(VLOOKUP(VLOOKUP($C46,'RC Lookup'!$O$3:$P$50,2,FALSE),'RC Lookup'!$H$14:$J$23,2,FALSE),0)*AW46</f>
        <v>37.029311162089613</v>
      </c>
      <c r="BD46" s="6">
        <f ca="1">_xlfn.IFNA(VLOOKUP(SUMPRODUCT(LARGE(($C$8:$C46=Table1[[#This Row],[Climber]])*$A$8:$A46,1)),$A$8:$BC46,55,FALSE),0)/LEFT($AX$7,FIND(" ",$AX$7))+_xlfn.IFNA(VLOOKUP(SUMPRODUCT(LARGE(($C$8:$C46=Table1[[#This Row],[Climber]])*$A$8:$A46,MIN(2,COUNTIFS($C$8:$C46,$C46)))),$A$8:$BC46,55,FALSE),0)/LEFT($AX$7,FIND(" ",$AX$7))+_xlfn.IFNA(VLOOKUP(SUMPRODUCT(LARGE(($C$8:$C46=Table1[[#This Row],[Climber]])*$A$8:$A46,MIN(3,COUNTIFS($C$8:$C46,$C46)))),$A$8:$BC46,55,FALSE),0)/LEFT($AX$7,FIND(" ",$AX$7))</f>
        <v>41.136976377963514</v>
      </c>
      <c r="BE46" s="6">
        <f ca="1">(_xlfn.IFNA(VLOOKUP(SUMPRODUCT(LARGE(($C$8:$C46=Table1[[#This Row],[Climber]])*$A$8:$A46,4)),$A$8:$BD46,55,FALSE),0)+_xlfn.IFNA(VLOOKUP(SUMPRODUCT(LARGE(($C$8:$C46=Table1[[#This Row],[Climber]])*$A$8:$A46,5)),$A$8:$BD46,55,FALSE),0)+_xlfn.IFNA(VLOOKUP(SUMPRODUCT(LARGE(($C$8:$C46=Table1[[#This Row],[Climber]])*$A$8:$A46,6)),$A$8:$BD46,55,FALSE),0))/3</f>
        <v>28.388165964054807</v>
      </c>
      <c r="BF46" s="46">
        <f ca="1">_xlfn.MAXIFS(INDIRECT("$BC"&amp;IF(SUMPRODUCT(LARGE(($C$8:$C46=$C46)*$A$8:$A46,LEFT($BA$7,FIND(" ",$BA$7)-1)))=0,8,SUMPRODUCT(LARGE(($C$8:$C46=$C46)*$A$8:$A46,LEFT($BA$7,FIND(" ",$BA$7)-1)))+7)&amp;":$BC"&amp;ROW()),INDIRECT("$C"&amp;IF(SUMPRODUCT(LARGE(($C$8:$C46=$C46)*$A$8:$A46,LEFT($BA$7,FIND(" ",$BA$7)-1)))=0,8,SUMPRODUCT(LARGE(($C$8:$C46=$C46)*$A$8:$A46,LEFT($BA$7,FIND(" ",$BA$7)-1)))+7)&amp;":$C"&amp;ROW()),$C46)</f>
        <v>43.594835031180111</v>
      </c>
      <c r="BG46" s="46">
        <f t="array" aca="1" ref="BG46" ca="1">IFERROR(SUMPRODUCT(LARGE(($C$8:$C46=Table1[[#This Row],[Climber]])*$AW$8:$AW46,ROW(INDIRECT("1:5")))),AW46)/MIN(COUNTIFS($C$8:$C46,C46),5)</f>
        <v>47.3069823845088</v>
      </c>
      <c r="BH46" s="46"/>
    </row>
    <row r="47" spans="1:60" x14ac:dyDescent="0.3">
      <c r="A47" s="125">
        <f t="shared" si="1"/>
        <v>40</v>
      </c>
      <c r="B47" s="25">
        <f>'Rock Climbing Log'!B47</f>
        <v>43142</v>
      </c>
      <c r="C47" s="126" t="str">
        <f>'Rock Climbing Log'!C47</f>
        <v>Jan</v>
      </c>
      <c r="D47" s="26">
        <f>_xlfn.IFNA(IF(LEFT('Rock Climbing Log'!D47)="C",_xlfn.IFNA(VLOOKUP('Rock Climbing Log'!D47,'RC Lookup'!$A$3:$B$9,2,FALSE),0.5),VLOOKUP('Rock Climbing Log'!D47,'RC Lookup'!$G$3:$H$5,2,FALSE)),0)*VLOOKUP(D$7,'RC Lookup'!$D$3:$E$18,2,FALSE)</f>
        <v>0</v>
      </c>
      <c r="E47" s="26">
        <f>_xlfn.IFNA(IF(LEFT('Rock Climbing Log'!E47)="C",_xlfn.IFNA(VLOOKUP('Rock Climbing Log'!E47,'RC Lookup'!$A$3:$B$9,2,FALSE),0.5),VLOOKUP('Rock Climbing Log'!E47,'RC Lookup'!$G$3:$H$5,2,FALSE)),0)*VLOOKUP(D$7,'RC Lookup'!$D$3:$E$18,2,FALSE)</f>
        <v>0</v>
      </c>
      <c r="F47" s="26">
        <f>_xlfn.IFNA(IF(LEFT('Rock Climbing Log'!F47)="C",_xlfn.IFNA(VLOOKUP('Rock Climbing Log'!F47,'RC Lookup'!$A$3:$B$9,2,FALSE),0.5),VLOOKUP('Rock Climbing Log'!F47,'RC Lookup'!$G$3:$H$5,2,FALSE)),0)*VLOOKUP(D$7,'RC Lookup'!$D$3:$E$18,2,FALSE)</f>
        <v>0</v>
      </c>
      <c r="G47" s="26">
        <f>_xlfn.IFNA(IF(LEFT('Rock Climbing Log'!G47)="C",_xlfn.IFNA(VLOOKUP('Rock Climbing Log'!G47,'RC Lookup'!$A$3:$B$9,2,FALSE),0.5),VLOOKUP('Rock Climbing Log'!G47,'RC Lookup'!$G$3:$H$5,2,FALSE)),0)*VLOOKUP(G$7,'RC Lookup'!$D$3:$E$18,2,FALSE)</f>
        <v>0</v>
      </c>
      <c r="H47" s="26">
        <f>_xlfn.IFNA(IF(LEFT('Rock Climbing Log'!H47)="C",_xlfn.IFNA(VLOOKUP('Rock Climbing Log'!H47,'RC Lookup'!$A$3:$B$9,2,FALSE),0.5),VLOOKUP('Rock Climbing Log'!H47,'RC Lookup'!$G$3:$H$5,2,FALSE)),0)*VLOOKUP(G$7,'RC Lookup'!$D$3:$E$18,2,FALSE)</f>
        <v>0</v>
      </c>
      <c r="I47" s="26">
        <f>_xlfn.IFNA(IF(LEFT('Rock Climbing Log'!I47)="C",_xlfn.IFNA(VLOOKUP('Rock Climbing Log'!I47,'RC Lookup'!$A$3:$B$9,2,FALSE),0.5),VLOOKUP('Rock Climbing Log'!I47,'RC Lookup'!$G$3:$H$5,2,FALSE)),0)*VLOOKUP(G$7,'RC Lookup'!$D$3:$E$18,2,FALSE)</f>
        <v>0</v>
      </c>
      <c r="J47" s="26">
        <f>_xlfn.IFNA(IF(LEFT('Rock Climbing Log'!J47)="C",_xlfn.IFNA(VLOOKUP('Rock Climbing Log'!J47,'RC Lookup'!$A$3:$B$9,2,FALSE),0.5),VLOOKUP('Rock Climbing Log'!J47,'RC Lookup'!$G$3:$H$5,2,FALSE)),0)*VLOOKUP(J$7,'RC Lookup'!$D$3:$E$18,2,FALSE)</f>
        <v>15.75</v>
      </c>
      <c r="K47" s="26">
        <f>_xlfn.IFNA(IF(LEFT('Rock Climbing Log'!K47)="C",_xlfn.IFNA(VLOOKUP('Rock Climbing Log'!K47,'RC Lookup'!$A$3:$B$9,2,FALSE),0.5),VLOOKUP('Rock Climbing Log'!K47,'RC Lookup'!$G$3:$H$5,2,FALSE)),0)*VLOOKUP(J$7,'RC Lookup'!$D$3:$E$18,2,FALSE)</f>
        <v>0</v>
      </c>
      <c r="L47" s="26">
        <f>_xlfn.IFNA(IF(LEFT('Rock Climbing Log'!L47)="C",_xlfn.IFNA(VLOOKUP('Rock Climbing Log'!L47,'RC Lookup'!$A$3:$B$9,2,FALSE),0.5),VLOOKUP('Rock Climbing Log'!L47,'RC Lookup'!$G$3:$H$5,2,FALSE)),0)*VLOOKUP(J$7,'RC Lookup'!$D$3:$E$18,2,FALSE)</f>
        <v>0</v>
      </c>
      <c r="M47" s="26">
        <f>_xlfn.IFNA(IF(LEFT('Rock Climbing Log'!M47)="C",_xlfn.IFNA(VLOOKUP('Rock Climbing Log'!M47,'RC Lookup'!$A$3:$B$9,2,FALSE),0.5),VLOOKUP('Rock Climbing Log'!M47,'RC Lookup'!$G$3:$H$5,2,FALSE)),0)*VLOOKUP(M$7,'RC Lookup'!$D$3:$E$18,2,FALSE)</f>
        <v>18.00225</v>
      </c>
      <c r="N47" s="26">
        <f>_xlfn.IFNA(IF(LEFT('Rock Climbing Log'!N47)="C",_xlfn.IFNA(VLOOKUP('Rock Climbing Log'!N47,'RC Lookup'!$A$3:$B$9,2,FALSE),0.5),VLOOKUP('Rock Climbing Log'!N47,'RC Lookup'!$G$3:$H$5,2,FALSE)),0)*VLOOKUP(M$7,'RC Lookup'!$D$3:$E$18,2,FALSE)</f>
        <v>20.002500000000001</v>
      </c>
      <c r="O47" s="26">
        <f>_xlfn.IFNA(IF(LEFT('Rock Climbing Log'!O47)="C",_xlfn.IFNA(VLOOKUP('Rock Climbing Log'!O47,'RC Lookup'!$A$3:$B$9,2,FALSE),0.5),VLOOKUP('Rock Climbing Log'!O47,'RC Lookup'!$G$3:$H$5,2,FALSE)),0)*VLOOKUP(M$7,'RC Lookup'!$D$3:$E$18,2,FALSE)</f>
        <v>0</v>
      </c>
      <c r="P47" s="26">
        <f>_xlfn.IFNA(IF(LEFT('Rock Climbing Log'!P47)="C",_xlfn.IFNA(VLOOKUP('Rock Climbing Log'!P47,'RC Lookup'!$A$3:$B$9,2,FALSE),0.5),VLOOKUP('Rock Climbing Log'!P47,'RC Lookup'!$G$3:$H$5,2,FALSE)),0)*VLOOKUP(P$7,'RC Lookup'!$D$3:$E$18,2,FALSE)</f>
        <v>0</v>
      </c>
      <c r="Q47" s="26">
        <f>_xlfn.IFNA(IF(LEFT('Rock Climbing Log'!Q47)="C",_xlfn.IFNA(VLOOKUP('Rock Climbing Log'!Q47,'RC Lookup'!$A$3:$B$9,2,FALSE),0.5),VLOOKUP('Rock Climbing Log'!Q47,'RC Lookup'!$G$3:$H$5,2,FALSE)),0)*VLOOKUP(P$7,'RC Lookup'!$D$3:$E$18,2,FALSE)</f>
        <v>0</v>
      </c>
      <c r="R47" s="26">
        <f>_xlfn.IFNA(IF(LEFT('Rock Climbing Log'!R47)="C",_xlfn.IFNA(VLOOKUP('Rock Climbing Log'!R47,'RC Lookup'!$A$3:$B$9,2,FALSE),0.5),VLOOKUP('Rock Climbing Log'!R47,'RC Lookup'!$G$3:$H$5,2,FALSE)),0)*VLOOKUP(P$7,'RC Lookup'!$D$3:$E$18,2,FALSE)</f>
        <v>0</v>
      </c>
      <c r="S47" s="26">
        <f>_xlfn.IFNA(IF(LEFT('Rock Climbing Log'!S47)="C",_xlfn.IFNA(VLOOKUP('Rock Climbing Log'!S47,'RC Lookup'!$A$3:$B$9,2,FALSE),0.5),VLOOKUP('Rock Climbing Log'!S47,'RC Lookup'!$G$3:$H$5,2,FALSE)),0)*VLOOKUP(S$7,'RC Lookup'!$D$3:$E$18,2,FALSE)</f>
        <v>0</v>
      </c>
      <c r="T47" s="26">
        <f>_xlfn.IFNA(IF(LEFT('Rock Climbing Log'!T47)="C",_xlfn.IFNA(VLOOKUP('Rock Climbing Log'!T47,'RC Lookup'!$A$3:$B$9,2,FALSE),0.5),VLOOKUP('Rock Climbing Log'!T47,'RC Lookup'!$G$3:$H$5,2,FALSE)),0)*VLOOKUP(S$7,'RC Lookup'!$D$3:$E$18,2,FALSE)</f>
        <v>0</v>
      </c>
      <c r="U47" s="26">
        <f>_xlfn.IFNA(IF(LEFT('Rock Climbing Log'!U47)="C",_xlfn.IFNA(VLOOKUP('Rock Climbing Log'!U47,'RC Lookup'!$A$3:$B$9,2,FALSE),0.5),VLOOKUP('Rock Climbing Log'!U47,'RC Lookup'!$G$3:$H$5,2,FALSE)),0)*VLOOKUP(S$7,'RC Lookup'!$D$3:$E$18,2,FALSE)</f>
        <v>0</v>
      </c>
      <c r="V47" s="26">
        <f>_xlfn.IFNA(IF(LEFT('Rock Climbing Log'!V47)="C",_xlfn.IFNA(VLOOKUP('Rock Climbing Log'!V47,'RC Lookup'!$A$3:$B$9,2,FALSE),0.5),VLOOKUP('Rock Climbing Log'!V47,'RC Lookup'!$G$3:$H$5,2,FALSE)),0)*VLOOKUP(V$7,'RC Lookup'!$D$3:$E$18,2,FALSE)</f>
        <v>0</v>
      </c>
      <c r="W47" s="26">
        <f>_xlfn.IFNA(IF(LEFT('Rock Climbing Log'!W47)="C",_xlfn.IFNA(VLOOKUP('Rock Climbing Log'!W47,'RC Lookup'!$A$3:$B$9,2,FALSE),0.5),VLOOKUP('Rock Climbing Log'!W47,'RC Lookup'!$G$3:$H$5,2,FALSE)),0)*VLOOKUP(V$7,'RC Lookup'!$D$3:$E$18,2,FALSE)</f>
        <v>0</v>
      </c>
      <c r="X47" s="26">
        <f>_xlfn.IFNA(IF(LEFT('Rock Climbing Log'!X47)="C",_xlfn.IFNA(VLOOKUP('Rock Climbing Log'!X47,'RC Lookup'!$A$3:$B$9,2,FALSE),0.5),VLOOKUP('Rock Climbing Log'!X47,'RC Lookup'!$G$3:$H$5,2,FALSE)),0)*VLOOKUP(V$7,'RC Lookup'!$D$3:$E$18,2,FALSE)</f>
        <v>0</v>
      </c>
      <c r="Y47" s="26">
        <f>_xlfn.IFNA(IF(LEFT('Rock Climbing Log'!Y47)="C",_xlfn.IFNA(VLOOKUP('Rock Climbing Log'!Y47,'RC Lookup'!$A$3:$B$9,2,FALSE),0.5),VLOOKUP('Rock Climbing Log'!Y47,'RC Lookup'!$G$3:$H$5,2,FALSE)),0)*VLOOKUP(Y$7,'RC Lookup'!$D$3:$E$18,2,FALSE)</f>
        <v>0</v>
      </c>
      <c r="Z47" s="26">
        <f>_xlfn.IFNA(IF(LEFT('Rock Climbing Log'!Z47)="C",_xlfn.IFNA(VLOOKUP('Rock Climbing Log'!Z47,'RC Lookup'!$A$3:$B$9,2,FALSE),0.5),VLOOKUP('Rock Climbing Log'!Z47,'RC Lookup'!$G$3:$H$5,2,FALSE)),0)*VLOOKUP(Y$7,'RC Lookup'!$D$3:$E$18,2,FALSE)</f>
        <v>0</v>
      </c>
      <c r="AA47" s="26">
        <f>_xlfn.IFNA(IF(LEFT('Rock Climbing Log'!AA47)="C",_xlfn.IFNA(VLOOKUP('Rock Climbing Log'!AA47,'RC Lookup'!$A$3:$B$9,2,FALSE),0.5),VLOOKUP('Rock Climbing Log'!AA47,'RC Lookup'!$G$3:$H$5,2,FALSE)),0)*VLOOKUP(Y$7,'RC Lookup'!$D$3:$E$18,2,FALSE)</f>
        <v>0</v>
      </c>
      <c r="AB47" s="26">
        <f>_xlfn.IFNA(IF(LEFT('Rock Climbing Log'!AB47)="C",_xlfn.IFNA(VLOOKUP('Rock Climbing Log'!AB47,'RC Lookup'!$A$3:$B$9,2,FALSE),0.5),VLOOKUP('Rock Climbing Log'!AB47,'RC Lookup'!$G$3:$H$5,2,FALSE)),0)*VLOOKUP(AB$7,'RC Lookup'!$D$3:$E$18,2,FALSE)</f>
        <v>0</v>
      </c>
      <c r="AC47" s="26">
        <f>_xlfn.IFNA(IF(LEFT('Rock Climbing Log'!AC47)="C",_xlfn.IFNA(VLOOKUP('Rock Climbing Log'!AC47,'RC Lookup'!$A$3:$B$9,2,FALSE),0.5),VLOOKUP('Rock Climbing Log'!AC47,'RC Lookup'!$G$3:$H$5,2,FALSE)),0)*VLOOKUP(AB$7,'RC Lookup'!$D$3:$E$18,2,FALSE)</f>
        <v>0</v>
      </c>
      <c r="AD47" s="26">
        <f>_xlfn.IFNA(IF(LEFT('Rock Climbing Log'!AD47)="C",_xlfn.IFNA(VLOOKUP('Rock Climbing Log'!AD47,'RC Lookup'!$A$3:$B$9,2,FALSE),0.5),VLOOKUP('Rock Climbing Log'!AD47,'RC Lookup'!$G$3:$H$5,2,FALSE)),0)*VLOOKUP(AB$7,'RC Lookup'!$D$3:$E$18,2,FALSE)</f>
        <v>0</v>
      </c>
      <c r="AE47" s="26">
        <f>_xlfn.IFNA(IF(LEFT('Rock Climbing Log'!AE47)="C",_xlfn.IFNA(VLOOKUP('Rock Climbing Log'!AE47,'RC Lookup'!$A$3:$B$9,2,FALSE),0.5),VLOOKUP('Rock Climbing Log'!AE47,'RC Lookup'!$G$3:$H$5,2,FALSE)),0)*VLOOKUP(AE$7,'RC Lookup'!$D$3:$E$18,2,FALSE)</f>
        <v>0</v>
      </c>
      <c r="AF47" s="26">
        <f>_xlfn.IFNA(IF(LEFT('Rock Climbing Log'!AF47)="C",_xlfn.IFNA(VLOOKUP('Rock Climbing Log'!AF47,'RC Lookup'!$A$3:$B$9,2,FALSE),0.5),VLOOKUP('Rock Climbing Log'!AF47,'RC Lookup'!$G$3:$H$5,2,FALSE)),0)*VLOOKUP(AE$7,'RC Lookup'!$D$3:$E$18,2,FALSE)</f>
        <v>0</v>
      </c>
      <c r="AG47" s="26">
        <f>_xlfn.IFNA(IF(LEFT('Rock Climbing Log'!AG47)="C",_xlfn.IFNA(VLOOKUP('Rock Climbing Log'!AG47,'RC Lookup'!$A$3:$B$9,2,FALSE),0.5),VLOOKUP('Rock Climbing Log'!AG47,'RC Lookup'!$G$3:$H$5,2,FALSE)),0)*VLOOKUP(AE$7,'RC Lookup'!$D$3:$E$18,2,FALSE)</f>
        <v>0</v>
      </c>
      <c r="AH47" s="26">
        <f>_xlfn.IFNA(IF(LEFT('Rock Climbing Log'!AH47)="C",_xlfn.IFNA(VLOOKUP('Rock Climbing Log'!AH47,'RC Lookup'!$A$3:$B$9,2,FALSE),0.5),VLOOKUP('Rock Climbing Log'!AH47,'RC Lookup'!$G$3:$H$5,2,FALSE)),0)*VLOOKUP(AH$7,'RC Lookup'!$D$3:$E$18,2,FALSE)</f>
        <v>0</v>
      </c>
      <c r="AI47" s="26">
        <f>_xlfn.IFNA(IF(LEFT('Rock Climbing Log'!AI47)="C",_xlfn.IFNA(VLOOKUP('Rock Climbing Log'!AI47,'RC Lookup'!$A$3:$B$9,2,FALSE),0.5),VLOOKUP('Rock Climbing Log'!AI47,'RC Lookup'!$G$3:$H$5,2,FALSE)),0)*VLOOKUP(AH$7,'RC Lookup'!$D$3:$E$18,2,FALSE)</f>
        <v>0</v>
      </c>
      <c r="AJ47" s="26">
        <f>_xlfn.IFNA(IF(LEFT('Rock Climbing Log'!AJ47)="C",_xlfn.IFNA(VLOOKUP('Rock Climbing Log'!AJ47,'RC Lookup'!$A$3:$B$9,2,FALSE),0.5),VLOOKUP('Rock Climbing Log'!AJ47,'RC Lookup'!$G$3:$H$5,2,FALSE)),0)*VLOOKUP(AH$7,'RC Lookup'!$D$3:$E$18,2,FALSE)</f>
        <v>0</v>
      </c>
      <c r="AK47" s="26">
        <f>_xlfn.IFNA(IF(LEFT('Rock Climbing Log'!AK47)="C",_xlfn.IFNA(VLOOKUP('Rock Climbing Log'!AK47,'RC Lookup'!$A$3:$B$9,2,FALSE),0.5),VLOOKUP('Rock Climbing Log'!AK47,'RC Lookup'!$G$3:$H$5,2,FALSE)),0)*VLOOKUP(AK$7,'RC Lookup'!$D$3:$E$18,2,FALSE)</f>
        <v>0</v>
      </c>
      <c r="AL47" s="26">
        <f>_xlfn.IFNA(IF(LEFT('Rock Climbing Log'!AL47)="C",_xlfn.IFNA(VLOOKUP('Rock Climbing Log'!AL47,'RC Lookup'!$A$3:$B$9,2,FALSE),0.5),VLOOKUP('Rock Climbing Log'!AL47,'RC Lookup'!$G$3:$H$5,2,FALSE)),0)*VLOOKUP(AK$7,'RC Lookup'!$D$3:$E$18,2,FALSE)</f>
        <v>0</v>
      </c>
      <c r="AM47" s="26">
        <f>_xlfn.IFNA(IF(LEFT('Rock Climbing Log'!AM47)="C",_xlfn.IFNA(VLOOKUP('Rock Climbing Log'!AM47,'RC Lookup'!$A$3:$B$9,2,FALSE),0.5),VLOOKUP('Rock Climbing Log'!AM47,'RC Lookup'!$G$3:$H$5,2,FALSE)),0)*VLOOKUP(AK$7,'RC Lookup'!$D$3:$E$18,2,FALSE)</f>
        <v>0</v>
      </c>
      <c r="AN47" s="26">
        <f>_xlfn.IFNA(IF(LEFT('Rock Climbing Log'!AN47)="C",_xlfn.IFNA(VLOOKUP('Rock Climbing Log'!AN47,'RC Lookup'!$A$3:$B$9,2,FALSE),0.5),VLOOKUP('Rock Climbing Log'!AN47,'RC Lookup'!$G$3:$H$5,2,FALSE)),0)*VLOOKUP(AN$7,'RC Lookup'!$D$3:$E$18,2,FALSE)</f>
        <v>0</v>
      </c>
      <c r="AO47" s="26">
        <f>_xlfn.IFNA(IF(LEFT('Rock Climbing Log'!AO47)="C",_xlfn.IFNA(VLOOKUP('Rock Climbing Log'!AO47,'RC Lookup'!$A$3:$B$9,2,FALSE),0.5),VLOOKUP('Rock Climbing Log'!AO47,'RC Lookup'!$G$3:$H$5,2,FALSE)),0)*VLOOKUP(AN$7,'RC Lookup'!$D$3:$E$18,2,FALSE)</f>
        <v>0</v>
      </c>
      <c r="AP47" s="26">
        <f>_xlfn.IFNA(IF(LEFT('Rock Climbing Log'!AP47)="C",_xlfn.IFNA(VLOOKUP('Rock Climbing Log'!AP47,'RC Lookup'!$A$3:$B$9,2,FALSE),0.5),VLOOKUP('Rock Climbing Log'!AP47,'RC Lookup'!$G$3:$H$5,2,FALSE)),0)*VLOOKUP(AN$7,'RC Lookup'!$D$3:$E$18,2,FALSE)</f>
        <v>0</v>
      </c>
      <c r="AQ47" s="26">
        <f>_xlfn.IFNA(IF(LEFT('Rock Climbing Log'!AQ47)="C",_xlfn.IFNA(VLOOKUP('Rock Climbing Log'!AQ47,'RC Lookup'!$A$3:$B$9,2,FALSE),0.5),VLOOKUP('Rock Climbing Log'!AQ47,'RC Lookup'!$G$3:$H$5,2,FALSE)),0)*VLOOKUP(AQ$7,'RC Lookup'!$D$3:$E$18,2,FALSE)</f>
        <v>0</v>
      </c>
      <c r="AR47" s="26">
        <f>_xlfn.IFNA(IF(LEFT('Rock Climbing Log'!AR47)="C",_xlfn.IFNA(VLOOKUP('Rock Climbing Log'!AR47,'RC Lookup'!$A$3:$B$9,2,FALSE),0.5),VLOOKUP('Rock Climbing Log'!AR47,'RC Lookup'!$G$3:$H$5,2,FALSE)),0)*VLOOKUP(AQ$7,'RC Lookup'!$D$3:$E$18,2,FALSE)</f>
        <v>0</v>
      </c>
      <c r="AS47" s="26">
        <f>_xlfn.IFNA(IF(LEFT('Rock Climbing Log'!AS47)="C",_xlfn.IFNA(VLOOKUP('Rock Climbing Log'!AS47,'RC Lookup'!$A$3:$B$9,2,FALSE),0.5),VLOOKUP('Rock Climbing Log'!AS47,'RC Lookup'!$G$3:$H$5,2,FALSE)),0)*VLOOKUP(AQ$7,'RC Lookup'!$D$3:$E$18,2,FALSE)</f>
        <v>0</v>
      </c>
      <c r="AT47" s="26">
        <f>_xlfn.IFNA(IF(LEFT('Rock Climbing Log'!AT47)="C",_xlfn.IFNA(VLOOKUP('Rock Climbing Log'!AT47,'RC Lookup'!$A$3:$B$9,2,FALSE),0.5),VLOOKUP('Rock Climbing Log'!AT47,'RC Lookup'!$G$3:$H$5,2,FALSE)),0)*VLOOKUP(AT$7,'RC Lookup'!$D$3:$E$18,2,FALSE)</f>
        <v>0</v>
      </c>
      <c r="AU47" s="26">
        <f>_xlfn.IFNA(IF(LEFT('Rock Climbing Log'!AU47)="C",_xlfn.IFNA(VLOOKUP('Rock Climbing Log'!AU47,'RC Lookup'!$A$3:$B$9,2,FALSE),0.5),VLOOKUP('Rock Climbing Log'!AU47,'RC Lookup'!$G$3:$H$5,2,FALSE)),0)*VLOOKUP(AT$7,'RC Lookup'!$D$3:$E$18,2,FALSE)</f>
        <v>0</v>
      </c>
      <c r="AV47" s="26">
        <f>_xlfn.IFNA(IF(LEFT('Rock Climbing Log'!AV47)="C",_xlfn.IFNA(VLOOKUP('Rock Climbing Log'!AV47,'RC Lookup'!$A$3:$B$9,2,FALSE),0.5),VLOOKUP('Rock Climbing Log'!AV47,'RC Lookup'!$G$3:$H$5,2,FALSE)),0)*VLOOKUP(AT$7,'RC Lookup'!$D$3:$E$18,2,FALSE)</f>
        <v>0</v>
      </c>
      <c r="AW47" s="30">
        <f t="shared" ca="1" si="2"/>
        <v>53.754750000000001</v>
      </c>
      <c r="AX47" s="30">
        <f ca="1">_xlfn.IFNA(VLOOKUP(SUMPRODUCT(LARGE(($C$8:$C47=Table1[[#This Row],[Climber]])*$A$8:$A47,1)),$A$8:$AW47,MATCH($AW$7,$A$7:$AW$7,FALSE),FALSE),0)/LEFT($AX$7,FIND(" ",$AX$7))+_xlfn.IFNA(VLOOKUP(SUMPRODUCT(LARGE(($C$8:$C47=Table1[[#This Row],[Climber]])*$A$8:$A47,MIN(2,COUNTIFS($C$8:$C47,$C47)))),$A$8:$AW47,MATCH($AW$7,$A$7:$AW$7,FALSE),FALSE),0)/LEFT($AX$7,FIND(" ",$AX$7))+_xlfn.IFNA(VLOOKUP(SUMPRODUCT(LARGE(($C$8:$C47=Table1[[#This Row],[Climber]])*$A$8:$A47,MIN(3,COUNTIFS($C$8:$C47,$C47)))),$A$8:$AW47,MATCH($AW$7,$A$7:$AW$7,FALSE),FALSE),0)/LEFT($AX$7,FIND(" ",$AX$7))</f>
        <v>52.587416666666662</v>
      </c>
      <c r="AY47" s="30">
        <f ca="1">_xlfn.IFNA(VLOOKUP(SUMPRODUCT(LARGE(($C$8:$C47=Table1[[#This Row],[Climber]])*$A$8:$A47,1)),$A$8:$AW47,MATCH($AW$7,$A$7:$AW$7,FALSE),FALSE),0)/LEFT($AY$7,FIND(" ",$AY$7))+_xlfn.IFNA(VLOOKUP(SUMPRODUCT(LARGE(($C$8:$C47=Table1[[#This Row],[Climber]])*$A$8:$A47,MIN(2,COUNTIFS($C$8:$C47,$C47)))),$A$8:$AW47,MATCH($AW$7,$A$7:$AW$7,FALSE),FALSE),0)/LEFT($AY$7,FIND(" ",$AY$7))+_xlfn.IFNA(VLOOKUP(SUMPRODUCT(LARGE(($C$8:$C47=Table1[[#This Row],[Climber]])*$A$8:$A47,MIN(3,COUNTIFS($C$8:$C47,$C47)))),$A$8:$AW47,MATCH($AW$7,$A$7:$AW$7,FALSE),FALSE),0)/LEFT($AY$7,FIND(" ",$AY$7))+_xlfn.IFNA(VLOOKUP(SUMPRODUCT(LARGE(($C$8:$C47=Table1[[#This Row],[Climber]])*$A$8:$A47,MIN(4,COUNTIFS($C$8:$C47,$C47)))),$A$8:$AW47,MATCH($AW$7,$A$7:$AW$7,FALSE),FALSE),0)/LEFT($AY$7,FIND(" ",$AY$7))+_xlfn.IFNA(VLOOKUP(SUMPRODUCT(LARGE(($C$8:$C47=Table1[[#This Row],[Climber]])*$A$8:$A47,MIN(5,COUNTIFS($C$8:$C47,$C47)))),$A$8:$AW47,MATCH($AW$7,$A$7:$AW$7,FALSE),FALSE),0)/LEFT($AY$7,FIND(" ",$AY$7))</f>
        <v>49.965542810268794</v>
      </c>
      <c r="AZ47" s="30">
        <f ca="1">(_xlfn.IFNA(VLOOKUP(SUMPRODUCT(LARGE(($C$8:$C47=Table1[[#This Row],[Climber]])*$A$8:$A47,4)),$A$8:$AW47,MATCH($AW$7,$A$7:$AW$7,FALSE),FALSE),0)+_xlfn.IFNA(VLOOKUP(SUMPRODUCT(LARGE(($C$8:$C47=Table1[[#This Row],[Climber]])*$A$8:$A47,5)),$A$8:$AW47,MATCH($AW$7,$A$7:$AW$7,FALSE),FALSE),0)+_xlfn.IFNA(VLOOKUP(SUMPRODUCT(LARGE(($C$8:$C47=Table1[[#This Row],[Climber]])*$A$8:$A47,6)),$A$8:$AW47,MATCH($AW$7,$A$7:$AW$7,FALSE),FALSE),0))/3</f>
        <v>44.175803974181342</v>
      </c>
      <c r="BA47" s="6">
        <f ca="1">_xlfn.MAXIFS(INDIRECT("$AW"&amp;IF(SUMPRODUCT(LARGE(($C$8:$C47=$C47)*$A$8:$A47,LEFT($BA$7,FIND(" ",$BA$7)-1)))=0,8,SUMPRODUCT(LARGE(($C$8:$C47=$C47)*$A$8:$A47,LEFT($BA$7,FIND(" ",$BA$7)-1)))+7)&amp;":$AW"&amp;ROW()),INDIRECT("$C"&amp;IF(SUMPRODUCT(LARGE(($C$8:$C47=$C47)*$A$8:$A47,LEFT($BA$7,FIND(" ",$BA$7)-1)))=0,8,SUMPRODUCT(LARGE(($C$8:$C47=$C47)*$A$8:$A47,LEFT($BA$7,FIND(" ",$BA$7)-1)))+7)&amp;":$C"&amp;ROW()),$C47)</f>
        <v>55.755000000000003</v>
      </c>
      <c r="BB47" s="6" t="str">
        <f ca="1">VLOOKUP(MAX(BG47,$AX47),'RC Lookup'!$G$14:$J$20,2,TRUE)</f>
        <v>T1</v>
      </c>
      <c r="BC47" s="6">
        <f ca="1">_xlfn.IFNA(VLOOKUP(VLOOKUP($C47,'RC Lookup'!$O$3:$P$50,2,FALSE),'RC Lookup'!$H$14:$J$23,2,FALSE),0)*AW47</f>
        <v>41.251776885971438</v>
      </c>
      <c r="BD47" s="6">
        <f ca="1">_xlfn.IFNA(VLOOKUP(SUMPRODUCT(LARGE(($C$8:$C47=Table1[[#This Row],[Climber]])*$A$8:$A47,1)),$A$8:$BC47,55,FALSE),0)/LEFT($AX$7,FIND(" ",$AX$7))+_xlfn.IFNA(VLOOKUP(SUMPRODUCT(LARGE(($C$8:$C47=Table1[[#This Row],[Climber]])*$A$8:$A47,MIN(2,COUNTIFS($C$8:$C47,$C47)))),$A$8:$BC47,55,FALSE),0)/LEFT($AX$7,FIND(" ",$AX$7))+_xlfn.IFNA(VLOOKUP(SUMPRODUCT(LARGE(($C$8:$C47=Table1[[#This Row],[Climber]])*$A$8:$A47,MIN(3,COUNTIFS($C$8:$C47,$C47)))),$A$8:$BC47,55,FALSE),0)/LEFT($AX$7,FIND(" ",$AX$7))</f>
        <v>40.355956996227292</v>
      </c>
      <c r="BE47" s="6">
        <f ca="1">(_xlfn.IFNA(VLOOKUP(SUMPRODUCT(LARGE(($C$8:$C47=Table1[[#This Row],[Climber]])*$A$8:$A47,4)),$A$8:$BD47,55,FALSE),0)+_xlfn.IFNA(VLOOKUP(SUMPRODUCT(LARGE(($C$8:$C47=Table1[[#This Row],[Climber]])*$A$8:$A47,5)),$A$8:$BD47,55,FALSE),0)+_xlfn.IFNA(VLOOKUP(SUMPRODUCT(LARGE(($C$8:$C47=Table1[[#This Row],[Climber]])*$A$8:$A47,6)),$A$8:$BD47,55,FALSE),0))/3</f>
        <v>33.900825681476313</v>
      </c>
      <c r="BF47" s="46">
        <f ca="1">_xlfn.MAXIFS(INDIRECT("$BC"&amp;IF(SUMPRODUCT(LARGE(($C$8:$C47=$C47)*$A$8:$A47,LEFT($BA$7,FIND(" ",$BA$7)-1)))=0,8,SUMPRODUCT(LARGE(($C$8:$C47=$C47)*$A$8:$A47,LEFT($BA$7,FIND(" ",$BA$7)-1)))+7)&amp;":$BC"&amp;ROW()),INDIRECT("$C"&amp;IF(SUMPRODUCT(LARGE(($C$8:$C47=$C47)*$A$8:$A47,LEFT($BA$7,FIND(" ",$BA$7)-1)))=0,8,SUMPRODUCT(LARGE(($C$8:$C47=$C47)*$A$8:$A47,LEFT($BA$7,FIND(" ",$BA$7)-1)))+7)&amp;":$C"&amp;ROW()),$C47)</f>
        <v>42.786782940620824</v>
      </c>
      <c r="BG47" s="46">
        <f t="array" aca="1" ref="BG47" ca="1">IFERROR(SUMPRODUCT(LARGE(($C$8:$C47=Table1[[#This Row],[Climber]])*$AW$8:$AW47,ROW(INDIRECT("1:5")))),AW47)/MIN(COUNTIFS($C$8:$C47,C47),5)</f>
        <v>51.006432384508805</v>
      </c>
      <c r="BH47" s="46"/>
    </row>
    <row r="48" spans="1:60" x14ac:dyDescent="0.3">
      <c r="A48" s="125">
        <f t="shared" si="1"/>
        <v>41</v>
      </c>
      <c r="B48" s="25">
        <f>'Rock Climbing Log'!B48</f>
        <v>43146</v>
      </c>
      <c r="C48" s="126" t="str">
        <f>'Rock Climbing Log'!C48</f>
        <v>Lester</v>
      </c>
      <c r="D48" s="26">
        <f>_xlfn.IFNA(IF(LEFT('Rock Climbing Log'!D48)="C",_xlfn.IFNA(VLOOKUP('Rock Climbing Log'!D48,'RC Lookup'!$A$3:$B$9,2,FALSE),0.5),VLOOKUP('Rock Climbing Log'!D48,'RC Lookup'!$G$3:$H$5,2,FALSE)),0)*VLOOKUP(D$7,'RC Lookup'!$D$3:$E$18,2,FALSE)</f>
        <v>0</v>
      </c>
      <c r="E48" s="26">
        <f>_xlfn.IFNA(IF(LEFT('Rock Climbing Log'!E48)="C",_xlfn.IFNA(VLOOKUP('Rock Climbing Log'!E48,'RC Lookup'!$A$3:$B$9,2,FALSE),0.5),VLOOKUP('Rock Climbing Log'!E48,'RC Lookup'!$G$3:$H$5,2,FALSE)),0)*VLOOKUP(D$7,'RC Lookup'!$D$3:$E$18,2,FALSE)</f>
        <v>0</v>
      </c>
      <c r="F48" s="26">
        <f>_xlfn.IFNA(IF(LEFT('Rock Climbing Log'!F48)="C",_xlfn.IFNA(VLOOKUP('Rock Climbing Log'!F48,'RC Lookup'!$A$3:$B$9,2,FALSE),0.5),VLOOKUP('Rock Climbing Log'!F48,'RC Lookup'!$G$3:$H$5,2,FALSE)),0)*VLOOKUP(D$7,'RC Lookup'!$D$3:$E$18,2,FALSE)</f>
        <v>0</v>
      </c>
      <c r="G48" s="26">
        <f>_xlfn.IFNA(IF(LEFT('Rock Climbing Log'!G48)="C",_xlfn.IFNA(VLOOKUP('Rock Climbing Log'!G48,'RC Lookup'!$A$3:$B$9,2,FALSE),0.5),VLOOKUP('Rock Climbing Log'!G48,'RC Lookup'!$G$3:$H$5,2,FALSE)),0)*VLOOKUP(G$7,'RC Lookup'!$D$3:$E$18,2,FALSE)</f>
        <v>12.5</v>
      </c>
      <c r="H48" s="26">
        <f>_xlfn.IFNA(IF(LEFT('Rock Climbing Log'!H48)="C",_xlfn.IFNA(VLOOKUP('Rock Climbing Log'!H48,'RC Lookup'!$A$3:$B$9,2,FALSE),0.5),VLOOKUP('Rock Climbing Log'!H48,'RC Lookup'!$G$3:$H$5,2,FALSE)),0)*VLOOKUP(G$7,'RC Lookup'!$D$3:$E$18,2,FALSE)</f>
        <v>0</v>
      </c>
      <c r="I48" s="26">
        <f>_xlfn.IFNA(IF(LEFT('Rock Climbing Log'!I48)="C",_xlfn.IFNA(VLOOKUP('Rock Climbing Log'!I48,'RC Lookup'!$A$3:$B$9,2,FALSE),0.5),VLOOKUP('Rock Climbing Log'!I48,'RC Lookup'!$G$3:$H$5,2,FALSE)),0)*VLOOKUP(G$7,'RC Lookup'!$D$3:$E$18,2,FALSE)</f>
        <v>0</v>
      </c>
      <c r="J48" s="26">
        <f>_xlfn.IFNA(IF(LEFT('Rock Climbing Log'!J48)="C",_xlfn.IFNA(VLOOKUP('Rock Climbing Log'!J48,'RC Lookup'!$A$3:$B$9,2,FALSE),0.5),VLOOKUP('Rock Climbing Log'!J48,'RC Lookup'!$G$3:$H$5,2,FALSE)),0)*VLOOKUP(J$7,'RC Lookup'!$D$3:$E$18,2,FALSE)</f>
        <v>0</v>
      </c>
      <c r="K48" s="26">
        <f>_xlfn.IFNA(IF(LEFT('Rock Climbing Log'!K48)="C",_xlfn.IFNA(VLOOKUP('Rock Climbing Log'!K48,'RC Lookup'!$A$3:$B$9,2,FALSE),0.5),VLOOKUP('Rock Climbing Log'!K48,'RC Lookup'!$G$3:$H$5,2,FALSE)),0)*VLOOKUP(J$7,'RC Lookup'!$D$3:$E$18,2,FALSE)</f>
        <v>0</v>
      </c>
      <c r="L48" s="26">
        <f>_xlfn.IFNA(IF(LEFT('Rock Climbing Log'!L48)="C",_xlfn.IFNA(VLOOKUP('Rock Climbing Log'!L48,'RC Lookup'!$A$3:$B$9,2,FALSE),0.5),VLOOKUP('Rock Climbing Log'!L48,'RC Lookup'!$G$3:$H$5,2,FALSE)),0)*VLOOKUP(J$7,'RC Lookup'!$D$3:$E$18,2,FALSE)</f>
        <v>0</v>
      </c>
      <c r="M48" s="26">
        <f>_xlfn.IFNA(IF(LEFT('Rock Climbing Log'!M48)="C",_xlfn.IFNA(VLOOKUP('Rock Climbing Log'!M48,'RC Lookup'!$A$3:$B$9,2,FALSE),0.5),VLOOKUP('Rock Climbing Log'!M48,'RC Lookup'!$G$3:$H$5,2,FALSE)),0)*VLOOKUP(M$7,'RC Lookup'!$D$3:$E$18,2,FALSE)</f>
        <v>0</v>
      </c>
      <c r="N48" s="26">
        <f>_xlfn.IFNA(IF(LEFT('Rock Climbing Log'!N48)="C",_xlfn.IFNA(VLOOKUP('Rock Climbing Log'!N48,'RC Lookup'!$A$3:$B$9,2,FALSE),0.5),VLOOKUP('Rock Climbing Log'!N48,'RC Lookup'!$G$3:$H$5,2,FALSE)),0)*VLOOKUP(M$7,'RC Lookup'!$D$3:$E$18,2,FALSE)</f>
        <v>0</v>
      </c>
      <c r="O48" s="26">
        <f>_xlfn.IFNA(IF(LEFT('Rock Climbing Log'!O48)="C",_xlfn.IFNA(VLOOKUP('Rock Climbing Log'!O48,'RC Lookup'!$A$3:$B$9,2,FALSE),0.5),VLOOKUP('Rock Climbing Log'!O48,'RC Lookup'!$G$3:$H$5,2,FALSE)),0)*VLOOKUP(M$7,'RC Lookup'!$D$3:$E$18,2,FALSE)</f>
        <v>0</v>
      </c>
      <c r="P48" s="26">
        <f>_xlfn.IFNA(IF(LEFT('Rock Climbing Log'!P48)="C",_xlfn.IFNA(VLOOKUP('Rock Climbing Log'!P48,'RC Lookup'!$A$3:$B$9,2,FALSE),0.5),VLOOKUP('Rock Climbing Log'!P48,'RC Lookup'!$G$3:$H$5,2,FALSE)),0)*VLOOKUP(P$7,'RC Lookup'!$D$3:$E$18,2,FALSE)</f>
        <v>0</v>
      </c>
      <c r="Q48" s="26">
        <f>_xlfn.IFNA(IF(LEFT('Rock Climbing Log'!Q48)="C",_xlfn.IFNA(VLOOKUP('Rock Climbing Log'!Q48,'RC Lookup'!$A$3:$B$9,2,FALSE),0.5),VLOOKUP('Rock Climbing Log'!Q48,'RC Lookup'!$G$3:$H$5,2,FALSE)),0)*VLOOKUP(P$7,'RC Lookup'!$D$3:$E$18,2,FALSE)</f>
        <v>0</v>
      </c>
      <c r="R48" s="26">
        <f>_xlfn.IFNA(IF(LEFT('Rock Climbing Log'!R48)="C",_xlfn.IFNA(VLOOKUP('Rock Climbing Log'!R48,'RC Lookup'!$A$3:$B$9,2,FALSE),0.5),VLOOKUP('Rock Climbing Log'!R48,'RC Lookup'!$G$3:$H$5,2,FALSE)),0)*VLOOKUP(P$7,'RC Lookup'!$D$3:$E$18,2,FALSE)</f>
        <v>0</v>
      </c>
      <c r="S48" s="26">
        <f>_xlfn.IFNA(IF(LEFT('Rock Climbing Log'!S48)="C",_xlfn.IFNA(VLOOKUP('Rock Climbing Log'!S48,'RC Lookup'!$A$3:$B$9,2,FALSE),0.5),VLOOKUP('Rock Climbing Log'!S48,'RC Lookup'!$G$3:$H$5,2,FALSE)),0)*VLOOKUP(S$7,'RC Lookup'!$D$3:$E$18,2,FALSE)</f>
        <v>0</v>
      </c>
      <c r="T48" s="26">
        <f>_xlfn.IFNA(IF(LEFT('Rock Climbing Log'!T48)="C",_xlfn.IFNA(VLOOKUP('Rock Climbing Log'!T48,'RC Lookup'!$A$3:$B$9,2,FALSE),0.5),VLOOKUP('Rock Climbing Log'!T48,'RC Lookup'!$G$3:$H$5,2,FALSE)),0)*VLOOKUP(S$7,'RC Lookup'!$D$3:$E$18,2,FALSE)</f>
        <v>0</v>
      </c>
      <c r="U48" s="26">
        <f>_xlfn.IFNA(IF(LEFT('Rock Climbing Log'!U48)="C",_xlfn.IFNA(VLOOKUP('Rock Climbing Log'!U48,'RC Lookup'!$A$3:$B$9,2,FALSE),0.5),VLOOKUP('Rock Climbing Log'!U48,'RC Lookup'!$G$3:$H$5,2,FALSE)),0)*VLOOKUP(S$7,'RC Lookup'!$D$3:$E$18,2,FALSE)</f>
        <v>0</v>
      </c>
      <c r="V48" s="26">
        <f>_xlfn.IFNA(IF(LEFT('Rock Climbing Log'!V48)="C",_xlfn.IFNA(VLOOKUP('Rock Climbing Log'!V48,'RC Lookup'!$A$3:$B$9,2,FALSE),0.5),VLOOKUP('Rock Climbing Log'!V48,'RC Lookup'!$G$3:$H$5,2,FALSE)),0)*VLOOKUP(V$7,'RC Lookup'!$D$3:$E$18,2,FALSE)</f>
        <v>35.256745742400021</v>
      </c>
      <c r="W48" s="26">
        <f>_xlfn.IFNA(IF(LEFT('Rock Climbing Log'!W48)="C",_xlfn.IFNA(VLOOKUP('Rock Climbing Log'!W48,'RC Lookup'!$A$3:$B$9,2,FALSE),0.5),VLOOKUP('Rock Climbing Log'!W48,'RC Lookup'!$G$3:$H$5,2,FALSE)),0)*VLOOKUP(V$7,'RC Lookup'!$D$3:$E$18,2,FALSE)</f>
        <v>35.256745742400021</v>
      </c>
      <c r="X48" s="26">
        <f>_xlfn.IFNA(IF(LEFT('Rock Climbing Log'!X48)="C",_xlfn.IFNA(VLOOKUP('Rock Climbing Log'!X48,'RC Lookup'!$A$3:$B$9,2,FALSE),0.5),VLOOKUP('Rock Climbing Log'!X48,'RC Lookup'!$G$3:$H$5,2,FALSE)),0)*VLOOKUP(V$7,'RC Lookup'!$D$3:$E$18,2,FALSE)</f>
        <v>35.256745742400021</v>
      </c>
      <c r="Y48" s="26">
        <f>_xlfn.IFNA(IF(LEFT('Rock Climbing Log'!Y48)="C",_xlfn.IFNA(VLOOKUP('Rock Climbing Log'!Y48,'RC Lookup'!$A$3:$B$9,2,FALSE),0.5),VLOOKUP('Rock Climbing Log'!Y48,'RC Lookup'!$G$3:$H$5,2,FALSE)),0)*VLOOKUP(Y$7,'RC Lookup'!$D$3:$E$18,2,FALSE)</f>
        <v>0</v>
      </c>
      <c r="Z48" s="26">
        <f>_xlfn.IFNA(IF(LEFT('Rock Climbing Log'!Z48)="C",_xlfn.IFNA(VLOOKUP('Rock Climbing Log'!Z48,'RC Lookup'!$A$3:$B$9,2,FALSE),0.5),VLOOKUP('Rock Climbing Log'!Z48,'RC Lookup'!$G$3:$H$5,2,FALSE)),0)*VLOOKUP(Y$7,'RC Lookup'!$D$3:$E$18,2,FALSE)</f>
        <v>0</v>
      </c>
      <c r="AA48" s="26">
        <f>_xlfn.IFNA(IF(LEFT('Rock Climbing Log'!AA48)="C",_xlfn.IFNA(VLOOKUP('Rock Climbing Log'!AA48,'RC Lookup'!$A$3:$B$9,2,FALSE),0.5),VLOOKUP('Rock Climbing Log'!AA48,'RC Lookup'!$G$3:$H$5,2,FALSE)),0)*VLOOKUP(Y$7,'RC Lookup'!$D$3:$E$18,2,FALSE)</f>
        <v>0</v>
      </c>
      <c r="AB48" s="26">
        <f>_xlfn.IFNA(IF(LEFT('Rock Climbing Log'!AB48)="C",_xlfn.IFNA(VLOOKUP('Rock Climbing Log'!AB48,'RC Lookup'!$A$3:$B$9,2,FALSE),0.5),VLOOKUP('Rock Climbing Log'!AB48,'RC Lookup'!$G$3:$H$5,2,FALSE)),0)*VLOOKUP(AB$7,'RC Lookup'!$D$3:$E$18,2,FALSE)</f>
        <v>0</v>
      </c>
      <c r="AC48" s="26">
        <f>_xlfn.IFNA(IF(LEFT('Rock Climbing Log'!AC48)="C",_xlfn.IFNA(VLOOKUP('Rock Climbing Log'!AC48,'RC Lookup'!$A$3:$B$9,2,FALSE),0.5),VLOOKUP('Rock Climbing Log'!AC48,'RC Lookup'!$G$3:$H$5,2,FALSE)),0)*VLOOKUP(AB$7,'RC Lookup'!$D$3:$E$18,2,FALSE)</f>
        <v>0</v>
      </c>
      <c r="AD48" s="26">
        <f>_xlfn.IFNA(IF(LEFT('Rock Climbing Log'!AD48)="C",_xlfn.IFNA(VLOOKUP('Rock Climbing Log'!AD48,'RC Lookup'!$A$3:$B$9,2,FALSE),0.5),VLOOKUP('Rock Climbing Log'!AD48,'RC Lookup'!$G$3:$H$5,2,FALSE)),0)*VLOOKUP(AB$7,'RC Lookup'!$D$3:$E$18,2,FALSE)</f>
        <v>0</v>
      </c>
      <c r="AE48" s="26">
        <f>_xlfn.IFNA(IF(LEFT('Rock Climbing Log'!AE48)="C",_xlfn.IFNA(VLOOKUP('Rock Climbing Log'!AE48,'RC Lookup'!$A$3:$B$9,2,FALSE),0.5),VLOOKUP('Rock Climbing Log'!AE48,'RC Lookup'!$G$3:$H$5,2,FALSE)),0)*VLOOKUP(AE$7,'RC Lookup'!$D$3:$E$18,2,FALSE)</f>
        <v>0</v>
      </c>
      <c r="AF48" s="26">
        <f>_xlfn.IFNA(IF(LEFT('Rock Climbing Log'!AF48)="C",_xlfn.IFNA(VLOOKUP('Rock Climbing Log'!AF48,'RC Lookup'!$A$3:$B$9,2,FALSE),0.5),VLOOKUP('Rock Climbing Log'!AF48,'RC Lookup'!$G$3:$H$5,2,FALSE)),0)*VLOOKUP(AE$7,'RC Lookup'!$D$3:$E$18,2,FALSE)</f>
        <v>0</v>
      </c>
      <c r="AG48" s="26">
        <f>_xlfn.IFNA(IF(LEFT('Rock Climbing Log'!AG48)="C",_xlfn.IFNA(VLOOKUP('Rock Climbing Log'!AG48,'RC Lookup'!$A$3:$B$9,2,FALSE),0.5),VLOOKUP('Rock Climbing Log'!AG48,'RC Lookup'!$G$3:$H$5,2,FALSE)),0)*VLOOKUP(AE$7,'RC Lookup'!$D$3:$E$18,2,FALSE)</f>
        <v>0</v>
      </c>
      <c r="AH48" s="26">
        <f>_xlfn.IFNA(IF(LEFT('Rock Climbing Log'!AH48)="C",_xlfn.IFNA(VLOOKUP('Rock Climbing Log'!AH48,'RC Lookup'!$A$3:$B$9,2,FALSE),0.5),VLOOKUP('Rock Climbing Log'!AH48,'RC Lookup'!$G$3:$H$5,2,FALSE)),0)*VLOOKUP(AH$7,'RC Lookup'!$D$3:$E$18,2,FALSE)</f>
        <v>0</v>
      </c>
      <c r="AI48" s="26">
        <f>_xlfn.IFNA(IF(LEFT('Rock Climbing Log'!AI48)="C",_xlfn.IFNA(VLOOKUP('Rock Climbing Log'!AI48,'RC Lookup'!$A$3:$B$9,2,FALSE),0.5),VLOOKUP('Rock Climbing Log'!AI48,'RC Lookup'!$G$3:$H$5,2,FALSE)),0)*VLOOKUP(AH$7,'RC Lookup'!$D$3:$E$18,2,FALSE)</f>
        <v>0</v>
      </c>
      <c r="AJ48" s="26">
        <f>_xlfn.IFNA(IF(LEFT('Rock Climbing Log'!AJ48)="C",_xlfn.IFNA(VLOOKUP('Rock Climbing Log'!AJ48,'RC Lookup'!$A$3:$B$9,2,FALSE),0.5),VLOOKUP('Rock Climbing Log'!AJ48,'RC Lookup'!$G$3:$H$5,2,FALSE)),0)*VLOOKUP(AH$7,'RC Lookup'!$D$3:$E$18,2,FALSE)</f>
        <v>0</v>
      </c>
      <c r="AK48" s="26">
        <f>_xlfn.IFNA(IF(LEFT('Rock Climbing Log'!AK48)="C",_xlfn.IFNA(VLOOKUP('Rock Climbing Log'!AK48,'RC Lookup'!$A$3:$B$9,2,FALSE),0.5),VLOOKUP('Rock Climbing Log'!AK48,'RC Lookup'!$G$3:$H$5,2,FALSE)),0)*VLOOKUP(AK$7,'RC Lookup'!$D$3:$E$18,2,FALSE)</f>
        <v>0</v>
      </c>
      <c r="AL48" s="26">
        <f>_xlfn.IFNA(IF(LEFT('Rock Climbing Log'!AL48)="C",_xlfn.IFNA(VLOOKUP('Rock Climbing Log'!AL48,'RC Lookup'!$A$3:$B$9,2,FALSE),0.5),VLOOKUP('Rock Climbing Log'!AL48,'RC Lookup'!$G$3:$H$5,2,FALSE)),0)*VLOOKUP(AK$7,'RC Lookup'!$D$3:$E$18,2,FALSE)</f>
        <v>0</v>
      </c>
      <c r="AM48" s="26">
        <f>_xlfn.IFNA(IF(LEFT('Rock Climbing Log'!AM48)="C",_xlfn.IFNA(VLOOKUP('Rock Climbing Log'!AM48,'RC Lookup'!$A$3:$B$9,2,FALSE),0.5),VLOOKUP('Rock Climbing Log'!AM48,'RC Lookup'!$G$3:$H$5,2,FALSE)),0)*VLOOKUP(AK$7,'RC Lookup'!$D$3:$E$18,2,FALSE)</f>
        <v>0</v>
      </c>
      <c r="AN48" s="26">
        <f>_xlfn.IFNA(IF(LEFT('Rock Climbing Log'!AN48)="C",_xlfn.IFNA(VLOOKUP('Rock Climbing Log'!AN48,'RC Lookup'!$A$3:$B$9,2,FALSE),0.5),VLOOKUP('Rock Climbing Log'!AN48,'RC Lookup'!$G$3:$H$5,2,FALSE)),0)*VLOOKUP(AN$7,'RC Lookup'!$D$3:$E$18,2,FALSE)</f>
        <v>0</v>
      </c>
      <c r="AO48" s="26">
        <f>_xlfn.IFNA(IF(LEFT('Rock Climbing Log'!AO48)="C",_xlfn.IFNA(VLOOKUP('Rock Climbing Log'!AO48,'RC Lookup'!$A$3:$B$9,2,FALSE),0.5),VLOOKUP('Rock Climbing Log'!AO48,'RC Lookup'!$G$3:$H$5,2,FALSE)),0)*VLOOKUP(AN$7,'RC Lookup'!$D$3:$E$18,2,FALSE)</f>
        <v>0</v>
      </c>
      <c r="AP48" s="26">
        <f>_xlfn.IFNA(IF(LEFT('Rock Climbing Log'!AP48)="C",_xlfn.IFNA(VLOOKUP('Rock Climbing Log'!AP48,'RC Lookup'!$A$3:$B$9,2,FALSE),0.5),VLOOKUP('Rock Climbing Log'!AP48,'RC Lookup'!$G$3:$H$5,2,FALSE)),0)*VLOOKUP(AN$7,'RC Lookup'!$D$3:$E$18,2,FALSE)</f>
        <v>0</v>
      </c>
      <c r="AQ48" s="26">
        <f>_xlfn.IFNA(IF(LEFT('Rock Climbing Log'!AQ48)="C",_xlfn.IFNA(VLOOKUP('Rock Climbing Log'!AQ48,'RC Lookup'!$A$3:$B$9,2,FALSE),0.5),VLOOKUP('Rock Climbing Log'!AQ48,'RC Lookup'!$G$3:$H$5,2,FALSE)),0)*VLOOKUP(AQ$7,'RC Lookup'!$D$3:$E$18,2,FALSE)</f>
        <v>0</v>
      </c>
      <c r="AR48" s="26">
        <f>_xlfn.IFNA(IF(LEFT('Rock Climbing Log'!AR48)="C",_xlfn.IFNA(VLOOKUP('Rock Climbing Log'!AR48,'RC Lookup'!$A$3:$B$9,2,FALSE),0.5),VLOOKUP('Rock Climbing Log'!AR48,'RC Lookup'!$G$3:$H$5,2,FALSE)),0)*VLOOKUP(AQ$7,'RC Lookup'!$D$3:$E$18,2,FALSE)</f>
        <v>0</v>
      </c>
      <c r="AS48" s="26">
        <f>_xlfn.IFNA(IF(LEFT('Rock Climbing Log'!AS48)="C",_xlfn.IFNA(VLOOKUP('Rock Climbing Log'!AS48,'RC Lookup'!$A$3:$B$9,2,FALSE),0.5),VLOOKUP('Rock Climbing Log'!AS48,'RC Lookup'!$G$3:$H$5,2,FALSE)),0)*VLOOKUP(AQ$7,'RC Lookup'!$D$3:$E$18,2,FALSE)</f>
        <v>0</v>
      </c>
      <c r="AT48" s="26">
        <f>_xlfn.IFNA(IF(LEFT('Rock Climbing Log'!AT48)="C",_xlfn.IFNA(VLOOKUP('Rock Climbing Log'!AT48,'RC Lookup'!$A$3:$B$9,2,FALSE),0.5),VLOOKUP('Rock Climbing Log'!AT48,'RC Lookup'!$G$3:$H$5,2,FALSE)),0)*VLOOKUP(AT$7,'RC Lookup'!$D$3:$E$18,2,FALSE)</f>
        <v>0</v>
      </c>
      <c r="AU48" s="26">
        <f>_xlfn.IFNA(IF(LEFT('Rock Climbing Log'!AU48)="C",_xlfn.IFNA(VLOOKUP('Rock Climbing Log'!AU48,'RC Lookup'!$A$3:$B$9,2,FALSE),0.5),VLOOKUP('Rock Climbing Log'!AU48,'RC Lookup'!$G$3:$H$5,2,FALSE)),0)*VLOOKUP(AT$7,'RC Lookup'!$D$3:$E$18,2,FALSE)</f>
        <v>0</v>
      </c>
      <c r="AV48" s="26">
        <f>_xlfn.IFNA(IF(LEFT('Rock Climbing Log'!AV48)="C",_xlfn.IFNA(VLOOKUP('Rock Climbing Log'!AV48,'RC Lookup'!$A$3:$B$9,2,FALSE),0.5),VLOOKUP('Rock Climbing Log'!AV48,'RC Lookup'!$G$3:$H$5,2,FALSE)),0)*VLOOKUP(AT$7,'RC Lookup'!$D$3:$E$18,2,FALSE)</f>
        <v>0</v>
      </c>
      <c r="AW48" s="30">
        <f t="shared" ca="1" si="2"/>
        <v>105.77023722720006</v>
      </c>
      <c r="AX48" s="30">
        <f ca="1">_xlfn.IFNA(VLOOKUP(SUMPRODUCT(LARGE(($C$8:$C48=Table1[[#This Row],[Climber]])*$A$8:$A48,1)),$A$8:$AW48,MATCH($AW$7,$A$7:$AW$7,FALSE),FALSE),0)/LEFT($AX$7,FIND(" ",$AX$7))+_xlfn.IFNA(VLOOKUP(SUMPRODUCT(LARGE(($C$8:$C48=Table1[[#This Row],[Climber]])*$A$8:$A48,MIN(2,COUNTIFS($C$8:$C48,$C48)))),$A$8:$AW48,MATCH($AW$7,$A$7:$AW$7,FALSE),FALSE),0)/LEFT($AX$7,FIND(" ",$AX$7))+_xlfn.IFNA(VLOOKUP(SUMPRODUCT(LARGE(($C$8:$C48=Table1[[#This Row],[Climber]])*$A$8:$A48,MIN(3,COUNTIFS($C$8:$C48,$C48)))),$A$8:$AW48,MATCH($AW$7,$A$7:$AW$7,FALSE),FALSE),0)/LEFT($AX$7,FIND(" ",$AX$7))</f>
        <v>227.7569561457629</v>
      </c>
      <c r="AY48" s="30">
        <f ca="1">_xlfn.IFNA(VLOOKUP(SUMPRODUCT(LARGE(($C$8:$C48=Table1[[#This Row],[Climber]])*$A$8:$A48,1)),$A$8:$AW48,MATCH($AW$7,$A$7:$AW$7,FALSE),FALSE),0)/LEFT($AY$7,FIND(" ",$AY$7))+_xlfn.IFNA(VLOOKUP(SUMPRODUCT(LARGE(($C$8:$C48=Table1[[#This Row],[Climber]])*$A$8:$A48,MIN(2,COUNTIFS($C$8:$C48,$C48)))),$A$8:$AW48,MATCH($AW$7,$A$7:$AW$7,FALSE),FALSE),0)/LEFT($AY$7,FIND(" ",$AY$7))+_xlfn.IFNA(VLOOKUP(SUMPRODUCT(LARGE(($C$8:$C48=Table1[[#This Row],[Climber]])*$A$8:$A48,MIN(3,COUNTIFS($C$8:$C48,$C48)))),$A$8:$AW48,MATCH($AW$7,$A$7:$AW$7,FALSE),FALSE),0)/LEFT($AY$7,FIND(" ",$AY$7))+_xlfn.IFNA(VLOOKUP(SUMPRODUCT(LARGE(($C$8:$C48=Table1[[#This Row],[Climber]])*$A$8:$A48,MIN(4,COUNTIFS($C$8:$C48,$C48)))),$A$8:$AW48,MATCH($AW$7,$A$7:$AW$7,FALSE),FALSE),0)/LEFT($AY$7,FIND(" ",$AY$7))+_xlfn.IFNA(VLOOKUP(SUMPRODUCT(LARGE(($C$8:$C48=Table1[[#This Row],[Climber]])*$A$8:$A48,MIN(5,COUNTIFS($C$8:$C48,$C48)))),$A$8:$AW48,MATCH($AW$7,$A$7:$AW$7,FALSE),FALSE),0)/LEFT($AY$7,FIND(" ",$AY$7))</f>
        <v>249.48115629399047</v>
      </c>
      <c r="AZ48" s="30">
        <f ca="1">(_xlfn.IFNA(VLOOKUP(SUMPRODUCT(LARGE(($C$8:$C48=Table1[[#This Row],[Climber]])*$A$8:$A48,4)),$A$8:$AW48,MATCH($AW$7,$A$7:$AW$7,FALSE),FALSE),0)+_xlfn.IFNA(VLOOKUP(SUMPRODUCT(LARGE(($C$8:$C48=Table1[[#This Row],[Climber]])*$A$8:$A48,5)),$A$8:$AW48,MATCH($AW$7,$A$7:$AW$7,FALSE),FALSE),0)+_xlfn.IFNA(VLOOKUP(SUMPRODUCT(LARGE(($C$8:$C48=Table1[[#This Row],[Climber]])*$A$8:$A48,6)),$A$8:$AW48,MATCH($AW$7,$A$7:$AW$7,FALSE),FALSE),0))/3</f>
        <v>264.22016456740033</v>
      </c>
      <c r="BA48" s="6">
        <f ca="1">_xlfn.MAXIFS(INDIRECT("$AW"&amp;IF(SUMPRODUCT(LARGE(($C$8:$C48=$C48)*$A$8:$A48,LEFT($BA$7,FIND(" ",$BA$7)-1)))=0,8,SUMPRODUCT(LARGE(($C$8:$C48=$C48)*$A$8:$A48,LEFT($BA$7,FIND(" ",$BA$7)-1)))+7)&amp;":$AW"&amp;ROW()),INDIRECT("$C"&amp;IF(SUMPRODUCT(LARGE(($C$8:$C48=$C48)*$A$8:$A48,LEFT($BA$7,FIND(" ",$BA$7)-1)))=0,8,SUMPRODUCT(LARGE(($C$8:$C48=$C48)*$A$8:$A48,LEFT($BA$7,FIND(" ",$BA$7)-1)))+7)&amp;":$C"&amp;ROW()),$C48)</f>
        <v>306.69077627303841</v>
      </c>
      <c r="BB48" s="6" t="str">
        <f ca="1">VLOOKUP(MAX(BG48,$AX48),'RC Lookup'!$G$14:$J$20,2,TRUE)</f>
        <v>T5</v>
      </c>
      <c r="BC48" s="6">
        <f ca="1">_xlfn.IFNA(VLOOKUP(VLOOKUP($C48,'RC Lookup'!$O$3:$P$50,2,FALSE),'RC Lookup'!$H$14:$J$23,2,FALSE),0)*AW48</f>
        <v>32.007374346131726</v>
      </c>
      <c r="BD48" s="6">
        <f ca="1">_xlfn.IFNA(VLOOKUP(SUMPRODUCT(LARGE(($C$8:$C48=Table1[[#This Row],[Climber]])*$A$8:$A48,1)),$A$8:$BC48,55,FALSE),0)/LEFT($AX$7,FIND(" ",$AX$7))+_xlfn.IFNA(VLOOKUP(SUMPRODUCT(LARGE(($C$8:$C48=Table1[[#This Row],[Climber]])*$A$8:$A48,MIN(2,COUNTIFS($C$8:$C48,$C48)))),$A$8:$BC48,55,FALSE),0)/LEFT($AX$7,FIND(" ",$AX$7))+_xlfn.IFNA(VLOOKUP(SUMPRODUCT(LARGE(($C$8:$C48=Table1[[#This Row],[Climber]])*$A$8:$A48,MIN(3,COUNTIFS($C$8:$C48,$C48)))),$A$8:$BC48,55,FALSE),0)/LEFT($AX$7,FIND(" ",$AX$7))</f>
        <v>68.922055451514652</v>
      </c>
      <c r="BE48" s="6">
        <f ca="1">(_xlfn.IFNA(VLOOKUP(SUMPRODUCT(LARGE(($C$8:$C48=Table1[[#This Row],[Climber]])*$A$8:$A48,4)),$A$8:$BD48,55,FALSE),0)+_xlfn.IFNA(VLOOKUP(SUMPRODUCT(LARGE(($C$8:$C48=Table1[[#This Row],[Climber]])*$A$8:$A48,5)),$A$8:$BD48,55,FALSE),0)+_xlfn.IFNA(VLOOKUP(SUMPRODUCT(LARGE(($C$8:$C48=Table1[[#This Row],[Climber]])*$A$8:$A48,6)),$A$8:$BD48,55,FALSE),0))/3</f>
        <v>79.956270675078869</v>
      </c>
      <c r="BF48" s="46">
        <f ca="1">_xlfn.MAXIFS(INDIRECT("$BC"&amp;IF(SUMPRODUCT(LARGE(($C$8:$C48=$C48)*$A$8:$A48,LEFT($BA$7,FIND(" ",$BA$7)-1)))=0,8,SUMPRODUCT(LARGE(($C$8:$C48=$C48)*$A$8:$A48,LEFT($BA$7,FIND(" ",$BA$7)-1)))+7)&amp;":$BC"&amp;ROW()),INDIRECT("$C"&amp;IF(SUMPRODUCT(LARGE(($C$8:$C48=$C48)*$A$8:$A48,LEFT($BA$7,FIND(" ",$BA$7)-1)))=0,8,SUMPRODUCT(LARGE(($C$8:$C48=$C48)*$A$8:$A48,LEFT($BA$7,FIND(" ",$BA$7)-1)))+7)&amp;":$C"&amp;ROW()),$C48)</f>
        <v>92.80840000000002</v>
      </c>
      <c r="BG48" s="46">
        <f t="array" aca="1" ref="BG48" ca="1">IFERROR(SUMPRODUCT(LARGE(($C$8:$C48=Table1[[#This Row],[Climber]])*$AW$8:$AW48,ROW(INDIRECT("1:5")))),AW48)/MIN(COUNTIFS($C$8:$C48,C48),5)</f>
        <v>283.75838274142654</v>
      </c>
      <c r="BH48" s="46"/>
    </row>
    <row r="49" spans="1:60" x14ac:dyDescent="0.3">
      <c r="A49" s="125">
        <f t="shared" si="1"/>
        <v>42</v>
      </c>
      <c r="B49" s="25">
        <f>'Rock Climbing Log'!B49</f>
        <v>43146</v>
      </c>
      <c r="C49" s="126" t="str">
        <f>'Rock Climbing Log'!C49</f>
        <v>Jan</v>
      </c>
      <c r="D49" s="26">
        <f>_xlfn.IFNA(IF(LEFT('Rock Climbing Log'!D49)="C",_xlfn.IFNA(VLOOKUP('Rock Climbing Log'!D49,'RC Lookup'!$A$3:$B$9,2,FALSE),0.5),VLOOKUP('Rock Climbing Log'!D49,'RC Lookup'!$G$3:$H$5,2,FALSE)),0)*VLOOKUP(D$7,'RC Lookup'!$D$3:$E$18,2,FALSE)</f>
        <v>0</v>
      </c>
      <c r="E49" s="26">
        <f>_xlfn.IFNA(IF(LEFT('Rock Climbing Log'!E49)="C",_xlfn.IFNA(VLOOKUP('Rock Climbing Log'!E49,'RC Lookup'!$A$3:$B$9,2,FALSE),0.5),VLOOKUP('Rock Climbing Log'!E49,'RC Lookup'!$G$3:$H$5,2,FALSE)),0)*VLOOKUP(D$7,'RC Lookup'!$D$3:$E$18,2,FALSE)</f>
        <v>0</v>
      </c>
      <c r="F49" s="26">
        <f>_xlfn.IFNA(IF(LEFT('Rock Climbing Log'!F49)="C",_xlfn.IFNA(VLOOKUP('Rock Climbing Log'!F49,'RC Lookup'!$A$3:$B$9,2,FALSE),0.5),VLOOKUP('Rock Climbing Log'!F49,'RC Lookup'!$G$3:$H$5,2,FALSE)),0)*VLOOKUP(D$7,'RC Lookup'!$D$3:$E$18,2,FALSE)</f>
        <v>0</v>
      </c>
      <c r="G49" s="26">
        <f>_xlfn.IFNA(IF(LEFT('Rock Climbing Log'!G49)="C",_xlfn.IFNA(VLOOKUP('Rock Climbing Log'!G49,'RC Lookup'!$A$3:$B$9,2,FALSE),0.5),VLOOKUP('Rock Climbing Log'!G49,'RC Lookup'!$G$3:$H$5,2,FALSE)),0)*VLOOKUP(G$7,'RC Lookup'!$D$3:$E$18,2,FALSE)</f>
        <v>12.5</v>
      </c>
      <c r="H49" s="26">
        <f>_xlfn.IFNA(IF(LEFT('Rock Climbing Log'!H49)="C",_xlfn.IFNA(VLOOKUP('Rock Climbing Log'!H49,'RC Lookup'!$A$3:$B$9,2,FALSE),0.5),VLOOKUP('Rock Climbing Log'!H49,'RC Lookup'!$G$3:$H$5,2,FALSE)),0)*VLOOKUP(G$7,'RC Lookup'!$D$3:$E$18,2,FALSE)</f>
        <v>0</v>
      </c>
      <c r="I49" s="26">
        <f>_xlfn.IFNA(IF(LEFT('Rock Climbing Log'!I49)="C",_xlfn.IFNA(VLOOKUP('Rock Climbing Log'!I49,'RC Lookup'!$A$3:$B$9,2,FALSE),0.5),VLOOKUP('Rock Climbing Log'!I49,'RC Lookup'!$G$3:$H$5,2,FALSE)),0)*VLOOKUP(G$7,'RC Lookup'!$D$3:$E$18,2,FALSE)</f>
        <v>0</v>
      </c>
      <c r="J49" s="26">
        <f>_xlfn.IFNA(IF(LEFT('Rock Climbing Log'!J49)="C",_xlfn.IFNA(VLOOKUP('Rock Climbing Log'!J49,'RC Lookup'!$A$3:$B$9,2,FALSE),0.5),VLOOKUP('Rock Climbing Log'!J49,'RC Lookup'!$G$3:$H$5,2,FALSE)),0)*VLOOKUP(J$7,'RC Lookup'!$D$3:$E$18,2,FALSE)</f>
        <v>0</v>
      </c>
      <c r="K49" s="26">
        <f>_xlfn.IFNA(IF(LEFT('Rock Climbing Log'!K49)="C",_xlfn.IFNA(VLOOKUP('Rock Climbing Log'!K49,'RC Lookup'!$A$3:$B$9,2,FALSE),0.5),VLOOKUP('Rock Climbing Log'!K49,'RC Lookup'!$G$3:$H$5,2,FALSE)),0)*VLOOKUP(J$7,'RC Lookup'!$D$3:$E$18,2,FALSE)</f>
        <v>0</v>
      </c>
      <c r="L49" s="26">
        <f>_xlfn.IFNA(IF(LEFT('Rock Climbing Log'!L49)="C",_xlfn.IFNA(VLOOKUP('Rock Climbing Log'!L49,'RC Lookup'!$A$3:$B$9,2,FALSE),0.5),VLOOKUP('Rock Climbing Log'!L49,'RC Lookup'!$G$3:$H$5,2,FALSE)),0)*VLOOKUP(J$7,'RC Lookup'!$D$3:$E$18,2,FALSE)</f>
        <v>0</v>
      </c>
      <c r="M49" s="26">
        <f>_xlfn.IFNA(IF(LEFT('Rock Climbing Log'!M49)="C",_xlfn.IFNA(VLOOKUP('Rock Climbing Log'!M49,'RC Lookup'!$A$3:$B$9,2,FALSE),0.5),VLOOKUP('Rock Climbing Log'!M49,'RC Lookup'!$G$3:$H$5,2,FALSE)),0)*VLOOKUP(M$7,'RC Lookup'!$D$3:$E$18,2,FALSE)</f>
        <v>20.002500000000001</v>
      </c>
      <c r="N49" s="26">
        <f>_xlfn.IFNA(IF(LEFT('Rock Climbing Log'!N49)="C",_xlfn.IFNA(VLOOKUP('Rock Climbing Log'!N49,'RC Lookup'!$A$3:$B$9,2,FALSE),0.5),VLOOKUP('Rock Climbing Log'!N49,'RC Lookup'!$G$3:$H$5,2,FALSE)),0)*VLOOKUP(M$7,'RC Lookup'!$D$3:$E$18,2,FALSE)</f>
        <v>0</v>
      </c>
      <c r="O49" s="26">
        <f>_xlfn.IFNA(IF(LEFT('Rock Climbing Log'!O49)="C",_xlfn.IFNA(VLOOKUP('Rock Climbing Log'!O49,'RC Lookup'!$A$3:$B$9,2,FALSE),0.5),VLOOKUP('Rock Climbing Log'!O49,'RC Lookup'!$G$3:$H$5,2,FALSE)),0)*VLOOKUP(M$7,'RC Lookup'!$D$3:$E$18,2,FALSE)</f>
        <v>0</v>
      </c>
      <c r="P49" s="26">
        <f>_xlfn.IFNA(IF(LEFT('Rock Climbing Log'!P49)="C",_xlfn.IFNA(VLOOKUP('Rock Climbing Log'!P49,'RC Lookup'!$A$3:$B$9,2,FALSE),0.5),VLOOKUP('Rock Climbing Log'!P49,'RC Lookup'!$G$3:$H$5,2,FALSE)),0)*VLOOKUP(P$7,'RC Lookup'!$D$3:$E$18,2,FALSE)</f>
        <v>0</v>
      </c>
      <c r="Q49" s="26">
        <f>_xlfn.IFNA(IF(LEFT('Rock Climbing Log'!Q49)="C",_xlfn.IFNA(VLOOKUP('Rock Climbing Log'!Q49,'RC Lookup'!$A$3:$B$9,2,FALSE),0.5),VLOOKUP('Rock Climbing Log'!Q49,'RC Lookup'!$G$3:$H$5,2,FALSE)),0)*VLOOKUP(P$7,'RC Lookup'!$D$3:$E$18,2,FALSE)</f>
        <v>0</v>
      </c>
      <c r="R49" s="26">
        <f>_xlfn.IFNA(IF(LEFT('Rock Climbing Log'!R49)="C",_xlfn.IFNA(VLOOKUP('Rock Climbing Log'!R49,'RC Lookup'!$A$3:$B$9,2,FALSE),0.5),VLOOKUP('Rock Climbing Log'!R49,'RC Lookup'!$G$3:$H$5,2,FALSE)),0)*VLOOKUP(P$7,'RC Lookup'!$D$3:$E$18,2,FALSE)</f>
        <v>0</v>
      </c>
      <c r="S49" s="26">
        <f>_xlfn.IFNA(IF(LEFT('Rock Climbing Log'!S49)="C",_xlfn.IFNA(VLOOKUP('Rock Climbing Log'!S49,'RC Lookup'!$A$3:$B$9,2,FALSE),0.5),VLOOKUP('Rock Climbing Log'!S49,'RC Lookup'!$G$3:$H$5,2,FALSE)),0)*VLOOKUP(S$7,'RC Lookup'!$D$3:$E$18,2,FALSE)</f>
        <v>23.408167255200009</v>
      </c>
      <c r="T49" s="26">
        <f>_xlfn.IFNA(IF(LEFT('Rock Climbing Log'!T49)="C",_xlfn.IFNA(VLOOKUP('Rock Climbing Log'!T49,'RC Lookup'!$A$3:$B$9,2,FALSE),0.5),VLOOKUP('Rock Climbing Log'!T49,'RC Lookup'!$G$3:$H$5,2,FALSE)),0)*VLOOKUP(S$7,'RC Lookup'!$D$3:$E$18,2,FALSE)</f>
        <v>0</v>
      </c>
      <c r="U49" s="26">
        <f>_xlfn.IFNA(IF(LEFT('Rock Climbing Log'!U49)="C",_xlfn.IFNA(VLOOKUP('Rock Climbing Log'!U49,'RC Lookup'!$A$3:$B$9,2,FALSE),0.5),VLOOKUP('Rock Climbing Log'!U49,'RC Lookup'!$G$3:$H$5,2,FALSE)),0)*VLOOKUP(S$7,'RC Lookup'!$D$3:$E$18,2,FALSE)</f>
        <v>0</v>
      </c>
      <c r="V49" s="26">
        <f>_xlfn.IFNA(IF(LEFT('Rock Climbing Log'!V49)="C",_xlfn.IFNA(VLOOKUP('Rock Climbing Log'!V49,'RC Lookup'!$A$3:$B$9,2,FALSE),0.5),VLOOKUP('Rock Climbing Log'!V49,'RC Lookup'!$G$3:$H$5,2,FALSE)),0)*VLOOKUP(V$7,'RC Lookup'!$D$3:$E$18,2,FALSE)</f>
        <v>35.256745742400021</v>
      </c>
      <c r="W49" s="26">
        <f>_xlfn.IFNA(IF(LEFT('Rock Climbing Log'!W49)="C",_xlfn.IFNA(VLOOKUP('Rock Climbing Log'!W49,'RC Lookup'!$A$3:$B$9,2,FALSE),0.5),VLOOKUP('Rock Climbing Log'!W49,'RC Lookup'!$G$3:$H$5,2,FALSE)),0)*VLOOKUP(V$7,'RC Lookup'!$D$3:$E$18,2,FALSE)</f>
        <v>35.256745742400021</v>
      </c>
      <c r="X49" s="26">
        <f>_xlfn.IFNA(IF(LEFT('Rock Climbing Log'!X49)="C",_xlfn.IFNA(VLOOKUP('Rock Climbing Log'!X49,'RC Lookup'!$A$3:$B$9,2,FALSE),0.5),VLOOKUP('Rock Climbing Log'!X49,'RC Lookup'!$G$3:$H$5,2,FALSE)),0)*VLOOKUP(V$7,'RC Lookup'!$D$3:$E$18,2,FALSE)</f>
        <v>23.131950881588658</v>
      </c>
      <c r="Y49" s="26">
        <f>_xlfn.IFNA(IF(LEFT('Rock Climbing Log'!Y49)="C",_xlfn.IFNA(VLOOKUP('Rock Climbing Log'!Y49,'RC Lookup'!$A$3:$B$9,2,FALSE),0.5),VLOOKUP('Rock Climbing Log'!Y49,'RC Lookup'!$G$3:$H$5,2,FALSE)),0)*VLOOKUP(Y$7,'RC Lookup'!$D$3:$E$18,2,FALSE)</f>
        <v>0</v>
      </c>
      <c r="Z49" s="26">
        <f>_xlfn.IFNA(IF(LEFT('Rock Climbing Log'!Z49)="C",_xlfn.IFNA(VLOOKUP('Rock Climbing Log'!Z49,'RC Lookup'!$A$3:$B$9,2,FALSE),0.5),VLOOKUP('Rock Climbing Log'!Z49,'RC Lookup'!$G$3:$H$5,2,FALSE)),0)*VLOOKUP(Y$7,'RC Lookup'!$D$3:$E$18,2,FALSE)</f>
        <v>0</v>
      </c>
      <c r="AA49" s="26">
        <f>_xlfn.IFNA(IF(LEFT('Rock Climbing Log'!AA49)="C",_xlfn.IFNA(VLOOKUP('Rock Climbing Log'!AA49,'RC Lookup'!$A$3:$B$9,2,FALSE),0.5),VLOOKUP('Rock Climbing Log'!AA49,'RC Lookup'!$G$3:$H$5,2,FALSE)),0)*VLOOKUP(Y$7,'RC Lookup'!$D$3:$E$18,2,FALSE)</f>
        <v>0</v>
      </c>
      <c r="AB49" s="26">
        <f>_xlfn.IFNA(IF(LEFT('Rock Climbing Log'!AB49)="C",_xlfn.IFNA(VLOOKUP('Rock Climbing Log'!AB49,'RC Lookup'!$A$3:$B$9,2,FALSE),0.5),VLOOKUP('Rock Climbing Log'!AB49,'RC Lookup'!$G$3:$H$5,2,FALSE)),0)*VLOOKUP(AB$7,'RC Lookup'!$D$3:$E$18,2,FALSE)</f>
        <v>0</v>
      </c>
      <c r="AC49" s="26">
        <f>_xlfn.IFNA(IF(LEFT('Rock Climbing Log'!AC49)="C",_xlfn.IFNA(VLOOKUP('Rock Climbing Log'!AC49,'RC Lookup'!$A$3:$B$9,2,FALSE),0.5),VLOOKUP('Rock Climbing Log'!AC49,'RC Lookup'!$G$3:$H$5,2,FALSE)),0)*VLOOKUP(AB$7,'RC Lookup'!$D$3:$E$18,2,FALSE)</f>
        <v>0</v>
      </c>
      <c r="AD49" s="26">
        <f>_xlfn.IFNA(IF(LEFT('Rock Climbing Log'!AD49)="C",_xlfn.IFNA(VLOOKUP('Rock Climbing Log'!AD49,'RC Lookup'!$A$3:$B$9,2,FALSE),0.5),VLOOKUP('Rock Climbing Log'!AD49,'RC Lookup'!$G$3:$H$5,2,FALSE)),0)*VLOOKUP(AB$7,'RC Lookup'!$D$3:$E$18,2,FALSE)</f>
        <v>0</v>
      </c>
      <c r="AE49" s="26">
        <f>_xlfn.IFNA(IF(LEFT('Rock Climbing Log'!AE49)="C",_xlfn.IFNA(VLOOKUP('Rock Climbing Log'!AE49,'RC Lookup'!$A$3:$B$9,2,FALSE),0.5),VLOOKUP('Rock Climbing Log'!AE49,'RC Lookup'!$G$3:$H$5,2,FALSE)),0)*VLOOKUP(AE$7,'RC Lookup'!$D$3:$E$18,2,FALSE)</f>
        <v>0</v>
      </c>
      <c r="AF49" s="26">
        <f>_xlfn.IFNA(IF(LEFT('Rock Climbing Log'!AF49)="C",_xlfn.IFNA(VLOOKUP('Rock Climbing Log'!AF49,'RC Lookup'!$A$3:$B$9,2,FALSE),0.5),VLOOKUP('Rock Climbing Log'!AF49,'RC Lookup'!$G$3:$H$5,2,FALSE)),0)*VLOOKUP(AE$7,'RC Lookup'!$D$3:$E$18,2,FALSE)</f>
        <v>0</v>
      </c>
      <c r="AG49" s="26">
        <f>_xlfn.IFNA(IF(LEFT('Rock Climbing Log'!AG49)="C",_xlfn.IFNA(VLOOKUP('Rock Climbing Log'!AG49,'RC Lookup'!$A$3:$B$9,2,FALSE),0.5),VLOOKUP('Rock Climbing Log'!AG49,'RC Lookup'!$G$3:$H$5,2,FALSE)),0)*VLOOKUP(AE$7,'RC Lookup'!$D$3:$E$18,2,FALSE)</f>
        <v>0</v>
      </c>
      <c r="AH49" s="26">
        <f>_xlfn.IFNA(IF(LEFT('Rock Climbing Log'!AH49)="C",_xlfn.IFNA(VLOOKUP('Rock Climbing Log'!AH49,'RC Lookup'!$A$3:$B$9,2,FALSE),0.5),VLOOKUP('Rock Climbing Log'!AH49,'RC Lookup'!$G$3:$H$5,2,FALSE)),0)*VLOOKUP(AH$7,'RC Lookup'!$D$3:$E$18,2,FALSE)</f>
        <v>0</v>
      </c>
      <c r="AI49" s="26">
        <f>_xlfn.IFNA(IF(LEFT('Rock Climbing Log'!AI49)="C",_xlfn.IFNA(VLOOKUP('Rock Climbing Log'!AI49,'RC Lookup'!$A$3:$B$9,2,FALSE),0.5),VLOOKUP('Rock Climbing Log'!AI49,'RC Lookup'!$G$3:$H$5,2,FALSE)),0)*VLOOKUP(AH$7,'RC Lookup'!$D$3:$E$18,2,FALSE)</f>
        <v>0</v>
      </c>
      <c r="AJ49" s="26">
        <f>_xlfn.IFNA(IF(LEFT('Rock Climbing Log'!AJ49)="C",_xlfn.IFNA(VLOOKUP('Rock Climbing Log'!AJ49,'RC Lookup'!$A$3:$B$9,2,FALSE),0.5),VLOOKUP('Rock Climbing Log'!AJ49,'RC Lookup'!$G$3:$H$5,2,FALSE)),0)*VLOOKUP(AH$7,'RC Lookup'!$D$3:$E$18,2,FALSE)</f>
        <v>0</v>
      </c>
      <c r="AK49" s="26">
        <f>_xlfn.IFNA(IF(LEFT('Rock Climbing Log'!AK49)="C",_xlfn.IFNA(VLOOKUP('Rock Climbing Log'!AK49,'RC Lookup'!$A$3:$B$9,2,FALSE),0.5),VLOOKUP('Rock Climbing Log'!AK49,'RC Lookup'!$G$3:$H$5,2,FALSE)),0)*VLOOKUP(AK$7,'RC Lookup'!$D$3:$E$18,2,FALSE)</f>
        <v>0</v>
      </c>
      <c r="AL49" s="26">
        <f>_xlfn.IFNA(IF(LEFT('Rock Climbing Log'!AL49)="C",_xlfn.IFNA(VLOOKUP('Rock Climbing Log'!AL49,'RC Lookup'!$A$3:$B$9,2,FALSE),0.5),VLOOKUP('Rock Climbing Log'!AL49,'RC Lookup'!$G$3:$H$5,2,FALSE)),0)*VLOOKUP(AK$7,'RC Lookup'!$D$3:$E$18,2,FALSE)</f>
        <v>0</v>
      </c>
      <c r="AM49" s="26">
        <f>_xlfn.IFNA(IF(LEFT('Rock Climbing Log'!AM49)="C",_xlfn.IFNA(VLOOKUP('Rock Climbing Log'!AM49,'RC Lookup'!$A$3:$B$9,2,FALSE),0.5),VLOOKUP('Rock Climbing Log'!AM49,'RC Lookup'!$G$3:$H$5,2,FALSE)),0)*VLOOKUP(AK$7,'RC Lookup'!$D$3:$E$18,2,FALSE)</f>
        <v>0</v>
      </c>
      <c r="AN49" s="26">
        <f>_xlfn.IFNA(IF(LEFT('Rock Climbing Log'!AN49)="C",_xlfn.IFNA(VLOOKUP('Rock Climbing Log'!AN49,'RC Lookup'!$A$3:$B$9,2,FALSE),0.5),VLOOKUP('Rock Climbing Log'!AN49,'RC Lookup'!$G$3:$H$5,2,FALSE)),0)*VLOOKUP(AN$7,'RC Lookup'!$D$3:$E$18,2,FALSE)</f>
        <v>0</v>
      </c>
      <c r="AO49" s="26">
        <f>_xlfn.IFNA(IF(LEFT('Rock Climbing Log'!AO49)="C",_xlfn.IFNA(VLOOKUP('Rock Climbing Log'!AO49,'RC Lookup'!$A$3:$B$9,2,FALSE),0.5),VLOOKUP('Rock Climbing Log'!AO49,'RC Lookup'!$G$3:$H$5,2,FALSE)),0)*VLOOKUP(AN$7,'RC Lookup'!$D$3:$E$18,2,FALSE)</f>
        <v>0</v>
      </c>
      <c r="AP49" s="26">
        <f>_xlfn.IFNA(IF(LEFT('Rock Climbing Log'!AP49)="C",_xlfn.IFNA(VLOOKUP('Rock Climbing Log'!AP49,'RC Lookup'!$A$3:$B$9,2,FALSE),0.5),VLOOKUP('Rock Climbing Log'!AP49,'RC Lookup'!$G$3:$H$5,2,FALSE)),0)*VLOOKUP(AN$7,'RC Lookup'!$D$3:$E$18,2,FALSE)</f>
        <v>0</v>
      </c>
      <c r="AQ49" s="26">
        <f>_xlfn.IFNA(IF(LEFT('Rock Climbing Log'!AQ49)="C",_xlfn.IFNA(VLOOKUP('Rock Climbing Log'!AQ49,'RC Lookup'!$A$3:$B$9,2,FALSE),0.5),VLOOKUP('Rock Climbing Log'!AQ49,'RC Lookup'!$G$3:$H$5,2,FALSE)),0)*VLOOKUP(AQ$7,'RC Lookup'!$D$3:$E$18,2,FALSE)</f>
        <v>0</v>
      </c>
      <c r="AR49" s="26">
        <f>_xlfn.IFNA(IF(LEFT('Rock Climbing Log'!AR49)="C",_xlfn.IFNA(VLOOKUP('Rock Climbing Log'!AR49,'RC Lookup'!$A$3:$B$9,2,FALSE),0.5),VLOOKUP('Rock Climbing Log'!AR49,'RC Lookup'!$G$3:$H$5,2,FALSE)),0)*VLOOKUP(AQ$7,'RC Lookup'!$D$3:$E$18,2,FALSE)</f>
        <v>0</v>
      </c>
      <c r="AS49" s="26">
        <f>_xlfn.IFNA(IF(LEFT('Rock Climbing Log'!AS49)="C",_xlfn.IFNA(VLOOKUP('Rock Climbing Log'!AS49,'RC Lookup'!$A$3:$B$9,2,FALSE),0.5),VLOOKUP('Rock Climbing Log'!AS49,'RC Lookup'!$G$3:$H$5,2,FALSE)),0)*VLOOKUP(AQ$7,'RC Lookup'!$D$3:$E$18,2,FALSE)</f>
        <v>0</v>
      </c>
      <c r="AT49" s="26">
        <f>_xlfn.IFNA(IF(LEFT('Rock Climbing Log'!AT49)="C",_xlfn.IFNA(VLOOKUP('Rock Climbing Log'!AT49,'RC Lookup'!$A$3:$B$9,2,FALSE),0.5),VLOOKUP('Rock Climbing Log'!AT49,'RC Lookup'!$G$3:$H$5,2,FALSE)),0)*VLOOKUP(AT$7,'RC Lookup'!$D$3:$E$18,2,FALSE)</f>
        <v>0</v>
      </c>
      <c r="AU49" s="26">
        <f>_xlfn.IFNA(IF(LEFT('Rock Climbing Log'!AU49)="C",_xlfn.IFNA(VLOOKUP('Rock Climbing Log'!AU49,'RC Lookup'!$A$3:$B$9,2,FALSE),0.5),VLOOKUP('Rock Climbing Log'!AU49,'RC Lookup'!$G$3:$H$5,2,FALSE)),0)*VLOOKUP(AT$7,'RC Lookup'!$D$3:$E$18,2,FALSE)</f>
        <v>0</v>
      </c>
      <c r="AV49" s="26">
        <f>_xlfn.IFNA(IF(LEFT('Rock Climbing Log'!AV49)="C",_xlfn.IFNA(VLOOKUP('Rock Climbing Log'!AV49,'RC Lookup'!$A$3:$B$9,2,FALSE),0.5),VLOOKUP('Rock Climbing Log'!AV49,'RC Lookup'!$G$3:$H$5,2,FALSE)),0)*VLOOKUP(AT$7,'RC Lookup'!$D$3:$E$18,2,FALSE)</f>
        <v>0</v>
      </c>
      <c r="AW49" s="30">
        <f t="shared" ca="1" si="2"/>
        <v>93.921658740000055</v>
      </c>
      <c r="AX49" s="30">
        <f ca="1">_xlfn.IFNA(VLOOKUP(SUMPRODUCT(LARGE(($C$8:$C49=Table1[[#This Row],[Climber]])*$A$8:$A49,1)),$A$8:$AW49,MATCH($AW$7,$A$7:$AW$7,FALSE),FALSE),0)/LEFT($AX$7,FIND(" ",$AX$7))+_xlfn.IFNA(VLOOKUP(SUMPRODUCT(LARGE(($C$8:$C49=Table1[[#This Row],[Climber]])*$A$8:$A49,MIN(2,COUNTIFS($C$8:$C49,$C49)))),$A$8:$AW49,MATCH($AW$7,$A$7:$AW$7,FALSE),FALSE),0)/LEFT($AX$7,FIND(" ",$AX$7))+_xlfn.IFNA(VLOOKUP(SUMPRODUCT(LARGE(($C$8:$C49=Table1[[#This Row],[Climber]])*$A$8:$A49,MIN(3,COUNTIFS($C$8:$C49,$C49)))),$A$8:$AW49,MATCH($AW$7,$A$7:$AW$7,FALSE),FALSE),0)/LEFT($AX$7,FIND(" ",$AX$7))</f>
        <v>65.309636246666685</v>
      </c>
      <c r="AY49" s="30">
        <f ca="1">_xlfn.IFNA(VLOOKUP(SUMPRODUCT(LARGE(($C$8:$C49=Table1[[#This Row],[Climber]])*$A$8:$A49,1)),$A$8:$AW49,MATCH($AW$7,$A$7:$AW$7,FALSE),FALSE),0)/LEFT($AY$7,FIND(" ",$AY$7))+_xlfn.IFNA(VLOOKUP(SUMPRODUCT(LARGE(($C$8:$C49=Table1[[#This Row],[Climber]])*$A$8:$A49,MIN(2,COUNTIFS($C$8:$C49,$C49)))),$A$8:$AW49,MATCH($AW$7,$A$7:$AW$7,FALSE),FALSE),0)/LEFT($AY$7,FIND(" ",$AY$7))+_xlfn.IFNA(VLOOKUP(SUMPRODUCT(LARGE(($C$8:$C49=Table1[[#This Row],[Climber]])*$A$8:$A49,MIN(3,COUNTIFS($C$8:$C49,$C49)))),$A$8:$AW49,MATCH($AW$7,$A$7:$AW$7,FALSE),FALSE),0)/LEFT($AY$7,FIND(" ",$AY$7))+_xlfn.IFNA(VLOOKUP(SUMPRODUCT(LARGE(($C$8:$C49=Table1[[#This Row],[Climber]])*$A$8:$A49,MIN(4,COUNTIFS($C$8:$C49,$C49)))),$A$8:$AW49,MATCH($AW$7,$A$7:$AW$7,FALSE),FALSE),0)/LEFT($AY$7,FIND(" ",$AY$7))+_xlfn.IFNA(VLOOKUP(SUMPRODUCT(LARGE(($C$8:$C49=Table1[[#This Row],[Climber]])*$A$8:$A49,MIN(5,COUNTIFS($C$8:$C49,$C49)))),$A$8:$AW49,MATCH($AW$7,$A$7:$AW$7,FALSE),FALSE),0)/LEFT($AY$7,FIND(" ",$AY$7))</f>
        <v>61.69837455826881</v>
      </c>
      <c r="AZ49" s="30">
        <f ca="1">(_xlfn.IFNA(VLOOKUP(SUMPRODUCT(LARGE(($C$8:$C49=Table1[[#This Row],[Climber]])*$A$8:$A49,4)),$A$8:$AW49,MATCH($AW$7,$A$7:$AW$7,FALSE),FALSE),0)+_xlfn.IFNA(VLOOKUP(SUMPRODUCT(LARGE(($C$8:$C49=Table1[[#This Row],[Climber]])*$A$8:$A49,5)),$A$8:$AW49,MATCH($AW$7,$A$7:$AW$7,FALSE),FALSE),0)+_xlfn.IFNA(VLOOKUP(SUMPRODUCT(LARGE(($C$8:$C49=Table1[[#This Row],[Climber]])*$A$8:$A49,6)),$A$8:$AW49,MATCH($AW$7,$A$7:$AW$7,FALSE),FALSE),0))/3</f>
        <v>49.273488017114666</v>
      </c>
      <c r="BA49" s="6">
        <f ca="1">_xlfn.MAXIFS(INDIRECT("$AW"&amp;IF(SUMPRODUCT(LARGE(($C$8:$C49=$C49)*$A$8:$A49,LEFT($BA$7,FIND(" ",$BA$7)-1)))=0,8,SUMPRODUCT(LARGE(($C$8:$C49=$C49)*$A$8:$A49,LEFT($BA$7,FIND(" ",$BA$7)-1)))+7)&amp;":$AW"&amp;ROW()),INDIRECT("$C"&amp;IF(SUMPRODUCT(LARGE(($C$8:$C49=$C49)*$A$8:$A49,LEFT($BA$7,FIND(" ",$BA$7)-1)))=0,8,SUMPRODUCT(LARGE(($C$8:$C49=$C49)*$A$8:$A49,LEFT($BA$7,FIND(" ",$BA$7)-1)))+7)&amp;":$C"&amp;ROW()),$C49)</f>
        <v>93.921658740000055</v>
      </c>
      <c r="BB49" s="6" t="str">
        <f ca="1">VLOOKUP(MAX(BG49,$AX49),'RC Lookup'!$G$14:$J$20,2,TRUE)</f>
        <v>T2</v>
      </c>
      <c r="BC49" s="6">
        <f ca="1">_xlfn.IFNA(VLOOKUP(VLOOKUP($C49,'RC Lookup'!$O$3:$P$50,2,FALSE),'RC Lookup'!$H$14:$J$23,2,FALSE),0)*AW49</f>
        <v>72.076147895820014</v>
      </c>
      <c r="BD49" s="6">
        <f ca="1">_xlfn.IFNA(VLOOKUP(SUMPRODUCT(LARGE(($C$8:$C49=Table1[[#This Row],[Climber]])*$A$8:$A49,1)),$A$8:$BC49,55,FALSE),0)/LEFT($AX$7,FIND(" ",$AX$7))+_xlfn.IFNA(VLOOKUP(SUMPRODUCT(LARGE(($C$8:$C49=Table1[[#This Row],[Climber]])*$A$8:$A49,MIN(2,COUNTIFS($C$8:$C49,$C49)))),$A$8:$BC49,55,FALSE),0)/LEFT($AX$7,FIND(" ",$AX$7))+_xlfn.IFNA(VLOOKUP(SUMPRODUCT(LARGE(($C$8:$C49=Table1[[#This Row],[Climber]])*$A$8:$A49,MIN(3,COUNTIFS($C$8:$C49,$C49)))),$A$8:$BC49,55,FALSE),0)/LEFT($AX$7,FIND(" ",$AX$7))</f>
        <v>50.119078647960357</v>
      </c>
      <c r="BE49" s="6">
        <f ca="1">(_xlfn.IFNA(VLOOKUP(SUMPRODUCT(LARGE(($C$8:$C49=Table1[[#This Row],[Climber]])*$A$8:$A49,4)),$A$8:$BD49,55,FALSE),0)+_xlfn.IFNA(VLOOKUP(SUMPRODUCT(LARGE(($C$8:$C49=Table1[[#This Row],[Climber]])*$A$8:$A49,5)),$A$8:$BD49,55,FALSE),0)+_xlfn.IFNA(VLOOKUP(SUMPRODUCT(LARGE(($C$8:$C49=Table1[[#This Row],[Climber]])*$A$8:$A49,6)),$A$8:$BD49,55,FALSE),0))/3</f>
        <v>37.812824616905509</v>
      </c>
      <c r="BF49" s="46">
        <f ca="1">_xlfn.MAXIFS(INDIRECT("$BC"&amp;IF(SUMPRODUCT(LARGE(($C$8:$C49=$C49)*$A$8:$A49,LEFT($BA$7,FIND(" ",$BA$7)-1)))=0,8,SUMPRODUCT(LARGE(($C$8:$C49=$C49)*$A$8:$A49,LEFT($BA$7,FIND(" ",$BA$7)-1)))+7)&amp;":$BC"&amp;ROW()),INDIRECT("$C"&amp;IF(SUMPRODUCT(LARGE(($C$8:$C49=$C49)*$A$8:$A49,LEFT($BA$7,FIND(" ",$BA$7)-1)))=0,8,SUMPRODUCT(LARGE(($C$8:$C49=$C49)*$A$8:$A49,LEFT($BA$7,FIND(" ",$BA$7)-1)))+7)&amp;":$C"&amp;ROW()),$C49)</f>
        <v>72.076147895820014</v>
      </c>
      <c r="BG49" s="46">
        <f t="array" aca="1" ref="BG49" ca="1">IFERROR(SUMPRODUCT(LARGE(($C$8:$C49=Table1[[#This Row],[Climber]])*$AW$8:$AW49,ROW(INDIRECT("1:5")))),AW49)/MIN(COUNTIFS($C$8:$C49,C49),5)</f>
        <v>61.69837455826881</v>
      </c>
      <c r="BH49" s="46"/>
    </row>
    <row r="50" spans="1:60" x14ac:dyDescent="0.3">
      <c r="A50" s="125">
        <f t="shared" si="1"/>
        <v>43</v>
      </c>
      <c r="B50" s="25">
        <f>'Rock Climbing Log'!B50</f>
        <v>43149</v>
      </c>
      <c r="C50" s="126" t="str">
        <f>'Rock Climbing Log'!C50</f>
        <v>Jan</v>
      </c>
      <c r="D50" s="26">
        <f>_xlfn.IFNA(IF(LEFT('Rock Climbing Log'!D50)="C",_xlfn.IFNA(VLOOKUP('Rock Climbing Log'!D50,'RC Lookup'!$A$3:$B$9,2,FALSE),0.5),VLOOKUP('Rock Climbing Log'!D50,'RC Lookup'!$G$3:$H$5,2,FALSE)),0)*VLOOKUP(D$7,'RC Lookup'!$D$3:$E$18,2,FALSE)</f>
        <v>0</v>
      </c>
      <c r="E50" s="26">
        <f>_xlfn.IFNA(IF(LEFT('Rock Climbing Log'!E50)="C",_xlfn.IFNA(VLOOKUP('Rock Climbing Log'!E50,'RC Lookup'!$A$3:$B$9,2,FALSE),0.5),VLOOKUP('Rock Climbing Log'!E50,'RC Lookup'!$G$3:$H$5,2,FALSE)),0)*VLOOKUP(D$7,'RC Lookup'!$D$3:$E$18,2,FALSE)</f>
        <v>0</v>
      </c>
      <c r="F50" s="26">
        <f>_xlfn.IFNA(IF(LEFT('Rock Climbing Log'!F50)="C",_xlfn.IFNA(VLOOKUP('Rock Climbing Log'!F50,'RC Lookup'!$A$3:$B$9,2,FALSE),0.5),VLOOKUP('Rock Climbing Log'!F50,'RC Lookup'!$G$3:$H$5,2,FALSE)),0)*VLOOKUP(D$7,'RC Lookup'!$D$3:$E$18,2,FALSE)</f>
        <v>0</v>
      </c>
      <c r="G50" s="26">
        <f>_xlfn.IFNA(IF(LEFT('Rock Climbing Log'!G50)="C",_xlfn.IFNA(VLOOKUP('Rock Climbing Log'!G50,'RC Lookup'!$A$3:$B$9,2,FALSE),0.5),VLOOKUP('Rock Climbing Log'!G50,'RC Lookup'!$G$3:$H$5,2,FALSE)),0)*VLOOKUP(G$7,'RC Lookup'!$D$3:$E$18,2,FALSE)</f>
        <v>0</v>
      </c>
      <c r="H50" s="26">
        <f>_xlfn.IFNA(IF(LEFT('Rock Climbing Log'!H50)="C",_xlfn.IFNA(VLOOKUP('Rock Climbing Log'!H50,'RC Lookup'!$A$3:$B$9,2,FALSE),0.5),VLOOKUP('Rock Climbing Log'!H50,'RC Lookup'!$G$3:$H$5,2,FALSE)),0)*VLOOKUP(G$7,'RC Lookup'!$D$3:$E$18,2,FALSE)</f>
        <v>0</v>
      </c>
      <c r="I50" s="26">
        <f>_xlfn.IFNA(IF(LEFT('Rock Climbing Log'!I50)="C",_xlfn.IFNA(VLOOKUP('Rock Climbing Log'!I50,'RC Lookup'!$A$3:$B$9,2,FALSE),0.5),VLOOKUP('Rock Climbing Log'!I50,'RC Lookup'!$G$3:$H$5,2,FALSE)),0)*VLOOKUP(G$7,'RC Lookup'!$D$3:$E$18,2,FALSE)</f>
        <v>0</v>
      </c>
      <c r="J50" s="26">
        <f>_xlfn.IFNA(IF(LEFT('Rock Climbing Log'!J50)="C",_xlfn.IFNA(VLOOKUP('Rock Climbing Log'!J50,'RC Lookup'!$A$3:$B$9,2,FALSE),0.5),VLOOKUP('Rock Climbing Log'!J50,'RC Lookup'!$G$3:$H$5,2,FALSE)),0)*VLOOKUP(J$7,'RC Lookup'!$D$3:$E$18,2,FALSE)</f>
        <v>15.75</v>
      </c>
      <c r="K50" s="26">
        <f>_xlfn.IFNA(IF(LEFT('Rock Climbing Log'!K50)="C",_xlfn.IFNA(VLOOKUP('Rock Climbing Log'!K50,'RC Lookup'!$A$3:$B$9,2,FALSE),0.5),VLOOKUP('Rock Climbing Log'!K50,'RC Lookup'!$G$3:$H$5,2,FALSE)),0)*VLOOKUP(J$7,'RC Lookup'!$D$3:$E$18,2,FALSE)</f>
        <v>0</v>
      </c>
      <c r="L50" s="26">
        <f>_xlfn.IFNA(IF(LEFT('Rock Climbing Log'!L50)="C",_xlfn.IFNA(VLOOKUP('Rock Climbing Log'!L50,'RC Lookup'!$A$3:$B$9,2,FALSE),0.5),VLOOKUP('Rock Climbing Log'!L50,'RC Lookup'!$G$3:$H$5,2,FALSE)),0)*VLOOKUP(J$7,'RC Lookup'!$D$3:$E$18,2,FALSE)</f>
        <v>0</v>
      </c>
      <c r="M50" s="26">
        <f>_xlfn.IFNA(IF(LEFT('Rock Climbing Log'!M50)="C",_xlfn.IFNA(VLOOKUP('Rock Climbing Log'!M50,'RC Lookup'!$A$3:$B$9,2,FALSE),0.5),VLOOKUP('Rock Climbing Log'!M50,'RC Lookup'!$G$3:$H$5,2,FALSE)),0)*VLOOKUP(M$7,'RC Lookup'!$D$3:$E$18,2,FALSE)</f>
        <v>0</v>
      </c>
      <c r="N50" s="26">
        <f>_xlfn.IFNA(IF(LEFT('Rock Climbing Log'!N50)="C",_xlfn.IFNA(VLOOKUP('Rock Climbing Log'!N50,'RC Lookup'!$A$3:$B$9,2,FALSE),0.5),VLOOKUP('Rock Climbing Log'!N50,'RC Lookup'!$G$3:$H$5,2,FALSE)),0)*VLOOKUP(M$7,'RC Lookup'!$D$3:$E$18,2,FALSE)</f>
        <v>0</v>
      </c>
      <c r="O50" s="26">
        <f>_xlfn.IFNA(IF(LEFT('Rock Climbing Log'!O50)="C",_xlfn.IFNA(VLOOKUP('Rock Climbing Log'!O50,'RC Lookup'!$A$3:$B$9,2,FALSE),0.5),VLOOKUP('Rock Climbing Log'!O50,'RC Lookup'!$G$3:$H$5,2,FALSE)),0)*VLOOKUP(M$7,'RC Lookup'!$D$3:$E$18,2,FALSE)</f>
        <v>0</v>
      </c>
      <c r="P50" s="26">
        <f>_xlfn.IFNA(IF(LEFT('Rock Climbing Log'!P50)="C",_xlfn.IFNA(VLOOKUP('Rock Climbing Log'!P50,'RC Lookup'!$A$3:$B$9,2,FALSE),0.5),VLOOKUP('Rock Climbing Log'!P50,'RC Lookup'!$G$3:$H$5,2,FALSE)),0)*VLOOKUP(P$7,'RC Lookup'!$D$3:$E$18,2,FALSE)</f>
        <v>0</v>
      </c>
      <c r="Q50" s="26">
        <f>_xlfn.IFNA(IF(LEFT('Rock Climbing Log'!Q50)="C",_xlfn.IFNA(VLOOKUP('Rock Climbing Log'!Q50,'RC Lookup'!$A$3:$B$9,2,FALSE),0.5),VLOOKUP('Rock Climbing Log'!Q50,'RC Lookup'!$G$3:$H$5,2,FALSE)),0)*VLOOKUP(P$7,'RC Lookup'!$D$3:$E$18,2,FALSE)</f>
        <v>0</v>
      </c>
      <c r="R50" s="26">
        <f>_xlfn.IFNA(IF(LEFT('Rock Climbing Log'!R50)="C",_xlfn.IFNA(VLOOKUP('Rock Climbing Log'!R50,'RC Lookup'!$A$3:$B$9,2,FALSE),0.5),VLOOKUP('Rock Climbing Log'!R50,'RC Lookup'!$G$3:$H$5,2,FALSE)),0)*VLOOKUP(P$7,'RC Lookup'!$D$3:$E$18,2,FALSE)</f>
        <v>0</v>
      </c>
      <c r="S50" s="26">
        <f>_xlfn.IFNA(IF(LEFT('Rock Climbing Log'!S50)="C",_xlfn.IFNA(VLOOKUP('Rock Climbing Log'!S50,'RC Lookup'!$A$3:$B$9,2,FALSE),0.5),VLOOKUP('Rock Climbing Log'!S50,'RC Lookup'!$G$3:$H$5,2,FALSE)),0)*VLOOKUP(S$7,'RC Lookup'!$D$3:$E$18,2,FALSE)</f>
        <v>0</v>
      </c>
      <c r="T50" s="26">
        <f>_xlfn.IFNA(IF(LEFT('Rock Climbing Log'!T50)="C",_xlfn.IFNA(VLOOKUP('Rock Climbing Log'!T50,'RC Lookup'!$A$3:$B$9,2,FALSE),0.5),VLOOKUP('Rock Climbing Log'!T50,'RC Lookup'!$G$3:$H$5,2,FALSE)),0)*VLOOKUP(S$7,'RC Lookup'!$D$3:$E$18,2,FALSE)</f>
        <v>0</v>
      </c>
      <c r="U50" s="26">
        <f>_xlfn.IFNA(IF(LEFT('Rock Climbing Log'!U50)="C",_xlfn.IFNA(VLOOKUP('Rock Climbing Log'!U50,'RC Lookup'!$A$3:$B$9,2,FALSE),0.5),VLOOKUP('Rock Climbing Log'!U50,'RC Lookup'!$G$3:$H$5,2,FALSE)),0)*VLOOKUP(S$7,'RC Lookup'!$D$3:$E$18,2,FALSE)</f>
        <v>0</v>
      </c>
      <c r="V50" s="26">
        <f>_xlfn.IFNA(IF(LEFT('Rock Climbing Log'!V50)="C",_xlfn.IFNA(VLOOKUP('Rock Climbing Log'!V50,'RC Lookup'!$A$3:$B$9,2,FALSE),0.5),VLOOKUP('Rock Climbing Log'!V50,'RC Lookup'!$G$3:$H$5,2,FALSE)),0)*VLOOKUP(V$7,'RC Lookup'!$D$3:$E$18,2,FALSE)</f>
        <v>35.256745742400021</v>
      </c>
      <c r="W50" s="26">
        <f>_xlfn.IFNA(IF(LEFT('Rock Climbing Log'!W50)="C",_xlfn.IFNA(VLOOKUP('Rock Climbing Log'!W50,'RC Lookup'!$A$3:$B$9,2,FALSE),0.5),VLOOKUP('Rock Climbing Log'!W50,'RC Lookup'!$G$3:$H$5,2,FALSE)),0)*VLOOKUP(V$7,'RC Lookup'!$D$3:$E$18,2,FALSE)</f>
        <v>35.256745742400021</v>
      </c>
      <c r="X50" s="26">
        <f>_xlfn.IFNA(IF(LEFT('Rock Climbing Log'!X50)="C",_xlfn.IFNA(VLOOKUP('Rock Climbing Log'!X50,'RC Lookup'!$A$3:$B$9,2,FALSE),0.5),VLOOKUP('Rock Climbing Log'!X50,'RC Lookup'!$G$3:$H$5,2,FALSE)),0)*VLOOKUP(V$7,'RC Lookup'!$D$3:$E$18,2,FALSE)</f>
        <v>0</v>
      </c>
      <c r="Y50" s="26">
        <f>_xlfn.IFNA(IF(LEFT('Rock Climbing Log'!Y50)="C",_xlfn.IFNA(VLOOKUP('Rock Climbing Log'!Y50,'RC Lookup'!$A$3:$B$9,2,FALSE),0.5),VLOOKUP('Rock Climbing Log'!Y50,'RC Lookup'!$G$3:$H$5,2,FALSE)),0)*VLOOKUP(Y$7,'RC Lookup'!$D$3:$E$18,2,FALSE)</f>
        <v>0</v>
      </c>
      <c r="Z50" s="26">
        <f>_xlfn.IFNA(IF(LEFT('Rock Climbing Log'!Z50)="C",_xlfn.IFNA(VLOOKUP('Rock Climbing Log'!Z50,'RC Lookup'!$A$3:$B$9,2,FALSE),0.5),VLOOKUP('Rock Climbing Log'!Z50,'RC Lookup'!$G$3:$H$5,2,FALSE)),0)*VLOOKUP(Y$7,'RC Lookup'!$D$3:$E$18,2,FALSE)</f>
        <v>0</v>
      </c>
      <c r="AA50" s="26">
        <f>_xlfn.IFNA(IF(LEFT('Rock Climbing Log'!AA50)="C",_xlfn.IFNA(VLOOKUP('Rock Climbing Log'!AA50,'RC Lookup'!$A$3:$B$9,2,FALSE),0.5),VLOOKUP('Rock Climbing Log'!AA50,'RC Lookup'!$G$3:$H$5,2,FALSE)),0)*VLOOKUP(Y$7,'RC Lookup'!$D$3:$E$18,2,FALSE)</f>
        <v>0</v>
      </c>
      <c r="AB50" s="26">
        <f>_xlfn.IFNA(IF(LEFT('Rock Climbing Log'!AB50)="C",_xlfn.IFNA(VLOOKUP('Rock Climbing Log'!AB50,'RC Lookup'!$A$3:$B$9,2,FALSE),0.5),VLOOKUP('Rock Climbing Log'!AB50,'RC Lookup'!$G$3:$H$5,2,FALSE)),0)*VLOOKUP(AB$7,'RC Lookup'!$D$3:$E$18,2,FALSE)</f>
        <v>0</v>
      </c>
      <c r="AC50" s="26">
        <f>_xlfn.IFNA(IF(LEFT('Rock Climbing Log'!AC50)="C",_xlfn.IFNA(VLOOKUP('Rock Climbing Log'!AC50,'RC Lookup'!$A$3:$B$9,2,FALSE),0.5),VLOOKUP('Rock Climbing Log'!AC50,'RC Lookup'!$G$3:$H$5,2,FALSE)),0)*VLOOKUP(AB$7,'RC Lookup'!$D$3:$E$18,2,FALSE)</f>
        <v>0</v>
      </c>
      <c r="AD50" s="26">
        <f>_xlfn.IFNA(IF(LEFT('Rock Climbing Log'!AD50)="C",_xlfn.IFNA(VLOOKUP('Rock Climbing Log'!AD50,'RC Lookup'!$A$3:$B$9,2,FALSE),0.5),VLOOKUP('Rock Climbing Log'!AD50,'RC Lookup'!$G$3:$H$5,2,FALSE)),0)*VLOOKUP(AB$7,'RC Lookup'!$D$3:$E$18,2,FALSE)</f>
        <v>0</v>
      </c>
      <c r="AE50" s="26">
        <f>_xlfn.IFNA(IF(LEFT('Rock Climbing Log'!AE50)="C",_xlfn.IFNA(VLOOKUP('Rock Climbing Log'!AE50,'RC Lookup'!$A$3:$B$9,2,FALSE),0.5),VLOOKUP('Rock Climbing Log'!AE50,'RC Lookup'!$G$3:$H$5,2,FALSE)),0)*VLOOKUP(AE$7,'RC Lookup'!$D$3:$E$18,2,FALSE)</f>
        <v>0</v>
      </c>
      <c r="AF50" s="26">
        <f>_xlfn.IFNA(IF(LEFT('Rock Climbing Log'!AF50)="C",_xlfn.IFNA(VLOOKUP('Rock Climbing Log'!AF50,'RC Lookup'!$A$3:$B$9,2,FALSE),0.5),VLOOKUP('Rock Climbing Log'!AF50,'RC Lookup'!$G$3:$H$5,2,FALSE)),0)*VLOOKUP(AE$7,'RC Lookup'!$D$3:$E$18,2,FALSE)</f>
        <v>0</v>
      </c>
      <c r="AG50" s="26">
        <f>_xlfn.IFNA(IF(LEFT('Rock Climbing Log'!AG50)="C",_xlfn.IFNA(VLOOKUP('Rock Climbing Log'!AG50,'RC Lookup'!$A$3:$B$9,2,FALSE),0.5),VLOOKUP('Rock Climbing Log'!AG50,'RC Lookup'!$G$3:$H$5,2,FALSE)),0)*VLOOKUP(AE$7,'RC Lookup'!$D$3:$E$18,2,FALSE)</f>
        <v>0</v>
      </c>
      <c r="AH50" s="26">
        <f>_xlfn.IFNA(IF(LEFT('Rock Climbing Log'!AH50)="C",_xlfn.IFNA(VLOOKUP('Rock Climbing Log'!AH50,'RC Lookup'!$A$3:$B$9,2,FALSE),0.5),VLOOKUP('Rock Climbing Log'!AH50,'RC Lookup'!$G$3:$H$5,2,FALSE)),0)*VLOOKUP(AH$7,'RC Lookup'!$D$3:$E$18,2,FALSE)</f>
        <v>0</v>
      </c>
      <c r="AI50" s="26">
        <f>_xlfn.IFNA(IF(LEFT('Rock Climbing Log'!AI50)="C",_xlfn.IFNA(VLOOKUP('Rock Climbing Log'!AI50,'RC Lookup'!$A$3:$B$9,2,FALSE),0.5),VLOOKUP('Rock Climbing Log'!AI50,'RC Lookup'!$G$3:$H$5,2,FALSE)),0)*VLOOKUP(AH$7,'RC Lookup'!$D$3:$E$18,2,FALSE)</f>
        <v>0</v>
      </c>
      <c r="AJ50" s="26">
        <f>_xlfn.IFNA(IF(LEFT('Rock Climbing Log'!AJ50)="C",_xlfn.IFNA(VLOOKUP('Rock Climbing Log'!AJ50,'RC Lookup'!$A$3:$B$9,2,FALSE),0.5),VLOOKUP('Rock Climbing Log'!AJ50,'RC Lookup'!$G$3:$H$5,2,FALSE)),0)*VLOOKUP(AH$7,'RC Lookup'!$D$3:$E$18,2,FALSE)</f>
        <v>0</v>
      </c>
      <c r="AK50" s="26">
        <f>_xlfn.IFNA(IF(LEFT('Rock Climbing Log'!AK50)="C",_xlfn.IFNA(VLOOKUP('Rock Climbing Log'!AK50,'RC Lookup'!$A$3:$B$9,2,FALSE),0.5),VLOOKUP('Rock Climbing Log'!AK50,'RC Lookup'!$G$3:$H$5,2,FALSE)),0)*VLOOKUP(AK$7,'RC Lookup'!$D$3:$E$18,2,FALSE)</f>
        <v>0</v>
      </c>
      <c r="AL50" s="26">
        <f>_xlfn.IFNA(IF(LEFT('Rock Climbing Log'!AL50)="C",_xlfn.IFNA(VLOOKUP('Rock Climbing Log'!AL50,'RC Lookup'!$A$3:$B$9,2,FALSE),0.5),VLOOKUP('Rock Climbing Log'!AL50,'RC Lookup'!$G$3:$H$5,2,FALSE)),0)*VLOOKUP(AK$7,'RC Lookup'!$D$3:$E$18,2,FALSE)</f>
        <v>0</v>
      </c>
      <c r="AM50" s="26">
        <f>_xlfn.IFNA(IF(LEFT('Rock Climbing Log'!AM50)="C",_xlfn.IFNA(VLOOKUP('Rock Climbing Log'!AM50,'RC Lookup'!$A$3:$B$9,2,FALSE),0.5),VLOOKUP('Rock Climbing Log'!AM50,'RC Lookup'!$G$3:$H$5,2,FALSE)),0)*VLOOKUP(AK$7,'RC Lookup'!$D$3:$E$18,2,FALSE)</f>
        <v>0</v>
      </c>
      <c r="AN50" s="26">
        <f>_xlfn.IFNA(IF(LEFT('Rock Climbing Log'!AN50)="C",_xlfn.IFNA(VLOOKUP('Rock Climbing Log'!AN50,'RC Lookup'!$A$3:$B$9,2,FALSE),0.5),VLOOKUP('Rock Climbing Log'!AN50,'RC Lookup'!$G$3:$H$5,2,FALSE)),0)*VLOOKUP(AN$7,'RC Lookup'!$D$3:$E$18,2,FALSE)</f>
        <v>0</v>
      </c>
      <c r="AO50" s="26">
        <f>_xlfn.IFNA(IF(LEFT('Rock Climbing Log'!AO50)="C",_xlfn.IFNA(VLOOKUP('Rock Climbing Log'!AO50,'RC Lookup'!$A$3:$B$9,2,FALSE),0.5),VLOOKUP('Rock Climbing Log'!AO50,'RC Lookup'!$G$3:$H$5,2,FALSE)),0)*VLOOKUP(AN$7,'RC Lookup'!$D$3:$E$18,2,FALSE)</f>
        <v>0</v>
      </c>
      <c r="AP50" s="26">
        <f>_xlfn.IFNA(IF(LEFT('Rock Climbing Log'!AP50)="C",_xlfn.IFNA(VLOOKUP('Rock Climbing Log'!AP50,'RC Lookup'!$A$3:$B$9,2,FALSE),0.5),VLOOKUP('Rock Climbing Log'!AP50,'RC Lookup'!$G$3:$H$5,2,FALSE)),0)*VLOOKUP(AN$7,'RC Lookup'!$D$3:$E$18,2,FALSE)</f>
        <v>0</v>
      </c>
      <c r="AQ50" s="26">
        <f>_xlfn.IFNA(IF(LEFT('Rock Climbing Log'!AQ50)="C",_xlfn.IFNA(VLOOKUP('Rock Climbing Log'!AQ50,'RC Lookup'!$A$3:$B$9,2,FALSE),0.5),VLOOKUP('Rock Climbing Log'!AQ50,'RC Lookup'!$G$3:$H$5,2,FALSE)),0)*VLOOKUP(AQ$7,'RC Lookup'!$D$3:$E$18,2,FALSE)</f>
        <v>0</v>
      </c>
      <c r="AR50" s="26">
        <f>_xlfn.IFNA(IF(LEFT('Rock Climbing Log'!AR50)="C",_xlfn.IFNA(VLOOKUP('Rock Climbing Log'!AR50,'RC Lookup'!$A$3:$B$9,2,FALSE),0.5),VLOOKUP('Rock Climbing Log'!AR50,'RC Lookup'!$G$3:$H$5,2,FALSE)),0)*VLOOKUP(AQ$7,'RC Lookup'!$D$3:$E$18,2,FALSE)</f>
        <v>0</v>
      </c>
      <c r="AS50" s="26">
        <f>_xlfn.IFNA(IF(LEFT('Rock Climbing Log'!AS50)="C",_xlfn.IFNA(VLOOKUP('Rock Climbing Log'!AS50,'RC Lookup'!$A$3:$B$9,2,FALSE),0.5),VLOOKUP('Rock Climbing Log'!AS50,'RC Lookup'!$G$3:$H$5,2,FALSE)),0)*VLOOKUP(AQ$7,'RC Lookup'!$D$3:$E$18,2,FALSE)</f>
        <v>0</v>
      </c>
      <c r="AT50" s="26">
        <f>_xlfn.IFNA(IF(LEFT('Rock Climbing Log'!AT50)="C",_xlfn.IFNA(VLOOKUP('Rock Climbing Log'!AT50,'RC Lookup'!$A$3:$B$9,2,FALSE),0.5),VLOOKUP('Rock Climbing Log'!AT50,'RC Lookup'!$G$3:$H$5,2,FALSE)),0)*VLOOKUP(AT$7,'RC Lookup'!$D$3:$E$18,2,FALSE)</f>
        <v>0</v>
      </c>
      <c r="AU50" s="26">
        <f>_xlfn.IFNA(IF(LEFT('Rock Climbing Log'!AU50)="C",_xlfn.IFNA(VLOOKUP('Rock Climbing Log'!AU50,'RC Lookup'!$A$3:$B$9,2,FALSE),0.5),VLOOKUP('Rock Climbing Log'!AU50,'RC Lookup'!$G$3:$H$5,2,FALSE)),0)*VLOOKUP(AT$7,'RC Lookup'!$D$3:$E$18,2,FALSE)</f>
        <v>0</v>
      </c>
      <c r="AV50" s="26">
        <f>_xlfn.IFNA(IF(LEFT('Rock Climbing Log'!AV50)="C",_xlfn.IFNA(VLOOKUP('Rock Climbing Log'!AV50,'RC Lookup'!$A$3:$B$9,2,FALSE),0.5),VLOOKUP('Rock Climbing Log'!AV50,'RC Lookup'!$G$3:$H$5,2,FALSE)),0)*VLOOKUP(AT$7,'RC Lookup'!$D$3:$E$18,2,FALSE)</f>
        <v>0</v>
      </c>
      <c r="AW50" s="30">
        <f t="shared" ca="1" si="2"/>
        <v>86.263491484800042</v>
      </c>
      <c r="AX50" s="30">
        <f ca="1">_xlfn.IFNA(VLOOKUP(SUMPRODUCT(LARGE(($C$8:$C50=Table1[[#This Row],[Climber]])*$A$8:$A50,1)),$A$8:$AW50,MATCH($AW$7,$A$7:$AW$7,FALSE),FALSE),0)/LEFT($AX$7,FIND(" ",$AX$7))+_xlfn.IFNA(VLOOKUP(SUMPRODUCT(LARGE(($C$8:$C50=Table1[[#This Row],[Climber]])*$A$8:$A50,MIN(2,COUNTIFS($C$8:$C50,$C50)))),$A$8:$AW50,MATCH($AW$7,$A$7:$AW$7,FALSE),FALSE),0)/LEFT($AX$7,FIND(" ",$AX$7))+_xlfn.IFNA(VLOOKUP(SUMPRODUCT(LARGE(($C$8:$C50=Table1[[#This Row],[Climber]])*$A$8:$A50,MIN(3,COUNTIFS($C$8:$C50,$C50)))),$A$8:$AW50,MATCH($AW$7,$A$7:$AW$7,FALSE),FALSE),0)/LEFT($AX$7,FIND(" ",$AX$7))</f>
        <v>77.979966741600037</v>
      </c>
      <c r="AY50" s="30">
        <f ca="1">_xlfn.IFNA(VLOOKUP(SUMPRODUCT(LARGE(($C$8:$C50=Table1[[#This Row],[Climber]])*$A$8:$A50,1)),$A$8:$AW50,MATCH($AW$7,$A$7:$AW$7,FALSE),FALSE),0)/LEFT($AY$7,FIND(" ",$AY$7))+_xlfn.IFNA(VLOOKUP(SUMPRODUCT(LARGE(($C$8:$C50=Table1[[#This Row],[Climber]])*$A$8:$A50,MIN(2,COUNTIFS($C$8:$C50,$C50)))),$A$8:$AW50,MATCH($AW$7,$A$7:$AW$7,FALSE),FALSE),0)/LEFT($AY$7,FIND(" ",$AY$7))+_xlfn.IFNA(VLOOKUP(SUMPRODUCT(LARGE(($C$8:$C50=Table1[[#This Row],[Climber]])*$A$8:$A50,MIN(3,COUNTIFS($C$8:$C50,$C50)))),$A$8:$AW50,MATCH($AW$7,$A$7:$AW$7,FALSE),FALSE),0)/LEFT($AY$7,FIND(" ",$AY$7))+_xlfn.IFNA(VLOOKUP(SUMPRODUCT(LARGE(($C$8:$C50=Table1[[#This Row],[Climber]])*$A$8:$A50,MIN(4,COUNTIFS($C$8:$C50,$C50)))),$A$8:$AW50,MATCH($AW$7,$A$7:$AW$7,FALSE),FALSE),0)/LEFT($AY$7,FIND(" ",$AY$7))+_xlfn.IFNA(VLOOKUP(SUMPRODUCT(LARGE(($C$8:$C50=Table1[[#This Row],[Climber]])*$A$8:$A50,MIN(5,COUNTIFS($C$8:$C50,$C50)))),$A$8:$AW50,MATCH($AW$7,$A$7:$AW$7,FALSE),FALSE),0)/LEFT($AY$7,FIND(" ",$AY$7))</f>
        <v>67.589480044960027</v>
      </c>
      <c r="AZ50" s="30">
        <f ca="1">(_xlfn.IFNA(VLOOKUP(SUMPRODUCT(LARGE(($C$8:$C50=Table1[[#This Row],[Climber]])*$A$8:$A50,4)),$A$8:$AW50,MATCH($AW$7,$A$7:$AW$7,FALSE),FALSE),0)+_xlfn.IFNA(VLOOKUP(SUMPRODUCT(LARGE(($C$8:$C50=Table1[[#This Row],[Climber]])*$A$8:$A50,5)),$A$8:$AW50,MATCH($AW$7,$A$7:$AW$7,FALSE),FALSE),0)+_xlfn.IFNA(VLOOKUP(SUMPRODUCT(LARGE(($C$8:$C50=Table1[[#This Row],[Climber]])*$A$8:$A50,6)),$A$8:$AW50,MATCH($AW$7,$A$7:$AW$7,FALSE),FALSE),0))/3</f>
        <v>53.605154683781336</v>
      </c>
      <c r="BA50" s="6">
        <f ca="1">_xlfn.MAXIFS(INDIRECT("$AW"&amp;IF(SUMPRODUCT(LARGE(($C$8:$C50=$C50)*$A$8:$A50,LEFT($BA$7,FIND(" ",$BA$7)-1)))=0,8,SUMPRODUCT(LARGE(($C$8:$C50=$C50)*$A$8:$A50,LEFT($BA$7,FIND(" ",$BA$7)-1)))+7)&amp;":$AW"&amp;ROW()),INDIRECT("$C"&amp;IF(SUMPRODUCT(LARGE(($C$8:$C50=$C50)*$A$8:$A50,LEFT($BA$7,FIND(" ",$BA$7)-1)))=0,8,SUMPRODUCT(LARGE(($C$8:$C50=$C50)*$A$8:$A50,LEFT($BA$7,FIND(" ",$BA$7)-1)))+7)&amp;":$C"&amp;ROW()),$C50)</f>
        <v>93.921658740000055</v>
      </c>
      <c r="BB50" s="6" t="str">
        <f ca="1">VLOOKUP(MAX(BG50,$AX50),'RC Lookup'!$G$14:$J$20,2,TRUE)</f>
        <v>T2</v>
      </c>
      <c r="BC50" s="6">
        <f ca="1">_xlfn.IFNA(VLOOKUP(VLOOKUP($C50,'RC Lookup'!$O$3:$P$50,2,FALSE),'RC Lookup'!$H$14:$J$23,2,FALSE),0)*AW50</f>
        <v>66.199215960187104</v>
      </c>
      <c r="BD50" s="6">
        <f ca="1">_xlfn.IFNA(VLOOKUP(SUMPRODUCT(LARGE(($C$8:$C50=Table1[[#This Row],[Climber]])*$A$8:$A50,1)),$A$8:$BC50,55,FALSE),0)/LEFT($AX$7,FIND(" ",$AX$7))+_xlfn.IFNA(VLOOKUP(SUMPRODUCT(LARGE(($C$8:$C50=Table1[[#This Row],[Climber]])*$A$8:$A50,MIN(2,COUNTIFS($C$8:$C50,$C50)))),$A$8:$BC50,55,FALSE),0)/LEFT($AX$7,FIND(" ",$AX$7))+_xlfn.IFNA(VLOOKUP(SUMPRODUCT(LARGE(($C$8:$C50=Table1[[#This Row],[Climber]])*$A$8:$A50,MIN(3,COUNTIFS($C$8:$C50,$C50)))),$A$8:$BC50,55,FALSE),0)/LEFT($AX$7,FIND(" ",$AX$7))</f>
        <v>59.84238024732619</v>
      </c>
      <c r="BE50" s="6">
        <f ca="1">(_xlfn.IFNA(VLOOKUP(SUMPRODUCT(LARGE(($C$8:$C50=Table1[[#This Row],[Climber]])*$A$8:$A50,4)),$A$8:$BD50,55,FALSE),0)+_xlfn.IFNA(VLOOKUP(SUMPRODUCT(LARGE(($C$8:$C50=Table1[[#This Row],[Climber]])*$A$8:$A50,5)),$A$8:$BD50,55,FALSE),0)+_xlfn.IFNA(VLOOKUP(SUMPRODUCT(LARGE(($C$8:$C50=Table1[[#This Row],[Climber]])*$A$8:$A50,6)),$A$8:$BD50,55,FALSE),0))/3</f>
        <v>41.136976377963514</v>
      </c>
      <c r="BF50" s="46">
        <f ca="1">_xlfn.MAXIFS(INDIRECT("$BC"&amp;IF(SUMPRODUCT(LARGE(($C$8:$C50=$C50)*$A$8:$A50,LEFT($BA$7,FIND(" ",$BA$7)-1)))=0,8,SUMPRODUCT(LARGE(($C$8:$C50=$C50)*$A$8:$A50,LEFT($BA$7,FIND(" ",$BA$7)-1)))+7)&amp;":$BC"&amp;ROW()),INDIRECT("$C"&amp;IF(SUMPRODUCT(LARGE(($C$8:$C50=$C50)*$A$8:$A50,LEFT($BA$7,FIND(" ",$BA$7)-1)))=0,8,SUMPRODUCT(LARGE(($C$8:$C50=$C50)*$A$8:$A50,LEFT($BA$7,FIND(" ",$BA$7)-1)))+7)&amp;":$C"&amp;ROW()),$C50)</f>
        <v>72.076147895820014</v>
      </c>
      <c r="BG50" s="46">
        <f t="array" aca="1" ref="BG50" ca="1">IFERROR(SUMPRODUCT(LARGE(($C$8:$C50=Table1[[#This Row],[Climber]])*$AW$8:$AW50,ROW(INDIRECT("1:5")))),AW50)/MIN(COUNTIFS($C$8:$C50,C50),5)</f>
        <v>69.300572855228822</v>
      </c>
      <c r="BH50" s="46"/>
    </row>
    <row r="51" spans="1:60" x14ac:dyDescent="0.3">
      <c r="A51" s="125">
        <f t="shared" si="1"/>
        <v>44</v>
      </c>
      <c r="B51" s="25">
        <f>'Rock Climbing Log'!B51</f>
        <v>43149</v>
      </c>
      <c r="C51" s="126" t="str">
        <f>'Rock Climbing Log'!C51</f>
        <v>Lester</v>
      </c>
      <c r="D51" s="26">
        <f>_xlfn.IFNA(IF(LEFT('Rock Climbing Log'!D51)="C",_xlfn.IFNA(VLOOKUP('Rock Climbing Log'!D51,'RC Lookup'!$A$3:$B$9,2,FALSE),0.5),VLOOKUP('Rock Climbing Log'!D51,'RC Lookup'!$G$3:$H$5,2,FALSE)),0)*VLOOKUP(D$7,'RC Lookup'!$D$3:$E$18,2,FALSE)</f>
        <v>0</v>
      </c>
      <c r="E51" s="26">
        <f>_xlfn.IFNA(IF(LEFT('Rock Climbing Log'!E51)="C",_xlfn.IFNA(VLOOKUP('Rock Climbing Log'!E51,'RC Lookup'!$A$3:$B$9,2,FALSE),0.5),VLOOKUP('Rock Climbing Log'!E51,'RC Lookup'!$G$3:$H$5,2,FALSE)),0)*VLOOKUP(D$7,'RC Lookup'!$D$3:$E$18,2,FALSE)</f>
        <v>0</v>
      </c>
      <c r="F51" s="26">
        <f>_xlfn.IFNA(IF(LEFT('Rock Climbing Log'!F51)="C",_xlfn.IFNA(VLOOKUP('Rock Climbing Log'!F51,'RC Lookup'!$A$3:$B$9,2,FALSE),0.5),VLOOKUP('Rock Climbing Log'!F51,'RC Lookup'!$G$3:$H$5,2,FALSE)),0)*VLOOKUP(D$7,'RC Lookup'!$D$3:$E$18,2,FALSE)</f>
        <v>0</v>
      </c>
      <c r="G51" s="26">
        <f>_xlfn.IFNA(IF(LEFT('Rock Climbing Log'!G51)="C",_xlfn.IFNA(VLOOKUP('Rock Climbing Log'!G51,'RC Lookup'!$A$3:$B$9,2,FALSE),0.5),VLOOKUP('Rock Climbing Log'!G51,'RC Lookup'!$G$3:$H$5,2,FALSE)),0)*VLOOKUP(G$7,'RC Lookup'!$D$3:$E$18,2,FALSE)</f>
        <v>0</v>
      </c>
      <c r="H51" s="26">
        <f>_xlfn.IFNA(IF(LEFT('Rock Climbing Log'!H51)="C",_xlfn.IFNA(VLOOKUP('Rock Climbing Log'!H51,'RC Lookup'!$A$3:$B$9,2,FALSE),0.5),VLOOKUP('Rock Climbing Log'!H51,'RC Lookup'!$G$3:$H$5,2,FALSE)),0)*VLOOKUP(G$7,'RC Lookup'!$D$3:$E$18,2,FALSE)</f>
        <v>0</v>
      </c>
      <c r="I51" s="26">
        <f>_xlfn.IFNA(IF(LEFT('Rock Climbing Log'!I51)="C",_xlfn.IFNA(VLOOKUP('Rock Climbing Log'!I51,'RC Lookup'!$A$3:$B$9,2,FALSE),0.5),VLOOKUP('Rock Climbing Log'!I51,'RC Lookup'!$G$3:$H$5,2,FALSE)),0)*VLOOKUP(G$7,'RC Lookup'!$D$3:$E$18,2,FALSE)</f>
        <v>0</v>
      </c>
      <c r="J51" s="26">
        <f>_xlfn.IFNA(IF(LEFT('Rock Climbing Log'!J51)="C",_xlfn.IFNA(VLOOKUP('Rock Climbing Log'!J51,'RC Lookup'!$A$3:$B$9,2,FALSE),0.5),VLOOKUP('Rock Climbing Log'!J51,'RC Lookup'!$G$3:$H$5,2,FALSE)),0)*VLOOKUP(J$7,'RC Lookup'!$D$3:$E$18,2,FALSE)</f>
        <v>0</v>
      </c>
      <c r="K51" s="26">
        <f>_xlfn.IFNA(IF(LEFT('Rock Climbing Log'!K51)="C",_xlfn.IFNA(VLOOKUP('Rock Climbing Log'!K51,'RC Lookup'!$A$3:$B$9,2,FALSE),0.5),VLOOKUP('Rock Climbing Log'!K51,'RC Lookup'!$G$3:$H$5,2,FALSE)),0)*VLOOKUP(J$7,'RC Lookup'!$D$3:$E$18,2,FALSE)</f>
        <v>0</v>
      </c>
      <c r="L51" s="26">
        <f>_xlfn.IFNA(IF(LEFT('Rock Climbing Log'!L51)="C",_xlfn.IFNA(VLOOKUP('Rock Climbing Log'!L51,'RC Lookup'!$A$3:$B$9,2,FALSE),0.5),VLOOKUP('Rock Climbing Log'!L51,'RC Lookup'!$G$3:$H$5,2,FALSE)),0)*VLOOKUP(J$7,'RC Lookup'!$D$3:$E$18,2,FALSE)</f>
        <v>0</v>
      </c>
      <c r="M51" s="26">
        <f>_xlfn.IFNA(IF(LEFT('Rock Climbing Log'!M51)="C",_xlfn.IFNA(VLOOKUP('Rock Climbing Log'!M51,'RC Lookup'!$A$3:$B$9,2,FALSE),0.5),VLOOKUP('Rock Climbing Log'!M51,'RC Lookup'!$G$3:$H$5,2,FALSE)),0)*VLOOKUP(M$7,'RC Lookup'!$D$3:$E$18,2,FALSE)</f>
        <v>20.002500000000001</v>
      </c>
      <c r="N51" s="26">
        <f>_xlfn.IFNA(IF(LEFT('Rock Climbing Log'!N51)="C",_xlfn.IFNA(VLOOKUP('Rock Climbing Log'!N51,'RC Lookup'!$A$3:$B$9,2,FALSE),0.5),VLOOKUP('Rock Climbing Log'!N51,'RC Lookup'!$G$3:$H$5,2,FALSE)),0)*VLOOKUP(M$7,'RC Lookup'!$D$3:$E$18,2,FALSE)</f>
        <v>0</v>
      </c>
      <c r="O51" s="26">
        <f>_xlfn.IFNA(IF(LEFT('Rock Climbing Log'!O51)="C",_xlfn.IFNA(VLOOKUP('Rock Climbing Log'!O51,'RC Lookup'!$A$3:$B$9,2,FALSE),0.5),VLOOKUP('Rock Climbing Log'!O51,'RC Lookup'!$G$3:$H$5,2,FALSE)),0)*VLOOKUP(M$7,'RC Lookup'!$D$3:$E$18,2,FALSE)</f>
        <v>0</v>
      </c>
      <c r="P51" s="26">
        <f>_xlfn.IFNA(IF(LEFT('Rock Climbing Log'!P51)="C",_xlfn.IFNA(VLOOKUP('Rock Climbing Log'!P51,'RC Lookup'!$A$3:$B$9,2,FALSE),0.5),VLOOKUP('Rock Climbing Log'!P51,'RC Lookup'!$G$3:$H$5,2,FALSE)),0)*VLOOKUP(P$7,'RC Lookup'!$D$3:$E$18,2,FALSE)</f>
        <v>0</v>
      </c>
      <c r="Q51" s="26">
        <f>_xlfn.IFNA(IF(LEFT('Rock Climbing Log'!Q51)="C",_xlfn.IFNA(VLOOKUP('Rock Climbing Log'!Q51,'RC Lookup'!$A$3:$B$9,2,FALSE),0.5),VLOOKUP('Rock Climbing Log'!Q51,'RC Lookup'!$G$3:$H$5,2,FALSE)),0)*VLOOKUP(P$7,'RC Lookup'!$D$3:$E$18,2,FALSE)</f>
        <v>0</v>
      </c>
      <c r="R51" s="26">
        <f>_xlfn.IFNA(IF(LEFT('Rock Climbing Log'!R51)="C",_xlfn.IFNA(VLOOKUP('Rock Climbing Log'!R51,'RC Lookup'!$A$3:$B$9,2,FALSE),0.5),VLOOKUP('Rock Climbing Log'!R51,'RC Lookup'!$G$3:$H$5,2,FALSE)),0)*VLOOKUP(P$7,'RC Lookup'!$D$3:$E$18,2,FALSE)</f>
        <v>0</v>
      </c>
      <c r="S51" s="26">
        <f>_xlfn.IFNA(IF(LEFT('Rock Climbing Log'!S51)="C",_xlfn.IFNA(VLOOKUP('Rock Climbing Log'!S51,'RC Lookup'!$A$3:$B$9,2,FALSE),0.5),VLOOKUP('Rock Climbing Log'!S51,'RC Lookup'!$G$3:$H$5,2,FALSE)),0)*VLOOKUP(S$7,'RC Lookup'!$D$3:$E$18,2,FALSE)</f>
        <v>0</v>
      </c>
      <c r="T51" s="26">
        <f>_xlfn.IFNA(IF(LEFT('Rock Climbing Log'!T51)="C",_xlfn.IFNA(VLOOKUP('Rock Climbing Log'!T51,'RC Lookup'!$A$3:$B$9,2,FALSE),0.5),VLOOKUP('Rock Climbing Log'!T51,'RC Lookup'!$G$3:$H$5,2,FALSE)),0)*VLOOKUP(S$7,'RC Lookup'!$D$3:$E$18,2,FALSE)</f>
        <v>0</v>
      </c>
      <c r="U51" s="26">
        <f>_xlfn.IFNA(IF(LEFT('Rock Climbing Log'!U51)="C",_xlfn.IFNA(VLOOKUP('Rock Climbing Log'!U51,'RC Lookup'!$A$3:$B$9,2,FALSE),0.5),VLOOKUP('Rock Climbing Log'!U51,'RC Lookup'!$G$3:$H$5,2,FALSE)),0)*VLOOKUP(S$7,'RC Lookup'!$D$3:$E$18,2,FALSE)</f>
        <v>0</v>
      </c>
      <c r="V51" s="26">
        <f>_xlfn.IFNA(IF(LEFT('Rock Climbing Log'!V51)="C",_xlfn.IFNA(VLOOKUP('Rock Climbing Log'!V51,'RC Lookup'!$A$3:$B$9,2,FALSE),0.5),VLOOKUP('Rock Climbing Log'!V51,'RC Lookup'!$G$3:$H$5,2,FALSE)),0)*VLOOKUP(V$7,'RC Lookup'!$D$3:$E$18,2,FALSE)</f>
        <v>0</v>
      </c>
      <c r="W51" s="26">
        <f>_xlfn.IFNA(IF(LEFT('Rock Climbing Log'!W51)="C",_xlfn.IFNA(VLOOKUP('Rock Climbing Log'!W51,'RC Lookup'!$A$3:$B$9,2,FALSE),0.5),VLOOKUP('Rock Climbing Log'!W51,'RC Lookup'!$G$3:$H$5,2,FALSE)),0)*VLOOKUP(V$7,'RC Lookup'!$D$3:$E$18,2,FALSE)</f>
        <v>0</v>
      </c>
      <c r="X51" s="26">
        <f>_xlfn.IFNA(IF(LEFT('Rock Climbing Log'!X51)="C",_xlfn.IFNA(VLOOKUP('Rock Climbing Log'!X51,'RC Lookup'!$A$3:$B$9,2,FALSE),0.5),VLOOKUP('Rock Climbing Log'!X51,'RC Lookup'!$G$3:$H$5,2,FALSE)),0)*VLOOKUP(V$7,'RC Lookup'!$D$3:$E$18,2,FALSE)</f>
        <v>0</v>
      </c>
      <c r="Y51" s="26">
        <f>_xlfn.IFNA(IF(LEFT('Rock Climbing Log'!Y51)="C",_xlfn.IFNA(VLOOKUP('Rock Climbing Log'!Y51,'RC Lookup'!$A$3:$B$9,2,FALSE),0.5),VLOOKUP('Rock Climbing Log'!Y51,'RC Lookup'!$G$3:$H$5,2,FALSE)),0)*VLOOKUP(Y$7,'RC Lookup'!$D$3:$E$18,2,FALSE)</f>
        <v>0</v>
      </c>
      <c r="Z51" s="26">
        <f>_xlfn.IFNA(IF(LEFT('Rock Climbing Log'!Z51)="C",_xlfn.IFNA(VLOOKUP('Rock Climbing Log'!Z51,'RC Lookup'!$A$3:$B$9,2,FALSE),0.5),VLOOKUP('Rock Climbing Log'!Z51,'RC Lookup'!$G$3:$H$5,2,FALSE)),0)*VLOOKUP(Y$7,'RC Lookup'!$D$3:$E$18,2,FALSE)</f>
        <v>0</v>
      </c>
      <c r="AA51" s="26">
        <f>_xlfn.IFNA(IF(LEFT('Rock Climbing Log'!AA51)="C",_xlfn.IFNA(VLOOKUP('Rock Climbing Log'!AA51,'RC Lookup'!$A$3:$B$9,2,FALSE),0.5),VLOOKUP('Rock Climbing Log'!AA51,'RC Lookup'!$G$3:$H$5,2,FALSE)),0)*VLOOKUP(Y$7,'RC Lookup'!$D$3:$E$18,2,FALSE)</f>
        <v>0</v>
      </c>
      <c r="AB51" s="26">
        <f>_xlfn.IFNA(IF(LEFT('Rock Climbing Log'!AB51)="C",_xlfn.IFNA(VLOOKUP('Rock Climbing Log'!AB51,'RC Lookup'!$A$3:$B$9,2,FALSE),0.5),VLOOKUP('Rock Climbing Log'!AB51,'RC Lookup'!$G$3:$H$5,2,FALSE)),0)*VLOOKUP(AB$7,'RC Lookup'!$D$3:$E$18,2,FALSE)</f>
        <v>54.034770578768224</v>
      </c>
      <c r="AC51" s="26">
        <f>_xlfn.IFNA(IF(LEFT('Rock Climbing Log'!AC51)="C",_xlfn.IFNA(VLOOKUP('Rock Climbing Log'!AC51,'RC Lookup'!$A$3:$B$9,2,FALSE),0.5),VLOOKUP('Rock Climbing Log'!AC51,'RC Lookup'!$G$3:$H$5,2,FALSE)),0)*VLOOKUP(AB$7,'RC Lookup'!$D$3:$E$18,2,FALSE)</f>
        <v>0</v>
      </c>
      <c r="AD51" s="26">
        <f>_xlfn.IFNA(IF(LEFT('Rock Climbing Log'!AD51)="C",_xlfn.IFNA(VLOOKUP('Rock Climbing Log'!AD51,'RC Lookup'!$A$3:$B$9,2,FALSE),0.5),VLOOKUP('Rock Climbing Log'!AD51,'RC Lookup'!$G$3:$H$5,2,FALSE)),0)*VLOOKUP(AB$7,'RC Lookup'!$D$3:$E$18,2,FALSE)</f>
        <v>0</v>
      </c>
      <c r="AE51" s="26">
        <f>_xlfn.IFNA(IF(LEFT('Rock Climbing Log'!AE51)="C",_xlfn.IFNA(VLOOKUP('Rock Climbing Log'!AE51,'RC Lookup'!$A$3:$B$9,2,FALSE),0.5),VLOOKUP('Rock Climbing Log'!AE51,'RC Lookup'!$G$3:$H$5,2,FALSE)),0)*VLOOKUP(AE$7,'RC Lookup'!$D$3:$E$18,2,FALSE)</f>
        <v>67.867671846932893</v>
      </c>
      <c r="AF51" s="26">
        <f>_xlfn.IFNA(IF(LEFT('Rock Climbing Log'!AF51)="C",_xlfn.IFNA(VLOOKUP('Rock Climbing Log'!AF51,'RC Lookup'!$A$3:$B$9,2,FALSE),0.5),VLOOKUP('Rock Climbing Log'!AF51,'RC Lookup'!$G$3:$H$5,2,FALSE)),0)*VLOOKUP(AE$7,'RC Lookup'!$D$3:$E$18,2,FALSE)</f>
        <v>67.867671846932893</v>
      </c>
      <c r="AG51" s="26">
        <f>_xlfn.IFNA(IF(LEFT('Rock Climbing Log'!AG51)="C",_xlfn.IFNA(VLOOKUP('Rock Climbing Log'!AG51,'RC Lookup'!$A$3:$B$9,2,FALSE),0.5),VLOOKUP('Rock Climbing Log'!AG51,'RC Lookup'!$G$3:$H$5,2,FALSE)),0)*VLOOKUP(AE$7,'RC Lookup'!$D$3:$E$18,2,FALSE)</f>
        <v>0</v>
      </c>
      <c r="AH51" s="26">
        <f>_xlfn.IFNA(IF(LEFT('Rock Climbing Log'!AH51)="C",_xlfn.IFNA(VLOOKUP('Rock Climbing Log'!AH51,'RC Lookup'!$A$3:$B$9,2,FALSE),0.5),VLOOKUP('Rock Climbing Log'!AH51,'RC Lookup'!$G$3:$H$5,2,FALSE)),0)*VLOOKUP(AH$7,'RC Lookup'!$D$3:$E$18,2,FALSE)</f>
        <v>86.056207901910909</v>
      </c>
      <c r="AI51" s="26">
        <f>_xlfn.IFNA(IF(LEFT('Rock Climbing Log'!AI51)="C",_xlfn.IFNA(VLOOKUP('Rock Climbing Log'!AI51,'RC Lookup'!$A$3:$B$9,2,FALSE),0.5),VLOOKUP('Rock Climbing Log'!AI51,'RC Lookup'!$G$3:$H$5,2,FALSE)),0)*VLOOKUP(AH$7,'RC Lookup'!$D$3:$E$18,2,FALSE)</f>
        <v>0</v>
      </c>
      <c r="AJ51" s="26">
        <f>_xlfn.IFNA(IF(LEFT('Rock Climbing Log'!AJ51)="C",_xlfn.IFNA(VLOOKUP('Rock Climbing Log'!AJ51,'RC Lookup'!$A$3:$B$9,2,FALSE),0.5),VLOOKUP('Rock Climbing Log'!AJ51,'RC Lookup'!$G$3:$H$5,2,FALSE)),0)*VLOOKUP(AH$7,'RC Lookup'!$D$3:$E$18,2,FALSE)</f>
        <v>0</v>
      </c>
      <c r="AK51" s="26">
        <f>_xlfn.IFNA(IF(LEFT('Rock Climbing Log'!AK51)="C",_xlfn.IFNA(VLOOKUP('Rock Climbing Log'!AK51,'RC Lookup'!$A$3:$B$9,2,FALSE),0.5),VLOOKUP('Rock Climbing Log'!AK51,'RC Lookup'!$G$3:$H$5,2,FALSE)),0)*VLOOKUP(AK$7,'RC Lookup'!$D$3:$E$18,2,FALSE)</f>
        <v>0</v>
      </c>
      <c r="AL51" s="26">
        <f>_xlfn.IFNA(IF(LEFT('Rock Climbing Log'!AL51)="C",_xlfn.IFNA(VLOOKUP('Rock Climbing Log'!AL51,'RC Lookup'!$A$3:$B$9,2,FALSE),0.5),VLOOKUP('Rock Climbing Log'!AL51,'RC Lookup'!$G$3:$H$5,2,FALSE)),0)*VLOOKUP(AK$7,'RC Lookup'!$D$3:$E$18,2,FALSE)</f>
        <v>0</v>
      </c>
      <c r="AM51" s="26">
        <f>_xlfn.IFNA(IF(LEFT('Rock Climbing Log'!AM51)="C",_xlfn.IFNA(VLOOKUP('Rock Climbing Log'!AM51,'RC Lookup'!$A$3:$B$9,2,FALSE),0.5),VLOOKUP('Rock Climbing Log'!AM51,'RC Lookup'!$G$3:$H$5,2,FALSE)),0)*VLOOKUP(AK$7,'RC Lookup'!$D$3:$E$18,2,FALSE)</f>
        <v>0</v>
      </c>
      <c r="AN51" s="26">
        <f>_xlfn.IFNA(IF(LEFT('Rock Climbing Log'!AN51)="C",_xlfn.IFNA(VLOOKUP('Rock Climbing Log'!AN51,'RC Lookup'!$A$3:$B$9,2,FALSE),0.5),VLOOKUP('Rock Climbing Log'!AN51,'RC Lookup'!$G$3:$H$5,2,FALSE)),0)*VLOOKUP(AN$7,'RC Lookup'!$D$3:$E$18,2,FALSE)</f>
        <v>0</v>
      </c>
      <c r="AO51" s="26">
        <f>_xlfn.IFNA(IF(LEFT('Rock Climbing Log'!AO51)="C",_xlfn.IFNA(VLOOKUP('Rock Climbing Log'!AO51,'RC Lookup'!$A$3:$B$9,2,FALSE),0.5),VLOOKUP('Rock Climbing Log'!AO51,'RC Lookup'!$G$3:$H$5,2,FALSE)),0)*VLOOKUP(AN$7,'RC Lookup'!$D$3:$E$18,2,FALSE)</f>
        <v>0</v>
      </c>
      <c r="AP51" s="26">
        <f>_xlfn.IFNA(IF(LEFT('Rock Climbing Log'!AP51)="C",_xlfn.IFNA(VLOOKUP('Rock Climbing Log'!AP51,'RC Lookup'!$A$3:$B$9,2,FALSE),0.5),VLOOKUP('Rock Climbing Log'!AP51,'RC Lookup'!$G$3:$H$5,2,FALSE)),0)*VLOOKUP(AN$7,'RC Lookup'!$D$3:$E$18,2,FALSE)</f>
        <v>0</v>
      </c>
      <c r="AQ51" s="26">
        <f>_xlfn.IFNA(IF(LEFT('Rock Climbing Log'!AQ51)="C",_xlfn.IFNA(VLOOKUP('Rock Climbing Log'!AQ51,'RC Lookup'!$A$3:$B$9,2,FALSE),0.5),VLOOKUP('Rock Climbing Log'!AQ51,'RC Lookup'!$G$3:$H$5,2,FALSE)),0)*VLOOKUP(AQ$7,'RC Lookup'!$D$3:$E$18,2,FALSE)</f>
        <v>0</v>
      </c>
      <c r="AR51" s="26">
        <f>_xlfn.IFNA(IF(LEFT('Rock Climbing Log'!AR51)="C",_xlfn.IFNA(VLOOKUP('Rock Climbing Log'!AR51,'RC Lookup'!$A$3:$B$9,2,FALSE),0.5),VLOOKUP('Rock Climbing Log'!AR51,'RC Lookup'!$G$3:$H$5,2,FALSE)),0)*VLOOKUP(AQ$7,'RC Lookup'!$D$3:$E$18,2,FALSE)</f>
        <v>0</v>
      </c>
      <c r="AS51" s="26">
        <f>_xlfn.IFNA(IF(LEFT('Rock Climbing Log'!AS51)="C",_xlfn.IFNA(VLOOKUP('Rock Climbing Log'!AS51,'RC Lookup'!$A$3:$B$9,2,FALSE),0.5),VLOOKUP('Rock Climbing Log'!AS51,'RC Lookup'!$G$3:$H$5,2,FALSE)),0)*VLOOKUP(AQ$7,'RC Lookup'!$D$3:$E$18,2,FALSE)</f>
        <v>0</v>
      </c>
      <c r="AT51" s="26">
        <f>_xlfn.IFNA(IF(LEFT('Rock Climbing Log'!AT51)="C",_xlfn.IFNA(VLOOKUP('Rock Climbing Log'!AT51,'RC Lookup'!$A$3:$B$9,2,FALSE),0.5),VLOOKUP('Rock Climbing Log'!AT51,'RC Lookup'!$G$3:$H$5,2,FALSE)),0)*VLOOKUP(AT$7,'RC Lookup'!$D$3:$E$18,2,FALSE)</f>
        <v>0</v>
      </c>
      <c r="AU51" s="26">
        <f>_xlfn.IFNA(IF(LEFT('Rock Climbing Log'!AU51)="C",_xlfn.IFNA(VLOOKUP('Rock Climbing Log'!AU51,'RC Lookup'!$A$3:$B$9,2,FALSE),0.5),VLOOKUP('Rock Climbing Log'!AU51,'RC Lookup'!$G$3:$H$5,2,FALSE)),0)*VLOOKUP(AT$7,'RC Lookup'!$D$3:$E$18,2,FALSE)</f>
        <v>0</v>
      </c>
      <c r="AV51" s="26">
        <f>_xlfn.IFNA(IF(LEFT('Rock Climbing Log'!AV51)="C",_xlfn.IFNA(VLOOKUP('Rock Climbing Log'!AV51,'RC Lookup'!$A$3:$B$9,2,FALSE),0.5),VLOOKUP('Rock Climbing Log'!AV51,'RC Lookup'!$G$3:$H$5,2,FALSE)),0)*VLOOKUP(AT$7,'RC Lookup'!$D$3:$E$18,2,FALSE)</f>
        <v>0</v>
      </c>
      <c r="AW51" s="30">
        <f t="shared" ca="1" si="2"/>
        <v>221.7915515957767</v>
      </c>
      <c r="AX51" s="30">
        <f ca="1">_xlfn.IFNA(VLOOKUP(SUMPRODUCT(LARGE(($C$8:$C51=Table1[[#This Row],[Climber]])*$A$8:$A51,1)),$A$8:$AW51,MATCH($AW$7,$A$7:$AW$7,FALSE),FALSE),0)/LEFT($AX$7,FIND(" ",$AX$7))+_xlfn.IFNA(VLOOKUP(SUMPRODUCT(LARGE(($C$8:$C51=Table1[[#This Row],[Climber]])*$A$8:$A51,MIN(2,COUNTIFS($C$8:$C51,$C51)))),$A$8:$AW51,MATCH($AW$7,$A$7:$AW$7,FALSE),FALSE),0)/LEFT($AX$7,FIND(" ",$AX$7))+_xlfn.IFNA(VLOOKUP(SUMPRODUCT(LARGE(($C$8:$C51=Table1[[#This Row],[Climber]])*$A$8:$A51,MIN(3,COUNTIFS($C$8:$C51,$C51)))),$A$8:$AW51,MATCH($AW$7,$A$7:$AW$7,FALSE),FALSE),0)/LEFT($AX$7,FIND(" ",$AX$7))</f>
        <v>211.41752169867169</v>
      </c>
      <c r="AY51" s="30">
        <f ca="1">_xlfn.IFNA(VLOOKUP(SUMPRODUCT(LARGE(($C$8:$C51=Table1[[#This Row],[Climber]])*$A$8:$A51,1)),$A$8:$AW51,MATCH($AW$7,$A$7:$AW$7,FALSE),FALSE),0)/LEFT($AY$7,FIND(" ",$AY$7))+_xlfn.IFNA(VLOOKUP(SUMPRODUCT(LARGE(($C$8:$C51=Table1[[#This Row],[Climber]])*$A$8:$A51,MIN(2,COUNTIFS($C$8:$C51,$C51)))),$A$8:$AW51,MATCH($AW$7,$A$7:$AW$7,FALSE),FALSE),0)/LEFT($AY$7,FIND(" ",$AY$7))+_xlfn.IFNA(VLOOKUP(SUMPRODUCT(LARGE(($C$8:$C51=Table1[[#This Row],[Climber]])*$A$8:$A51,MIN(3,COUNTIFS($C$8:$C51,$C51)))),$A$8:$AW51,MATCH($AW$7,$A$7:$AW$7,FALSE),FALSE),0)/LEFT($AY$7,FIND(" ",$AY$7))+_xlfn.IFNA(VLOOKUP(SUMPRODUCT(LARGE(($C$8:$C51=Table1[[#This Row],[Climber]])*$A$8:$A51,MIN(4,COUNTIFS($C$8:$C51,$C51)))),$A$8:$AW51,MATCH($AW$7,$A$7:$AW$7,FALSE),FALSE),0)/LEFT($AY$7,FIND(" ",$AY$7))+_xlfn.IFNA(VLOOKUP(SUMPRODUCT(LARGE(($C$8:$C51=Table1[[#This Row],[Climber]])*$A$8:$A51,MIN(5,COUNTIFS($C$8:$C51,$C51)))),$A$8:$AW51,MATCH($AW$7,$A$7:$AW$7,FALSE),FALSE),0)/LEFT($AY$7,FIND(" ",$AY$7))</f>
        <v>238.4081927202698</v>
      </c>
      <c r="AZ51" s="30">
        <f ca="1">(_xlfn.IFNA(VLOOKUP(SUMPRODUCT(LARGE(($C$8:$C51=Table1[[#This Row],[Climber]])*$A$8:$A51,4)),$A$8:$AW51,MATCH($AW$7,$A$7:$AW$7,FALSE),FALSE),0)+_xlfn.IFNA(VLOOKUP(SUMPRODUCT(LARGE(($C$8:$C51=Table1[[#This Row],[Climber]])*$A$8:$A51,5)),$A$8:$AW51,MATCH($AW$7,$A$7:$AW$7,FALSE),FALSE),0)+_xlfn.IFNA(VLOOKUP(SUMPRODUCT(LARGE(($C$8:$C51=Table1[[#This Row],[Climber]])*$A$8:$A51,6)),$A$8:$AW51,MATCH($AW$7,$A$7:$AW$7,FALSE),FALSE),0))/3</f>
        <v>278.31492265657135</v>
      </c>
      <c r="BA51" s="6">
        <f ca="1">_xlfn.MAXIFS(INDIRECT("$AW"&amp;IF(SUMPRODUCT(LARGE(($C$8:$C51=$C51)*$A$8:$A51,LEFT($BA$7,FIND(" ",$BA$7)-1)))=0,8,SUMPRODUCT(LARGE(($C$8:$C51=$C51)*$A$8:$A51,LEFT($BA$7,FIND(" ",$BA$7)-1)))+7)&amp;":$AW"&amp;ROW()),INDIRECT("$C"&amp;IF(SUMPRODUCT(LARGE(($C$8:$C51=$C51)*$A$8:$A51,LEFT($BA$7,FIND(" ",$BA$7)-1)))=0,8,SUMPRODUCT(LARGE(($C$8:$C51=$C51)*$A$8:$A51,LEFT($BA$7,FIND(" ",$BA$7)-1)))+7)&amp;":$C"&amp;ROW()),$C51)</f>
        <v>306.69077627303841</v>
      </c>
      <c r="BB51" s="6" t="str">
        <f ca="1">VLOOKUP(MAX(BG51,$AX51),'RC Lookup'!$G$14:$J$20,2,TRUE)</f>
        <v>T5</v>
      </c>
      <c r="BC51" s="6">
        <f ca="1">_xlfn.IFNA(VLOOKUP(VLOOKUP($C51,'RC Lookup'!$O$3:$P$50,2,FALSE),'RC Lookup'!$H$14:$J$23,2,FALSE),0)*AW51</f>
        <v>67.116850683491066</v>
      </c>
      <c r="BD51" s="6">
        <f ca="1">_xlfn.IFNA(VLOOKUP(SUMPRODUCT(LARGE(($C$8:$C51=Table1[[#This Row],[Climber]])*$A$8:$A51,1)),$A$8:$BC51,55,FALSE),0)/LEFT($AX$7,FIND(" ",$AX$7))+_xlfn.IFNA(VLOOKUP(SUMPRODUCT(LARGE(($C$8:$C51=Table1[[#This Row],[Climber]])*$A$8:$A51,MIN(2,COUNTIFS($C$8:$C51,$C51)))),$A$8:$BC51,55,FALSE),0)/LEFT($AX$7,FIND(" ",$AX$7))+_xlfn.IFNA(VLOOKUP(SUMPRODUCT(LARGE(($C$8:$C51=Table1[[#This Row],[Climber]])*$A$8:$A51,MIN(3,COUNTIFS($C$8:$C51,$C51)))),$A$8:$BC51,55,FALSE),0)/LEFT($AX$7,FIND(" ",$AX$7))</f>
        <v>63.977541676540937</v>
      </c>
      <c r="BE51" s="6">
        <f ca="1">(_xlfn.IFNA(VLOOKUP(SUMPRODUCT(LARGE(($C$8:$C51=Table1[[#This Row],[Climber]])*$A$8:$A51,4)),$A$8:$BD51,55,FALSE),0)+_xlfn.IFNA(VLOOKUP(SUMPRODUCT(LARGE(($C$8:$C51=Table1[[#This Row],[Climber]])*$A$8:$A51,5)),$A$8:$BD51,55,FALSE),0)+_xlfn.IFNA(VLOOKUP(SUMPRODUCT(LARGE(($C$8:$C51=Table1[[#This Row],[Climber]])*$A$8:$A51,6)),$A$8:$BD51,55,FALSE),0))/3</f>
        <v>84.22151778338592</v>
      </c>
      <c r="BF51" s="46">
        <f ca="1">_xlfn.MAXIFS(INDIRECT("$BC"&amp;IF(SUMPRODUCT(LARGE(($C$8:$C51=$C51)*$A$8:$A51,LEFT($BA$7,FIND(" ",$BA$7)-1)))=0,8,SUMPRODUCT(LARGE(($C$8:$C51=$C51)*$A$8:$A51,LEFT($BA$7,FIND(" ",$BA$7)-1)))+7)&amp;":$BC"&amp;ROW()),INDIRECT("$C"&amp;IF(SUMPRODUCT(LARGE(($C$8:$C51=$C51)*$A$8:$A51,LEFT($BA$7,FIND(" ",$BA$7)-1)))=0,8,SUMPRODUCT(LARGE(($C$8:$C51=$C51)*$A$8:$A51,LEFT($BA$7,FIND(" ",$BA$7)-1)))+7)&amp;":$C"&amp;ROW()),$C51)</f>
        <v>92.80840000000002</v>
      </c>
      <c r="BG51" s="46">
        <f t="array" aca="1" ref="BG51" ca="1">IFERROR(SUMPRODUCT(LARGE(($C$8:$C51=Table1[[#This Row],[Climber]])*$AW$8:$AW51,ROW(INDIRECT("1:5")))),AW51)/MIN(COUNTIFS($C$8:$C51,C51),5)</f>
        <v>283.75838274142654</v>
      </c>
      <c r="BH51" s="46"/>
    </row>
    <row r="52" spans="1:60" x14ac:dyDescent="0.3">
      <c r="A52" s="125">
        <f t="shared" si="1"/>
        <v>45</v>
      </c>
      <c r="B52" s="25">
        <f>'Rock Climbing Log'!B52</f>
        <v>43149</v>
      </c>
      <c r="C52" s="126" t="str">
        <f>'Rock Climbing Log'!C52</f>
        <v>Edwin</v>
      </c>
      <c r="D52" s="26">
        <f>_xlfn.IFNA(IF(LEFT('Rock Climbing Log'!D52)="C",_xlfn.IFNA(VLOOKUP('Rock Climbing Log'!D52,'RC Lookup'!$A$3:$B$9,2,FALSE),0.5),VLOOKUP('Rock Climbing Log'!D52,'RC Lookup'!$G$3:$H$5,2,FALSE)),0)*VLOOKUP(D$7,'RC Lookup'!$D$3:$E$18,2,FALSE)</f>
        <v>0</v>
      </c>
      <c r="E52" s="26">
        <f>_xlfn.IFNA(IF(LEFT('Rock Climbing Log'!E52)="C",_xlfn.IFNA(VLOOKUP('Rock Climbing Log'!E52,'RC Lookup'!$A$3:$B$9,2,FALSE),0.5),VLOOKUP('Rock Climbing Log'!E52,'RC Lookup'!$G$3:$H$5,2,FALSE)),0)*VLOOKUP(D$7,'RC Lookup'!$D$3:$E$18,2,FALSE)</f>
        <v>0</v>
      </c>
      <c r="F52" s="26">
        <f>_xlfn.IFNA(IF(LEFT('Rock Climbing Log'!F52)="C",_xlfn.IFNA(VLOOKUP('Rock Climbing Log'!F52,'RC Lookup'!$A$3:$B$9,2,FALSE),0.5),VLOOKUP('Rock Climbing Log'!F52,'RC Lookup'!$G$3:$H$5,2,FALSE)),0)*VLOOKUP(D$7,'RC Lookup'!$D$3:$E$18,2,FALSE)</f>
        <v>0</v>
      </c>
      <c r="G52" s="26">
        <f>_xlfn.IFNA(IF(LEFT('Rock Climbing Log'!G52)="C",_xlfn.IFNA(VLOOKUP('Rock Climbing Log'!G52,'RC Lookup'!$A$3:$B$9,2,FALSE),0.5),VLOOKUP('Rock Climbing Log'!G52,'RC Lookup'!$G$3:$H$5,2,FALSE)),0)*VLOOKUP(G$7,'RC Lookup'!$D$3:$E$18,2,FALSE)</f>
        <v>0</v>
      </c>
      <c r="H52" s="26">
        <f>_xlfn.IFNA(IF(LEFT('Rock Climbing Log'!H52)="C",_xlfn.IFNA(VLOOKUP('Rock Climbing Log'!H52,'RC Lookup'!$A$3:$B$9,2,FALSE),0.5),VLOOKUP('Rock Climbing Log'!H52,'RC Lookup'!$G$3:$H$5,2,FALSE)),0)*VLOOKUP(G$7,'RC Lookup'!$D$3:$E$18,2,FALSE)</f>
        <v>0</v>
      </c>
      <c r="I52" s="26">
        <f>_xlfn.IFNA(IF(LEFT('Rock Climbing Log'!I52)="C",_xlfn.IFNA(VLOOKUP('Rock Climbing Log'!I52,'RC Lookup'!$A$3:$B$9,2,FALSE),0.5),VLOOKUP('Rock Climbing Log'!I52,'RC Lookup'!$G$3:$H$5,2,FALSE)),0)*VLOOKUP(G$7,'RC Lookup'!$D$3:$E$18,2,FALSE)</f>
        <v>0</v>
      </c>
      <c r="J52" s="26">
        <f>_xlfn.IFNA(IF(LEFT('Rock Climbing Log'!J52)="C",_xlfn.IFNA(VLOOKUP('Rock Climbing Log'!J52,'RC Lookup'!$A$3:$B$9,2,FALSE),0.5),VLOOKUP('Rock Climbing Log'!J52,'RC Lookup'!$G$3:$H$5,2,FALSE)),0)*VLOOKUP(J$7,'RC Lookup'!$D$3:$E$18,2,FALSE)</f>
        <v>0</v>
      </c>
      <c r="K52" s="26">
        <f>_xlfn.IFNA(IF(LEFT('Rock Climbing Log'!K52)="C",_xlfn.IFNA(VLOOKUP('Rock Climbing Log'!K52,'RC Lookup'!$A$3:$B$9,2,FALSE),0.5),VLOOKUP('Rock Climbing Log'!K52,'RC Lookup'!$G$3:$H$5,2,FALSE)),0)*VLOOKUP(J$7,'RC Lookup'!$D$3:$E$18,2,FALSE)</f>
        <v>0</v>
      </c>
      <c r="L52" s="26">
        <f>_xlfn.IFNA(IF(LEFT('Rock Climbing Log'!L52)="C",_xlfn.IFNA(VLOOKUP('Rock Climbing Log'!L52,'RC Lookup'!$A$3:$B$9,2,FALSE),0.5),VLOOKUP('Rock Climbing Log'!L52,'RC Lookup'!$G$3:$H$5,2,FALSE)),0)*VLOOKUP(J$7,'RC Lookup'!$D$3:$E$18,2,FALSE)</f>
        <v>0</v>
      </c>
      <c r="M52" s="26">
        <f>_xlfn.IFNA(IF(LEFT('Rock Climbing Log'!M52)="C",_xlfn.IFNA(VLOOKUP('Rock Climbing Log'!M52,'RC Lookup'!$A$3:$B$9,2,FALSE),0.5),VLOOKUP('Rock Climbing Log'!M52,'RC Lookup'!$G$3:$H$5,2,FALSE)),0)*VLOOKUP(M$7,'RC Lookup'!$D$3:$E$18,2,FALSE)</f>
        <v>20.002500000000001</v>
      </c>
      <c r="N52" s="26">
        <f>_xlfn.IFNA(IF(LEFT('Rock Climbing Log'!N52)="C",_xlfn.IFNA(VLOOKUP('Rock Climbing Log'!N52,'RC Lookup'!$A$3:$B$9,2,FALSE),0.5),VLOOKUP('Rock Climbing Log'!N52,'RC Lookup'!$G$3:$H$5,2,FALSE)),0)*VLOOKUP(M$7,'RC Lookup'!$D$3:$E$18,2,FALSE)</f>
        <v>0</v>
      </c>
      <c r="O52" s="26">
        <f>_xlfn.IFNA(IF(LEFT('Rock Climbing Log'!O52)="C",_xlfn.IFNA(VLOOKUP('Rock Climbing Log'!O52,'RC Lookup'!$A$3:$B$9,2,FALSE),0.5),VLOOKUP('Rock Climbing Log'!O52,'RC Lookup'!$G$3:$H$5,2,FALSE)),0)*VLOOKUP(M$7,'RC Lookup'!$D$3:$E$18,2,FALSE)</f>
        <v>0</v>
      </c>
      <c r="P52" s="26">
        <f>_xlfn.IFNA(IF(LEFT('Rock Climbing Log'!P52)="C",_xlfn.IFNA(VLOOKUP('Rock Climbing Log'!P52,'RC Lookup'!$A$3:$B$9,2,FALSE),0.5),VLOOKUP('Rock Climbing Log'!P52,'RC Lookup'!$G$3:$H$5,2,FALSE)),0)*VLOOKUP(P$7,'RC Lookup'!$D$3:$E$18,2,FALSE)</f>
        <v>0</v>
      </c>
      <c r="Q52" s="26">
        <f>_xlfn.IFNA(IF(LEFT('Rock Climbing Log'!Q52)="C",_xlfn.IFNA(VLOOKUP('Rock Climbing Log'!Q52,'RC Lookup'!$A$3:$B$9,2,FALSE),0.5),VLOOKUP('Rock Climbing Log'!Q52,'RC Lookup'!$G$3:$H$5,2,FALSE)),0)*VLOOKUP(P$7,'RC Lookup'!$D$3:$E$18,2,FALSE)</f>
        <v>0</v>
      </c>
      <c r="R52" s="26">
        <f>_xlfn.IFNA(IF(LEFT('Rock Climbing Log'!R52)="C",_xlfn.IFNA(VLOOKUP('Rock Climbing Log'!R52,'RC Lookup'!$A$3:$B$9,2,FALSE),0.5),VLOOKUP('Rock Climbing Log'!R52,'RC Lookup'!$G$3:$H$5,2,FALSE)),0)*VLOOKUP(P$7,'RC Lookup'!$D$3:$E$18,2,FALSE)</f>
        <v>0</v>
      </c>
      <c r="S52" s="26">
        <f>_xlfn.IFNA(IF(LEFT('Rock Climbing Log'!S52)="C",_xlfn.IFNA(VLOOKUP('Rock Climbing Log'!S52,'RC Lookup'!$A$3:$B$9,2,FALSE),0.5),VLOOKUP('Rock Climbing Log'!S52,'RC Lookup'!$G$3:$H$5,2,FALSE)),0)*VLOOKUP(S$7,'RC Lookup'!$D$3:$E$18,2,FALSE)</f>
        <v>0</v>
      </c>
      <c r="T52" s="26">
        <f>_xlfn.IFNA(IF(LEFT('Rock Climbing Log'!T52)="C",_xlfn.IFNA(VLOOKUP('Rock Climbing Log'!T52,'RC Lookup'!$A$3:$B$9,2,FALSE),0.5),VLOOKUP('Rock Climbing Log'!T52,'RC Lookup'!$G$3:$H$5,2,FALSE)),0)*VLOOKUP(S$7,'RC Lookup'!$D$3:$E$18,2,FALSE)</f>
        <v>0</v>
      </c>
      <c r="U52" s="26">
        <f>_xlfn.IFNA(IF(LEFT('Rock Climbing Log'!U52)="C",_xlfn.IFNA(VLOOKUP('Rock Climbing Log'!U52,'RC Lookup'!$A$3:$B$9,2,FALSE),0.5),VLOOKUP('Rock Climbing Log'!U52,'RC Lookup'!$G$3:$H$5,2,FALSE)),0)*VLOOKUP(S$7,'RC Lookup'!$D$3:$E$18,2,FALSE)</f>
        <v>0</v>
      </c>
      <c r="V52" s="26">
        <f>_xlfn.IFNA(IF(LEFT('Rock Climbing Log'!V52)="C",_xlfn.IFNA(VLOOKUP('Rock Climbing Log'!V52,'RC Lookup'!$A$3:$B$9,2,FALSE),0.5),VLOOKUP('Rock Climbing Log'!V52,'RC Lookup'!$G$3:$H$5,2,FALSE)),0)*VLOOKUP(V$7,'RC Lookup'!$D$3:$E$18,2,FALSE)</f>
        <v>35.256745742400021</v>
      </c>
      <c r="W52" s="26">
        <f>_xlfn.IFNA(IF(LEFT('Rock Climbing Log'!W52)="C",_xlfn.IFNA(VLOOKUP('Rock Climbing Log'!W52,'RC Lookup'!$A$3:$B$9,2,FALSE),0.5),VLOOKUP('Rock Climbing Log'!W52,'RC Lookup'!$G$3:$H$5,2,FALSE)),0)*VLOOKUP(V$7,'RC Lookup'!$D$3:$E$18,2,FALSE)</f>
        <v>35.256745742400021</v>
      </c>
      <c r="X52" s="26">
        <f>_xlfn.IFNA(IF(LEFT('Rock Climbing Log'!X52)="C",_xlfn.IFNA(VLOOKUP('Rock Climbing Log'!X52,'RC Lookup'!$A$3:$B$9,2,FALSE),0.5),VLOOKUP('Rock Climbing Log'!X52,'RC Lookup'!$G$3:$H$5,2,FALSE)),0)*VLOOKUP(V$7,'RC Lookup'!$D$3:$E$18,2,FALSE)</f>
        <v>0</v>
      </c>
      <c r="Y52" s="26">
        <f>_xlfn.IFNA(IF(LEFT('Rock Climbing Log'!Y52)="C",_xlfn.IFNA(VLOOKUP('Rock Climbing Log'!Y52,'RC Lookup'!$A$3:$B$9,2,FALSE),0.5),VLOOKUP('Rock Climbing Log'!Y52,'RC Lookup'!$G$3:$H$5,2,FALSE)),0)*VLOOKUP(Y$7,'RC Lookup'!$D$3:$E$18,2,FALSE)</f>
        <v>0</v>
      </c>
      <c r="Z52" s="26">
        <f>_xlfn.IFNA(IF(LEFT('Rock Climbing Log'!Z52)="C",_xlfn.IFNA(VLOOKUP('Rock Climbing Log'!Z52,'RC Lookup'!$A$3:$B$9,2,FALSE),0.5),VLOOKUP('Rock Climbing Log'!Z52,'RC Lookup'!$G$3:$H$5,2,FALSE)),0)*VLOOKUP(Y$7,'RC Lookup'!$D$3:$E$18,2,FALSE)</f>
        <v>0</v>
      </c>
      <c r="AA52" s="26">
        <f>_xlfn.IFNA(IF(LEFT('Rock Climbing Log'!AA52)="C",_xlfn.IFNA(VLOOKUP('Rock Climbing Log'!AA52,'RC Lookup'!$A$3:$B$9,2,FALSE),0.5),VLOOKUP('Rock Climbing Log'!AA52,'RC Lookup'!$G$3:$H$5,2,FALSE)),0)*VLOOKUP(Y$7,'RC Lookup'!$D$3:$E$18,2,FALSE)</f>
        <v>0</v>
      </c>
      <c r="AB52" s="26">
        <f>_xlfn.IFNA(IF(LEFT('Rock Climbing Log'!AB52)="C",_xlfn.IFNA(VLOOKUP('Rock Climbing Log'!AB52,'RC Lookup'!$A$3:$B$9,2,FALSE),0.5),VLOOKUP('Rock Climbing Log'!AB52,'RC Lookup'!$G$3:$H$5,2,FALSE)),0)*VLOOKUP(AB$7,'RC Lookup'!$D$3:$E$18,2,FALSE)</f>
        <v>0</v>
      </c>
      <c r="AC52" s="26">
        <f>_xlfn.IFNA(IF(LEFT('Rock Climbing Log'!AC52)="C",_xlfn.IFNA(VLOOKUP('Rock Climbing Log'!AC52,'RC Lookup'!$A$3:$B$9,2,FALSE),0.5),VLOOKUP('Rock Climbing Log'!AC52,'RC Lookup'!$G$3:$H$5,2,FALSE)),0)*VLOOKUP(AB$7,'RC Lookup'!$D$3:$E$18,2,FALSE)</f>
        <v>0</v>
      </c>
      <c r="AD52" s="26">
        <f>_xlfn.IFNA(IF(LEFT('Rock Climbing Log'!AD52)="C",_xlfn.IFNA(VLOOKUP('Rock Climbing Log'!AD52,'RC Lookup'!$A$3:$B$9,2,FALSE),0.5),VLOOKUP('Rock Climbing Log'!AD52,'RC Lookup'!$G$3:$H$5,2,FALSE)),0)*VLOOKUP(AB$7,'RC Lookup'!$D$3:$E$18,2,FALSE)</f>
        <v>0</v>
      </c>
      <c r="AE52" s="26">
        <f>_xlfn.IFNA(IF(LEFT('Rock Climbing Log'!AE52)="C",_xlfn.IFNA(VLOOKUP('Rock Climbing Log'!AE52,'RC Lookup'!$A$3:$B$9,2,FALSE),0.5),VLOOKUP('Rock Climbing Log'!AE52,'RC Lookup'!$G$3:$H$5,2,FALSE)),0)*VLOOKUP(AE$7,'RC Lookup'!$D$3:$E$18,2,FALSE)</f>
        <v>0</v>
      </c>
      <c r="AF52" s="26">
        <f>_xlfn.IFNA(IF(LEFT('Rock Climbing Log'!AF52)="C",_xlfn.IFNA(VLOOKUP('Rock Climbing Log'!AF52,'RC Lookup'!$A$3:$B$9,2,FALSE),0.5),VLOOKUP('Rock Climbing Log'!AF52,'RC Lookup'!$G$3:$H$5,2,FALSE)),0)*VLOOKUP(AE$7,'RC Lookup'!$D$3:$E$18,2,FALSE)</f>
        <v>0</v>
      </c>
      <c r="AG52" s="26">
        <f>_xlfn.IFNA(IF(LEFT('Rock Climbing Log'!AG52)="C",_xlfn.IFNA(VLOOKUP('Rock Climbing Log'!AG52,'RC Lookup'!$A$3:$B$9,2,FALSE),0.5),VLOOKUP('Rock Climbing Log'!AG52,'RC Lookup'!$G$3:$H$5,2,FALSE)),0)*VLOOKUP(AE$7,'RC Lookup'!$D$3:$E$18,2,FALSE)</f>
        <v>0</v>
      </c>
      <c r="AH52" s="26">
        <f>_xlfn.IFNA(IF(LEFT('Rock Climbing Log'!AH52)="C",_xlfn.IFNA(VLOOKUP('Rock Climbing Log'!AH52,'RC Lookup'!$A$3:$B$9,2,FALSE),0.5),VLOOKUP('Rock Climbing Log'!AH52,'RC Lookup'!$G$3:$H$5,2,FALSE)),0)*VLOOKUP(AH$7,'RC Lookup'!$D$3:$E$18,2,FALSE)</f>
        <v>0</v>
      </c>
      <c r="AI52" s="26">
        <f>_xlfn.IFNA(IF(LEFT('Rock Climbing Log'!AI52)="C",_xlfn.IFNA(VLOOKUP('Rock Climbing Log'!AI52,'RC Lookup'!$A$3:$B$9,2,FALSE),0.5),VLOOKUP('Rock Climbing Log'!AI52,'RC Lookup'!$G$3:$H$5,2,FALSE)),0)*VLOOKUP(AH$7,'RC Lookup'!$D$3:$E$18,2,FALSE)</f>
        <v>0</v>
      </c>
      <c r="AJ52" s="26">
        <f>_xlfn.IFNA(IF(LEFT('Rock Climbing Log'!AJ52)="C",_xlfn.IFNA(VLOOKUP('Rock Climbing Log'!AJ52,'RC Lookup'!$A$3:$B$9,2,FALSE),0.5),VLOOKUP('Rock Climbing Log'!AJ52,'RC Lookup'!$G$3:$H$5,2,FALSE)),0)*VLOOKUP(AH$7,'RC Lookup'!$D$3:$E$18,2,FALSE)</f>
        <v>0</v>
      </c>
      <c r="AK52" s="26">
        <f>_xlfn.IFNA(IF(LEFT('Rock Climbing Log'!AK52)="C",_xlfn.IFNA(VLOOKUP('Rock Climbing Log'!AK52,'RC Lookup'!$A$3:$B$9,2,FALSE),0.5),VLOOKUP('Rock Climbing Log'!AK52,'RC Lookup'!$G$3:$H$5,2,FALSE)),0)*VLOOKUP(AK$7,'RC Lookup'!$D$3:$E$18,2,FALSE)</f>
        <v>0</v>
      </c>
      <c r="AL52" s="26">
        <f>_xlfn.IFNA(IF(LEFT('Rock Climbing Log'!AL52)="C",_xlfn.IFNA(VLOOKUP('Rock Climbing Log'!AL52,'RC Lookup'!$A$3:$B$9,2,FALSE),0.5),VLOOKUP('Rock Climbing Log'!AL52,'RC Lookup'!$G$3:$H$5,2,FALSE)),0)*VLOOKUP(AK$7,'RC Lookup'!$D$3:$E$18,2,FALSE)</f>
        <v>0</v>
      </c>
      <c r="AM52" s="26">
        <f>_xlfn.IFNA(IF(LEFT('Rock Climbing Log'!AM52)="C",_xlfn.IFNA(VLOOKUP('Rock Climbing Log'!AM52,'RC Lookup'!$A$3:$B$9,2,FALSE),0.5),VLOOKUP('Rock Climbing Log'!AM52,'RC Lookup'!$G$3:$H$5,2,FALSE)),0)*VLOOKUP(AK$7,'RC Lookup'!$D$3:$E$18,2,FALSE)</f>
        <v>0</v>
      </c>
      <c r="AN52" s="26">
        <f>_xlfn.IFNA(IF(LEFT('Rock Climbing Log'!AN52)="C",_xlfn.IFNA(VLOOKUP('Rock Climbing Log'!AN52,'RC Lookup'!$A$3:$B$9,2,FALSE),0.5),VLOOKUP('Rock Climbing Log'!AN52,'RC Lookup'!$G$3:$H$5,2,FALSE)),0)*VLOOKUP(AN$7,'RC Lookup'!$D$3:$E$18,2,FALSE)</f>
        <v>0</v>
      </c>
      <c r="AO52" s="26">
        <f>_xlfn.IFNA(IF(LEFT('Rock Climbing Log'!AO52)="C",_xlfn.IFNA(VLOOKUP('Rock Climbing Log'!AO52,'RC Lookup'!$A$3:$B$9,2,FALSE),0.5),VLOOKUP('Rock Climbing Log'!AO52,'RC Lookup'!$G$3:$H$5,2,FALSE)),0)*VLOOKUP(AN$7,'RC Lookup'!$D$3:$E$18,2,FALSE)</f>
        <v>0</v>
      </c>
      <c r="AP52" s="26">
        <f>_xlfn.IFNA(IF(LEFT('Rock Climbing Log'!AP52)="C",_xlfn.IFNA(VLOOKUP('Rock Climbing Log'!AP52,'RC Lookup'!$A$3:$B$9,2,FALSE),0.5),VLOOKUP('Rock Climbing Log'!AP52,'RC Lookup'!$G$3:$H$5,2,FALSE)),0)*VLOOKUP(AN$7,'RC Lookup'!$D$3:$E$18,2,FALSE)</f>
        <v>0</v>
      </c>
      <c r="AQ52" s="26">
        <f>_xlfn.IFNA(IF(LEFT('Rock Climbing Log'!AQ52)="C",_xlfn.IFNA(VLOOKUP('Rock Climbing Log'!AQ52,'RC Lookup'!$A$3:$B$9,2,FALSE),0.5),VLOOKUP('Rock Climbing Log'!AQ52,'RC Lookup'!$G$3:$H$5,2,FALSE)),0)*VLOOKUP(AQ$7,'RC Lookup'!$D$3:$E$18,2,FALSE)</f>
        <v>0</v>
      </c>
      <c r="AR52" s="26">
        <f>_xlfn.IFNA(IF(LEFT('Rock Climbing Log'!AR52)="C",_xlfn.IFNA(VLOOKUP('Rock Climbing Log'!AR52,'RC Lookup'!$A$3:$B$9,2,FALSE),0.5),VLOOKUP('Rock Climbing Log'!AR52,'RC Lookup'!$G$3:$H$5,2,FALSE)),0)*VLOOKUP(AQ$7,'RC Lookup'!$D$3:$E$18,2,FALSE)</f>
        <v>0</v>
      </c>
      <c r="AS52" s="26">
        <f>_xlfn.IFNA(IF(LEFT('Rock Climbing Log'!AS52)="C",_xlfn.IFNA(VLOOKUP('Rock Climbing Log'!AS52,'RC Lookup'!$A$3:$B$9,2,FALSE),0.5),VLOOKUP('Rock Climbing Log'!AS52,'RC Lookup'!$G$3:$H$5,2,FALSE)),0)*VLOOKUP(AQ$7,'RC Lookup'!$D$3:$E$18,2,FALSE)</f>
        <v>0</v>
      </c>
      <c r="AT52" s="26">
        <f>_xlfn.IFNA(IF(LEFT('Rock Climbing Log'!AT52)="C",_xlfn.IFNA(VLOOKUP('Rock Climbing Log'!AT52,'RC Lookup'!$A$3:$B$9,2,FALSE),0.5),VLOOKUP('Rock Climbing Log'!AT52,'RC Lookup'!$G$3:$H$5,2,FALSE)),0)*VLOOKUP(AT$7,'RC Lookup'!$D$3:$E$18,2,FALSE)</f>
        <v>0</v>
      </c>
      <c r="AU52" s="26">
        <f>_xlfn.IFNA(IF(LEFT('Rock Climbing Log'!AU52)="C",_xlfn.IFNA(VLOOKUP('Rock Climbing Log'!AU52,'RC Lookup'!$A$3:$B$9,2,FALSE),0.5),VLOOKUP('Rock Climbing Log'!AU52,'RC Lookup'!$G$3:$H$5,2,FALSE)),0)*VLOOKUP(AT$7,'RC Lookup'!$D$3:$E$18,2,FALSE)</f>
        <v>0</v>
      </c>
      <c r="AV52" s="26">
        <f>_xlfn.IFNA(IF(LEFT('Rock Climbing Log'!AV52)="C",_xlfn.IFNA(VLOOKUP('Rock Climbing Log'!AV52,'RC Lookup'!$A$3:$B$9,2,FALSE),0.5),VLOOKUP('Rock Climbing Log'!AV52,'RC Lookup'!$G$3:$H$5,2,FALSE)),0)*VLOOKUP(AT$7,'RC Lookup'!$D$3:$E$18,2,FALSE)</f>
        <v>0</v>
      </c>
      <c r="AW52" s="30">
        <f t="shared" ca="1" si="2"/>
        <v>90.51599148480004</v>
      </c>
      <c r="AX52" s="30">
        <f ca="1">_xlfn.IFNA(VLOOKUP(SUMPRODUCT(LARGE(($C$8:$C52=Table1[[#This Row],[Climber]])*$A$8:$A52,1)),$A$8:$AW52,MATCH($AW$7,$A$7:$AW$7,FALSE),FALSE),0)/LEFT($AX$7,FIND(" ",$AX$7))+_xlfn.IFNA(VLOOKUP(SUMPRODUCT(LARGE(($C$8:$C52=Table1[[#This Row],[Climber]])*$A$8:$A52,MIN(2,COUNTIFS($C$8:$C52,$C52)))),$A$8:$AW52,MATCH($AW$7,$A$7:$AW$7,FALSE),FALSE),0)/LEFT($AX$7,FIND(" ",$AX$7))+_xlfn.IFNA(VLOOKUP(SUMPRODUCT(LARGE(($C$8:$C52=Table1[[#This Row],[Climber]])*$A$8:$A52,MIN(3,COUNTIFS($C$8:$C52,$C52)))),$A$8:$AW52,MATCH($AW$7,$A$7:$AW$7,FALSE),FALSE),0)/LEFT($AX$7,FIND(" ",$AX$7))</f>
        <v>93.55610677202813</v>
      </c>
      <c r="AY52" s="30">
        <f ca="1">_xlfn.IFNA(VLOOKUP(SUMPRODUCT(LARGE(($C$8:$C52=Table1[[#This Row],[Climber]])*$A$8:$A52,1)),$A$8:$AW52,MATCH($AW$7,$A$7:$AW$7,FALSE),FALSE),0)/LEFT($AY$7,FIND(" ",$AY$7))+_xlfn.IFNA(VLOOKUP(SUMPRODUCT(LARGE(($C$8:$C52=Table1[[#This Row],[Climber]])*$A$8:$A52,MIN(2,COUNTIFS($C$8:$C52,$C52)))),$A$8:$AW52,MATCH($AW$7,$A$7:$AW$7,FALSE),FALSE),0)/LEFT($AY$7,FIND(" ",$AY$7))+_xlfn.IFNA(VLOOKUP(SUMPRODUCT(LARGE(($C$8:$C52=Table1[[#This Row],[Climber]])*$A$8:$A52,MIN(3,COUNTIFS($C$8:$C52,$C52)))),$A$8:$AW52,MATCH($AW$7,$A$7:$AW$7,FALSE),FALSE),0)/LEFT($AY$7,FIND(" ",$AY$7))+_xlfn.IFNA(VLOOKUP(SUMPRODUCT(LARGE(($C$8:$C52=Table1[[#This Row],[Climber]])*$A$8:$A52,MIN(4,COUNTIFS($C$8:$C52,$C52)))),$A$8:$AW52,MATCH($AW$7,$A$7:$AW$7,FALSE),FALSE),0)/LEFT($AY$7,FIND(" ",$AY$7))+_xlfn.IFNA(VLOOKUP(SUMPRODUCT(LARGE(($C$8:$C52=Table1[[#This Row],[Climber]])*$A$8:$A52,MIN(5,COUNTIFS($C$8:$C52,$C52)))),$A$8:$AW52,MATCH($AW$7,$A$7:$AW$7,FALSE),FALSE),0)/LEFT($AY$7,FIND(" ",$AY$7))</f>
        <v>94.526756618959354</v>
      </c>
      <c r="AZ52" s="30">
        <f ca="1">(_xlfn.IFNA(VLOOKUP(SUMPRODUCT(LARGE(($C$8:$C52=Table1[[#This Row],[Climber]])*$A$8:$A52,4)),$A$8:$AW52,MATCH($AW$7,$A$7:$AW$7,FALSE),FALSE),0)+_xlfn.IFNA(VLOOKUP(SUMPRODUCT(LARGE(($C$8:$C52=Table1[[#This Row],[Climber]])*$A$8:$A52,5)),$A$8:$AW52,MATCH($AW$7,$A$7:$AW$7,FALSE),FALSE),0)+_xlfn.IFNA(VLOOKUP(SUMPRODUCT(LARGE(($C$8:$C52=Table1[[#This Row],[Climber]])*$A$8:$A52,6)),$A$8:$AW52,MATCH($AW$7,$A$7:$AW$7,FALSE),FALSE),0))/3</f>
        <v>90.38256617370412</v>
      </c>
      <c r="BA52" s="46">
        <f ca="1">_xlfn.MAXIFS(INDIRECT("$AW"&amp;IF(SUMPRODUCT(LARGE(($C$8:$C52=$C52)*$A$8:$A52,LEFT($BA$7,FIND(" ",$BA$7)-1)))=0,8,SUMPRODUCT(LARGE(($C$8:$C52=$C52)*$A$8:$A52,LEFT($BA$7,FIND(" ",$BA$7)-1)))+7)&amp;":$AW"&amp;ROW()),INDIRECT("$C"&amp;IF(SUMPRODUCT(LARGE(($C$8:$C52=$C52)*$A$8:$A52,LEFT($BA$7,FIND(" ",$BA$7)-1)))=0,8,SUMPRODUCT(LARGE(($C$8:$C52=$C52)*$A$8:$A52,LEFT($BA$7,FIND(" ",$BA$7)-1)))+7)&amp;":$C"&amp;ROW()),$C52)</f>
        <v>99.027409911202284</v>
      </c>
      <c r="BB52" s="46" t="str">
        <f ca="1">VLOOKUP(MAX(BG52,$AX52),'RC Lookup'!$G$14:$J$20,2,TRUE)</f>
        <v>T3</v>
      </c>
      <c r="BC52" s="46">
        <f ca="1">_xlfn.IFNA(VLOOKUP(VLOOKUP($C52,'RC Lookup'!$O$3:$P$50,2,FALSE),'RC Lookup'!$H$14:$J$23,2,FALSE),0)*AW52</f>
        <v>69.462614659048015</v>
      </c>
      <c r="BD52" s="6">
        <f ca="1">_xlfn.IFNA(VLOOKUP(SUMPRODUCT(LARGE(($C$8:$C52=Table1[[#This Row],[Climber]])*$A$8:$A52,1)),$A$8:$BC52,55,FALSE),0)/LEFT($AX$7,FIND(" ",$AX$7))+_xlfn.IFNA(VLOOKUP(SUMPRODUCT(LARGE(($C$8:$C52=Table1[[#This Row],[Climber]])*$A$8:$A52,MIN(2,COUNTIFS($C$8:$C52,$C52)))),$A$8:$BC52,55,FALSE),0)/LEFT($AX$7,FIND(" ",$AX$7))+_xlfn.IFNA(VLOOKUP(SUMPRODUCT(LARGE(($C$8:$C52=Table1[[#This Row],[Climber]])*$A$8:$A52,MIN(3,COUNTIFS($C$8:$C52,$C52)))),$A$8:$BC52,55,FALSE),0)/LEFT($AX$7,FIND(" ",$AX$7))</f>
        <v>71.795620719654082</v>
      </c>
      <c r="BE52" s="6">
        <f ca="1">(_xlfn.IFNA(VLOOKUP(SUMPRODUCT(LARGE(($C$8:$C52=Table1[[#This Row],[Climber]])*$A$8:$A52,4)),$A$8:$BD52,55,FALSE),0)+_xlfn.IFNA(VLOOKUP(SUMPRODUCT(LARGE(($C$8:$C52=Table1[[#This Row],[Climber]])*$A$8:$A52,5)),$A$8:$BD52,55,FALSE),0)+_xlfn.IFNA(VLOOKUP(SUMPRODUCT(LARGE(($C$8:$C52=Table1[[#This Row],[Climber]])*$A$8:$A52,6)),$A$8:$BD52,55,FALSE),0))/3</f>
        <v>69.360223127801575</v>
      </c>
      <c r="BF52" s="46">
        <f ca="1">_xlfn.MAXIFS(INDIRECT("$BC"&amp;IF(SUMPRODUCT(LARGE(($C$8:$C52=$C52)*$A$8:$A52,LEFT($BA$7,FIND(" ",$BA$7)-1)))=0,8,SUMPRODUCT(LARGE(($C$8:$C52=$C52)*$A$8:$A52,LEFT($BA$7,FIND(" ",$BA$7)-1)))+7)&amp;":$BC"&amp;ROW()),INDIRECT("$C"&amp;IF(SUMPRODUCT(LARGE(($C$8:$C52=$C52)*$A$8:$A52,LEFT($BA$7,FIND(" ",$BA$7)-1)))=0,8,SUMPRODUCT(LARGE(($C$8:$C52=$C52)*$A$8:$A52,LEFT($BA$7,FIND(" ",$BA$7)-1)))+7)&amp;":$C"&amp;ROW()),$C52)</f>
        <v>75.994337602770969</v>
      </c>
      <c r="BG52" s="46">
        <f t="array" aca="1" ref="BG52" ca="1">IFERROR(SUMPRODUCT(LARGE(($C$8:$C52=Table1[[#This Row],[Climber]])*$AW$8:$AW52,ROW(INDIRECT("1:5")))),AW52)/MIN(COUNTIFS($C$8:$C52,C52),5)</f>
        <v>94.613012475930532</v>
      </c>
      <c r="BH52" s="46"/>
    </row>
    <row r="53" spans="1:60" x14ac:dyDescent="0.3">
      <c r="A53" s="125">
        <f t="shared" si="1"/>
        <v>46</v>
      </c>
      <c r="B53" s="25">
        <f>'Rock Climbing Log'!B53</f>
        <v>43149</v>
      </c>
      <c r="C53" s="126" t="str">
        <f>'Rock Climbing Log'!C53</f>
        <v>Sameena</v>
      </c>
      <c r="D53" s="26">
        <f>_xlfn.IFNA(IF(LEFT('Rock Climbing Log'!D53)="C",_xlfn.IFNA(VLOOKUP('Rock Climbing Log'!D53,'RC Lookup'!$A$3:$B$9,2,FALSE),0.5),VLOOKUP('Rock Climbing Log'!D53,'RC Lookup'!$G$3:$H$5,2,FALSE)),0)*VLOOKUP(D$7,'RC Lookup'!$D$3:$E$18,2,FALSE)</f>
        <v>0</v>
      </c>
      <c r="E53" s="26">
        <f>_xlfn.IFNA(IF(LEFT('Rock Climbing Log'!E53)="C",_xlfn.IFNA(VLOOKUP('Rock Climbing Log'!E53,'RC Lookup'!$A$3:$B$9,2,FALSE),0.5),VLOOKUP('Rock Climbing Log'!E53,'RC Lookup'!$G$3:$H$5,2,FALSE)),0)*VLOOKUP(D$7,'RC Lookup'!$D$3:$E$18,2,FALSE)</f>
        <v>0</v>
      </c>
      <c r="F53" s="26">
        <f>_xlfn.IFNA(IF(LEFT('Rock Climbing Log'!F53)="C",_xlfn.IFNA(VLOOKUP('Rock Climbing Log'!F53,'RC Lookup'!$A$3:$B$9,2,FALSE),0.5),VLOOKUP('Rock Climbing Log'!F53,'RC Lookup'!$G$3:$H$5,2,FALSE)),0)*VLOOKUP(D$7,'RC Lookup'!$D$3:$E$18,2,FALSE)</f>
        <v>0</v>
      </c>
      <c r="G53" s="26">
        <f>_xlfn.IFNA(IF(LEFT('Rock Climbing Log'!G53)="C",_xlfn.IFNA(VLOOKUP('Rock Climbing Log'!G53,'RC Lookup'!$A$3:$B$9,2,FALSE),0.5),VLOOKUP('Rock Climbing Log'!G53,'RC Lookup'!$G$3:$H$5,2,FALSE)),0)*VLOOKUP(G$7,'RC Lookup'!$D$3:$E$18,2,FALSE)</f>
        <v>0</v>
      </c>
      <c r="H53" s="26">
        <f>_xlfn.IFNA(IF(LEFT('Rock Climbing Log'!H53)="C",_xlfn.IFNA(VLOOKUP('Rock Climbing Log'!H53,'RC Lookup'!$A$3:$B$9,2,FALSE),0.5),VLOOKUP('Rock Climbing Log'!H53,'RC Lookup'!$G$3:$H$5,2,FALSE)),0)*VLOOKUP(G$7,'RC Lookup'!$D$3:$E$18,2,FALSE)</f>
        <v>0</v>
      </c>
      <c r="I53" s="26">
        <f>_xlfn.IFNA(IF(LEFT('Rock Climbing Log'!I53)="C",_xlfn.IFNA(VLOOKUP('Rock Climbing Log'!I53,'RC Lookup'!$A$3:$B$9,2,FALSE),0.5),VLOOKUP('Rock Climbing Log'!I53,'RC Lookup'!$G$3:$H$5,2,FALSE)),0)*VLOOKUP(G$7,'RC Lookup'!$D$3:$E$18,2,FALSE)</f>
        <v>0</v>
      </c>
      <c r="J53" s="26">
        <f>_xlfn.IFNA(IF(LEFT('Rock Climbing Log'!J53)="C",_xlfn.IFNA(VLOOKUP('Rock Climbing Log'!J53,'RC Lookup'!$A$3:$B$9,2,FALSE),0.5),VLOOKUP('Rock Climbing Log'!J53,'RC Lookup'!$G$3:$H$5,2,FALSE)),0)*VLOOKUP(J$7,'RC Lookup'!$D$3:$E$18,2,FALSE)</f>
        <v>0</v>
      </c>
      <c r="K53" s="26">
        <f>_xlfn.IFNA(IF(LEFT('Rock Climbing Log'!K53)="C",_xlfn.IFNA(VLOOKUP('Rock Climbing Log'!K53,'RC Lookup'!$A$3:$B$9,2,FALSE),0.5),VLOOKUP('Rock Climbing Log'!K53,'RC Lookup'!$G$3:$H$5,2,FALSE)),0)*VLOOKUP(J$7,'RC Lookup'!$D$3:$E$18,2,FALSE)</f>
        <v>0</v>
      </c>
      <c r="L53" s="26">
        <f>_xlfn.IFNA(IF(LEFT('Rock Climbing Log'!L53)="C",_xlfn.IFNA(VLOOKUP('Rock Climbing Log'!L53,'RC Lookup'!$A$3:$B$9,2,FALSE),0.5),VLOOKUP('Rock Climbing Log'!L53,'RC Lookup'!$G$3:$H$5,2,FALSE)),0)*VLOOKUP(J$7,'RC Lookup'!$D$3:$E$18,2,FALSE)</f>
        <v>0</v>
      </c>
      <c r="M53" s="26">
        <f>_xlfn.IFNA(IF(LEFT('Rock Climbing Log'!M53)="C",_xlfn.IFNA(VLOOKUP('Rock Climbing Log'!M53,'RC Lookup'!$A$3:$B$9,2,FALSE),0.5),VLOOKUP('Rock Climbing Log'!M53,'RC Lookup'!$G$3:$H$5,2,FALSE)),0)*VLOOKUP(M$7,'RC Lookup'!$D$3:$E$18,2,FALSE)</f>
        <v>0</v>
      </c>
      <c r="N53" s="26">
        <f>_xlfn.IFNA(IF(LEFT('Rock Climbing Log'!N53)="C",_xlfn.IFNA(VLOOKUP('Rock Climbing Log'!N53,'RC Lookup'!$A$3:$B$9,2,FALSE),0.5),VLOOKUP('Rock Climbing Log'!N53,'RC Lookup'!$G$3:$H$5,2,FALSE)),0)*VLOOKUP(M$7,'RC Lookup'!$D$3:$E$18,2,FALSE)</f>
        <v>0</v>
      </c>
      <c r="O53" s="26">
        <f>_xlfn.IFNA(IF(LEFT('Rock Climbing Log'!O53)="C",_xlfn.IFNA(VLOOKUP('Rock Climbing Log'!O53,'RC Lookup'!$A$3:$B$9,2,FALSE),0.5),VLOOKUP('Rock Climbing Log'!O53,'RC Lookup'!$G$3:$H$5,2,FALSE)),0)*VLOOKUP(M$7,'RC Lookup'!$D$3:$E$18,2,FALSE)</f>
        <v>0</v>
      </c>
      <c r="P53" s="26">
        <f>_xlfn.IFNA(IF(LEFT('Rock Climbing Log'!P53)="C",_xlfn.IFNA(VLOOKUP('Rock Climbing Log'!P53,'RC Lookup'!$A$3:$B$9,2,FALSE),0.5),VLOOKUP('Rock Climbing Log'!P53,'RC Lookup'!$G$3:$H$5,2,FALSE)),0)*VLOOKUP(P$7,'RC Lookup'!$D$3:$E$18,2,FALSE)</f>
        <v>0</v>
      </c>
      <c r="Q53" s="26">
        <f>_xlfn.IFNA(IF(LEFT('Rock Climbing Log'!Q53)="C",_xlfn.IFNA(VLOOKUP('Rock Climbing Log'!Q53,'RC Lookup'!$A$3:$B$9,2,FALSE),0.5),VLOOKUP('Rock Climbing Log'!Q53,'RC Lookup'!$G$3:$H$5,2,FALSE)),0)*VLOOKUP(P$7,'RC Lookup'!$D$3:$E$18,2,FALSE)</f>
        <v>0</v>
      </c>
      <c r="R53" s="26">
        <f>_xlfn.IFNA(IF(LEFT('Rock Climbing Log'!R53)="C",_xlfn.IFNA(VLOOKUP('Rock Climbing Log'!R53,'RC Lookup'!$A$3:$B$9,2,FALSE),0.5),VLOOKUP('Rock Climbing Log'!R53,'RC Lookup'!$G$3:$H$5,2,FALSE)),0)*VLOOKUP(P$7,'RC Lookup'!$D$3:$E$18,2,FALSE)</f>
        <v>0</v>
      </c>
      <c r="S53" s="26">
        <f>_xlfn.IFNA(IF(LEFT('Rock Climbing Log'!S53)="C",_xlfn.IFNA(VLOOKUP('Rock Climbing Log'!S53,'RC Lookup'!$A$3:$B$9,2,FALSE),0.5),VLOOKUP('Rock Climbing Log'!S53,'RC Lookup'!$G$3:$H$5,2,FALSE)),0)*VLOOKUP(S$7,'RC Lookup'!$D$3:$E$18,2,FALSE)</f>
        <v>28.898971920000012</v>
      </c>
      <c r="T53" s="26">
        <f>_xlfn.IFNA(IF(LEFT('Rock Climbing Log'!T53)="C",_xlfn.IFNA(VLOOKUP('Rock Climbing Log'!T53,'RC Lookup'!$A$3:$B$9,2,FALSE),0.5),VLOOKUP('Rock Climbing Log'!T53,'RC Lookup'!$G$3:$H$5,2,FALSE)),0)*VLOOKUP(S$7,'RC Lookup'!$D$3:$E$18,2,FALSE)</f>
        <v>0</v>
      </c>
      <c r="U53" s="26">
        <f>_xlfn.IFNA(IF(LEFT('Rock Climbing Log'!U53)="C",_xlfn.IFNA(VLOOKUP('Rock Climbing Log'!U53,'RC Lookup'!$A$3:$B$9,2,FALSE),0.5),VLOOKUP('Rock Climbing Log'!U53,'RC Lookup'!$G$3:$H$5,2,FALSE)),0)*VLOOKUP(S$7,'RC Lookup'!$D$3:$E$18,2,FALSE)</f>
        <v>0</v>
      </c>
      <c r="V53" s="26">
        <f>_xlfn.IFNA(IF(LEFT('Rock Climbing Log'!V53)="C",_xlfn.IFNA(VLOOKUP('Rock Climbing Log'!V53,'RC Lookup'!$A$3:$B$9,2,FALSE),0.5),VLOOKUP('Rock Climbing Log'!V53,'RC Lookup'!$G$3:$H$5,2,FALSE)),0)*VLOOKUP(V$7,'RC Lookup'!$D$3:$E$18,2,FALSE)</f>
        <v>35.256745742400021</v>
      </c>
      <c r="W53" s="26">
        <f>_xlfn.IFNA(IF(LEFT('Rock Climbing Log'!W53)="C",_xlfn.IFNA(VLOOKUP('Rock Climbing Log'!W53,'RC Lookup'!$A$3:$B$9,2,FALSE),0.5),VLOOKUP('Rock Climbing Log'!W53,'RC Lookup'!$G$3:$H$5,2,FALSE)),0)*VLOOKUP(V$7,'RC Lookup'!$D$3:$E$18,2,FALSE)</f>
        <v>0</v>
      </c>
      <c r="X53" s="26">
        <f>_xlfn.IFNA(IF(LEFT('Rock Climbing Log'!X53)="C",_xlfn.IFNA(VLOOKUP('Rock Climbing Log'!X53,'RC Lookup'!$A$3:$B$9,2,FALSE),0.5),VLOOKUP('Rock Climbing Log'!X53,'RC Lookup'!$G$3:$H$5,2,FALSE)),0)*VLOOKUP(V$7,'RC Lookup'!$D$3:$E$18,2,FALSE)</f>
        <v>0</v>
      </c>
      <c r="Y53" s="26">
        <f>_xlfn.IFNA(IF(LEFT('Rock Climbing Log'!Y53)="C",_xlfn.IFNA(VLOOKUP('Rock Climbing Log'!Y53,'RC Lookup'!$A$3:$B$9,2,FALSE),0.5),VLOOKUP('Rock Climbing Log'!Y53,'RC Lookup'!$G$3:$H$5,2,FALSE)),0)*VLOOKUP(Y$7,'RC Lookup'!$D$3:$E$18,2,FALSE)</f>
        <v>0</v>
      </c>
      <c r="Z53" s="26">
        <f>_xlfn.IFNA(IF(LEFT('Rock Climbing Log'!Z53)="C",_xlfn.IFNA(VLOOKUP('Rock Climbing Log'!Z53,'RC Lookup'!$A$3:$B$9,2,FALSE),0.5),VLOOKUP('Rock Climbing Log'!Z53,'RC Lookup'!$G$3:$H$5,2,FALSE)),0)*VLOOKUP(Y$7,'RC Lookup'!$D$3:$E$18,2,FALSE)</f>
        <v>0</v>
      </c>
      <c r="AA53" s="26">
        <f>_xlfn.IFNA(IF(LEFT('Rock Climbing Log'!AA53)="C",_xlfn.IFNA(VLOOKUP('Rock Climbing Log'!AA53,'RC Lookup'!$A$3:$B$9,2,FALSE),0.5),VLOOKUP('Rock Climbing Log'!AA53,'RC Lookup'!$G$3:$H$5,2,FALSE)),0)*VLOOKUP(Y$7,'RC Lookup'!$D$3:$E$18,2,FALSE)</f>
        <v>0</v>
      </c>
      <c r="AB53" s="26">
        <f>_xlfn.IFNA(IF(LEFT('Rock Climbing Log'!AB53)="C",_xlfn.IFNA(VLOOKUP('Rock Climbing Log'!AB53,'RC Lookup'!$A$3:$B$9,2,FALSE),0.5),VLOOKUP('Rock Climbing Log'!AB53,'RC Lookup'!$G$3:$H$5,2,FALSE)),0)*VLOOKUP(AB$7,'RC Lookup'!$D$3:$E$18,2,FALSE)</f>
        <v>54.034770578768224</v>
      </c>
      <c r="AC53" s="26">
        <f>_xlfn.IFNA(IF(LEFT('Rock Climbing Log'!AC53)="C",_xlfn.IFNA(VLOOKUP('Rock Climbing Log'!AC53,'RC Lookup'!$A$3:$B$9,2,FALSE),0.5),VLOOKUP('Rock Climbing Log'!AC53,'RC Lookup'!$G$3:$H$5,2,FALSE)),0)*VLOOKUP(AB$7,'RC Lookup'!$D$3:$E$18,2,FALSE)</f>
        <v>0</v>
      </c>
      <c r="AD53" s="26">
        <f>_xlfn.IFNA(IF(LEFT('Rock Climbing Log'!AD53)="C",_xlfn.IFNA(VLOOKUP('Rock Climbing Log'!AD53,'RC Lookup'!$A$3:$B$9,2,FALSE),0.5),VLOOKUP('Rock Climbing Log'!AD53,'RC Lookup'!$G$3:$H$5,2,FALSE)),0)*VLOOKUP(AB$7,'RC Lookup'!$D$3:$E$18,2,FALSE)</f>
        <v>0</v>
      </c>
      <c r="AE53" s="26">
        <f>_xlfn.IFNA(IF(LEFT('Rock Climbing Log'!AE53)="C",_xlfn.IFNA(VLOOKUP('Rock Climbing Log'!AE53,'RC Lookup'!$A$3:$B$9,2,FALSE),0.5),VLOOKUP('Rock Climbing Log'!AE53,'RC Lookup'!$G$3:$H$5,2,FALSE)),0)*VLOOKUP(AE$7,'RC Lookup'!$D$3:$E$18,2,FALSE)</f>
        <v>0</v>
      </c>
      <c r="AF53" s="26">
        <f>_xlfn.IFNA(IF(LEFT('Rock Climbing Log'!AF53)="C",_xlfn.IFNA(VLOOKUP('Rock Climbing Log'!AF53,'RC Lookup'!$A$3:$B$9,2,FALSE),0.5),VLOOKUP('Rock Climbing Log'!AF53,'RC Lookup'!$G$3:$H$5,2,FALSE)),0)*VLOOKUP(AE$7,'RC Lookup'!$D$3:$E$18,2,FALSE)</f>
        <v>0</v>
      </c>
      <c r="AG53" s="26">
        <f>_xlfn.IFNA(IF(LEFT('Rock Climbing Log'!AG53)="C",_xlfn.IFNA(VLOOKUP('Rock Climbing Log'!AG53,'RC Lookup'!$A$3:$B$9,2,FALSE),0.5),VLOOKUP('Rock Climbing Log'!AG53,'RC Lookup'!$G$3:$H$5,2,FALSE)),0)*VLOOKUP(AE$7,'RC Lookup'!$D$3:$E$18,2,FALSE)</f>
        <v>0</v>
      </c>
      <c r="AH53" s="26">
        <f>_xlfn.IFNA(IF(LEFT('Rock Climbing Log'!AH53)="C",_xlfn.IFNA(VLOOKUP('Rock Climbing Log'!AH53,'RC Lookup'!$A$3:$B$9,2,FALSE),0.5),VLOOKUP('Rock Climbing Log'!AH53,'RC Lookup'!$G$3:$H$5,2,FALSE)),0)*VLOOKUP(AH$7,'RC Lookup'!$D$3:$E$18,2,FALSE)</f>
        <v>0</v>
      </c>
      <c r="AI53" s="26">
        <f>_xlfn.IFNA(IF(LEFT('Rock Climbing Log'!AI53)="C",_xlfn.IFNA(VLOOKUP('Rock Climbing Log'!AI53,'RC Lookup'!$A$3:$B$9,2,FALSE),0.5),VLOOKUP('Rock Climbing Log'!AI53,'RC Lookup'!$G$3:$H$5,2,FALSE)),0)*VLOOKUP(AH$7,'RC Lookup'!$D$3:$E$18,2,FALSE)</f>
        <v>0</v>
      </c>
      <c r="AJ53" s="26">
        <f>_xlfn.IFNA(IF(LEFT('Rock Climbing Log'!AJ53)="C",_xlfn.IFNA(VLOOKUP('Rock Climbing Log'!AJ53,'RC Lookup'!$A$3:$B$9,2,FALSE),0.5),VLOOKUP('Rock Climbing Log'!AJ53,'RC Lookup'!$G$3:$H$5,2,FALSE)),0)*VLOOKUP(AH$7,'RC Lookup'!$D$3:$E$18,2,FALSE)</f>
        <v>0</v>
      </c>
      <c r="AK53" s="26">
        <f>_xlfn.IFNA(IF(LEFT('Rock Climbing Log'!AK53)="C",_xlfn.IFNA(VLOOKUP('Rock Climbing Log'!AK53,'RC Lookup'!$A$3:$B$9,2,FALSE),0.5),VLOOKUP('Rock Climbing Log'!AK53,'RC Lookup'!$G$3:$H$5,2,FALSE)),0)*VLOOKUP(AK$7,'RC Lookup'!$D$3:$E$18,2,FALSE)</f>
        <v>0</v>
      </c>
      <c r="AL53" s="26">
        <f>_xlfn.IFNA(IF(LEFT('Rock Climbing Log'!AL53)="C",_xlfn.IFNA(VLOOKUP('Rock Climbing Log'!AL53,'RC Lookup'!$A$3:$B$9,2,FALSE),0.5),VLOOKUP('Rock Climbing Log'!AL53,'RC Lookup'!$G$3:$H$5,2,FALSE)),0)*VLOOKUP(AK$7,'RC Lookup'!$D$3:$E$18,2,FALSE)</f>
        <v>0</v>
      </c>
      <c r="AM53" s="26">
        <f>_xlfn.IFNA(IF(LEFT('Rock Climbing Log'!AM53)="C",_xlfn.IFNA(VLOOKUP('Rock Climbing Log'!AM53,'RC Lookup'!$A$3:$B$9,2,FALSE),0.5),VLOOKUP('Rock Climbing Log'!AM53,'RC Lookup'!$G$3:$H$5,2,FALSE)),0)*VLOOKUP(AK$7,'RC Lookup'!$D$3:$E$18,2,FALSE)</f>
        <v>0</v>
      </c>
      <c r="AN53" s="26">
        <f>_xlfn.IFNA(IF(LEFT('Rock Climbing Log'!AN53)="C",_xlfn.IFNA(VLOOKUP('Rock Climbing Log'!AN53,'RC Lookup'!$A$3:$B$9,2,FALSE),0.5),VLOOKUP('Rock Climbing Log'!AN53,'RC Lookup'!$G$3:$H$5,2,FALSE)),0)*VLOOKUP(AN$7,'RC Lookup'!$D$3:$E$18,2,FALSE)</f>
        <v>0</v>
      </c>
      <c r="AO53" s="26">
        <f>_xlfn.IFNA(IF(LEFT('Rock Climbing Log'!AO53)="C",_xlfn.IFNA(VLOOKUP('Rock Climbing Log'!AO53,'RC Lookup'!$A$3:$B$9,2,FALSE),0.5),VLOOKUP('Rock Climbing Log'!AO53,'RC Lookup'!$G$3:$H$5,2,FALSE)),0)*VLOOKUP(AN$7,'RC Lookup'!$D$3:$E$18,2,FALSE)</f>
        <v>0</v>
      </c>
      <c r="AP53" s="26">
        <f>_xlfn.IFNA(IF(LEFT('Rock Climbing Log'!AP53)="C",_xlfn.IFNA(VLOOKUP('Rock Climbing Log'!AP53,'RC Lookup'!$A$3:$B$9,2,FALSE),0.5),VLOOKUP('Rock Climbing Log'!AP53,'RC Lookup'!$G$3:$H$5,2,FALSE)),0)*VLOOKUP(AN$7,'RC Lookup'!$D$3:$E$18,2,FALSE)</f>
        <v>0</v>
      </c>
      <c r="AQ53" s="26">
        <f>_xlfn.IFNA(IF(LEFT('Rock Climbing Log'!AQ53)="C",_xlfn.IFNA(VLOOKUP('Rock Climbing Log'!AQ53,'RC Lookup'!$A$3:$B$9,2,FALSE),0.5),VLOOKUP('Rock Climbing Log'!AQ53,'RC Lookup'!$G$3:$H$5,2,FALSE)),0)*VLOOKUP(AQ$7,'RC Lookup'!$D$3:$E$18,2,FALSE)</f>
        <v>0</v>
      </c>
      <c r="AR53" s="26">
        <f>_xlfn.IFNA(IF(LEFT('Rock Climbing Log'!AR53)="C",_xlfn.IFNA(VLOOKUP('Rock Climbing Log'!AR53,'RC Lookup'!$A$3:$B$9,2,FALSE),0.5),VLOOKUP('Rock Climbing Log'!AR53,'RC Lookup'!$G$3:$H$5,2,FALSE)),0)*VLOOKUP(AQ$7,'RC Lookup'!$D$3:$E$18,2,FALSE)</f>
        <v>0</v>
      </c>
      <c r="AS53" s="26">
        <f>_xlfn.IFNA(IF(LEFT('Rock Climbing Log'!AS53)="C",_xlfn.IFNA(VLOOKUP('Rock Climbing Log'!AS53,'RC Lookup'!$A$3:$B$9,2,FALSE),0.5),VLOOKUP('Rock Climbing Log'!AS53,'RC Lookup'!$G$3:$H$5,2,FALSE)),0)*VLOOKUP(AQ$7,'RC Lookup'!$D$3:$E$18,2,FALSE)</f>
        <v>0</v>
      </c>
      <c r="AT53" s="26">
        <f>_xlfn.IFNA(IF(LEFT('Rock Climbing Log'!AT53)="C",_xlfn.IFNA(VLOOKUP('Rock Climbing Log'!AT53,'RC Lookup'!$A$3:$B$9,2,FALSE),0.5),VLOOKUP('Rock Climbing Log'!AT53,'RC Lookup'!$G$3:$H$5,2,FALSE)),0)*VLOOKUP(AT$7,'RC Lookup'!$D$3:$E$18,2,FALSE)</f>
        <v>0</v>
      </c>
      <c r="AU53" s="26">
        <f>_xlfn.IFNA(IF(LEFT('Rock Climbing Log'!AU53)="C",_xlfn.IFNA(VLOOKUP('Rock Climbing Log'!AU53,'RC Lookup'!$A$3:$B$9,2,FALSE),0.5),VLOOKUP('Rock Climbing Log'!AU53,'RC Lookup'!$G$3:$H$5,2,FALSE)),0)*VLOOKUP(AT$7,'RC Lookup'!$D$3:$E$18,2,FALSE)</f>
        <v>0</v>
      </c>
      <c r="AV53" s="26">
        <f>_xlfn.IFNA(IF(LEFT('Rock Climbing Log'!AV53)="C",_xlfn.IFNA(VLOOKUP('Rock Climbing Log'!AV53,'RC Lookup'!$A$3:$B$9,2,FALSE),0.5),VLOOKUP('Rock Climbing Log'!AV53,'RC Lookup'!$G$3:$H$5,2,FALSE)),0)*VLOOKUP(AT$7,'RC Lookup'!$D$3:$E$18,2,FALSE)</f>
        <v>0</v>
      </c>
      <c r="AW53" s="30">
        <f t="shared" ca="1" si="2"/>
        <v>118.19048824116825</v>
      </c>
      <c r="AX53" s="30">
        <f ca="1">_xlfn.IFNA(VLOOKUP(SUMPRODUCT(LARGE(($C$8:$C53=Table1[[#This Row],[Climber]])*$A$8:$A53,1)),$A$8:$AW53,MATCH($AW$7,$A$7:$AW$7,FALSE),FALSE),0)/LEFT($AX$7,FIND(" ",$AX$7))+_xlfn.IFNA(VLOOKUP(SUMPRODUCT(LARGE(($C$8:$C53=Table1[[#This Row],[Climber]])*$A$8:$A53,MIN(2,COUNTIFS($C$8:$C53,$C53)))),$A$8:$AW53,MATCH($AW$7,$A$7:$AW$7,FALSE),FALSE),0)/LEFT($AX$7,FIND(" ",$AX$7))+_xlfn.IFNA(VLOOKUP(SUMPRODUCT(LARGE(($C$8:$C53=Table1[[#This Row],[Climber]])*$A$8:$A53,MIN(3,COUNTIFS($C$8:$C53,$C53)))),$A$8:$AW53,MATCH($AW$7,$A$7:$AW$7,FALSE),FALSE),0)/LEFT($AX$7,FIND(" ",$AX$7))</f>
        <v>128.73085308774631</v>
      </c>
      <c r="AY53" s="30">
        <f ca="1">_xlfn.IFNA(VLOOKUP(SUMPRODUCT(LARGE(($C$8:$C53=Table1[[#This Row],[Climber]])*$A$8:$A53,1)),$A$8:$AW53,MATCH($AW$7,$A$7:$AW$7,FALSE),FALSE),0)/LEFT($AY$7,FIND(" ",$AY$7))+_xlfn.IFNA(VLOOKUP(SUMPRODUCT(LARGE(($C$8:$C53=Table1[[#This Row],[Climber]])*$A$8:$A53,MIN(2,COUNTIFS($C$8:$C53,$C53)))),$A$8:$AW53,MATCH($AW$7,$A$7:$AW$7,FALSE),FALSE),0)/LEFT($AY$7,FIND(" ",$AY$7))+_xlfn.IFNA(VLOOKUP(SUMPRODUCT(LARGE(($C$8:$C53=Table1[[#This Row],[Climber]])*$A$8:$A53,MIN(3,COUNTIFS($C$8:$C53,$C53)))),$A$8:$AW53,MATCH($AW$7,$A$7:$AW$7,FALSE),FALSE),0)/LEFT($AY$7,FIND(" ",$AY$7))+_xlfn.IFNA(VLOOKUP(SUMPRODUCT(LARGE(($C$8:$C53=Table1[[#This Row],[Climber]])*$A$8:$A53,MIN(4,COUNTIFS($C$8:$C53,$C53)))),$A$8:$AW53,MATCH($AW$7,$A$7:$AW$7,FALSE),FALSE),0)/LEFT($AY$7,FIND(" ",$AY$7))+_xlfn.IFNA(VLOOKUP(SUMPRODUCT(LARGE(($C$8:$C53=Table1[[#This Row],[Climber]])*$A$8:$A53,MIN(5,COUNTIFS($C$8:$C53,$C53)))),$A$8:$AW53,MATCH($AW$7,$A$7:$AW$7,FALSE),FALSE),0)/LEFT($AY$7,FIND(" ",$AY$7))</f>
        <v>115.55965244167916</v>
      </c>
      <c r="AZ53" s="30">
        <f ca="1">(_xlfn.IFNA(VLOOKUP(SUMPRODUCT(LARGE(($C$8:$C53=Table1[[#This Row],[Climber]])*$A$8:$A53,4)),$A$8:$AW53,MATCH($AW$7,$A$7:$AW$7,FALSE),FALSE),0)+_xlfn.IFNA(VLOOKUP(SUMPRODUCT(LARGE(($C$8:$C53=Table1[[#This Row],[Climber]])*$A$8:$A53,5)),$A$8:$AW53,MATCH($AW$7,$A$7:$AW$7,FALSE),FALSE),0)+_xlfn.IFNA(VLOOKUP(SUMPRODUCT(LARGE(($C$8:$C53=Table1[[#This Row],[Climber]])*$A$8:$A53,6)),$A$8:$AW53,MATCH($AW$7,$A$7:$AW$7,FALSE),FALSE),0))/3</f>
        <v>98.284700095576696</v>
      </c>
      <c r="BA53" s="46">
        <f ca="1">_xlfn.MAXIFS(INDIRECT("$AW"&amp;IF(SUMPRODUCT(LARGE(($C$8:$C53=$C53)*$A$8:$A53,LEFT($BA$7,FIND(" ",$BA$7)-1)))=0,8,SUMPRODUCT(LARGE(($C$8:$C53=$C53)*$A$8:$A53,LEFT($BA$7,FIND(" ",$BA$7)-1)))+7)&amp;":$AW"&amp;ROW()),INDIRECT("$C"&amp;IF(SUMPRODUCT(LARGE(($C$8:$C53=$C53)*$A$8:$A53,LEFT($BA$7,FIND(" ",$BA$7)-1)))=0,8,SUMPRODUCT(LARGE(($C$8:$C53=$C53)*$A$8:$A53,LEFT($BA$7,FIND(" ",$BA$7)-1)))+7)&amp;":$C"&amp;ROW()),$C53)</f>
        <v>138.38116333173295</v>
      </c>
      <c r="BB53" s="46" t="str">
        <f ca="1">VLOOKUP(MAX(BG53,$AX53),'RC Lookup'!$G$14:$J$20,2,TRUE)</f>
        <v>T3</v>
      </c>
      <c r="BC53" s="46">
        <f ca="1">_xlfn.IFNA(VLOOKUP(VLOOKUP($C53,'RC Lookup'!$O$3:$P$50,2,FALSE),'RC Lookup'!$H$14:$J$23,2,FALSE),0)*AW53</f>
        <v>58.049478259070689</v>
      </c>
      <c r="BD53" s="6">
        <f ca="1">_xlfn.IFNA(VLOOKUP(SUMPRODUCT(LARGE(($C$8:$C53=Table1[[#This Row],[Climber]])*$A$8:$A53,1)),$A$8:$BC53,55,FALSE),0)/LEFT($AX$7,FIND(" ",$AX$7))+_xlfn.IFNA(VLOOKUP(SUMPRODUCT(LARGE(($C$8:$C53=Table1[[#This Row],[Climber]])*$A$8:$A53,MIN(2,COUNTIFS($C$8:$C53,$C53)))),$A$8:$BC53,55,FALSE),0)/LEFT($AX$7,FIND(" ",$AX$7))+_xlfn.IFNA(VLOOKUP(SUMPRODUCT(LARGE(($C$8:$C53=Table1[[#This Row],[Climber]])*$A$8:$A53,MIN(3,COUNTIFS($C$8:$C53,$C53)))),$A$8:$BC53,55,FALSE),0)/LEFT($AX$7,FIND(" ",$AX$7))</f>
        <v>63.226398069703819</v>
      </c>
      <c r="BE53" s="6">
        <f ca="1">(_xlfn.IFNA(VLOOKUP(SUMPRODUCT(LARGE(($C$8:$C53=Table1[[#This Row],[Climber]])*$A$8:$A53,4)),$A$8:$BD53,55,FALSE),0)+_xlfn.IFNA(VLOOKUP(SUMPRODUCT(LARGE(($C$8:$C53=Table1[[#This Row],[Climber]])*$A$8:$A53,5)),$A$8:$BD53,55,FALSE),0)+_xlfn.IFNA(VLOOKUP(SUMPRODUCT(LARGE(($C$8:$C53=Table1[[#This Row],[Climber]])*$A$8:$A53,6)),$A$8:$BD53,55,FALSE),0))/3</f>
        <v>48.27271336552581</v>
      </c>
      <c r="BF53" s="46">
        <f ca="1">_xlfn.MAXIFS(INDIRECT("$BC"&amp;IF(SUMPRODUCT(LARGE(($C$8:$C53=$C53)*$A$8:$A53,LEFT($BA$7,FIND(" ",$BA$7)-1)))=0,8,SUMPRODUCT(LARGE(($C$8:$C53=$C53)*$A$8:$A53,LEFT($BA$7,FIND(" ",$BA$7)-1)))+7)&amp;":$BC"&amp;ROW()),INDIRECT("$C"&amp;IF(SUMPRODUCT(LARGE(($C$8:$C53=$C53)*$A$8:$A53,LEFT($BA$7,FIND(" ",$BA$7)-1)))=0,8,SUMPRODUCT(LARGE(($C$8:$C53=$C53)*$A$8:$A53,LEFT($BA$7,FIND(" ",$BA$7)-1)))+7)&amp;":$C"&amp;ROW()),$C53)</f>
        <v>67.966165905830437</v>
      </c>
      <c r="BG53" s="46">
        <f t="array" aca="1" ref="BG53" ca="1">IFERROR(SUMPRODUCT(LARGE(($C$8:$C53=Table1[[#This Row],[Climber]])*$AW$8:$AW53,ROW(INDIRECT("1:5")))),AW53)/MIN(COUNTIFS($C$8:$C53,C53),5)</f>
        <v>122.79784373367609</v>
      </c>
      <c r="BH53" s="46"/>
    </row>
    <row r="54" spans="1:60" x14ac:dyDescent="0.3">
      <c r="A54" s="125">
        <f t="shared" si="1"/>
        <v>47</v>
      </c>
      <c r="B54" s="25">
        <f>'Rock Climbing Log'!B54</f>
        <v>43149</v>
      </c>
      <c r="C54" s="126" t="str">
        <f>'Rock Climbing Log'!C54</f>
        <v>Michelle</v>
      </c>
      <c r="D54" s="26">
        <f>_xlfn.IFNA(IF(LEFT('Rock Climbing Log'!D54)="C",_xlfn.IFNA(VLOOKUP('Rock Climbing Log'!D54,'RC Lookup'!$A$3:$B$9,2,FALSE),0.5),VLOOKUP('Rock Climbing Log'!D54,'RC Lookup'!$G$3:$H$5,2,FALSE)),0)*VLOOKUP(D$7,'RC Lookup'!$D$3:$E$18,2,FALSE)</f>
        <v>0</v>
      </c>
      <c r="E54" s="26">
        <f>_xlfn.IFNA(IF(LEFT('Rock Climbing Log'!E54)="C",_xlfn.IFNA(VLOOKUP('Rock Climbing Log'!E54,'RC Lookup'!$A$3:$B$9,2,FALSE),0.5),VLOOKUP('Rock Climbing Log'!E54,'RC Lookup'!$G$3:$H$5,2,FALSE)),0)*VLOOKUP(D$7,'RC Lookup'!$D$3:$E$18,2,FALSE)</f>
        <v>0</v>
      </c>
      <c r="F54" s="26">
        <f>_xlfn.IFNA(IF(LEFT('Rock Climbing Log'!F54)="C",_xlfn.IFNA(VLOOKUP('Rock Climbing Log'!F54,'RC Lookup'!$A$3:$B$9,2,FALSE),0.5),VLOOKUP('Rock Climbing Log'!F54,'RC Lookup'!$G$3:$H$5,2,FALSE)),0)*VLOOKUP(D$7,'RC Lookup'!$D$3:$E$18,2,FALSE)</f>
        <v>0</v>
      </c>
      <c r="G54" s="26">
        <f>_xlfn.IFNA(IF(LEFT('Rock Climbing Log'!G54)="C",_xlfn.IFNA(VLOOKUP('Rock Climbing Log'!G54,'RC Lookup'!$A$3:$B$9,2,FALSE),0.5),VLOOKUP('Rock Climbing Log'!G54,'RC Lookup'!$G$3:$H$5,2,FALSE)),0)*VLOOKUP(G$7,'RC Lookup'!$D$3:$E$18,2,FALSE)</f>
        <v>0</v>
      </c>
      <c r="H54" s="26">
        <f>_xlfn.IFNA(IF(LEFT('Rock Climbing Log'!H54)="C",_xlfn.IFNA(VLOOKUP('Rock Climbing Log'!H54,'RC Lookup'!$A$3:$B$9,2,FALSE),0.5),VLOOKUP('Rock Climbing Log'!H54,'RC Lookup'!$G$3:$H$5,2,FALSE)),0)*VLOOKUP(G$7,'RC Lookup'!$D$3:$E$18,2,FALSE)</f>
        <v>0</v>
      </c>
      <c r="I54" s="26">
        <f>_xlfn.IFNA(IF(LEFT('Rock Climbing Log'!I54)="C",_xlfn.IFNA(VLOOKUP('Rock Climbing Log'!I54,'RC Lookup'!$A$3:$B$9,2,FALSE),0.5),VLOOKUP('Rock Climbing Log'!I54,'RC Lookup'!$G$3:$H$5,2,FALSE)),0)*VLOOKUP(G$7,'RC Lookup'!$D$3:$E$18,2,FALSE)</f>
        <v>0</v>
      </c>
      <c r="J54" s="26">
        <f>_xlfn.IFNA(IF(LEFT('Rock Climbing Log'!J54)="C",_xlfn.IFNA(VLOOKUP('Rock Climbing Log'!J54,'RC Lookup'!$A$3:$B$9,2,FALSE),0.5),VLOOKUP('Rock Climbing Log'!J54,'RC Lookup'!$G$3:$H$5,2,FALSE)),0)*VLOOKUP(J$7,'RC Lookup'!$D$3:$E$18,2,FALSE)</f>
        <v>15.75</v>
      </c>
      <c r="K54" s="26">
        <f>_xlfn.IFNA(IF(LEFT('Rock Climbing Log'!K54)="C",_xlfn.IFNA(VLOOKUP('Rock Climbing Log'!K54,'RC Lookup'!$A$3:$B$9,2,FALSE),0.5),VLOOKUP('Rock Climbing Log'!K54,'RC Lookup'!$G$3:$H$5,2,FALSE)),0)*VLOOKUP(J$7,'RC Lookup'!$D$3:$E$18,2,FALSE)</f>
        <v>15.75</v>
      </c>
      <c r="L54" s="26">
        <f>_xlfn.IFNA(IF(LEFT('Rock Climbing Log'!L54)="C",_xlfn.IFNA(VLOOKUP('Rock Climbing Log'!L54,'RC Lookup'!$A$3:$B$9,2,FALSE),0.5),VLOOKUP('Rock Climbing Log'!L54,'RC Lookup'!$G$3:$H$5,2,FALSE)),0)*VLOOKUP(J$7,'RC Lookup'!$D$3:$E$18,2,FALSE)</f>
        <v>0</v>
      </c>
      <c r="M54" s="26">
        <f>_xlfn.IFNA(IF(LEFT('Rock Climbing Log'!M54)="C",_xlfn.IFNA(VLOOKUP('Rock Climbing Log'!M54,'RC Lookup'!$A$3:$B$9,2,FALSE),0.5),VLOOKUP('Rock Climbing Log'!M54,'RC Lookup'!$G$3:$H$5,2,FALSE)),0)*VLOOKUP(M$7,'RC Lookup'!$D$3:$E$18,2,FALSE)</f>
        <v>20.002500000000001</v>
      </c>
      <c r="N54" s="26">
        <f>_xlfn.IFNA(IF(LEFT('Rock Climbing Log'!N54)="C",_xlfn.IFNA(VLOOKUP('Rock Climbing Log'!N54,'RC Lookup'!$A$3:$B$9,2,FALSE),0.5),VLOOKUP('Rock Climbing Log'!N54,'RC Lookup'!$G$3:$H$5,2,FALSE)),0)*VLOOKUP(M$7,'RC Lookup'!$D$3:$E$18,2,FALSE)</f>
        <v>0</v>
      </c>
      <c r="O54" s="26">
        <f>_xlfn.IFNA(IF(LEFT('Rock Climbing Log'!O54)="C",_xlfn.IFNA(VLOOKUP('Rock Climbing Log'!O54,'RC Lookup'!$A$3:$B$9,2,FALSE),0.5),VLOOKUP('Rock Climbing Log'!O54,'RC Lookup'!$G$3:$H$5,2,FALSE)),0)*VLOOKUP(M$7,'RC Lookup'!$D$3:$E$18,2,FALSE)</f>
        <v>0</v>
      </c>
      <c r="P54" s="26">
        <f>_xlfn.IFNA(IF(LEFT('Rock Climbing Log'!P54)="C",_xlfn.IFNA(VLOOKUP('Rock Climbing Log'!P54,'RC Lookup'!$A$3:$B$9,2,FALSE),0.5),VLOOKUP('Rock Climbing Log'!P54,'RC Lookup'!$G$3:$H$5,2,FALSE)),0)*VLOOKUP(P$7,'RC Lookup'!$D$3:$E$18,2,FALSE)</f>
        <v>0</v>
      </c>
      <c r="Q54" s="26">
        <f>_xlfn.IFNA(IF(LEFT('Rock Climbing Log'!Q54)="C",_xlfn.IFNA(VLOOKUP('Rock Climbing Log'!Q54,'RC Lookup'!$A$3:$B$9,2,FALSE),0.5),VLOOKUP('Rock Climbing Log'!Q54,'RC Lookup'!$G$3:$H$5,2,FALSE)),0)*VLOOKUP(P$7,'RC Lookup'!$D$3:$E$18,2,FALSE)</f>
        <v>0</v>
      </c>
      <c r="R54" s="26">
        <f>_xlfn.IFNA(IF(LEFT('Rock Climbing Log'!R54)="C",_xlfn.IFNA(VLOOKUP('Rock Climbing Log'!R54,'RC Lookup'!$A$3:$B$9,2,FALSE),0.5),VLOOKUP('Rock Climbing Log'!R54,'RC Lookup'!$G$3:$H$5,2,FALSE)),0)*VLOOKUP(P$7,'RC Lookup'!$D$3:$E$18,2,FALSE)</f>
        <v>0</v>
      </c>
      <c r="S54" s="26">
        <f>_xlfn.IFNA(IF(LEFT('Rock Climbing Log'!S54)="C",_xlfn.IFNA(VLOOKUP('Rock Climbing Log'!S54,'RC Lookup'!$A$3:$B$9,2,FALSE),0.5),VLOOKUP('Rock Climbing Log'!S54,'RC Lookup'!$G$3:$H$5,2,FALSE)),0)*VLOOKUP(S$7,'RC Lookup'!$D$3:$E$18,2,FALSE)</f>
        <v>0</v>
      </c>
      <c r="T54" s="26">
        <f>_xlfn.IFNA(IF(LEFT('Rock Climbing Log'!T54)="C",_xlfn.IFNA(VLOOKUP('Rock Climbing Log'!T54,'RC Lookup'!$A$3:$B$9,2,FALSE),0.5),VLOOKUP('Rock Climbing Log'!T54,'RC Lookup'!$G$3:$H$5,2,FALSE)),0)*VLOOKUP(S$7,'RC Lookup'!$D$3:$E$18,2,FALSE)</f>
        <v>0</v>
      </c>
      <c r="U54" s="26">
        <f>_xlfn.IFNA(IF(LEFT('Rock Climbing Log'!U54)="C",_xlfn.IFNA(VLOOKUP('Rock Climbing Log'!U54,'RC Lookup'!$A$3:$B$9,2,FALSE),0.5),VLOOKUP('Rock Climbing Log'!U54,'RC Lookup'!$G$3:$H$5,2,FALSE)),0)*VLOOKUP(S$7,'RC Lookup'!$D$3:$E$18,2,FALSE)</f>
        <v>0</v>
      </c>
      <c r="V54" s="26">
        <f>_xlfn.IFNA(IF(LEFT('Rock Climbing Log'!V54)="C",_xlfn.IFNA(VLOOKUP('Rock Climbing Log'!V54,'RC Lookup'!$A$3:$B$9,2,FALSE),0.5),VLOOKUP('Rock Climbing Log'!V54,'RC Lookup'!$G$3:$H$5,2,FALSE)),0)*VLOOKUP(V$7,'RC Lookup'!$D$3:$E$18,2,FALSE)</f>
        <v>17.628372871200011</v>
      </c>
      <c r="W54" s="26">
        <f>_xlfn.IFNA(IF(LEFT('Rock Climbing Log'!W54)="C",_xlfn.IFNA(VLOOKUP('Rock Climbing Log'!W54,'RC Lookup'!$A$3:$B$9,2,FALSE),0.5),VLOOKUP('Rock Climbing Log'!W54,'RC Lookup'!$G$3:$H$5,2,FALSE)),0)*VLOOKUP(V$7,'RC Lookup'!$D$3:$E$18,2,FALSE)</f>
        <v>0</v>
      </c>
      <c r="X54" s="26">
        <f>_xlfn.IFNA(IF(LEFT('Rock Climbing Log'!X54)="C",_xlfn.IFNA(VLOOKUP('Rock Climbing Log'!X54,'RC Lookup'!$A$3:$B$9,2,FALSE),0.5),VLOOKUP('Rock Climbing Log'!X54,'RC Lookup'!$G$3:$H$5,2,FALSE)),0)*VLOOKUP(V$7,'RC Lookup'!$D$3:$E$18,2,FALSE)</f>
        <v>0</v>
      </c>
      <c r="Y54" s="26">
        <f>_xlfn.IFNA(IF(LEFT('Rock Climbing Log'!Y54)="C",_xlfn.IFNA(VLOOKUP('Rock Climbing Log'!Y54,'RC Lookup'!$A$3:$B$9,2,FALSE),0.5),VLOOKUP('Rock Climbing Log'!Y54,'RC Lookup'!$G$3:$H$5,2,FALSE)),0)*VLOOKUP(Y$7,'RC Lookup'!$D$3:$E$18,2,FALSE)</f>
        <v>0</v>
      </c>
      <c r="Z54" s="26">
        <f>_xlfn.IFNA(IF(LEFT('Rock Climbing Log'!Z54)="C",_xlfn.IFNA(VLOOKUP('Rock Climbing Log'!Z54,'RC Lookup'!$A$3:$B$9,2,FALSE),0.5),VLOOKUP('Rock Climbing Log'!Z54,'RC Lookup'!$G$3:$H$5,2,FALSE)),0)*VLOOKUP(Y$7,'RC Lookup'!$D$3:$E$18,2,FALSE)</f>
        <v>0</v>
      </c>
      <c r="AA54" s="26">
        <f>_xlfn.IFNA(IF(LEFT('Rock Climbing Log'!AA54)="C",_xlfn.IFNA(VLOOKUP('Rock Climbing Log'!AA54,'RC Lookup'!$A$3:$B$9,2,FALSE),0.5),VLOOKUP('Rock Climbing Log'!AA54,'RC Lookup'!$G$3:$H$5,2,FALSE)),0)*VLOOKUP(Y$7,'RC Lookup'!$D$3:$E$18,2,FALSE)</f>
        <v>0</v>
      </c>
      <c r="AB54" s="26">
        <f>_xlfn.IFNA(IF(LEFT('Rock Climbing Log'!AB54)="C",_xlfn.IFNA(VLOOKUP('Rock Climbing Log'!AB54,'RC Lookup'!$A$3:$B$9,2,FALSE),0.5),VLOOKUP('Rock Climbing Log'!AB54,'RC Lookup'!$G$3:$H$5,2,FALSE)),0)*VLOOKUP(AB$7,'RC Lookup'!$D$3:$E$18,2,FALSE)</f>
        <v>0</v>
      </c>
      <c r="AC54" s="26">
        <f>_xlfn.IFNA(IF(LEFT('Rock Climbing Log'!AC54)="C",_xlfn.IFNA(VLOOKUP('Rock Climbing Log'!AC54,'RC Lookup'!$A$3:$B$9,2,FALSE),0.5),VLOOKUP('Rock Climbing Log'!AC54,'RC Lookup'!$G$3:$H$5,2,FALSE)),0)*VLOOKUP(AB$7,'RC Lookup'!$D$3:$E$18,2,FALSE)</f>
        <v>0</v>
      </c>
      <c r="AD54" s="26">
        <f>_xlfn.IFNA(IF(LEFT('Rock Climbing Log'!AD54)="C",_xlfn.IFNA(VLOOKUP('Rock Climbing Log'!AD54,'RC Lookup'!$A$3:$B$9,2,FALSE),0.5),VLOOKUP('Rock Climbing Log'!AD54,'RC Lookup'!$G$3:$H$5,2,FALSE)),0)*VLOOKUP(AB$7,'RC Lookup'!$D$3:$E$18,2,FALSE)</f>
        <v>0</v>
      </c>
      <c r="AE54" s="26">
        <f>_xlfn.IFNA(IF(LEFT('Rock Climbing Log'!AE54)="C",_xlfn.IFNA(VLOOKUP('Rock Climbing Log'!AE54,'RC Lookup'!$A$3:$B$9,2,FALSE),0.5),VLOOKUP('Rock Climbing Log'!AE54,'RC Lookup'!$G$3:$H$5,2,FALSE)),0)*VLOOKUP(AE$7,'RC Lookup'!$D$3:$E$18,2,FALSE)</f>
        <v>0</v>
      </c>
      <c r="AF54" s="26">
        <f>_xlfn.IFNA(IF(LEFT('Rock Climbing Log'!AF54)="C",_xlfn.IFNA(VLOOKUP('Rock Climbing Log'!AF54,'RC Lookup'!$A$3:$B$9,2,FALSE),0.5),VLOOKUP('Rock Climbing Log'!AF54,'RC Lookup'!$G$3:$H$5,2,FALSE)),0)*VLOOKUP(AE$7,'RC Lookup'!$D$3:$E$18,2,FALSE)</f>
        <v>0</v>
      </c>
      <c r="AG54" s="26">
        <f>_xlfn.IFNA(IF(LEFT('Rock Climbing Log'!AG54)="C",_xlfn.IFNA(VLOOKUP('Rock Climbing Log'!AG54,'RC Lookup'!$A$3:$B$9,2,FALSE),0.5),VLOOKUP('Rock Climbing Log'!AG54,'RC Lookup'!$G$3:$H$5,2,FALSE)),0)*VLOOKUP(AE$7,'RC Lookup'!$D$3:$E$18,2,FALSE)</f>
        <v>0</v>
      </c>
      <c r="AH54" s="26">
        <f>_xlfn.IFNA(IF(LEFT('Rock Climbing Log'!AH54)="C",_xlfn.IFNA(VLOOKUP('Rock Climbing Log'!AH54,'RC Lookup'!$A$3:$B$9,2,FALSE),0.5),VLOOKUP('Rock Climbing Log'!AH54,'RC Lookup'!$G$3:$H$5,2,FALSE)),0)*VLOOKUP(AH$7,'RC Lookup'!$D$3:$E$18,2,FALSE)</f>
        <v>0</v>
      </c>
      <c r="AI54" s="26">
        <f>_xlfn.IFNA(IF(LEFT('Rock Climbing Log'!AI54)="C",_xlfn.IFNA(VLOOKUP('Rock Climbing Log'!AI54,'RC Lookup'!$A$3:$B$9,2,FALSE),0.5),VLOOKUP('Rock Climbing Log'!AI54,'RC Lookup'!$G$3:$H$5,2,FALSE)),0)*VLOOKUP(AH$7,'RC Lookup'!$D$3:$E$18,2,FALSE)</f>
        <v>0</v>
      </c>
      <c r="AJ54" s="26">
        <f>_xlfn.IFNA(IF(LEFT('Rock Climbing Log'!AJ54)="C",_xlfn.IFNA(VLOOKUP('Rock Climbing Log'!AJ54,'RC Lookup'!$A$3:$B$9,2,FALSE),0.5),VLOOKUP('Rock Climbing Log'!AJ54,'RC Lookup'!$G$3:$H$5,2,FALSE)),0)*VLOOKUP(AH$7,'RC Lookup'!$D$3:$E$18,2,FALSE)</f>
        <v>0</v>
      </c>
      <c r="AK54" s="26">
        <f>_xlfn.IFNA(IF(LEFT('Rock Climbing Log'!AK54)="C",_xlfn.IFNA(VLOOKUP('Rock Climbing Log'!AK54,'RC Lookup'!$A$3:$B$9,2,FALSE),0.5),VLOOKUP('Rock Climbing Log'!AK54,'RC Lookup'!$G$3:$H$5,2,FALSE)),0)*VLOOKUP(AK$7,'RC Lookup'!$D$3:$E$18,2,FALSE)</f>
        <v>0</v>
      </c>
      <c r="AL54" s="26">
        <f>_xlfn.IFNA(IF(LEFT('Rock Climbing Log'!AL54)="C",_xlfn.IFNA(VLOOKUP('Rock Climbing Log'!AL54,'RC Lookup'!$A$3:$B$9,2,FALSE),0.5),VLOOKUP('Rock Climbing Log'!AL54,'RC Lookup'!$G$3:$H$5,2,FALSE)),0)*VLOOKUP(AK$7,'RC Lookup'!$D$3:$E$18,2,FALSE)</f>
        <v>0</v>
      </c>
      <c r="AM54" s="26">
        <f>_xlfn.IFNA(IF(LEFT('Rock Climbing Log'!AM54)="C",_xlfn.IFNA(VLOOKUP('Rock Climbing Log'!AM54,'RC Lookup'!$A$3:$B$9,2,FALSE),0.5),VLOOKUP('Rock Climbing Log'!AM54,'RC Lookup'!$G$3:$H$5,2,FALSE)),0)*VLOOKUP(AK$7,'RC Lookup'!$D$3:$E$18,2,FALSE)</f>
        <v>0</v>
      </c>
      <c r="AN54" s="26">
        <f>_xlfn.IFNA(IF(LEFT('Rock Climbing Log'!AN54)="C",_xlfn.IFNA(VLOOKUP('Rock Climbing Log'!AN54,'RC Lookup'!$A$3:$B$9,2,FALSE),0.5),VLOOKUP('Rock Climbing Log'!AN54,'RC Lookup'!$G$3:$H$5,2,FALSE)),0)*VLOOKUP(AN$7,'RC Lookup'!$D$3:$E$18,2,FALSE)</f>
        <v>0</v>
      </c>
      <c r="AO54" s="26">
        <f>_xlfn.IFNA(IF(LEFT('Rock Climbing Log'!AO54)="C",_xlfn.IFNA(VLOOKUP('Rock Climbing Log'!AO54,'RC Lookup'!$A$3:$B$9,2,FALSE),0.5),VLOOKUP('Rock Climbing Log'!AO54,'RC Lookup'!$G$3:$H$5,2,FALSE)),0)*VLOOKUP(AN$7,'RC Lookup'!$D$3:$E$18,2,FALSE)</f>
        <v>0</v>
      </c>
      <c r="AP54" s="26">
        <f>_xlfn.IFNA(IF(LEFT('Rock Climbing Log'!AP54)="C",_xlfn.IFNA(VLOOKUP('Rock Climbing Log'!AP54,'RC Lookup'!$A$3:$B$9,2,FALSE),0.5),VLOOKUP('Rock Climbing Log'!AP54,'RC Lookup'!$G$3:$H$5,2,FALSE)),0)*VLOOKUP(AN$7,'RC Lookup'!$D$3:$E$18,2,FALSE)</f>
        <v>0</v>
      </c>
      <c r="AQ54" s="26">
        <f>_xlfn.IFNA(IF(LEFT('Rock Climbing Log'!AQ54)="C",_xlfn.IFNA(VLOOKUP('Rock Climbing Log'!AQ54,'RC Lookup'!$A$3:$B$9,2,FALSE),0.5),VLOOKUP('Rock Climbing Log'!AQ54,'RC Lookup'!$G$3:$H$5,2,FALSE)),0)*VLOOKUP(AQ$7,'RC Lookup'!$D$3:$E$18,2,FALSE)</f>
        <v>0</v>
      </c>
      <c r="AR54" s="26">
        <f>_xlfn.IFNA(IF(LEFT('Rock Climbing Log'!AR54)="C",_xlfn.IFNA(VLOOKUP('Rock Climbing Log'!AR54,'RC Lookup'!$A$3:$B$9,2,FALSE),0.5),VLOOKUP('Rock Climbing Log'!AR54,'RC Lookup'!$G$3:$H$5,2,FALSE)),0)*VLOOKUP(AQ$7,'RC Lookup'!$D$3:$E$18,2,FALSE)</f>
        <v>0</v>
      </c>
      <c r="AS54" s="26">
        <f>_xlfn.IFNA(IF(LEFT('Rock Climbing Log'!AS54)="C",_xlfn.IFNA(VLOOKUP('Rock Climbing Log'!AS54,'RC Lookup'!$A$3:$B$9,2,FALSE),0.5),VLOOKUP('Rock Climbing Log'!AS54,'RC Lookup'!$G$3:$H$5,2,FALSE)),0)*VLOOKUP(AQ$7,'RC Lookup'!$D$3:$E$18,2,FALSE)</f>
        <v>0</v>
      </c>
      <c r="AT54" s="26">
        <f>_xlfn.IFNA(IF(LEFT('Rock Climbing Log'!AT54)="C",_xlfn.IFNA(VLOOKUP('Rock Climbing Log'!AT54,'RC Lookup'!$A$3:$B$9,2,FALSE),0.5),VLOOKUP('Rock Climbing Log'!AT54,'RC Lookup'!$G$3:$H$5,2,FALSE)),0)*VLOOKUP(AT$7,'RC Lookup'!$D$3:$E$18,2,FALSE)</f>
        <v>0</v>
      </c>
      <c r="AU54" s="26">
        <f>_xlfn.IFNA(IF(LEFT('Rock Climbing Log'!AU54)="C",_xlfn.IFNA(VLOOKUP('Rock Climbing Log'!AU54,'RC Lookup'!$A$3:$B$9,2,FALSE),0.5),VLOOKUP('Rock Climbing Log'!AU54,'RC Lookup'!$G$3:$H$5,2,FALSE)),0)*VLOOKUP(AT$7,'RC Lookup'!$D$3:$E$18,2,FALSE)</f>
        <v>0</v>
      </c>
      <c r="AV54" s="26">
        <f>_xlfn.IFNA(IF(LEFT('Rock Climbing Log'!AV54)="C",_xlfn.IFNA(VLOOKUP('Rock Climbing Log'!AV54,'RC Lookup'!$A$3:$B$9,2,FALSE),0.5),VLOOKUP('Rock Climbing Log'!AV54,'RC Lookup'!$G$3:$H$5,2,FALSE)),0)*VLOOKUP(AT$7,'RC Lookup'!$D$3:$E$18,2,FALSE)</f>
        <v>0</v>
      </c>
      <c r="AW54" s="30">
        <f t="shared" ca="1" si="2"/>
        <v>53.380872871200012</v>
      </c>
      <c r="AX54" s="30">
        <f ca="1">_xlfn.IFNA(VLOOKUP(SUMPRODUCT(LARGE(($C$8:$C54=Table1[[#This Row],[Climber]])*$A$8:$A54,1)),$A$8:$AW54,MATCH($AW$7,$A$7:$AW$7,FALSE),FALSE),0)/LEFT($AX$7,FIND(" ",$AX$7))+_xlfn.IFNA(VLOOKUP(SUMPRODUCT(LARGE(($C$8:$C54=Table1[[#This Row],[Climber]])*$A$8:$A54,MIN(2,COUNTIFS($C$8:$C54,$C54)))),$A$8:$AW54,MATCH($AW$7,$A$7:$AW$7,FALSE),FALSE),0)/LEFT($AX$7,FIND(" ",$AX$7))+_xlfn.IFNA(VLOOKUP(SUMPRODUCT(LARGE(($C$8:$C54=Table1[[#This Row],[Climber]])*$A$8:$A54,MIN(3,COUNTIFS($C$8:$C54,$C54)))),$A$8:$AW54,MATCH($AW$7,$A$7:$AW$7,FALSE),FALSE),0)/LEFT($AX$7,FIND(" ",$AX$7))</f>
        <v>53.881898874662888</v>
      </c>
      <c r="AY54" s="30">
        <f ca="1">_xlfn.IFNA(VLOOKUP(SUMPRODUCT(LARGE(($C$8:$C54=Table1[[#This Row],[Climber]])*$A$8:$A54,1)),$A$8:$AW54,MATCH($AW$7,$A$7:$AW$7,FALSE),FALSE),0)/LEFT($AY$7,FIND(" ",$AY$7))+_xlfn.IFNA(VLOOKUP(SUMPRODUCT(LARGE(($C$8:$C54=Table1[[#This Row],[Climber]])*$A$8:$A54,MIN(2,COUNTIFS($C$8:$C54,$C54)))),$A$8:$AW54,MATCH($AW$7,$A$7:$AW$7,FALSE),FALSE),0)/LEFT($AY$7,FIND(" ",$AY$7))+_xlfn.IFNA(VLOOKUP(SUMPRODUCT(LARGE(($C$8:$C54=Table1[[#This Row],[Climber]])*$A$8:$A54,MIN(3,COUNTIFS($C$8:$C54,$C54)))),$A$8:$AW54,MATCH($AW$7,$A$7:$AW$7,FALSE),FALSE),0)/LEFT($AY$7,FIND(" ",$AY$7))+_xlfn.IFNA(VLOOKUP(SUMPRODUCT(LARGE(($C$8:$C54=Table1[[#This Row],[Climber]])*$A$8:$A54,MIN(4,COUNTIFS($C$8:$C54,$C54)))),$A$8:$AW54,MATCH($AW$7,$A$7:$AW$7,FALSE),FALSE),0)/LEFT($AY$7,FIND(" ",$AY$7))+_xlfn.IFNA(VLOOKUP(SUMPRODUCT(LARGE(($C$8:$C54=Table1[[#This Row],[Climber]])*$A$8:$A54,MIN(5,COUNTIFS($C$8:$C54,$C54)))),$A$8:$AW54,MATCH($AW$7,$A$7:$AW$7,FALSE),FALSE),0)/LEFT($AY$7,FIND(" ",$AY$7))</f>
        <v>49.05631389903774</v>
      </c>
      <c r="AZ54" s="30">
        <f ca="1">(_xlfn.IFNA(VLOOKUP(SUMPRODUCT(LARGE(($C$8:$C54=Table1[[#This Row],[Climber]])*$A$8:$A54,4)),$A$8:$AW54,MATCH($AW$7,$A$7:$AW$7,FALSE),FALSE),0)+_xlfn.IFNA(VLOOKUP(SUMPRODUCT(LARGE(($C$8:$C54=Table1[[#This Row],[Climber]])*$A$8:$A54,5)),$A$8:$AW54,MATCH($AW$7,$A$7:$AW$7,FALSE),FALSE),0)+_xlfn.IFNA(VLOOKUP(SUMPRODUCT(LARGE(($C$8:$C54=Table1[[#This Row],[Climber]])*$A$8:$A54,6)),$A$8:$AW54,MATCH($AW$7,$A$7:$AW$7,FALSE),FALSE),0))/3</f>
        <v>27.878624290400001</v>
      </c>
      <c r="BA54" s="46">
        <f ca="1">_xlfn.MAXIFS(INDIRECT("$AW"&amp;IF(SUMPRODUCT(LARGE(($C$8:$C54=$C54)*$A$8:$A54,LEFT($BA$7,FIND(" ",$BA$7)-1)))=0,8,SUMPRODUCT(LARGE(($C$8:$C54=$C54)*$A$8:$A54,LEFT($BA$7,FIND(" ",$BA$7)-1)))+7)&amp;":$AW"&amp;ROW()),INDIRECT("$C"&amp;IF(SUMPRODUCT(LARGE(($C$8:$C54=$C54)*$A$8:$A54,LEFT($BA$7,FIND(" ",$BA$7)-1)))=0,8,SUMPRODUCT(LARGE(($C$8:$C54=$C54)*$A$8:$A54,LEFT($BA$7,FIND(" ",$BA$7)-1)))+7)&amp;":$C"&amp;ROW()),$C54)</f>
        <v>56.884200881588654</v>
      </c>
      <c r="BB54" s="46" t="str">
        <f ca="1">VLOOKUP(MAX(BG54,$AX54),'RC Lookup'!$G$14:$J$20,2,TRUE)</f>
        <v>T1</v>
      </c>
      <c r="BC54" s="46">
        <f ca="1">_xlfn.IFNA(VLOOKUP(VLOOKUP($C54,'RC Lookup'!$O$3:$P$50,2,FALSE),'RC Lookup'!$H$14:$J$23,2,FALSE),0)*AW54</f>
        <v>61.571824560601861</v>
      </c>
      <c r="BD54" s="6">
        <f ca="1">_xlfn.IFNA(VLOOKUP(SUMPRODUCT(LARGE(($C$8:$C54=Table1[[#This Row],[Climber]])*$A$8:$A54,1)),$A$8:$BC54,55,FALSE),0)/LEFT($AX$7,FIND(" ",$AX$7))+_xlfn.IFNA(VLOOKUP(SUMPRODUCT(LARGE(($C$8:$C54=Table1[[#This Row],[Climber]])*$A$8:$A54,MIN(2,COUNTIFS($C$8:$C54,$C54)))),$A$8:$BC54,55,FALSE),0)/LEFT($AX$7,FIND(" ",$AX$7))+_xlfn.IFNA(VLOOKUP(SUMPRODUCT(LARGE(($C$8:$C54=Table1[[#This Row],[Climber]])*$A$8:$A54,MIN(3,COUNTIFS($C$8:$C54,$C54)))),$A$8:$BC54,55,FALSE),0)/LEFT($AX$7,FIND(" ",$AX$7))</f>
        <v>62.149729782570603</v>
      </c>
      <c r="BE54" s="6">
        <f ca="1">(_xlfn.IFNA(VLOOKUP(SUMPRODUCT(LARGE(($C$8:$C54=Table1[[#This Row],[Climber]])*$A$8:$A54,4)),$A$8:$BD54,55,FALSE),0)+_xlfn.IFNA(VLOOKUP(SUMPRODUCT(LARGE(($C$8:$C54=Table1[[#This Row],[Climber]])*$A$8:$A54,5)),$A$8:$BD54,55,FALSE),0)+_xlfn.IFNA(VLOOKUP(SUMPRODUCT(LARGE(($C$8:$C54=Table1[[#This Row],[Climber]])*$A$8:$A54,6)),$A$8:$BD54,55,FALSE),0))/3</f>
        <v>32.15641992106778</v>
      </c>
      <c r="BF54" s="46">
        <f ca="1">_xlfn.MAXIFS(INDIRECT("$BC"&amp;IF(SUMPRODUCT(LARGE(($C$8:$C54=$C54)*$A$8:$A54,LEFT($BA$7,FIND(" ",$BA$7)-1)))=0,8,SUMPRODUCT(LARGE(($C$8:$C54=$C54)*$A$8:$A54,LEFT($BA$7,FIND(" ",$BA$7)-1)))+7)&amp;":$BC"&amp;ROW()),INDIRECT("$C"&amp;IF(SUMPRODUCT(LARGE(($C$8:$C54=$C54)*$A$8:$A54,LEFT($BA$7,FIND(" ",$BA$7)-1)))=0,8,SUMPRODUCT(LARGE(($C$8:$C54=$C54)*$A$8:$A54,LEFT($BA$7,FIND(" ",$BA$7)-1)))+7)&amp;":$C"&amp;ROW()),$C54)</f>
        <v>65.612715726888311</v>
      </c>
      <c r="BG54" s="46">
        <f t="array" aca="1" ref="BG54" ca="1">IFERROR(SUMPRODUCT(LARGE(($C$8:$C54=Table1[[#This Row],[Climber]])*$AW$8:$AW54,ROW(INDIRECT("1:5")))),AW54)/MIN(COUNTIFS($C$8:$C54,C54),5)</f>
        <v>49.056313899037733</v>
      </c>
      <c r="BH54" s="46"/>
    </row>
    <row r="55" spans="1:60" x14ac:dyDescent="0.3">
      <c r="A55" s="125">
        <f t="shared" si="1"/>
        <v>48</v>
      </c>
      <c r="B55" s="25">
        <f>'Rock Climbing Log'!B55</f>
        <v>43149</v>
      </c>
      <c r="C55" s="126" t="str">
        <f>'Rock Climbing Log'!C55</f>
        <v>Angel</v>
      </c>
      <c r="D55" s="26">
        <f>_xlfn.IFNA(IF(LEFT('Rock Climbing Log'!D55)="C",_xlfn.IFNA(VLOOKUP('Rock Climbing Log'!D55,'RC Lookup'!$A$3:$B$9,2,FALSE),0.5),VLOOKUP('Rock Climbing Log'!D55,'RC Lookup'!$G$3:$H$5,2,FALSE)),0)*VLOOKUP(D$7,'RC Lookup'!$D$3:$E$18,2,FALSE)</f>
        <v>10</v>
      </c>
      <c r="E55" s="26">
        <f>_xlfn.IFNA(IF(LEFT('Rock Climbing Log'!E55)="C",_xlfn.IFNA(VLOOKUP('Rock Climbing Log'!E55,'RC Lookup'!$A$3:$B$9,2,FALSE),0.5),VLOOKUP('Rock Climbing Log'!E55,'RC Lookup'!$G$3:$H$5,2,FALSE)),0)*VLOOKUP(D$7,'RC Lookup'!$D$3:$E$18,2,FALSE)</f>
        <v>0</v>
      </c>
      <c r="F55" s="26">
        <f>_xlfn.IFNA(IF(LEFT('Rock Climbing Log'!F55)="C",_xlfn.IFNA(VLOOKUP('Rock Climbing Log'!F55,'RC Lookup'!$A$3:$B$9,2,FALSE),0.5),VLOOKUP('Rock Climbing Log'!F55,'RC Lookup'!$G$3:$H$5,2,FALSE)),0)*VLOOKUP(D$7,'RC Lookup'!$D$3:$E$18,2,FALSE)</f>
        <v>0</v>
      </c>
      <c r="G55" s="26">
        <f>_xlfn.IFNA(IF(LEFT('Rock Climbing Log'!G55)="C",_xlfn.IFNA(VLOOKUP('Rock Climbing Log'!G55,'RC Lookup'!$A$3:$B$9,2,FALSE),0.5),VLOOKUP('Rock Climbing Log'!G55,'RC Lookup'!$G$3:$H$5,2,FALSE)),0)*VLOOKUP(G$7,'RC Lookup'!$D$3:$E$18,2,FALSE)</f>
        <v>12.5</v>
      </c>
      <c r="H55" s="26">
        <f>_xlfn.IFNA(IF(LEFT('Rock Climbing Log'!H55)="C",_xlfn.IFNA(VLOOKUP('Rock Climbing Log'!H55,'RC Lookup'!$A$3:$B$9,2,FALSE),0.5),VLOOKUP('Rock Climbing Log'!H55,'RC Lookup'!$G$3:$H$5,2,FALSE)),0)*VLOOKUP(G$7,'RC Lookup'!$D$3:$E$18,2,FALSE)</f>
        <v>0</v>
      </c>
      <c r="I55" s="26">
        <f>_xlfn.IFNA(IF(LEFT('Rock Climbing Log'!I55)="C",_xlfn.IFNA(VLOOKUP('Rock Climbing Log'!I55,'RC Lookup'!$A$3:$B$9,2,FALSE),0.5),VLOOKUP('Rock Climbing Log'!I55,'RC Lookup'!$G$3:$H$5,2,FALSE)),0)*VLOOKUP(G$7,'RC Lookup'!$D$3:$E$18,2,FALSE)</f>
        <v>0</v>
      </c>
      <c r="J55" s="26">
        <f>_xlfn.IFNA(IF(LEFT('Rock Climbing Log'!J55)="C",_xlfn.IFNA(VLOOKUP('Rock Climbing Log'!J55,'RC Lookup'!$A$3:$B$9,2,FALSE),0.5),VLOOKUP('Rock Climbing Log'!J55,'RC Lookup'!$G$3:$H$5,2,FALSE)),0)*VLOOKUP(J$7,'RC Lookup'!$D$3:$E$18,2,FALSE)</f>
        <v>15.75</v>
      </c>
      <c r="K55" s="26">
        <f>_xlfn.IFNA(IF(LEFT('Rock Climbing Log'!K55)="C",_xlfn.IFNA(VLOOKUP('Rock Climbing Log'!K55,'RC Lookup'!$A$3:$B$9,2,FALSE),0.5),VLOOKUP('Rock Climbing Log'!K55,'RC Lookup'!$G$3:$H$5,2,FALSE)),0)*VLOOKUP(J$7,'RC Lookup'!$D$3:$E$18,2,FALSE)</f>
        <v>0</v>
      </c>
      <c r="L55" s="26">
        <f>_xlfn.IFNA(IF(LEFT('Rock Climbing Log'!L55)="C",_xlfn.IFNA(VLOOKUP('Rock Climbing Log'!L55,'RC Lookup'!$A$3:$B$9,2,FALSE),0.5),VLOOKUP('Rock Climbing Log'!L55,'RC Lookup'!$G$3:$H$5,2,FALSE)),0)*VLOOKUP(J$7,'RC Lookup'!$D$3:$E$18,2,FALSE)</f>
        <v>0</v>
      </c>
      <c r="M55" s="26">
        <f>_xlfn.IFNA(IF(LEFT('Rock Climbing Log'!M55)="C",_xlfn.IFNA(VLOOKUP('Rock Climbing Log'!M55,'RC Lookup'!$A$3:$B$9,2,FALSE),0.5),VLOOKUP('Rock Climbing Log'!M55,'RC Lookup'!$G$3:$H$5,2,FALSE)),0)*VLOOKUP(M$7,'RC Lookup'!$D$3:$E$18,2,FALSE)</f>
        <v>0</v>
      </c>
      <c r="N55" s="26">
        <f>_xlfn.IFNA(IF(LEFT('Rock Climbing Log'!N55)="C",_xlfn.IFNA(VLOOKUP('Rock Climbing Log'!N55,'RC Lookup'!$A$3:$B$9,2,FALSE),0.5),VLOOKUP('Rock Climbing Log'!N55,'RC Lookup'!$G$3:$H$5,2,FALSE)),0)*VLOOKUP(M$7,'RC Lookup'!$D$3:$E$18,2,FALSE)</f>
        <v>0</v>
      </c>
      <c r="O55" s="26">
        <f>_xlfn.IFNA(IF(LEFT('Rock Climbing Log'!O55)="C",_xlfn.IFNA(VLOOKUP('Rock Climbing Log'!O55,'RC Lookup'!$A$3:$B$9,2,FALSE),0.5),VLOOKUP('Rock Climbing Log'!O55,'RC Lookup'!$G$3:$H$5,2,FALSE)),0)*VLOOKUP(M$7,'RC Lookup'!$D$3:$E$18,2,FALSE)</f>
        <v>0</v>
      </c>
      <c r="P55" s="26">
        <f>_xlfn.IFNA(IF(LEFT('Rock Climbing Log'!P55)="C",_xlfn.IFNA(VLOOKUP('Rock Climbing Log'!P55,'RC Lookup'!$A$3:$B$9,2,FALSE),0.5),VLOOKUP('Rock Climbing Log'!P55,'RC Lookup'!$G$3:$H$5,2,FALSE)),0)*VLOOKUP(P$7,'RC Lookup'!$D$3:$E$18,2,FALSE)</f>
        <v>0</v>
      </c>
      <c r="Q55" s="26">
        <f>_xlfn.IFNA(IF(LEFT('Rock Climbing Log'!Q55)="C",_xlfn.IFNA(VLOOKUP('Rock Climbing Log'!Q55,'RC Lookup'!$A$3:$B$9,2,FALSE),0.5),VLOOKUP('Rock Climbing Log'!Q55,'RC Lookup'!$G$3:$H$5,2,FALSE)),0)*VLOOKUP(P$7,'RC Lookup'!$D$3:$E$18,2,FALSE)</f>
        <v>0</v>
      </c>
      <c r="R55" s="26">
        <f>_xlfn.IFNA(IF(LEFT('Rock Climbing Log'!R55)="C",_xlfn.IFNA(VLOOKUP('Rock Climbing Log'!R55,'RC Lookup'!$A$3:$B$9,2,FALSE),0.5),VLOOKUP('Rock Climbing Log'!R55,'RC Lookup'!$G$3:$H$5,2,FALSE)),0)*VLOOKUP(P$7,'RC Lookup'!$D$3:$E$18,2,FALSE)</f>
        <v>0</v>
      </c>
      <c r="S55" s="26">
        <f>_xlfn.IFNA(IF(LEFT('Rock Climbing Log'!S55)="C",_xlfn.IFNA(VLOOKUP('Rock Climbing Log'!S55,'RC Lookup'!$A$3:$B$9,2,FALSE),0.5),VLOOKUP('Rock Climbing Log'!S55,'RC Lookup'!$G$3:$H$5,2,FALSE)),0)*VLOOKUP(S$7,'RC Lookup'!$D$3:$E$18,2,FALSE)</f>
        <v>0</v>
      </c>
      <c r="T55" s="26">
        <f>_xlfn.IFNA(IF(LEFT('Rock Climbing Log'!T55)="C",_xlfn.IFNA(VLOOKUP('Rock Climbing Log'!T55,'RC Lookup'!$A$3:$B$9,2,FALSE),0.5),VLOOKUP('Rock Climbing Log'!T55,'RC Lookup'!$G$3:$H$5,2,FALSE)),0)*VLOOKUP(S$7,'RC Lookup'!$D$3:$E$18,2,FALSE)</f>
        <v>0</v>
      </c>
      <c r="U55" s="26">
        <f>_xlfn.IFNA(IF(LEFT('Rock Climbing Log'!U55)="C",_xlfn.IFNA(VLOOKUP('Rock Climbing Log'!U55,'RC Lookup'!$A$3:$B$9,2,FALSE),0.5),VLOOKUP('Rock Climbing Log'!U55,'RC Lookup'!$G$3:$H$5,2,FALSE)),0)*VLOOKUP(S$7,'RC Lookup'!$D$3:$E$18,2,FALSE)</f>
        <v>0</v>
      </c>
      <c r="V55" s="26">
        <f>_xlfn.IFNA(IF(LEFT('Rock Climbing Log'!V55)="C",_xlfn.IFNA(VLOOKUP('Rock Climbing Log'!V55,'RC Lookup'!$A$3:$B$9,2,FALSE),0.5),VLOOKUP('Rock Climbing Log'!V55,'RC Lookup'!$G$3:$H$5,2,FALSE)),0)*VLOOKUP(V$7,'RC Lookup'!$D$3:$E$18,2,FALSE)</f>
        <v>0</v>
      </c>
      <c r="W55" s="26">
        <f>_xlfn.IFNA(IF(LEFT('Rock Climbing Log'!W55)="C",_xlfn.IFNA(VLOOKUP('Rock Climbing Log'!W55,'RC Lookup'!$A$3:$B$9,2,FALSE),0.5),VLOOKUP('Rock Climbing Log'!W55,'RC Lookup'!$G$3:$H$5,2,FALSE)),0)*VLOOKUP(V$7,'RC Lookup'!$D$3:$E$18,2,FALSE)</f>
        <v>0</v>
      </c>
      <c r="X55" s="26">
        <f>_xlfn.IFNA(IF(LEFT('Rock Climbing Log'!X55)="C",_xlfn.IFNA(VLOOKUP('Rock Climbing Log'!X55,'RC Lookup'!$A$3:$B$9,2,FALSE),0.5),VLOOKUP('Rock Climbing Log'!X55,'RC Lookup'!$G$3:$H$5,2,FALSE)),0)*VLOOKUP(V$7,'RC Lookup'!$D$3:$E$18,2,FALSE)</f>
        <v>0</v>
      </c>
      <c r="Y55" s="26">
        <f>_xlfn.IFNA(IF(LEFT('Rock Climbing Log'!Y55)="C",_xlfn.IFNA(VLOOKUP('Rock Climbing Log'!Y55,'RC Lookup'!$A$3:$B$9,2,FALSE),0.5),VLOOKUP('Rock Climbing Log'!Y55,'RC Lookup'!$G$3:$H$5,2,FALSE)),0)*VLOOKUP(Y$7,'RC Lookup'!$D$3:$E$18,2,FALSE)</f>
        <v>0</v>
      </c>
      <c r="Z55" s="26">
        <f>_xlfn.IFNA(IF(LEFT('Rock Climbing Log'!Z55)="C",_xlfn.IFNA(VLOOKUP('Rock Climbing Log'!Z55,'RC Lookup'!$A$3:$B$9,2,FALSE),0.5),VLOOKUP('Rock Climbing Log'!Z55,'RC Lookup'!$G$3:$H$5,2,FALSE)),0)*VLOOKUP(Y$7,'RC Lookup'!$D$3:$E$18,2,FALSE)</f>
        <v>0</v>
      </c>
      <c r="AA55" s="26">
        <f>_xlfn.IFNA(IF(LEFT('Rock Climbing Log'!AA55)="C",_xlfn.IFNA(VLOOKUP('Rock Climbing Log'!AA55,'RC Lookup'!$A$3:$B$9,2,FALSE),0.5),VLOOKUP('Rock Climbing Log'!AA55,'RC Lookup'!$G$3:$H$5,2,FALSE)),0)*VLOOKUP(Y$7,'RC Lookup'!$D$3:$E$18,2,FALSE)</f>
        <v>0</v>
      </c>
      <c r="AB55" s="26">
        <f>_xlfn.IFNA(IF(LEFT('Rock Climbing Log'!AB55)="C",_xlfn.IFNA(VLOOKUP('Rock Climbing Log'!AB55,'RC Lookup'!$A$3:$B$9,2,FALSE),0.5),VLOOKUP('Rock Climbing Log'!AB55,'RC Lookup'!$G$3:$H$5,2,FALSE)),0)*VLOOKUP(AB$7,'RC Lookup'!$D$3:$E$18,2,FALSE)</f>
        <v>0</v>
      </c>
      <c r="AC55" s="26">
        <f>_xlfn.IFNA(IF(LEFT('Rock Climbing Log'!AC55)="C",_xlfn.IFNA(VLOOKUP('Rock Climbing Log'!AC55,'RC Lookup'!$A$3:$B$9,2,FALSE),0.5),VLOOKUP('Rock Climbing Log'!AC55,'RC Lookup'!$G$3:$H$5,2,FALSE)),0)*VLOOKUP(AB$7,'RC Lookup'!$D$3:$E$18,2,FALSE)</f>
        <v>0</v>
      </c>
      <c r="AD55" s="26">
        <f>_xlfn.IFNA(IF(LEFT('Rock Climbing Log'!AD55)="C",_xlfn.IFNA(VLOOKUP('Rock Climbing Log'!AD55,'RC Lookup'!$A$3:$B$9,2,FALSE),0.5),VLOOKUP('Rock Climbing Log'!AD55,'RC Lookup'!$G$3:$H$5,2,FALSE)),0)*VLOOKUP(AB$7,'RC Lookup'!$D$3:$E$18,2,FALSE)</f>
        <v>0</v>
      </c>
      <c r="AE55" s="26">
        <f>_xlfn.IFNA(IF(LEFT('Rock Climbing Log'!AE55)="C",_xlfn.IFNA(VLOOKUP('Rock Climbing Log'!AE55,'RC Lookup'!$A$3:$B$9,2,FALSE),0.5),VLOOKUP('Rock Climbing Log'!AE55,'RC Lookup'!$G$3:$H$5,2,FALSE)),0)*VLOOKUP(AE$7,'RC Lookup'!$D$3:$E$18,2,FALSE)</f>
        <v>0</v>
      </c>
      <c r="AF55" s="26">
        <f>_xlfn.IFNA(IF(LEFT('Rock Climbing Log'!AF55)="C",_xlfn.IFNA(VLOOKUP('Rock Climbing Log'!AF55,'RC Lookup'!$A$3:$B$9,2,FALSE),0.5),VLOOKUP('Rock Climbing Log'!AF55,'RC Lookup'!$G$3:$H$5,2,FALSE)),0)*VLOOKUP(AE$7,'RC Lookup'!$D$3:$E$18,2,FALSE)</f>
        <v>0</v>
      </c>
      <c r="AG55" s="26">
        <f>_xlfn.IFNA(IF(LEFT('Rock Climbing Log'!AG55)="C",_xlfn.IFNA(VLOOKUP('Rock Climbing Log'!AG55,'RC Lookup'!$A$3:$B$9,2,FALSE),0.5),VLOOKUP('Rock Climbing Log'!AG55,'RC Lookup'!$G$3:$H$5,2,FALSE)),0)*VLOOKUP(AE$7,'RC Lookup'!$D$3:$E$18,2,FALSE)</f>
        <v>0</v>
      </c>
      <c r="AH55" s="26">
        <f>_xlfn.IFNA(IF(LEFT('Rock Climbing Log'!AH55)="C",_xlfn.IFNA(VLOOKUP('Rock Climbing Log'!AH55,'RC Lookup'!$A$3:$B$9,2,FALSE),0.5),VLOOKUP('Rock Climbing Log'!AH55,'RC Lookup'!$G$3:$H$5,2,FALSE)),0)*VLOOKUP(AH$7,'RC Lookup'!$D$3:$E$18,2,FALSE)</f>
        <v>0</v>
      </c>
      <c r="AI55" s="26">
        <f>_xlfn.IFNA(IF(LEFT('Rock Climbing Log'!AI55)="C",_xlfn.IFNA(VLOOKUP('Rock Climbing Log'!AI55,'RC Lookup'!$A$3:$B$9,2,FALSE),0.5),VLOOKUP('Rock Climbing Log'!AI55,'RC Lookup'!$G$3:$H$5,2,FALSE)),0)*VLOOKUP(AH$7,'RC Lookup'!$D$3:$E$18,2,FALSE)</f>
        <v>0</v>
      </c>
      <c r="AJ55" s="26">
        <f>_xlfn.IFNA(IF(LEFT('Rock Climbing Log'!AJ55)="C",_xlfn.IFNA(VLOOKUP('Rock Climbing Log'!AJ55,'RC Lookup'!$A$3:$B$9,2,FALSE),0.5),VLOOKUP('Rock Climbing Log'!AJ55,'RC Lookup'!$G$3:$H$5,2,FALSE)),0)*VLOOKUP(AH$7,'RC Lookup'!$D$3:$E$18,2,FALSE)</f>
        <v>0</v>
      </c>
      <c r="AK55" s="26">
        <f>_xlfn.IFNA(IF(LEFT('Rock Climbing Log'!AK55)="C",_xlfn.IFNA(VLOOKUP('Rock Climbing Log'!AK55,'RC Lookup'!$A$3:$B$9,2,FALSE),0.5),VLOOKUP('Rock Climbing Log'!AK55,'RC Lookup'!$G$3:$H$5,2,FALSE)),0)*VLOOKUP(AK$7,'RC Lookup'!$D$3:$E$18,2,FALSE)</f>
        <v>0</v>
      </c>
      <c r="AL55" s="26">
        <f>_xlfn.IFNA(IF(LEFT('Rock Climbing Log'!AL55)="C",_xlfn.IFNA(VLOOKUP('Rock Climbing Log'!AL55,'RC Lookup'!$A$3:$B$9,2,FALSE),0.5),VLOOKUP('Rock Climbing Log'!AL55,'RC Lookup'!$G$3:$H$5,2,FALSE)),0)*VLOOKUP(AK$7,'RC Lookup'!$D$3:$E$18,2,FALSE)</f>
        <v>0</v>
      </c>
      <c r="AM55" s="26">
        <f>_xlfn.IFNA(IF(LEFT('Rock Climbing Log'!AM55)="C",_xlfn.IFNA(VLOOKUP('Rock Climbing Log'!AM55,'RC Lookup'!$A$3:$B$9,2,FALSE),0.5),VLOOKUP('Rock Climbing Log'!AM55,'RC Lookup'!$G$3:$H$5,2,FALSE)),0)*VLOOKUP(AK$7,'RC Lookup'!$D$3:$E$18,2,FALSE)</f>
        <v>0</v>
      </c>
      <c r="AN55" s="26">
        <f>_xlfn.IFNA(IF(LEFT('Rock Climbing Log'!AN55)="C",_xlfn.IFNA(VLOOKUP('Rock Climbing Log'!AN55,'RC Lookup'!$A$3:$B$9,2,FALSE),0.5),VLOOKUP('Rock Climbing Log'!AN55,'RC Lookup'!$G$3:$H$5,2,FALSE)),0)*VLOOKUP(AN$7,'RC Lookup'!$D$3:$E$18,2,FALSE)</f>
        <v>0</v>
      </c>
      <c r="AO55" s="26">
        <f>_xlfn.IFNA(IF(LEFT('Rock Climbing Log'!AO55)="C",_xlfn.IFNA(VLOOKUP('Rock Climbing Log'!AO55,'RC Lookup'!$A$3:$B$9,2,FALSE),0.5),VLOOKUP('Rock Climbing Log'!AO55,'RC Lookup'!$G$3:$H$5,2,FALSE)),0)*VLOOKUP(AN$7,'RC Lookup'!$D$3:$E$18,2,FALSE)</f>
        <v>0</v>
      </c>
      <c r="AP55" s="26">
        <f>_xlfn.IFNA(IF(LEFT('Rock Climbing Log'!AP55)="C",_xlfn.IFNA(VLOOKUP('Rock Climbing Log'!AP55,'RC Lookup'!$A$3:$B$9,2,FALSE),0.5),VLOOKUP('Rock Climbing Log'!AP55,'RC Lookup'!$G$3:$H$5,2,FALSE)),0)*VLOOKUP(AN$7,'RC Lookup'!$D$3:$E$18,2,FALSE)</f>
        <v>0</v>
      </c>
      <c r="AQ55" s="26">
        <f>_xlfn.IFNA(IF(LEFT('Rock Climbing Log'!AQ55)="C",_xlfn.IFNA(VLOOKUP('Rock Climbing Log'!AQ55,'RC Lookup'!$A$3:$B$9,2,FALSE),0.5),VLOOKUP('Rock Climbing Log'!AQ55,'RC Lookup'!$G$3:$H$5,2,FALSE)),0)*VLOOKUP(AQ$7,'RC Lookup'!$D$3:$E$18,2,FALSE)</f>
        <v>0</v>
      </c>
      <c r="AR55" s="26">
        <f>_xlfn.IFNA(IF(LEFT('Rock Climbing Log'!AR55)="C",_xlfn.IFNA(VLOOKUP('Rock Climbing Log'!AR55,'RC Lookup'!$A$3:$B$9,2,FALSE),0.5),VLOOKUP('Rock Climbing Log'!AR55,'RC Lookup'!$G$3:$H$5,2,FALSE)),0)*VLOOKUP(AQ$7,'RC Lookup'!$D$3:$E$18,2,FALSE)</f>
        <v>0</v>
      </c>
      <c r="AS55" s="26">
        <f>_xlfn.IFNA(IF(LEFT('Rock Climbing Log'!AS55)="C",_xlfn.IFNA(VLOOKUP('Rock Climbing Log'!AS55,'RC Lookup'!$A$3:$B$9,2,FALSE),0.5),VLOOKUP('Rock Climbing Log'!AS55,'RC Lookup'!$G$3:$H$5,2,FALSE)),0)*VLOOKUP(AQ$7,'RC Lookup'!$D$3:$E$18,2,FALSE)</f>
        <v>0</v>
      </c>
      <c r="AT55" s="26">
        <f>_xlfn.IFNA(IF(LEFT('Rock Climbing Log'!AT55)="C",_xlfn.IFNA(VLOOKUP('Rock Climbing Log'!AT55,'RC Lookup'!$A$3:$B$9,2,FALSE),0.5),VLOOKUP('Rock Climbing Log'!AT55,'RC Lookup'!$G$3:$H$5,2,FALSE)),0)*VLOOKUP(AT$7,'RC Lookup'!$D$3:$E$18,2,FALSE)</f>
        <v>0</v>
      </c>
      <c r="AU55" s="26">
        <f>_xlfn.IFNA(IF(LEFT('Rock Climbing Log'!AU55)="C",_xlfn.IFNA(VLOOKUP('Rock Climbing Log'!AU55,'RC Lookup'!$A$3:$B$9,2,FALSE),0.5),VLOOKUP('Rock Climbing Log'!AU55,'RC Lookup'!$G$3:$H$5,2,FALSE)),0)*VLOOKUP(AT$7,'RC Lookup'!$D$3:$E$18,2,FALSE)</f>
        <v>0</v>
      </c>
      <c r="AV55" s="26">
        <f>_xlfn.IFNA(IF(LEFT('Rock Climbing Log'!AV55)="C",_xlfn.IFNA(VLOOKUP('Rock Climbing Log'!AV55,'RC Lookup'!$A$3:$B$9,2,FALSE),0.5),VLOOKUP('Rock Climbing Log'!AV55,'RC Lookup'!$G$3:$H$5,2,FALSE)),0)*VLOOKUP(AT$7,'RC Lookup'!$D$3:$E$18,2,FALSE)</f>
        <v>0</v>
      </c>
      <c r="AW55" s="30">
        <f t="shared" ca="1" si="2"/>
        <v>38.25</v>
      </c>
      <c r="AX55" s="30">
        <f ca="1">_xlfn.IFNA(VLOOKUP(SUMPRODUCT(LARGE(($C$8:$C55=Table1[[#This Row],[Climber]])*$A$8:$A55,1)),$A$8:$AW55,MATCH($AW$7,$A$7:$AW$7,FALSE),FALSE),0)/LEFT($AX$7,FIND(" ",$AX$7))+_xlfn.IFNA(VLOOKUP(SUMPRODUCT(LARGE(($C$8:$C55=Table1[[#This Row],[Climber]])*$A$8:$A55,MIN(2,COUNTIFS($C$8:$C55,$C55)))),$A$8:$AW55,MATCH($AW$7,$A$7:$AW$7,FALSE),FALSE),0)/LEFT($AX$7,FIND(" ",$AX$7))+_xlfn.IFNA(VLOOKUP(SUMPRODUCT(LARGE(($C$8:$C55=Table1[[#This Row],[Climber]])*$A$8:$A55,MIN(3,COUNTIFS($C$8:$C55,$C55)))),$A$8:$AW55,MATCH($AW$7,$A$7:$AW$7,FALSE),FALSE),0)/LEFT($AX$7,FIND(" ",$AX$7))</f>
        <v>38.25</v>
      </c>
      <c r="AY55" s="30">
        <f ca="1">_xlfn.IFNA(VLOOKUP(SUMPRODUCT(LARGE(($C$8:$C55=Table1[[#This Row],[Climber]])*$A$8:$A55,1)),$A$8:$AW55,MATCH($AW$7,$A$7:$AW$7,FALSE),FALSE),0)/LEFT($AY$7,FIND(" ",$AY$7))+_xlfn.IFNA(VLOOKUP(SUMPRODUCT(LARGE(($C$8:$C55=Table1[[#This Row],[Climber]])*$A$8:$A55,MIN(2,COUNTIFS($C$8:$C55,$C55)))),$A$8:$AW55,MATCH($AW$7,$A$7:$AW$7,FALSE),FALSE),0)/LEFT($AY$7,FIND(" ",$AY$7))+_xlfn.IFNA(VLOOKUP(SUMPRODUCT(LARGE(($C$8:$C55=Table1[[#This Row],[Climber]])*$A$8:$A55,MIN(3,COUNTIFS($C$8:$C55,$C55)))),$A$8:$AW55,MATCH($AW$7,$A$7:$AW$7,FALSE),FALSE),0)/LEFT($AY$7,FIND(" ",$AY$7))+_xlfn.IFNA(VLOOKUP(SUMPRODUCT(LARGE(($C$8:$C55=Table1[[#This Row],[Climber]])*$A$8:$A55,MIN(4,COUNTIFS($C$8:$C55,$C55)))),$A$8:$AW55,MATCH($AW$7,$A$7:$AW$7,FALSE),FALSE),0)/LEFT($AY$7,FIND(" ",$AY$7))+_xlfn.IFNA(VLOOKUP(SUMPRODUCT(LARGE(($C$8:$C55=Table1[[#This Row],[Climber]])*$A$8:$A55,MIN(5,COUNTIFS($C$8:$C55,$C55)))),$A$8:$AW55,MATCH($AW$7,$A$7:$AW$7,FALSE),FALSE),0)/LEFT($AY$7,FIND(" ",$AY$7))</f>
        <v>38.25</v>
      </c>
      <c r="AZ55" s="30">
        <f>(_xlfn.IFNA(VLOOKUP(SUMPRODUCT(LARGE(($C$8:$C55=Table1[[#This Row],[Climber]])*$A$8:$A55,4)),$A$8:$AW55,MATCH($AW$7,$A$7:$AW$7,FALSE),FALSE),0)+_xlfn.IFNA(VLOOKUP(SUMPRODUCT(LARGE(($C$8:$C55=Table1[[#This Row],[Climber]])*$A$8:$A55,5)),$A$8:$AW55,MATCH($AW$7,$A$7:$AW$7,FALSE),FALSE),0)+_xlfn.IFNA(VLOOKUP(SUMPRODUCT(LARGE(($C$8:$C55=Table1[[#This Row],[Climber]])*$A$8:$A55,6)),$A$8:$AW55,MATCH($AW$7,$A$7:$AW$7,FALSE),FALSE),0))/3</f>
        <v>0</v>
      </c>
      <c r="BA55" s="46">
        <f ca="1">_xlfn.MAXIFS(INDIRECT("$AW"&amp;IF(SUMPRODUCT(LARGE(($C$8:$C55=$C55)*$A$8:$A55,LEFT($BA$7,FIND(" ",$BA$7)-1)))=0,8,SUMPRODUCT(LARGE(($C$8:$C55=$C55)*$A$8:$A55,LEFT($BA$7,FIND(" ",$BA$7)-1)))+7)&amp;":$AW"&amp;ROW()),INDIRECT("$C"&amp;IF(SUMPRODUCT(LARGE(($C$8:$C55=$C55)*$A$8:$A55,LEFT($BA$7,FIND(" ",$BA$7)-1)))=0,8,SUMPRODUCT(LARGE(($C$8:$C55=$C55)*$A$8:$A55,LEFT($BA$7,FIND(" ",$BA$7)-1)))+7)&amp;":$C"&amp;ROW()),$C55)</f>
        <v>38.25</v>
      </c>
      <c r="BB55" s="46" t="str">
        <f ca="1">VLOOKUP(MAX(BG55,$AX55),'RC Lookup'!$G$14:$J$20,2,TRUE)</f>
        <v>T1</v>
      </c>
      <c r="BC55" s="46">
        <f ca="1">_xlfn.IFNA(VLOOKUP(VLOOKUP($C55,'RC Lookup'!$O$3:$P$50,2,FALSE),'RC Lookup'!$H$14:$J$23,2,FALSE),0)*AW55</f>
        <v>63.742032245969249</v>
      </c>
      <c r="BD55" s="6">
        <f ca="1">_xlfn.IFNA(VLOOKUP(SUMPRODUCT(LARGE(($C$8:$C55=Table1[[#This Row],[Climber]])*$A$8:$A55,1)),$A$8:$BC55,55,FALSE),0)/LEFT($AX$7,FIND(" ",$AX$7))+_xlfn.IFNA(VLOOKUP(SUMPRODUCT(LARGE(($C$8:$C55=Table1[[#This Row],[Climber]])*$A$8:$A55,MIN(2,COUNTIFS($C$8:$C55,$C55)))),$A$8:$BC55,55,FALSE),0)/LEFT($AX$7,FIND(" ",$AX$7))+_xlfn.IFNA(VLOOKUP(SUMPRODUCT(LARGE(($C$8:$C55=Table1[[#This Row],[Climber]])*$A$8:$A55,MIN(3,COUNTIFS($C$8:$C55,$C55)))),$A$8:$BC55,55,FALSE),0)/LEFT($AX$7,FIND(" ",$AX$7))</f>
        <v>63.742032245969241</v>
      </c>
      <c r="BE55" s="6">
        <f>(_xlfn.IFNA(VLOOKUP(SUMPRODUCT(LARGE(($C$8:$C55=Table1[[#This Row],[Climber]])*$A$8:$A55,4)),$A$8:$BD55,55,FALSE),0)+_xlfn.IFNA(VLOOKUP(SUMPRODUCT(LARGE(($C$8:$C55=Table1[[#This Row],[Climber]])*$A$8:$A55,5)),$A$8:$BD55,55,FALSE),0)+_xlfn.IFNA(VLOOKUP(SUMPRODUCT(LARGE(($C$8:$C55=Table1[[#This Row],[Climber]])*$A$8:$A55,6)),$A$8:$BD55,55,FALSE),0))/3</f>
        <v>0</v>
      </c>
      <c r="BF55" s="46">
        <f ca="1">_xlfn.MAXIFS(INDIRECT("$BC"&amp;IF(SUMPRODUCT(LARGE(($C$8:$C55=$C55)*$A$8:$A55,LEFT($BA$7,FIND(" ",$BA$7)-1)))=0,8,SUMPRODUCT(LARGE(($C$8:$C55=$C55)*$A$8:$A55,LEFT($BA$7,FIND(" ",$BA$7)-1)))+7)&amp;":$BC"&amp;ROW()),INDIRECT("$C"&amp;IF(SUMPRODUCT(LARGE(($C$8:$C55=$C55)*$A$8:$A55,LEFT($BA$7,FIND(" ",$BA$7)-1)))=0,8,SUMPRODUCT(LARGE(($C$8:$C55=$C55)*$A$8:$A55,LEFT($BA$7,FIND(" ",$BA$7)-1)))+7)&amp;":$C"&amp;ROW()),$C55)</f>
        <v>63.742032245969249</v>
      </c>
      <c r="BG55" s="46">
        <f t="array" aca="1" ref="BG55" ca="1">IFERROR(SUMPRODUCT(LARGE(($C$8:$C55=Table1[[#This Row],[Climber]])*$AW$8:$AW55,ROW(INDIRECT("1:5")))),AW55)/MIN(COUNTIFS($C$8:$C55,C55),5)</f>
        <v>38.25</v>
      </c>
      <c r="BH55" s="46"/>
    </row>
    <row r="56" spans="1:60" x14ac:dyDescent="0.3">
      <c r="A56" s="125">
        <f t="shared" si="1"/>
        <v>49</v>
      </c>
      <c r="B56" s="25">
        <f>'Rock Climbing Log'!B56</f>
        <v>43153</v>
      </c>
      <c r="C56" s="126" t="str">
        <f>'Rock Climbing Log'!C56</f>
        <v>Lester</v>
      </c>
      <c r="D56" s="26">
        <f>_xlfn.IFNA(IF(LEFT('Rock Climbing Log'!D56)="C",_xlfn.IFNA(VLOOKUP('Rock Climbing Log'!D56,'RC Lookup'!$A$3:$B$9,2,FALSE),0.5),VLOOKUP('Rock Climbing Log'!D56,'RC Lookup'!$G$3:$H$5,2,FALSE)),0)*VLOOKUP(D$7,'RC Lookup'!$D$3:$E$18,2,FALSE)</f>
        <v>0</v>
      </c>
      <c r="E56" s="26">
        <f>_xlfn.IFNA(IF(LEFT('Rock Climbing Log'!E56)="C",_xlfn.IFNA(VLOOKUP('Rock Climbing Log'!E56,'RC Lookup'!$A$3:$B$9,2,FALSE),0.5),VLOOKUP('Rock Climbing Log'!E56,'RC Lookup'!$G$3:$H$5,2,FALSE)),0)*VLOOKUP(D$7,'RC Lookup'!$D$3:$E$18,2,FALSE)</f>
        <v>0</v>
      </c>
      <c r="F56" s="26">
        <f>_xlfn.IFNA(IF(LEFT('Rock Climbing Log'!F56)="C",_xlfn.IFNA(VLOOKUP('Rock Climbing Log'!F56,'RC Lookup'!$A$3:$B$9,2,FALSE),0.5),VLOOKUP('Rock Climbing Log'!F56,'RC Lookup'!$G$3:$H$5,2,FALSE)),0)*VLOOKUP(D$7,'RC Lookup'!$D$3:$E$18,2,FALSE)</f>
        <v>0</v>
      </c>
      <c r="G56" s="26">
        <f>_xlfn.IFNA(IF(LEFT('Rock Climbing Log'!G56)="C",_xlfn.IFNA(VLOOKUP('Rock Climbing Log'!G56,'RC Lookup'!$A$3:$B$9,2,FALSE),0.5),VLOOKUP('Rock Climbing Log'!G56,'RC Lookup'!$G$3:$H$5,2,FALSE)),0)*VLOOKUP(G$7,'RC Lookup'!$D$3:$E$18,2,FALSE)</f>
        <v>0</v>
      </c>
      <c r="H56" s="26">
        <f>_xlfn.IFNA(IF(LEFT('Rock Climbing Log'!H56)="C",_xlfn.IFNA(VLOOKUP('Rock Climbing Log'!H56,'RC Lookup'!$A$3:$B$9,2,FALSE),0.5),VLOOKUP('Rock Climbing Log'!H56,'RC Lookup'!$G$3:$H$5,2,FALSE)),0)*VLOOKUP(G$7,'RC Lookup'!$D$3:$E$18,2,FALSE)</f>
        <v>0</v>
      </c>
      <c r="I56" s="26">
        <f>_xlfn.IFNA(IF(LEFT('Rock Climbing Log'!I56)="C",_xlfn.IFNA(VLOOKUP('Rock Climbing Log'!I56,'RC Lookup'!$A$3:$B$9,2,FALSE),0.5),VLOOKUP('Rock Climbing Log'!I56,'RC Lookup'!$G$3:$H$5,2,FALSE)),0)*VLOOKUP(G$7,'RC Lookup'!$D$3:$E$18,2,FALSE)</f>
        <v>0</v>
      </c>
      <c r="J56" s="26">
        <f>_xlfn.IFNA(IF(LEFT('Rock Climbing Log'!J56)="C",_xlfn.IFNA(VLOOKUP('Rock Climbing Log'!J56,'RC Lookup'!$A$3:$B$9,2,FALSE),0.5),VLOOKUP('Rock Climbing Log'!J56,'RC Lookup'!$G$3:$H$5,2,FALSE)),0)*VLOOKUP(J$7,'RC Lookup'!$D$3:$E$18,2,FALSE)</f>
        <v>0</v>
      </c>
      <c r="K56" s="26">
        <f>_xlfn.IFNA(IF(LEFT('Rock Climbing Log'!K56)="C",_xlfn.IFNA(VLOOKUP('Rock Climbing Log'!K56,'RC Lookup'!$A$3:$B$9,2,FALSE),0.5),VLOOKUP('Rock Climbing Log'!K56,'RC Lookup'!$G$3:$H$5,2,FALSE)),0)*VLOOKUP(J$7,'RC Lookup'!$D$3:$E$18,2,FALSE)</f>
        <v>0</v>
      </c>
      <c r="L56" s="26">
        <f>_xlfn.IFNA(IF(LEFT('Rock Climbing Log'!L56)="C",_xlfn.IFNA(VLOOKUP('Rock Climbing Log'!L56,'RC Lookup'!$A$3:$B$9,2,FALSE),0.5),VLOOKUP('Rock Climbing Log'!L56,'RC Lookup'!$G$3:$H$5,2,FALSE)),0)*VLOOKUP(J$7,'RC Lookup'!$D$3:$E$18,2,FALSE)</f>
        <v>0</v>
      </c>
      <c r="M56" s="26">
        <f>_xlfn.IFNA(IF(LEFT('Rock Climbing Log'!M56)="C",_xlfn.IFNA(VLOOKUP('Rock Climbing Log'!M56,'RC Lookup'!$A$3:$B$9,2,FALSE),0.5),VLOOKUP('Rock Climbing Log'!M56,'RC Lookup'!$G$3:$H$5,2,FALSE)),0)*VLOOKUP(M$7,'RC Lookup'!$D$3:$E$18,2,FALSE)</f>
        <v>20.002500000000001</v>
      </c>
      <c r="N56" s="26">
        <f>_xlfn.IFNA(IF(LEFT('Rock Climbing Log'!N56)="C",_xlfn.IFNA(VLOOKUP('Rock Climbing Log'!N56,'RC Lookup'!$A$3:$B$9,2,FALSE),0.5),VLOOKUP('Rock Climbing Log'!N56,'RC Lookup'!$G$3:$H$5,2,FALSE)),0)*VLOOKUP(M$7,'RC Lookup'!$D$3:$E$18,2,FALSE)</f>
        <v>0</v>
      </c>
      <c r="O56" s="26">
        <f>_xlfn.IFNA(IF(LEFT('Rock Climbing Log'!O56)="C",_xlfn.IFNA(VLOOKUP('Rock Climbing Log'!O56,'RC Lookup'!$A$3:$B$9,2,FALSE),0.5),VLOOKUP('Rock Climbing Log'!O56,'RC Lookup'!$G$3:$H$5,2,FALSE)),0)*VLOOKUP(M$7,'RC Lookup'!$D$3:$E$18,2,FALSE)</f>
        <v>0</v>
      </c>
      <c r="P56" s="26">
        <f>_xlfn.IFNA(IF(LEFT('Rock Climbing Log'!P56)="C",_xlfn.IFNA(VLOOKUP('Rock Climbing Log'!P56,'RC Lookup'!$A$3:$B$9,2,FALSE),0.5),VLOOKUP('Rock Climbing Log'!P56,'RC Lookup'!$G$3:$H$5,2,FALSE)),0)*VLOOKUP(P$7,'RC Lookup'!$D$3:$E$18,2,FALSE)</f>
        <v>23.922990000000006</v>
      </c>
      <c r="Q56" s="26">
        <f>_xlfn.IFNA(IF(LEFT('Rock Climbing Log'!Q56)="C",_xlfn.IFNA(VLOOKUP('Rock Climbing Log'!Q56,'RC Lookup'!$A$3:$B$9,2,FALSE),0.5),VLOOKUP('Rock Climbing Log'!Q56,'RC Lookup'!$G$3:$H$5,2,FALSE)),0)*VLOOKUP(P$7,'RC Lookup'!$D$3:$E$18,2,FALSE)</f>
        <v>0</v>
      </c>
      <c r="R56" s="26">
        <f>_xlfn.IFNA(IF(LEFT('Rock Climbing Log'!R56)="C",_xlfn.IFNA(VLOOKUP('Rock Climbing Log'!R56,'RC Lookup'!$A$3:$B$9,2,FALSE),0.5),VLOOKUP('Rock Climbing Log'!R56,'RC Lookup'!$G$3:$H$5,2,FALSE)),0)*VLOOKUP(P$7,'RC Lookup'!$D$3:$E$18,2,FALSE)</f>
        <v>0</v>
      </c>
      <c r="S56" s="26">
        <f>_xlfn.IFNA(IF(LEFT('Rock Climbing Log'!S56)="C",_xlfn.IFNA(VLOOKUP('Rock Climbing Log'!S56,'RC Lookup'!$A$3:$B$9,2,FALSE),0.5),VLOOKUP('Rock Climbing Log'!S56,'RC Lookup'!$G$3:$H$5,2,FALSE)),0)*VLOOKUP(S$7,'RC Lookup'!$D$3:$E$18,2,FALSE)</f>
        <v>0</v>
      </c>
      <c r="T56" s="26">
        <f>_xlfn.IFNA(IF(LEFT('Rock Climbing Log'!T56)="C",_xlfn.IFNA(VLOOKUP('Rock Climbing Log'!T56,'RC Lookup'!$A$3:$B$9,2,FALSE),0.5),VLOOKUP('Rock Climbing Log'!T56,'RC Lookup'!$G$3:$H$5,2,FALSE)),0)*VLOOKUP(S$7,'RC Lookup'!$D$3:$E$18,2,FALSE)</f>
        <v>0</v>
      </c>
      <c r="U56" s="26">
        <f>_xlfn.IFNA(IF(LEFT('Rock Climbing Log'!U56)="C",_xlfn.IFNA(VLOOKUP('Rock Climbing Log'!U56,'RC Lookup'!$A$3:$B$9,2,FALSE),0.5),VLOOKUP('Rock Climbing Log'!U56,'RC Lookup'!$G$3:$H$5,2,FALSE)),0)*VLOOKUP(S$7,'RC Lookup'!$D$3:$E$18,2,FALSE)</f>
        <v>0</v>
      </c>
      <c r="V56" s="26">
        <f>_xlfn.IFNA(IF(LEFT('Rock Climbing Log'!V56)="C",_xlfn.IFNA(VLOOKUP('Rock Climbing Log'!V56,'RC Lookup'!$A$3:$B$9,2,FALSE),0.5),VLOOKUP('Rock Climbing Log'!V56,'RC Lookup'!$G$3:$H$5,2,FALSE)),0)*VLOOKUP(V$7,'RC Lookup'!$D$3:$E$18,2,FALSE)</f>
        <v>0</v>
      </c>
      <c r="W56" s="26">
        <f>_xlfn.IFNA(IF(LEFT('Rock Climbing Log'!W56)="C",_xlfn.IFNA(VLOOKUP('Rock Climbing Log'!W56,'RC Lookup'!$A$3:$B$9,2,FALSE),0.5),VLOOKUP('Rock Climbing Log'!W56,'RC Lookup'!$G$3:$H$5,2,FALSE)),0)*VLOOKUP(V$7,'RC Lookup'!$D$3:$E$18,2,FALSE)</f>
        <v>0</v>
      </c>
      <c r="X56" s="26">
        <f>_xlfn.IFNA(IF(LEFT('Rock Climbing Log'!X56)="C",_xlfn.IFNA(VLOOKUP('Rock Climbing Log'!X56,'RC Lookup'!$A$3:$B$9,2,FALSE),0.5),VLOOKUP('Rock Climbing Log'!X56,'RC Lookup'!$G$3:$H$5,2,FALSE)),0)*VLOOKUP(V$7,'RC Lookup'!$D$3:$E$18,2,FALSE)</f>
        <v>0</v>
      </c>
      <c r="Y56" s="26">
        <f>_xlfn.IFNA(IF(LEFT('Rock Climbing Log'!Y56)="C",_xlfn.IFNA(VLOOKUP('Rock Climbing Log'!Y56,'RC Lookup'!$A$3:$B$9,2,FALSE),0.5),VLOOKUP('Rock Climbing Log'!Y56,'RC Lookup'!$G$3:$H$5,2,FALSE)),0)*VLOOKUP(Y$7,'RC Lookup'!$D$3:$E$18,2,FALSE)</f>
        <v>0</v>
      </c>
      <c r="Z56" s="26">
        <f>_xlfn.IFNA(IF(LEFT('Rock Climbing Log'!Z56)="C",_xlfn.IFNA(VLOOKUP('Rock Climbing Log'!Z56,'RC Lookup'!$A$3:$B$9,2,FALSE),0.5),VLOOKUP('Rock Climbing Log'!Z56,'RC Lookup'!$G$3:$H$5,2,FALSE)),0)*VLOOKUP(Y$7,'RC Lookup'!$D$3:$E$18,2,FALSE)</f>
        <v>0</v>
      </c>
      <c r="AA56" s="26">
        <f>_xlfn.IFNA(IF(LEFT('Rock Climbing Log'!AA56)="C",_xlfn.IFNA(VLOOKUP('Rock Climbing Log'!AA56,'RC Lookup'!$A$3:$B$9,2,FALSE),0.5),VLOOKUP('Rock Climbing Log'!AA56,'RC Lookup'!$G$3:$H$5,2,FALSE)),0)*VLOOKUP(Y$7,'RC Lookup'!$D$3:$E$18,2,FALSE)</f>
        <v>0</v>
      </c>
      <c r="AB56" s="26">
        <f>_xlfn.IFNA(IF(LEFT('Rock Climbing Log'!AB56)="C",_xlfn.IFNA(VLOOKUP('Rock Climbing Log'!AB56,'RC Lookup'!$A$3:$B$9,2,FALSE),0.5),VLOOKUP('Rock Climbing Log'!AB56,'RC Lookup'!$G$3:$H$5,2,FALSE)),0)*VLOOKUP(AB$7,'RC Lookup'!$D$3:$E$18,2,FALSE)</f>
        <v>0</v>
      </c>
      <c r="AC56" s="26">
        <f>_xlfn.IFNA(IF(LEFT('Rock Climbing Log'!AC56)="C",_xlfn.IFNA(VLOOKUP('Rock Climbing Log'!AC56,'RC Lookup'!$A$3:$B$9,2,FALSE),0.5),VLOOKUP('Rock Climbing Log'!AC56,'RC Lookup'!$G$3:$H$5,2,FALSE)),0)*VLOOKUP(AB$7,'RC Lookup'!$D$3:$E$18,2,FALSE)</f>
        <v>0</v>
      </c>
      <c r="AD56" s="26">
        <f>_xlfn.IFNA(IF(LEFT('Rock Climbing Log'!AD56)="C",_xlfn.IFNA(VLOOKUP('Rock Climbing Log'!AD56,'RC Lookup'!$A$3:$B$9,2,FALSE),0.5),VLOOKUP('Rock Climbing Log'!AD56,'RC Lookup'!$G$3:$H$5,2,FALSE)),0)*VLOOKUP(AB$7,'RC Lookup'!$D$3:$E$18,2,FALSE)</f>
        <v>0</v>
      </c>
      <c r="AE56" s="26">
        <f>_xlfn.IFNA(IF(LEFT('Rock Climbing Log'!AE56)="C",_xlfn.IFNA(VLOOKUP('Rock Climbing Log'!AE56,'RC Lookup'!$A$3:$B$9,2,FALSE),0.5),VLOOKUP('Rock Climbing Log'!AE56,'RC Lookup'!$G$3:$H$5,2,FALSE)),0)*VLOOKUP(AE$7,'RC Lookup'!$D$3:$E$18,2,FALSE)</f>
        <v>67.867671846932893</v>
      </c>
      <c r="AF56" s="26">
        <f>_xlfn.IFNA(IF(LEFT('Rock Climbing Log'!AF56)="C",_xlfn.IFNA(VLOOKUP('Rock Climbing Log'!AF56,'RC Lookup'!$A$3:$B$9,2,FALSE),0.5),VLOOKUP('Rock Climbing Log'!AF56,'RC Lookup'!$G$3:$H$5,2,FALSE)),0)*VLOOKUP(AE$7,'RC Lookup'!$D$3:$E$18,2,FALSE)</f>
        <v>67.867671846932893</v>
      </c>
      <c r="AG56" s="26">
        <f>_xlfn.IFNA(IF(LEFT('Rock Climbing Log'!AG56)="C",_xlfn.IFNA(VLOOKUP('Rock Climbing Log'!AG56,'RC Lookup'!$A$3:$B$9,2,FALSE),0.5),VLOOKUP('Rock Climbing Log'!AG56,'RC Lookup'!$G$3:$H$5,2,FALSE)),0)*VLOOKUP(AE$7,'RC Lookup'!$D$3:$E$18,2,FALSE)</f>
        <v>67.867671846932893</v>
      </c>
      <c r="AH56" s="26">
        <f>_xlfn.IFNA(IF(LEFT('Rock Climbing Log'!AH56)="C",_xlfn.IFNA(VLOOKUP('Rock Climbing Log'!AH56,'RC Lookup'!$A$3:$B$9,2,FALSE),0.5),VLOOKUP('Rock Climbing Log'!AH56,'RC Lookup'!$G$3:$H$5,2,FALSE)),0)*VLOOKUP(AH$7,'RC Lookup'!$D$3:$E$18,2,FALSE)</f>
        <v>0</v>
      </c>
      <c r="AI56" s="26">
        <f>_xlfn.IFNA(IF(LEFT('Rock Climbing Log'!AI56)="C",_xlfn.IFNA(VLOOKUP('Rock Climbing Log'!AI56,'RC Lookup'!$A$3:$B$9,2,FALSE),0.5),VLOOKUP('Rock Climbing Log'!AI56,'RC Lookup'!$G$3:$H$5,2,FALSE)),0)*VLOOKUP(AH$7,'RC Lookup'!$D$3:$E$18,2,FALSE)</f>
        <v>0</v>
      </c>
      <c r="AJ56" s="26">
        <f>_xlfn.IFNA(IF(LEFT('Rock Climbing Log'!AJ56)="C",_xlfn.IFNA(VLOOKUP('Rock Climbing Log'!AJ56,'RC Lookup'!$A$3:$B$9,2,FALSE),0.5),VLOOKUP('Rock Climbing Log'!AJ56,'RC Lookup'!$G$3:$H$5,2,FALSE)),0)*VLOOKUP(AH$7,'RC Lookup'!$D$3:$E$18,2,FALSE)</f>
        <v>0</v>
      </c>
      <c r="AK56" s="26">
        <f>_xlfn.IFNA(IF(LEFT('Rock Climbing Log'!AK56)="C",_xlfn.IFNA(VLOOKUP('Rock Climbing Log'!AK56,'RC Lookup'!$A$3:$B$9,2,FALSE),0.5),VLOOKUP('Rock Climbing Log'!AK56,'RC Lookup'!$G$3:$H$5,2,FALSE)),0)*VLOOKUP(AK$7,'RC Lookup'!$D$3:$E$18,2,FALSE)</f>
        <v>0</v>
      </c>
      <c r="AL56" s="26">
        <f>_xlfn.IFNA(IF(LEFT('Rock Climbing Log'!AL56)="C",_xlfn.IFNA(VLOOKUP('Rock Climbing Log'!AL56,'RC Lookup'!$A$3:$B$9,2,FALSE),0.5),VLOOKUP('Rock Climbing Log'!AL56,'RC Lookup'!$G$3:$H$5,2,FALSE)),0)*VLOOKUP(AK$7,'RC Lookup'!$D$3:$E$18,2,FALSE)</f>
        <v>0</v>
      </c>
      <c r="AM56" s="26">
        <f>_xlfn.IFNA(IF(LEFT('Rock Climbing Log'!AM56)="C",_xlfn.IFNA(VLOOKUP('Rock Climbing Log'!AM56,'RC Lookup'!$A$3:$B$9,2,FALSE),0.5),VLOOKUP('Rock Climbing Log'!AM56,'RC Lookup'!$G$3:$H$5,2,FALSE)),0)*VLOOKUP(AK$7,'RC Lookup'!$D$3:$E$18,2,FALSE)</f>
        <v>0</v>
      </c>
      <c r="AN56" s="26">
        <f>_xlfn.IFNA(IF(LEFT('Rock Climbing Log'!AN56)="C",_xlfn.IFNA(VLOOKUP('Rock Climbing Log'!AN56,'RC Lookup'!$A$3:$B$9,2,FALSE),0.5),VLOOKUP('Rock Climbing Log'!AN56,'RC Lookup'!$G$3:$H$5,2,FALSE)),0)*VLOOKUP(AN$7,'RC Lookup'!$D$3:$E$18,2,FALSE)</f>
        <v>0</v>
      </c>
      <c r="AO56" s="26">
        <f>_xlfn.IFNA(IF(LEFT('Rock Climbing Log'!AO56)="C",_xlfn.IFNA(VLOOKUP('Rock Climbing Log'!AO56,'RC Lookup'!$A$3:$B$9,2,FALSE),0.5),VLOOKUP('Rock Climbing Log'!AO56,'RC Lookup'!$G$3:$H$5,2,FALSE)),0)*VLOOKUP(AN$7,'RC Lookup'!$D$3:$E$18,2,FALSE)</f>
        <v>0</v>
      </c>
      <c r="AP56" s="26">
        <f>_xlfn.IFNA(IF(LEFT('Rock Climbing Log'!AP56)="C",_xlfn.IFNA(VLOOKUP('Rock Climbing Log'!AP56,'RC Lookup'!$A$3:$B$9,2,FALSE),0.5),VLOOKUP('Rock Climbing Log'!AP56,'RC Lookup'!$G$3:$H$5,2,FALSE)),0)*VLOOKUP(AN$7,'RC Lookup'!$D$3:$E$18,2,FALSE)</f>
        <v>0</v>
      </c>
      <c r="AQ56" s="26">
        <f>_xlfn.IFNA(IF(LEFT('Rock Climbing Log'!AQ56)="C",_xlfn.IFNA(VLOOKUP('Rock Climbing Log'!AQ56,'RC Lookup'!$A$3:$B$9,2,FALSE),0.5),VLOOKUP('Rock Climbing Log'!AQ56,'RC Lookup'!$G$3:$H$5,2,FALSE)),0)*VLOOKUP(AQ$7,'RC Lookup'!$D$3:$E$18,2,FALSE)</f>
        <v>0</v>
      </c>
      <c r="AR56" s="26">
        <f>_xlfn.IFNA(IF(LEFT('Rock Climbing Log'!AR56)="C",_xlfn.IFNA(VLOOKUP('Rock Climbing Log'!AR56,'RC Lookup'!$A$3:$B$9,2,FALSE),0.5),VLOOKUP('Rock Climbing Log'!AR56,'RC Lookup'!$G$3:$H$5,2,FALSE)),0)*VLOOKUP(AQ$7,'RC Lookup'!$D$3:$E$18,2,FALSE)</f>
        <v>0</v>
      </c>
      <c r="AS56" s="26">
        <f>_xlfn.IFNA(IF(LEFT('Rock Climbing Log'!AS56)="C",_xlfn.IFNA(VLOOKUP('Rock Climbing Log'!AS56,'RC Lookup'!$A$3:$B$9,2,FALSE),0.5),VLOOKUP('Rock Climbing Log'!AS56,'RC Lookup'!$G$3:$H$5,2,FALSE)),0)*VLOOKUP(AQ$7,'RC Lookup'!$D$3:$E$18,2,FALSE)</f>
        <v>0</v>
      </c>
      <c r="AT56" s="26">
        <f>_xlfn.IFNA(IF(LEFT('Rock Climbing Log'!AT56)="C",_xlfn.IFNA(VLOOKUP('Rock Climbing Log'!AT56,'RC Lookup'!$A$3:$B$9,2,FALSE),0.5),VLOOKUP('Rock Climbing Log'!AT56,'RC Lookup'!$G$3:$H$5,2,FALSE)),0)*VLOOKUP(AT$7,'RC Lookup'!$D$3:$E$18,2,FALSE)</f>
        <v>0</v>
      </c>
      <c r="AU56" s="26">
        <f>_xlfn.IFNA(IF(LEFT('Rock Climbing Log'!AU56)="C",_xlfn.IFNA(VLOOKUP('Rock Climbing Log'!AU56,'RC Lookup'!$A$3:$B$9,2,FALSE),0.5),VLOOKUP('Rock Climbing Log'!AU56,'RC Lookup'!$G$3:$H$5,2,FALSE)),0)*VLOOKUP(AT$7,'RC Lookup'!$D$3:$E$18,2,FALSE)</f>
        <v>0</v>
      </c>
      <c r="AV56" s="26">
        <f>_xlfn.IFNA(IF(LEFT('Rock Climbing Log'!AV56)="C",_xlfn.IFNA(VLOOKUP('Rock Climbing Log'!AV56,'RC Lookup'!$A$3:$B$9,2,FALSE),0.5),VLOOKUP('Rock Climbing Log'!AV56,'RC Lookup'!$G$3:$H$5,2,FALSE)),0)*VLOOKUP(AT$7,'RC Lookup'!$D$3:$E$18,2,FALSE)</f>
        <v>0</v>
      </c>
      <c r="AW56" s="30">
        <f t="shared" ca="1" si="2"/>
        <v>203.60301554079868</v>
      </c>
      <c r="AX56" s="30">
        <f ca="1">_xlfn.IFNA(VLOOKUP(SUMPRODUCT(LARGE(($C$8:$C56=Table1[[#This Row],[Climber]])*$A$8:$A56,1)),$A$8:$AW56,MATCH($AW$7,$A$7:$AW$7,FALSE),FALSE),0)/LEFT($AX$7,FIND(" ",$AX$7))+_xlfn.IFNA(VLOOKUP(SUMPRODUCT(LARGE(($C$8:$C56=Table1[[#This Row],[Climber]])*$A$8:$A56,MIN(2,COUNTIFS($C$8:$C56,$C56)))),$A$8:$AW56,MATCH($AW$7,$A$7:$AW$7,FALSE),FALSE),0)/LEFT($AX$7,FIND(" ",$AX$7))+_xlfn.IFNA(VLOOKUP(SUMPRODUCT(LARGE(($C$8:$C56=Table1[[#This Row],[Climber]])*$A$8:$A56,MIN(3,COUNTIFS($C$8:$C56,$C56)))),$A$8:$AW56,MATCH($AW$7,$A$7:$AW$7,FALSE),FALSE),0)/LEFT($AX$7,FIND(" ",$AX$7))</f>
        <v>177.05493478792516</v>
      </c>
      <c r="AY56" s="30">
        <f ca="1">_xlfn.IFNA(VLOOKUP(SUMPRODUCT(LARGE(($C$8:$C56=Table1[[#This Row],[Climber]])*$A$8:$A56,1)),$A$8:$AW56,MATCH($AW$7,$A$7:$AW$7,FALSE),FALSE),0)/LEFT($AY$7,FIND(" ",$AY$7))+_xlfn.IFNA(VLOOKUP(SUMPRODUCT(LARGE(($C$8:$C56=Table1[[#This Row],[Climber]])*$A$8:$A56,MIN(2,COUNTIFS($C$8:$C56,$C56)))),$A$8:$AW56,MATCH($AW$7,$A$7:$AW$7,FALSE),FALSE),0)/LEFT($AY$7,FIND(" ",$AY$7))+_xlfn.IFNA(VLOOKUP(SUMPRODUCT(LARGE(($C$8:$C56=Table1[[#This Row],[Climber]])*$A$8:$A56,MIN(3,COUNTIFS($C$8:$C56,$C56)))),$A$8:$AW56,MATCH($AW$7,$A$7:$AW$7,FALSE),FALSE),0)/LEFT($AY$7,FIND(" ",$AY$7))+_xlfn.IFNA(VLOOKUP(SUMPRODUCT(LARGE(($C$8:$C56=Table1[[#This Row],[Climber]])*$A$8:$A56,MIN(4,COUNTIFS($C$8:$C56,$C56)))),$A$8:$AW56,MATCH($AW$7,$A$7:$AW$7,FALSE),FALSE),0)/LEFT($AY$7,FIND(" ",$AY$7))+_xlfn.IFNA(VLOOKUP(SUMPRODUCT(LARGE(($C$8:$C56=Table1[[#This Row],[Climber]])*$A$8:$A56,MIN(5,COUNTIFS($C$8:$C56,$C56)))),$A$8:$AW56,MATCH($AW$7,$A$7:$AW$7,FALSE),FALSE),0)/LEFT($AY$7,FIND(" ",$AY$7))</f>
        <v>221.73308711477281</v>
      </c>
      <c r="AZ56" s="30">
        <f ca="1">(_xlfn.IFNA(VLOOKUP(SUMPRODUCT(LARGE(($C$8:$C56=Table1[[#This Row],[Climber]])*$A$8:$A56,4)),$A$8:$AW56,MATCH($AW$7,$A$7:$AW$7,FALSE),FALSE),0)+_xlfn.IFNA(VLOOKUP(SUMPRODUCT(LARGE(($C$8:$C56=Table1[[#This Row],[Climber]])*$A$8:$A56,5)),$A$8:$AW56,MATCH($AW$7,$A$7:$AW$7,FALSE),FALSE),0)+_xlfn.IFNA(VLOOKUP(SUMPRODUCT(LARGE(($C$8:$C56=Table1[[#This Row],[Climber]])*$A$8:$A56,6)),$A$8:$AW56,MATCH($AW$7,$A$7:$AW$7,FALSE),FALSE),0))/3</f>
        <v>288.15972492612406</v>
      </c>
      <c r="BA56" s="46">
        <f ca="1">_xlfn.MAXIFS(INDIRECT("$AW"&amp;IF(SUMPRODUCT(LARGE(($C$8:$C56=$C56)*$A$8:$A56,LEFT($BA$7,FIND(" ",$BA$7)-1)))=0,8,SUMPRODUCT(LARGE(($C$8:$C56=$C56)*$A$8:$A56,LEFT($BA$7,FIND(" ",$BA$7)-1)))+7)&amp;":$AW"&amp;ROW()),INDIRECT("$C"&amp;IF(SUMPRODUCT(LARGE(($C$8:$C56=$C56)*$A$8:$A56,LEFT($BA$7,FIND(" ",$BA$7)-1)))=0,8,SUMPRODUCT(LARGE(($C$8:$C56=$C56)*$A$8:$A56,LEFT($BA$7,FIND(" ",$BA$7)-1)))+7)&amp;":$C"&amp;ROW()),$C56)</f>
        <v>221.7915515957767</v>
      </c>
      <c r="BB56" s="46" t="str">
        <f ca="1">VLOOKUP(MAX(BG56,$AX56),'RC Lookup'!$G$14:$J$20,2,TRUE)</f>
        <v>T5</v>
      </c>
      <c r="BC56" s="46">
        <f ca="1">_xlfn.IFNA(VLOOKUP(VLOOKUP($C56,'RC Lookup'!$O$3:$P$50,2,FALSE),'RC Lookup'!$H$14:$J$23,2,FALSE),0)*AW56</f>
        <v>61.612776025236599</v>
      </c>
      <c r="BD56" s="6">
        <f ca="1">_xlfn.IFNA(VLOOKUP(SUMPRODUCT(LARGE(($C$8:$C56=Table1[[#This Row],[Climber]])*$A$8:$A56,1)),$A$8:$BC56,55,FALSE),0)/LEFT($AX$7,FIND(" ",$AX$7))+_xlfn.IFNA(VLOOKUP(SUMPRODUCT(LARGE(($C$8:$C56=Table1[[#This Row],[Climber]])*$A$8:$A56,MIN(2,COUNTIFS($C$8:$C56,$C56)))),$A$8:$BC56,55,FALSE),0)/LEFT($AX$7,FIND(" ",$AX$7))+_xlfn.IFNA(VLOOKUP(SUMPRODUCT(LARGE(($C$8:$C56=Table1[[#This Row],[Climber]])*$A$8:$A56,MIN(3,COUNTIFS($C$8:$C56,$C56)))),$A$8:$BC56,55,FALSE),0)/LEFT($AX$7,FIND(" ",$AX$7))</f>
        <v>53.579000351619797</v>
      </c>
      <c r="BE56" s="6">
        <f ca="1">(_xlfn.IFNA(VLOOKUP(SUMPRODUCT(LARGE(($C$8:$C56=Table1[[#This Row],[Climber]])*$A$8:$A56,4)),$A$8:$BD56,55,FALSE),0)+_xlfn.IFNA(VLOOKUP(SUMPRODUCT(LARGE(($C$8:$C56=Table1[[#This Row],[Climber]])*$A$8:$A56,5)),$A$8:$BD56,55,FALSE),0)+_xlfn.IFNA(VLOOKUP(SUMPRODUCT(LARGE(($C$8:$C56=Table1[[#This Row],[Climber]])*$A$8:$A56,6)),$A$8:$BD56,55,FALSE),0))/3</f>
        <v>87.200676002804087</v>
      </c>
      <c r="BF56" s="46">
        <f ca="1">_xlfn.MAXIFS(INDIRECT("$BC"&amp;IF(SUMPRODUCT(LARGE(($C$8:$C56=$C56)*$A$8:$A56,LEFT($BA$7,FIND(" ",$BA$7)-1)))=0,8,SUMPRODUCT(LARGE(($C$8:$C56=$C56)*$A$8:$A56,LEFT($BA$7,FIND(" ",$BA$7)-1)))+7)&amp;":$BC"&amp;ROW()),INDIRECT("$C"&amp;IF(SUMPRODUCT(LARGE(($C$8:$C56=$C56)*$A$8:$A56,LEFT($BA$7,FIND(" ",$BA$7)-1)))=0,8,SUMPRODUCT(LARGE(($C$8:$C56=$C56)*$A$8:$A56,LEFT($BA$7,FIND(" ",$BA$7)-1)))+7)&amp;":$C"&amp;ROW()),$C56)</f>
        <v>67.116850683491066</v>
      </c>
      <c r="BG56" s="46">
        <f t="array" aca="1" ref="BG56" ca="1">IFERROR(SUMPRODUCT(LARGE(($C$8:$C56=Table1[[#This Row],[Climber]])*$AW$8:$AW56,ROW(INDIRECT("1:5")))),AW56)/MIN(COUNTIFS($C$8:$C56,C56),5)</f>
        <v>283.75838274142654</v>
      </c>
      <c r="BH56" s="46"/>
    </row>
    <row r="57" spans="1:60" x14ac:dyDescent="0.3">
      <c r="A57" s="125">
        <f t="shared" si="1"/>
        <v>50</v>
      </c>
      <c r="B57" s="25">
        <f>'Rock Climbing Log'!B57</f>
        <v>43153</v>
      </c>
      <c r="C57" s="126" t="str">
        <f>'Rock Climbing Log'!C57</f>
        <v>Jan</v>
      </c>
      <c r="D57" s="26">
        <f>_xlfn.IFNA(IF(LEFT('Rock Climbing Log'!D57)="C",_xlfn.IFNA(VLOOKUP('Rock Climbing Log'!D57,'RC Lookup'!$A$3:$B$9,2,FALSE),0.5),VLOOKUP('Rock Climbing Log'!D57,'RC Lookup'!$G$3:$H$5,2,FALSE)),0)*VLOOKUP(D$7,'RC Lookup'!$D$3:$E$18,2,FALSE)</f>
        <v>0</v>
      </c>
      <c r="E57" s="26">
        <f>_xlfn.IFNA(IF(LEFT('Rock Climbing Log'!E57)="C",_xlfn.IFNA(VLOOKUP('Rock Climbing Log'!E57,'RC Lookup'!$A$3:$B$9,2,FALSE),0.5),VLOOKUP('Rock Climbing Log'!E57,'RC Lookup'!$G$3:$H$5,2,FALSE)),0)*VLOOKUP(D$7,'RC Lookup'!$D$3:$E$18,2,FALSE)</f>
        <v>0</v>
      </c>
      <c r="F57" s="26">
        <f>_xlfn.IFNA(IF(LEFT('Rock Climbing Log'!F57)="C",_xlfn.IFNA(VLOOKUP('Rock Climbing Log'!F57,'RC Lookup'!$A$3:$B$9,2,FALSE),0.5),VLOOKUP('Rock Climbing Log'!F57,'RC Lookup'!$G$3:$H$5,2,FALSE)),0)*VLOOKUP(D$7,'RC Lookup'!$D$3:$E$18,2,FALSE)</f>
        <v>0</v>
      </c>
      <c r="G57" s="26">
        <f>_xlfn.IFNA(IF(LEFT('Rock Climbing Log'!G57)="C",_xlfn.IFNA(VLOOKUP('Rock Climbing Log'!G57,'RC Lookup'!$A$3:$B$9,2,FALSE),0.5),VLOOKUP('Rock Climbing Log'!G57,'RC Lookup'!$G$3:$H$5,2,FALSE)),0)*VLOOKUP(G$7,'RC Lookup'!$D$3:$E$18,2,FALSE)</f>
        <v>0</v>
      </c>
      <c r="H57" s="26">
        <f>_xlfn.IFNA(IF(LEFT('Rock Climbing Log'!H57)="C",_xlfn.IFNA(VLOOKUP('Rock Climbing Log'!H57,'RC Lookup'!$A$3:$B$9,2,FALSE),0.5),VLOOKUP('Rock Climbing Log'!H57,'RC Lookup'!$G$3:$H$5,2,FALSE)),0)*VLOOKUP(G$7,'RC Lookup'!$D$3:$E$18,2,FALSE)</f>
        <v>0</v>
      </c>
      <c r="I57" s="26">
        <f>_xlfn.IFNA(IF(LEFT('Rock Climbing Log'!I57)="C",_xlfn.IFNA(VLOOKUP('Rock Climbing Log'!I57,'RC Lookup'!$A$3:$B$9,2,FALSE),0.5),VLOOKUP('Rock Climbing Log'!I57,'RC Lookup'!$G$3:$H$5,2,FALSE)),0)*VLOOKUP(G$7,'RC Lookup'!$D$3:$E$18,2,FALSE)</f>
        <v>0</v>
      </c>
      <c r="J57" s="26">
        <f>_xlfn.IFNA(IF(LEFT('Rock Climbing Log'!J57)="C",_xlfn.IFNA(VLOOKUP('Rock Climbing Log'!J57,'RC Lookup'!$A$3:$B$9,2,FALSE),0.5),VLOOKUP('Rock Climbing Log'!J57,'RC Lookup'!$G$3:$H$5,2,FALSE)),0)*VLOOKUP(J$7,'RC Lookup'!$D$3:$E$18,2,FALSE)</f>
        <v>15.75</v>
      </c>
      <c r="K57" s="26">
        <f>_xlfn.IFNA(IF(LEFT('Rock Climbing Log'!K57)="C",_xlfn.IFNA(VLOOKUP('Rock Climbing Log'!K57,'RC Lookup'!$A$3:$B$9,2,FALSE),0.5),VLOOKUP('Rock Climbing Log'!K57,'RC Lookup'!$G$3:$H$5,2,FALSE)),0)*VLOOKUP(J$7,'RC Lookup'!$D$3:$E$18,2,FALSE)</f>
        <v>0</v>
      </c>
      <c r="L57" s="26">
        <f>_xlfn.IFNA(IF(LEFT('Rock Climbing Log'!L57)="C",_xlfn.IFNA(VLOOKUP('Rock Climbing Log'!L57,'RC Lookup'!$A$3:$B$9,2,FALSE),0.5),VLOOKUP('Rock Climbing Log'!L57,'RC Lookup'!$G$3:$H$5,2,FALSE)),0)*VLOOKUP(J$7,'RC Lookup'!$D$3:$E$18,2,FALSE)</f>
        <v>0</v>
      </c>
      <c r="M57" s="26">
        <f>_xlfn.IFNA(IF(LEFT('Rock Climbing Log'!M57)="C",_xlfn.IFNA(VLOOKUP('Rock Climbing Log'!M57,'RC Lookup'!$A$3:$B$9,2,FALSE),0.5),VLOOKUP('Rock Climbing Log'!M57,'RC Lookup'!$G$3:$H$5,2,FALSE)),0)*VLOOKUP(M$7,'RC Lookup'!$D$3:$E$18,2,FALSE)</f>
        <v>20.002500000000001</v>
      </c>
      <c r="N57" s="26">
        <f>_xlfn.IFNA(IF(LEFT('Rock Climbing Log'!N57)="C",_xlfn.IFNA(VLOOKUP('Rock Climbing Log'!N57,'RC Lookup'!$A$3:$B$9,2,FALSE),0.5),VLOOKUP('Rock Climbing Log'!N57,'RC Lookup'!$G$3:$H$5,2,FALSE)),0)*VLOOKUP(M$7,'RC Lookup'!$D$3:$E$18,2,FALSE)</f>
        <v>0</v>
      </c>
      <c r="O57" s="26">
        <f>_xlfn.IFNA(IF(LEFT('Rock Climbing Log'!O57)="C",_xlfn.IFNA(VLOOKUP('Rock Climbing Log'!O57,'RC Lookup'!$A$3:$B$9,2,FALSE),0.5),VLOOKUP('Rock Climbing Log'!O57,'RC Lookup'!$G$3:$H$5,2,FALSE)),0)*VLOOKUP(M$7,'RC Lookup'!$D$3:$E$18,2,FALSE)</f>
        <v>0</v>
      </c>
      <c r="P57" s="26">
        <f>_xlfn.IFNA(IF(LEFT('Rock Climbing Log'!P57)="C",_xlfn.IFNA(VLOOKUP('Rock Climbing Log'!P57,'RC Lookup'!$A$3:$B$9,2,FALSE),0.5),VLOOKUP('Rock Climbing Log'!P57,'RC Lookup'!$G$3:$H$5,2,FALSE)),0)*VLOOKUP(P$7,'RC Lookup'!$D$3:$E$18,2,FALSE)</f>
        <v>0</v>
      </c>
      <c r="Q57" s="26">
        <f>_xlfn.IFNA(IF(LEFT('Rock Climbing Log'!Q57)="C",_xlfn.IFNA(VLOOKUP('Rock Climbing Log'!Q57,'RC Lookup'!$A$3:$B$9,2,FALSE),0.5),VLOOKUP('Rock Climbing Log'!Q57,'RC Lookup'!$G$3:$H$5,2,FALSE)),0)*VLOOKUP(P$7,'RC Lookup'!$D$3:$E$18,2,FALSE)</f>
        <v>0</v>
      </c>
      <c r="R57" s="26">
        <f>_xlfn.IFNA(IF(LEFT('Rock Climbing Log'!R57)="C",_xlfn.IFNA(VLOOKUP('Rock Climbing Log'!R57,'RC Lookup'!$A$3:$B$9,2,FALSE),0.5),VLOOKUP('Rock Climbing Log'!R57,'RC Lookup'!$G$3:$H$5,2,FALSE)),0)*VLOOKUP(P$7,'RC Lookup'!$D$3:$E$18,2,FALSE)</f>
        <v>0</v>
      </c>
      <c r="S57" s="26">
        <f>_xlfn.IFNA(IF(LEFT('Rock Climbing Log'!S57)="C",_xlfn.IFNA(VLOOKUP('Rock Climbing Log'!S57,'RC Lookup'!$A$3:$B$9,2,FALSE),0.5),VLOOKUP('Rock Climbing Log'!S57,'RC Lookup'!$G$3:$H$5,2,FALSE)),0)*VLOOKUP(S$7,'RC Lookup'!$D$3:$E$18,2,FALSE)</f>
        <v>0</v>
      </c>
      <c r="T57" s="26">
        <f>_xlfn.IFNA(IF(LEFT('Rock Climbing Log'!T57)="C",_xlfn.IFNA(VLOOKUP('Rock Climbing Log'!T57,'RC Lookup'!$A$3:$B$9,2,FALSE),0.5),VLOOKUP('Rock Climbing Log'!T57,'RC Lookup'!$G$3:$H$5,2,FALSE)),0)*VLOOKUP(S$7,'RC Lookup'!$D$3:$E$18,2,FALSE)</f>
        <v>0</v>
      </c>
      <c r="U57" s="26">
        <f>_xlfn.IFNA(IF(LEFT('Rock Climbing Log'!U57)="C",_xlfn.IFNA(VLOOKUP('Rock Climbing Log'!U57,'RC Lookup'!$A$3:$B$9,2,FALSE),0.5),VLOOKUP('Rock Climbing Log'!U57,'RC Lookup'!$G$3:$H$5,2,FALSE)),0)*VLOOKUP(S$7,'RC Lookup'!$D$3:$E$18,2,FALSE)</f>
        <v>0</v>
      </c>
      <c r="V57" s="26">
        <f>_xlfn.IFNA(IF(LEFT('Rock Climbing Log'!V57)="C",_xlfn.IFNA(VLOOKUP('Rock Climbing Log'!V57,'RC Lookup'!$A$3:$B$9,2,FALSE),0.5),VLOOKUP('Rock Climbing Log'!V57,'RC Lookup'!$G$3:$H$5,2,FALSE)),0)*VLOOKUP(V$7,'RC Lookup'!$D$3:$E$18,2,FALSE)</f>
        <v>35.256745742400021</v>
      </c>
      <c r="W57" s="26">
        <f>_xlfn.IFNA(IF(LEFT('Rock Climbing Log'!W57)="C",_xlfn.IFNA(VLOOKUP('Rock Climbing Log'!W57,'RC Lookup'!$A$3:$B$9,2,FALSE),0.5),VLOOKUP('Rock Climbing Log'!W57,'RC Lookup'!$G$3:$H$5,2,FALSE)),0)*VLOOKUP(V$7,'RC Lookup'!$D$3:$E$18,2,FALSE)</f>
        <v>35.256745742400021</v>
      </c>
      <c r="X57" s="26">
        <f>_xlfn.IFNA(IF(LEFT('Rock Climbing Log'!X57)="C",_xlfn.IFNA(VLOOKUP('Rock Climbing Log'!X57,'RC Lookup'!$A$3:$B$9,2,FALSE),0.5),VLOOKUP('Rock Climbing Log'!X57,'RC Lookup'!$G$3:$H$5,2,FALSE)),0)*VLOOKUP(V$7,'RC Lookup'!$D$3:$E$18,2,FALSE)</f>
        <v>0</v>
      </c>
      <c r="Y57" s="26">
        <f>_xlfn.IFNA(IF(LEFT('Rock Climbing Log'!Y57)="C",_xlfn.IFNA(VLOOKUP('Rock Climbing Log'!Y57,'RC Lookup'!$A$3:$B$9,2,FALSE),0.5),VLOOKUP('Rock Climbing Log'!Y57,'RC Lookup'!$G$3:$H$5,2,FALSE)),0)*VLOOKUP(Y$7,'RC Lookup'!$D$3:$E$18,2,FALSE)</f>
        <v>0</v>
      </c>
      <c r="Z57" s="26">
        <f>_xlfn.IFNA(IF(LEFT('Rock Climbing Log'!Z57)="C",_xlfn.IFNA(VLOOKUP('Rock Climbing Log'!Z57,'RC Lookup'!$A$3:$B$9,2,FALSE),0.5),VLOOKUP('Rock Climbing Log'!Z57,'RC Lookup'!$G$3:$H$5,2,FALSE)),0)*VLOOKUP(Y$7,'RC Lookup'!$D$3:$E$18,2,FALSE)</f>
        <v>0</v>
      </c>
      <c r="AA57" s="26">
        <f>_xlfn.IFNA(IF(LEFT('Rock Climbing Log'!AA57)="C",_xlfn.IFNA(VLOOKUP('Rock Climbing Log'!AA57,'RC Lookup'!$A$3:$B$9,2,FALSE),0.5),VLOOKUP('Rock Climbing Log'!AA57,'RC Lookup'!$G$3:$H$5,2,FALSE)),0)*VLOOKUP(Y$7,'RC Lookup'!$D$3:$E$18,2,FALSE)</f>
        <v>0</v>
      </c>
      <c r="AB57" s="26">
        <f>_xlfn.IFNA(IF(LEFT('Rock Climbing Log'!AB57)="C",_xlfn.IFNA(VLOOKUP('Rock Climbing Log'!AB57,'RC Lookup'!$A$3:$B$9,2,FALSE),0.5),VLOOKUP('Rock Climbing Log'!AB57,'RC Lookup'!$G$3:$H$5,2,FALSE)),0)*VLOOKUP(AB$7,'RC Lookup'!$D$3:$E$18,2,FALSE)</f>
        <v>0</v>
      </c>
      <c r="AC57" s="26">
        <f>_xlfn.IFNA(IF(LEFT('Rock Climbing Log'!AC57)="C",_xlfn.IFNA(VLOOKUP('Rock Climbing Log'!AC57,'RC Lookup'!$A$3:$B$9,2,FALSE),0.5),VLOOKUP('Rock Climbing Log'!AC57,'RC Lookup'!$G$3:$H$5,2,FALSE)),0)*VLOOKUP(AB$7,'RC Lookup'!$D$3:$E$18,2,FALSE)</f>
        <v>0</v>
      </c>
      <c r="AD57" s="26">
        <f>_xlfn.IFNA(IF(LEFT('Rock Climbing Log'!AD57)="C",_xlfn.IFNA(VLOOKUP('Rock Climbing Log'!AD57,'RC Lookup'!$A$3:$B$9,2,FALSE),0.5),VLOOKUP('Rock Climbing Log'!AD57,'RC Lookup'!$G$3:$H$5,2,FALSE)),0)*VLOOKUP(AB$7,'RC Lookup'!$D$3:$E$18,2,FALSE)</f>
        <v>0</v>
      </c>
      <c r="AE57" s="26">
        <f>_xlfn.IFNA(IF(LEFT('Rock Climbing Log'!AE57)="C",_xlfn.IFNA(VLOOKUP('Rock Climbing Log'!AE57,'RC Lookup'!$A$3:$B$9,2,FALSE),0.5),VLOOKUP('Rock Climbing Log'!AE57,'RC Lookup'!$G$3:$H$5,2,FALSE)),0)*VLOOKUP(AE$7,'RC Lookup'!$D$3:$E$18,2,FALSE)</f>
        <v>0</v>
      </c>
      <c r="AF57" s="26">
        <f>_xlfn.IFNA(IF(LEFT('Rock Climbing Log'!AF57)="C",_xlfn.IFNA(VLOOKUP('Rock Climbing Log'!AF57,'RC Lookup'!$A$3:$B$9,2,FALSE),0.5),VLOOKUP('Rock Climbing Log'!AF57,'RC Lookup'!$G$3:$H$5,2,FALSE)),0)*VLOOKUP(AE$7,'RC Lookup'!$D$3:$E$18,2,FALSE)</f>
        <v>0</v>
      </c>
      <c r="AG57" s="26">
        <f>_xlfn.IFNA(IF(LEFT('Rock Climbing Log'!AG57)="C",_xlfn.IFNA(VLOOKUP('Rock Climbing Log'!AG57,'RC Lookup'!$A$3:$B$9,2,FALSE),0.5),VLOOKUP('Rock Climbing Log'!AG57,'RC Lookup'!$G$3:$H$5,2,FALSE)),0)*VLOOKUP(AE$7,'RC Lookup'!$D$3:$E$18,2,FALSE)</f>
        <v>0</v>
      </c>
      <c r="AH57" s="26">
        <f>_xlfn.IFNA(IF(LEFT('Rock Climbing Log'!AH57)="C",_xlfn.IFNA(VLOOKUP('Rock Climbing Log'!AH57,'RC Lookup'!$A$3:$B$9,2,FALSE),0.5),VLOOKUP('Rock Climbing Log'!AH57,'RC Lookup'!$G$3:$H$5,2,FALSE)),0)*VLOOKUP(AH$7,'RC Lookup'!$D$3:$E$18,2,FALSE)</f>
        <v>0</v>
      </c>
      <c r="AI57" s="26">
        <f>_xlfn.IFNA(IF(LEFT('Rock Climbing Log'!AI57)="C",_xlfn.IFNA(VLOOKUP('Rock Climbing Log'!AI57,'RC Lookup'!$A$3:$B$9,2,FALSE),0.5),VLOOKUP('Rock Climbing Log'!AI57,'RC Lookup'!$G$3:$H$5,2,FALSE)),0)*VLOOKUP(AH$7,'RC Lookup'!$D$3:$E$18,2,FALSE)</f>
        <v>0</v>
      </c>
      <c r="AJ57" s="26">
        <f>_xlfn.IFNA(IF(LEFT('Rock Climbing Log'!AJ57)="C",_xlfn.IFNA(VLOOKUP('Rock Climbing Log'!AJ57,'RC Lookup'!$A$3:$B$9,2,FALSE),0.5),VLOOKUP('Rock Climbing Log'!AJ57,'RC Lookup'!$G$3:$H$5,2,FALSE)),0)*VLOOKUP(AH$7,'RC Lookup'!$D$3:$E$18,2,FALSE)</f>
        <v>0</v>
      </c>
      <c r="AK57" s="26">
        <f>_xlfn.IFNA(IF(LEFT('Rock Climbing Log'!AK57)="C",_xlfn.IFNA(VLOOKUP('Rock Climbing Log'!AK57,'RC Lookup'!$A$3:$B$9,2,FALSE),0.5),VLOOKUP('Rock Climbing Log'!AK57,'RC Lookup'!$G$3:$H$5,2,FALSE)),0)*VLOOKUP(AK$7,'RC Lookup'!$D$3:$E$18,2,FALSE)</f>
        <v>0</v>
      </c>
      <c r="AL57" s="26">
        <f>_xlfn.IFNA(IF(LEFT('Rock Climbing Log'!AL57)="C",_xlfn.IFNA(VLOOKUP('Rock Climbing Log'!AL57,'RC Lookup'!$A$3:$B$9,2,FALSE),0.5),VLOOKUP('Rock Climbing Log'!AL57,'RC Lookup'!$G$3:$H$5,2,FALSE)),0)*VLOOKUP(AK$7,'RC Lookup'!$D$3:$E$18,2,FALSE)</f>
        <v>0</v>
      </c>
      <c r="AM57" s="26">
        <f>_xlfn.IFNA(IF(LEFT('Rock Climbing Log'!AM57)="C",_xlfn.IFNA(VLOOKUP('Rock Climbing Log'!AM57,'RC Lookup'!$A$3:$B$9,2,FALSE),0.5),VLOOKUP('Rock Climbing Log'!AM57,'RC Lookup'!$G$3:$H$5,2,FALSE)),0)*VLOOKUP(AK$7,'RC Lookup'!$D$3:$E$18,2,FALSE)</f>
        <v>0</v>
      </c>
      <c r="AN57" s="26">
        <f>_xlfn.IFNA(IF(LEFT('Rock Climbing Log'!AN57)="C",_xlfn.IFNA(VLOOKUP('Rock Climbing Log'!AN57,'RC Lookup'!$A$3:$B$9,2,FALSE),0.5),VLOOKUP('Rock Climbing Log'!AN57,'RC Lookup'!$G$3:$H$5,2,FALSE)),0)*VLOOKUP(AN$7,'RC Lookup'!$D$3:$E$18,2,FALSE)</f>
        <v>0</v>
      </c>
      <c r="AO57" s="26">
        <f>_xlfn.IFNA(IF(LEFT('Rock Climbing Log'!AO57)="C",_xlfn.IFNA(VLOOKUP('Rock Climbing Log'!AO57,'RC Lookup'!$A$3:$B$9,2,FALSE),0.5),VLOOKUP('Rock Climbing Log'!AO57,'RC Lookup'!$G$3:$H$5,2,FALSE)),0)*VLOOKUP(AN$7,'RC Lookup'!$D$3:$E$18,2,FALSE)</f>
        <v>0</v>
      </c>
      <c r="AP57" s="26">
        <f>_xlfn.IFNA(IF(LEFT('Rock Climbing Log'!AP57)="C",_xlfn.IFNA(VLOOKUP('Rock Climbing Log'!AP57,'RC Lookup'!$A$3:$B$9,2,FALSE),0.5),VLOOKUP('Rock Climbing Log'!AP57,'RC Lookup'!$G$3:$H$5,2,FALSE)),0)*VLOOKUP(AN$7,'RC Lookup'!$D$3:$E$18,2,FALSE)</f>
        <v>0</v>
      </c>
      <c r="AQ57" s="26">
        <f>_xlfn.IFNA(IF(LEFT('Rock Climbing Log'!AQ57)="C",_xlfn.IFNA(VLOOKUP('Rock Climbing Log'!AQ57,'RC Lookup'!$A$3:$B$9,2,FALSE),0.5),VLOOKUP('Rock Climbing Log'!AQ57,'RC Lookup'!$G$3:$H$5,2,FALSE)),0)*VLOOKUP(AQ$7,'RC Lookup'!$D$3:$E$18,2,FALSE)</f>
        <v>0</v>
      </c>
      <c r="AR57" s="26">
        <f>_xlfn.IFNA(IF(LEFT('Rock Climbing Log'!AR57)="C",_xlfn.IFNA(VLOOKUP('Rock Climbing Log'!AR57,'RC Lookup'!$A$3:$B$9,2,FALSE),0.5),VLOOKUP('Rock Climbing Log'!AR57,'RC Lookup'!$G$3:$H$5,2,FALSE)),0)*VLOOKUP(AQ$7,'RC Lookup'!$D$3:$E$18,2,FALSE)</f>
        <v>0</v>
      </c>
      <c r="AS57" s="26">
        <f>_xlfn.IFNA(IF(LEFT('Rock Climbing Log'!AS57)="C",_xlfn.IFNA(VLOOKUP('Rock Climbing Log'!AS57,'RC Lookup'!$A$3:$B$9,2,FALSE),0.5),VLOOKUP('Rock Climbing Log'!AS57,'RC Lookup'!$G$3:$H$5,2,FALSE)),0)*VLOOKUP(AQ$7,'RC Lookup'!$D$3:$E$18,2,FALSE)</f>
        <v>0</v>
      </c>
      <c r="AT57" s="26">
        <f>_xlfn.IFNA(IF(LEFT('Rock Climbing Log'!AT57)="C",_xlfn.IFNA(VLOOKUP('Rock Climbing Log'!AT57,'RC Lookup'!$A$3:$B$9,2,FALSE),0.5),VLOOKUP('Rock Climbing Log'!AT57,'RC Lookup'!$G$3:$H$5,2,FALSE)),0)*VLOOKUP(AT$7,'RC Lookup'!$D$3:$E$18,2,FALSE)</f>
        <v>0</v>
      </c>
      <c r="AU57" s="26">
        <f>_xlfn.IFNA(IF(LEFT('Rock Climbing Log'!AU57)="C",_xlfn.IFNA(VLOOKUP('Rock Climbing Log'!AU57,'RC Lookup'!$A$3:$B$9,2,FALSE),0.5),VLOOKUP('Rock Climbing Log'!AU57,'RC Lookup'!$G$3:$H$5,2,FALSE)),0)*VLOOKUP(AT$7,'RC Lookup'!$D$3:$E$18,2,FALSE)</f>
        <v>0</v>
      </c>
      <c r="AV57" s="26">
        <f>_xlfn.IFNA(IF(LEFT('Rock Climbing Log'!AV57)="C",_xlfn.IFNA(VLOOKUP('Rock Climbing Log'!AV57,'RC Lookup'!$A$3:$B$9,2,FALSE),0.5),VLOOKUP('Rock Climbing Log'!AV57,'RC Lookup'!$G$3:$H$5,2,FALSE)),0)*VLOOKUP(AT$7,'RC Lookup'!$D$3:$E$18,2,FALSE)</f>
        <v>0</v>
      </c>
      <c r="AW57" s="30">
        <f t="shared" ca="1" si="2"/>
        <v>90.51599148480004</v>
      </c>
      <c r="AX57" s="30">
        <f ca="1">_xlfn.IFNA(VLOOKUP(SUMPRODUCT(LARGE(($C$8:$C57=Table1[[#This Row],[Climber]])*$A$8:$A57,1)),$A$8:$AW57,MATCH($AW$7,$A$7:$AW$7,FALSE),FALSE),0)/LEFT($AX$7,FIND(" ",$AX$7))+_xlfn.IFNA(VLOOKUP(SUMPRODUCT(LARGE(($C$8:$C57=Table1[[#This Row],[Climber]])*$A$8:$A57,MIN(2,COUNTIFS($C$8:$C57,$C57)))),$A$8:$AW57,MATCH($AW$7,$A$7:$AW$7,FALSE),FALSE),0)/LEFT($AX$7,FIND(" ",$AX$7))+_xlfn.IFNA(VLOOKUP(SUMPRODUCT(LARGE(($C$8:$C57=Table1[[#This Row],[Climber]])*$A$8:$A57,MIN(3,COUNTIFS($C$8:$C57,$C57)))),$A$8:$AW57,MATCH($AW$7,$A$7:$AW$7,FALSE),FALSE),0)/LEFT($AX$7,FIND(" ",$AX$7))</f>
        <v>90.233713903200055</v>
      </c>
      <c r="AY57" s="30">
        <f ca="1">_xlfn.IFNA(VLOOKUP(SUMPRODUCT(LARGE(($C$8:$C57=Table1[[#This Row],[Climber]])*$A$8:$A57,1)),$A$8:$AW57,MATCH($AW$7,$A$7:$AW$7,FALSE),FALSE),0)/LEFT($AY$7,FIND(" ",$AY$7))+_xlfn.IFNA(VLOOKUP(SUMPRODUCT(LARGE(($C$8:$C57=Table1[[#This Row],[Climber]])*$A$8:$A57,MIN(2,COUNTIFS($C$8:$C57,$C57)))),$A$8:$AW57,MATCH($AW$7,$A$7:$AW$7,FALSE),FALSE),0)/LEFT($AY$7,FIND(" ",$AY$7))+_xlfn.IFNA(VLOOKUP(SUMPRODUCT(LARGE(($C$8:$C57=Table1[[#This Row],[Climber]])*$A$8:$A57,MIN(3,COUNTIFS($C$8:$C57,$C57)))),$A$8:$AW57,MATCH($AW$7,$A$7:$AW$7,FALSE),FALSE),0)/LEFT($AY$7,FIND(" ",$AY$7))+_xlfn.IFNA(VLOOKUP(SUMPRODUCT(LARGE(($C$8:$C57=Table1[[#This Row],[Climber]])*$A$8:$A57,MIN(4,COUNTIFS($C$8:$C57,$C57)))),$A$8:$AW57,MATCH($AW$7,$A$7:$AW$7,FALSE),FALSE),0)/LEFT($AY$7,FIND(" ",$AY$7))+_xlfn.IFNA(VLOOKUP(SUMPRODUCT(LARGE(($C$8:$C57=Table1[[#This Row],[Climber]])*$A$8:$A57,MIN(5,COUNTIFS($C$8:$C57,$C57)))),$A$8:$AW57,MATCH($AW$7,$A$7:$AW$7,FALSE),FALSE),0)/LEFT($AY$7,FIND(" ",$AY$7))</f>
        <v>74.541678341920033</v>
      </c>
      <c r="AZ57" s="30">
        <f ca="1">(_xlfn.IFNA(VLOOKUP(SUMPRODUCT(LARGE(($C$8:$C57=Table1[[#This Row],[Climber]])*$A$8:$A57,4)),$A$8:$AW57,MATCH($AW$7,$A$7:$AW$7,FALSE),FALSE),0)+_xlfn.IFNA(VLOOKUP(SUMPRODUCT(LARGE(($C$8:$C57=Table1[[#This Row],[Climber]])*$A$8:$A57,5)),$A$8:$AW57,MATCH($AW$7,$A$7:$AW$7,FALSE),FALSE),0)+_xlfn.IFNA(VLOOKUP(SUMPRODUCT(LARGE(($C$8:$C57=Table1[[#This Row],[Climber]])*$A$8:$A57,6)),$A$8:$AW57,MATCH($AW$7,$A$7:$AW$7,FALSE),FALSE),0))/3</f>
        <v>52.587416666666662</v>
      </c>
      <c r="BA57" s="46">
        <f ca="1">_xlfn.MAXIFS(INDIRECT("$AW"&amp;IF(SUMPRODUCT(LARGE(($C$8:$C57=$C57)*$A$8:$A57,LEFT($BA$7,FIND(" ",$BA$7)-1)))=0,8,SUMPRODUCT(LARGE(($C$8:$C57=$C57)*$A$8:$A57,LEFT($BA$7,FIND(" ",$BA$7)-1)))+7)&amp;":$AW"&amp;ROW()),INDIRECT("$C"&amp;IF(SUMPRODUCT(LARGE(($C$8:$C57=$C57)*$A$8:$A57,LEFT($BA$7,FIND(" ",$BA$7)-1)))=0,8,SUMPRODUCT(LARGE(($C$8:$C57=$C57)*$A$8:$A57,LEFT($BA$7,FIND(" ",$BA$7)-1)))+7)&amp;":$C"&amp;ROW()),$C57)</f>
        <v>93.921658740000055</v>
      </c>
      <c r="BB57" s="46" t="str">
        <f ca="1">VLOOKUP(MAX(BG57,$AX57),'RC Lookup'!$G$14:$J$20,2,TRUE)</f>
        <v>T3</v>
      </c>
      <c r="BC57" s="46">
        <f ca="1">_xlfn.IFNA(VLOOKUP(VLOOKUP($C57,'RC Lookup'!$O$3:$P$50,2,FALSE),'RC Lookup'!$H$14:$J$23,2,FALSE),0)*AW57</f>
        <v>69.462614659048015</v>
      </c>
      <c r="BD57" s="6">
        <f ca="1">_xlfn.IFNA(VLOOKUP(SUMPRODUCT(LARGE(($C$8:$C57=Table1[[#This Row],[Climber]])*$A$8:$A57,1)),$A$8:$BC57,55,FALSE),0)/LEFT($AX$7,FIND(" ",$AX$7))+_xlfn.IFNA(VLOOKUP(SUMPRODUCT(LARGE(($C$8:$C57=Table1[[#This Row],[Climber]])*$A$8:$A57,MIN(2,COUNTIFS($C$8:$C57,$C57)))),$A$8:$BC57,55,FALSE),0)/LEFT($AX$7,FIND(" ",$AX$7))+_xlfn.IFNA(VLOOKUP(SUMPRODUCT(LARGE(($C$8:$C57=Table1[[#This Row],[Climber]])*$A$8:$A57,MIN(3,COUNTIFS($C$8:$C57,$C57)))),$A$8:$BC57,55,FALSE),0)/LEFT($AX$7,FIND(" ",$AX$7))</f>
        <v>69.245992838351711</v>
      </c>
      <c r="BE57" s="6">
        <f ca="1">(_xlfn.IFNA(VLOOKUP(SUMPRODUCT(LARGE(($C$8:$C57=Table1[[#This Row],[Climber]])*$A$8:$A57,4)),$A$8:$BD57,55,FALSE),0)+_xlfn.IFNA(VLOOKUP(SUMPRODUCT(LARGE(($C$8:$C57=Table1[[#This Row],[Climber]])*$A$8:$A57,5)),$A$8:$BD57,55,FALSE),0)+_xlfn.IFNA(VLOOKUP(SUMPRODUCT(LARGE(($C$8:$C57=Table1[[#This Row],[Climber]])*$A$8:$A57,6)),$A$8:$BD57,55,FALSE),0))/3</f>
        <v>40.355956996227292</v>
      </c>
      <c r="BF57" s="46">
        <f ca="1">_xlfn.MAXIFS(INDIRECT("$BC"&amp;IF(SUMPRODUCT(LARGE(($C$8:$C57=$C57)*$A$8:$A57,LEFT($BA$7,FIND(" ",$BA$7)-1)))=0,8,SUMPRODUCT(LARGE(($C$8:$C57=$C57)*$A$8:$A57,LEFT($BA$7,FIND(" ",$BA$7)-1)))+7)&amp;":$BC"&amp;ROW()),INDIRECT("$C"&amp;IF(SUMPRODUCT(LARGE(($C$8:$C57=$C57)*$A$8:$A57,LEFT($BA$7,FIND(" ",$BA$7)-1)))=0,8,SUMPRODUCT(LARGE(($C$8:$C57=$C57)*$A$8:$A57,LEFT($BA$7,FIND(" ",$BA$7)-1)))+7)&amp;":$C"&amp;ROW()),$C57)</f>
        <v>72.076147895820014</v>
      </c>
      <c r="BG57" s="46">
        <f t="array" aca="1" ref="BG57" ca="1">IFERROR(SUMPRODUCT(LARGE(($C$8:$C57=Table1[[#This Row],[Climber]])*$AW$8:$AW57,ROW(INDIRECT("1:5")))),AW57)/MIN(COUNTIFS($C$8:$C57,C57),5)</f>
        <v>76.652821152188835</v>
      </c>
      <c r="BH57" s="46"/>
    </row>
    <row r="58" spans="1:60" x14ac:dyDescent="0.3">
      <c r="A58" s="125">
        <f t="shared" si="1"/>
        <v>51</v>
      </c>
      <c r="B58" s="25">
        <f>'Rock Climbing Log'!B58</f>
        <v>43153</v>
      </c>
      <c r="C58" s="126" t="str">
        <f>'Rock Climbing Log'!C58</f>
        <v>Michelle</v>
      </c>
      <c r="D58" s="26">
        <f>_xlfn.IFNA(IF(LEFT('Rock Climbing Log'!D58)="C",_xlfn.IFNA(VLOOKUP('Rock Climbing Log'!D58,'RC Lookup'!$A$3:$B$9,2,FALSE),0.5),VLOOKUP('Rock Climbing Log'!D58,'RC Lookup'!$G$3:$H$5,2,FALSE)),0)*VLOOKUP(D$7,'RC Lookup'!$D$3:$E$18,2,FALSE)</f>
        <v>0</v>
      </c>
      <c r="E58" s="26">
        <f>_xlfn.IFNA(IF(LEFT('Rock Climbing Log'!E58)="C",_xlfn.IFNA(VLOOKUP('Rock Climbing Log'!E58,'RC Lookup'!$A$3:$B$9,2,FALSE),0.5),VLOOKUP('Rock Climbing Log'!E58,'RC Lookup'!$G$3:$H$5,2,FALSE)),0)*VLOOKUP(D$7,'RC Lookup'!$D$3:$E$18,2,FALSE)</f>
        <v>0</v>
      </c>
      <c r="F58" s="26">
        <f>_xlfn.IFNA(IF(LEFT('Rock Climbing Log'!F58)="C",_xlfn.IFNA(VLOOKUP('Rock Climbing Log'!F58,'RC Lookup'!$A$3:$B$9,2,FALSE),0.5),VLOOKUP('Rock Climbing Log'!F58,'RC Lookup'!$G$3:$H$5,2,FALSE)),0)*VLOOKUP(D$7,'RC Lookup'!$D$3:$E$18,2,FALSE)</f>
        <v>0</v>
      </c>
      <c r="G58" s="26">
        <f>_xlfn.IFNA(IF(LEFT('Rock Climbing Log'!G58)="C",_xlfn.IFNA(VLOOKUP('Rock Climbing Log'!G58,'RC Lookup'!$A$3:$B$9,2,FALSE),0.5),VLOOKUP('Rock Climbing Log'!G58,'RC Lookup'!$G$3:$H$5,2,FALSE)),0)*VLOOKUP(G$7,'RC Lookup'!$D$3:$E$18,2,FALSE)</f>
        <v>0</v>
      </c>
      <c r="H58" s="26">
        <f>_xlfn.IFNA(IF(LEFT('Rock Climbing Log'!H58)="C",_xlfn.IFNA(VLOOKUP('Rock Climbing Log'!H58,'RC Lookup'!$A$3:$B$9,2,FALSE),0.5),VLOOKUP('Rock Climbing Log'!H58,'RC Lookup'!$G$3:$H$5,2,FALSE)),0)*VLOOKUP(G$7,'RC Lookup'!$D$3:$E$18,2,FALSE)</f>
        <v>0</v>
      </c>
      <c r="I58" s="26">
        <f>_xlfn.IFNA(IF(LEFT('Rock Climbing Log'!I58)="C",_xlfn.IFNA(VLOOKUP('Rock Climbing Log'!I58,'RC Lookup'!$A$3:$B$9,2,FALSE),0.5),VLOOKUP('Rock Climbing Log'!I58,'RC Lookup'!$G$3:$H$5,2,FALSE)),0)*VLOOKUP(G$7,'RC Lookup'!$D$3:$E$18,2,FALSE)</f>
        <v>0</v>
      </c>
      <c r="J58" s="26">
        <f>_xlfn.IFNA(IF(LEFT('Rock Climbing Log'!J58)="C",_xlfn.IFNA(VLOOKUP('Rock Climbing Log'!J58,'RC Lookup'!$A$3:$B$9,2,FALSE),0.5),VLOOKUP('Rock Climbing Log'!J58,'RC Lookup'!$G$3:$H$5,2,FALSE)),0)*VLOOKUP(J$7,'RC Lookup'!$D$3:$E$18,2,FALSE)</f>
        <v>15.75</v>
      </c>
      <c r="K58" s="26">
        <f>_xlfn.IFNA(IF(LEFT('Rock Climbing Log'!K58)="C",_xlfn.IFNA(VLOOKUP('Rock Climbing Log'!K58,'RC Lookup'!$A$3:$B$9,2,FALSE),0.5),VLOOKUP('Rock Climbing Log'!K58,'RC Lookup'!$G$3:$H$5,2,FALSE)),0)*VLOOKUP(J$7,'RC Lookup'!$D$3:$E$18,2,FALSE)</f>
        <v>15.75</v>
      </c>
      <c r="L58" s="26">
        <f>_xlfn.IFNA(IF(LEFT('Rock Climbing Log'!L58)="C",_xlfn.IFNA(VLOOKUP('Rock Climbing Log'!L58,'RC Lookup'!$A$3:$B$9,2,FALSE),0.5),VLOOKUP('Rock Climbing Log'!L58,'RC Lookup'!$G$3:$H$5,2,FALSE)),0)*VLOOKUP(J$7,'RC Lookup'!$D$3:$E$18,2,FALSE)</f>
        <v>0</v>
      </c>
      <c r="M58" s="26">
        <f>_xlfn.IFNA(IF(LEFT('Rock Climbing Log'!M58)="C",_xlfn.IFNA(VLOOKUP('Rock Climbing Log'!M58,'RC Lookup'!$A$3:$B$9,2,FALSE),0.5),VLOOKUP('Rock Climbing Log'!M58,'RC Lookup'!$G$3:$H$5,2,FALSE)),0)*VLOOKUP(M$7,'RC Lookup'!$D$3:$E$18,2,FALSE)</f>
        <v>20.002500000000001</v>
      </c>
      <c r="N58" s="26">
        <f>_xlfn.IFNA(IF(LEFT('Rock Climbing Log'!N58)="C",_xlfn.IFNA(VLOOKUP('Rock Climbing Log'!N58,'RC Lookup'!$A$3:$B$9,2,FALSE),0.5),VLOOKUP('Rock Climbing Log'!N58,'RC Lookup'!$G$3:$H$5,2,FALSE)),0)*VLOOKUP(M$7,'RC Lookup'!$D$3:$E$18,2,FALSE)</f>
        <v>20.002500000000001</v>
      </c>
      <c r="O58" s="26">
        <f>_xlfn.IFNA(IF(LEFT('Rock Climbing Log'!O58)="C",_xlfn.IFNA(VLOOKUP('Rock Climbing Log'!O58,'RC Lookup'!$A$3:$B$9,2,FALSE),0.5),VLOOKUP('Rock Climbing Log'!O58,'RC Lookup'!$G$3:$H$5,2,FALSE)),0)*VLOOKUP(M$7,'RC Lookup'!$D$3:$E$18,2,FALSE)</f>
        <v>0</v>
      </c>
      <c r="P58" s="26">
        <f>_xlfn.IFNA(IF(LEFT('Rock Climbing Log'!P58)="C",_xlfn.IFNA(VLOOKUP('Rock Climbing Log'!P58,'RC Lookup'!$A$3:$B$9,2,FALSE),0.5),VLOOKUP('Rock Climbing Log'!P58,'RC Lookup'!$G$3:$H$5,2,FALSE)),0)*VLOOKUP(P$7,'RC Lookup'!$D$3:$E$18,2,FALSE)</f>
        <v>0</v>
      </c>
      <c r="Q58" s="26">
        <f>_xlfn.IFNA(IF(LEFT('Rock Climbing Log'!Q58)="C",_xlfn.IFNA(VLOOKUP('Rock Climbing Log'!Q58,'RC Lookup'!$A$3:$B$9,2,FALSE),0.5),VLOOKUP('Rock Climbing Log'!Q58,'RC Lookup'!$G$3:$H$5,2,FALSE)),0)*VLOOKUP(P$7,'RC Lookup'!$D$3:$E$18,2,FALSE)</f>
        <v>0</v>
      </c>
      <c r="R58" s="26">
        <f>_xlfn.IFNA(IF(LEFT('Rock Climbing Log'!R58)="C",_xlfn.IFNA(VLOOKUP('Rock Climbing Log'!R58,'RC Lookup'!$A$3:$B$9,2,FALSE),0.5),VLOOKUP('Rock Climbing Log'!R58,'RC Lookup'!$G$3:$H$5,2,FALSE)),0)*VLOOKUP(P$7,'RC Lookup'!$D$3:$E$18,2,FALSE)</f>
        <v>0</v>
      </c>
      <c r="S58" s="26">
        <f>_xlfn.IFNA(IF(LEFT('Rock Climbing Log'!S58)="C",_xlfn.IFNA(VLOOKUP('Rock Climbing Log'!S58,'RC Lookup'!$A$3:$B$9,2,FALSE),0.5),VLOOKUP('Rock Climbing Log'!S58,'RC Lookup'!$G$3:$H$5,2,FALSE)),0)*VLOOKUP(S$7,'RC Lookup'!$D$3:$E$18,2,FALSE)</f>
        <v>0</v>
      </c>
      <c r="T58" s="26">
        <f>_xlfn.IFNA(IF(LEFT('Rock Climbing Log'!T58)="C",_xlfn.IFNA(VLOOKUP('Rock Climbing Log'!T58,'RC Lookup'!$A$3:$B$9,2,FALSE),0.5),VLOOKUP('Rock Climbing Log'!T58,'RC Lookup'!$G$3:$H$5,2,FALSE)),0)*VLOOKUP(S$7,'RC Lookup'!$D$3:$E$18,2,FALSE)</f>
        <v>0</v>
      </c>
      <c r="U58" s="26">
        <f>_xlfn.IFNA(IF(LEFT('Rock Climbing Log'!U58)="C",_xlfn.IFNA(VLOOKUP('Rock Climbing Log'!U58,'RC Lookup'!$A$3:$B$9,2,FALSE),0.5),VLOOKUP('Rock Climbing Log'!U58,'RC Lookup'!$G$3:$H$5,2,FALSE)),0)*VLOOKUP(S$7,'RC Lookup'!$D$3:$E$18,2,FALSE)</f>
        <v>0</v>
      </c>
      <c r="V58" s="26">
        <f>_xlfn.IFNA(IF(LEFT('Rock Climbing Log'!V58)="C",_xlfn.IFNA(VLOOKUP('Rock Climbing Log'!V58,'RC Lookup'!$A$3:$B$9,2,FALSE),0.5),VLOOKUP('Rock Climbing Log'!V58,'RC Lookup'!$G$3:$H$5,2,FALSE)),0)*VLOOKUP(V$7,'RC Lookup'!$D$3:$E$18,2,FALSE)</f>
        <v>35.256745742400021</v>
      </c>
      <c r="W58" s="26">
        <f>_xlfn.IFNA(IF(LEFT('Rock Climbing Log'!W58)="C",_xlfn.IFNA(VLOOKUP('Rock Climbing Log'!W58,'RC Lookup'!$A$3:$B$9,2,FALSE),0.5),VLOOKUP('Rock Climbing Log'!W58,'RC Lookup'!$G$3:$H$5,2,FALSE)),0)*VLOOKUP(V$7,'RC Lookup'!$D$3:$E$18,2,FALSE)</f>
        <v>17.628372871200011</v>
      </c>
      <c r="X58" s="26">
        <f>_xlfn.IFNA(IF(LEFT('Rock Climbing Log'!X58)="C",_xlfn.IFNA(VLOOKUP('Rock Climbing Log'!X58,'RC Lookup'!$A$3:$B$9,2,FALSE),0.5),VLOOKUP('Rock Climbing Log'!X58,'RC Lookup'!$G$3:$H$5,2,FALSE)),0)*VLOOKUP(V$7,'RC Lookup'!$D$3:$E$18,2,FALSE)</f>
        <v>0</v>
      </c>
      <c r="Y58" s="26">
        <f>_xlfn.IFNA(IF(LEFT('Rock Climbing Log'!Y58)="C",_xlfn.IFNA(VLOOKUP('Rock Climbing Log'!Y58,'RC Lookup'!$A$3:$B$9,2,FALSE),0.5),VLOOKUP('Rock Climbing Log'!Y58,'RC Lookup'!$G$3:$H$5,2,FALSE)),0)*VLOOKUP(Y$7,'RC Lookup'!$D$3:$E$18,2,FALSE)</f>
        <v>0</v>
      </c>
      <c r="Z58" s="26">
        <f>_xlfn.IFNA(IF(LEFT('Rock Climbing Log'!Z58)="C",_xlfn.IFNA(VLOOKUP('Rock Climbing Log'!Z58,'RC Lookup'!$A$3:$B$9,2,FALSE),0.5),VLOOKUP('Rock Climbing Log'!Z58,'RC Lookup'!$G$3:$H$5,2,FALSE)),0)*VLOOKUP(Y$7,'RC Lookup'!$D$3:$E$18,2,FALSE)</f>
        <v>0</v>
      </c>
      <c r="AA58" s="26">
        <f>_xlfn.IFNA(IF(LEFT('Rock Climbing Log'!AA58)="C",_xlfn.IFNA(VLOOKUP('Rock Climbing Log'!AA58,'RC Lookup'!$A$3:$B$9,2,FALSE),0.5),VLOOKUP('Rock Climbing Log'!AA58,'RC Lookup'!$G$3:$H$5,2,FALSE)),0)*VLOOKUP(Y$7,'RC Lookup'!$D$3:$E$18,2,FALSE)</f>
        <v>0</v>
      </c>
      <c r="AB58" s="26">
        <f>_xlfn.IFNA(IF(LEFT('Rock Climbing Log'!AB58)="C",_xlfn.IFNA(VLOOKUP('Rock Climbing Log'!AB58,'RC Lookup'!$A$3:$B$9,2,FALSE),0.5),VLOOKUP('Rock Climbing Log'!AB58,'RC Lookup'!$G$3:$H$5,2,FALSE)),0)*VLOOKUP(AB$7,'RC Lookup'!$D$3:$E$18,2,FALSE)</f>
        <v>0</v>
      </c>
      <c r="AC58" s="26">
        <f>_xlfn.IFNA(IF(LEFT('Rock Climbing Log'!AC58)="C",_xlfn.IFNA(VLOOKUP('Rock Climbing Log'!AC58,'RC Lookup'!$A$3:$B$9,2,FALSE),0.5),VLOOKUP('Rock Climbing Log'!AC58,'RC Lookup'!$G$3:$H$5,2,FALSE)),0)*VLOOKUP(AB$7,'RC Lookup'!$D$3:$E$18,2,FALSE)</f>
        <v>0</v>
      </c>
      <c r="AD58" s="26">
        <f>_xlfn.IFNA(IF(LEFT('Rock Climbing Log'!AD58)="C",_xlfn.IFNA(VLOOKUP('Rock Climbing Log'!AD58,'RC Lookup'!$A$3:$B$9,2,FALSE),0.5),VLOOKUP('Rock Climbing Log'!AD58,'RC Lookup'!$G$3:$H$5,2,FALSE)),0)*VLOOKUP(AB$7,'RC Lookup'!$D$3:$E$18,2,FALSE)</f>
        <v>0</v>
      </c>
      <c r="AE58" s="26">
        <f>_xlfn.IFNA(IF(LEFT('Rock Climbing Log'!AE58)="C",_xlfn.IFNA(VLOOKUP('Rock Climbing Log'!AE58,'RC Lookup'!$A$3:$B$9,2,FALSE),0.5),VLOOKUP('Rock Climbing Log'!AE58,'RC Lookup'!$G$3:$H$5,2,FALSE)),0)*VLOOKUP(AE$7,'RC Lookup'!$D$3:$E$18,2,FALSE)</f>
        <v>0</v>
      </c>
      <c r="AF58" s="26">
        <f>_xlfn.IFNA(IF(LEFT('Rock Climbing Log'!AF58)="C",_xlfn.IFNA(VLOOKUP('Rock Climbing Log'!AF58,'RC Lookup'!$A$3:$B$9,2,FALSE),0.5),VLOOKUP('Rock Climbing Log'!AF58,'RC Lookup'!$G$3:$H$5,2,FALSE)),0)*VLOOKUP(AE$7,'RC Lookup'!$D$3:$E$18,2,FALSE)</f>
        <v>0</v>
      </c>
      <c r="AG58" s="26">
        <f>_xlfn.IFNA(IF(LEFT('Rock Climbing Log'!AG58)="C",_xlfn.IFNA(VLOOKUP('Rock Climbing Log'!AG58,'RC Lookup'!$A$3:$B$9,2,FALSE),0.5),VLOOKUP('Rock Climbing Log'!AG58,'RC Lookup'!$G$3:$H$5,2,FALSE)),0)*VLOOKUP(AE$7,'RC Lookup'!$D$3:$E$18,2,FALSE)</f>
        <v>0</v>
      </c>
      <c r="AH58" s="26">
        <f>_xlfn.IFNA(IF(LEFT('Rock Climbing Log'!AH58)="C",_xlfn.IFNA(VLOOKUP('Rock Climbing Log'!AH58,'RC Lookup'!$A$3:$B$9,2,FALSE),0.5),VLOOKUP('Rock Climbing Log'!AH58,'RC Lookup'!$G$3:$H$5,2,FALSE)),0)*VLOOKUP(AH$7,'RC Lookup'!$D$3:$E$18,2,FALSE)</f>
        <v>0</v>
      </c>
      <c r="AI58" s="26">
        <f>_xlfn.IFNA(IF(LEFT('Rock Climbing Log'!AI58)="C",_xlfn.IFNA(VLOOKUP('Rock Climbing Log'!AI58,'RC Lookup'!$A$3:$B$9,2,FALSE),0.5),VLOOKUP('Rock Climbing Log'!AI58,'RC Lookup'!$G$3:$H$5,2,FALSE)),0)*VLOOKUP(AH$7,'RC Lookup'!$D$3:$E$18,2,FALSE)</f>
        <v>0</v>
      </c>
      <c r="AJ58" s="26">
        <f>_xlfn.IFNA(IF(LEFT('Rock Climbing Log'!AJ58)="C",_xlfn.IFNA(VLOOKUP('Rock Climbing Log'!AJ58,'RC Lookup'!$A$3:$B$9,2,FALSE),0.5),VLOOKUP('Rock Climbing Log'!AJ58,'RC Lookup'!$G$3:$H$5,2,FALSE)),0)*VLOOKUP(AH$7,'RC Lookup'!$D$3:$E$18,2,FALSE)</f>
        <v>0</v>
      </c>
      <c r="AK58" s="26">
        <f>_xlfn.IFNA(IF(LEFT('Rock Climbing Log'!AK58)="C",_xlfn.IFNA(VLOOKUP('Rock Climbing Log'!AK58,'RC Lookup'!$A$3:$B$9,2,FALSE),0.5),VLOOKUP('Rock Climbing Log'!AK58,'RC Lookup'!$G$3:$H$5,2,FALSE)),0)*VLOOKUP(AK$7,'RC Lookup'!$D$3:$E$18,2,FALSE)</f>
        <v>0</v>
      </c>
      <c r="AL58" s="26">
        <f>_xlfn.IFNA(IF(LEFT('Rock Climbing Log'!AL58)="C",_xlfn.IFNA(VLOOKUP('Rock Climbing Log'!AL58,'RC Lookup'!$A$3:$B$9,2,FALSE),0.5),VLOOKUP('Rock Climbing Log'!AL58,'RC Lookup'!$G$3:$H$5,2,FALSE)),0)*VLOOKUP(AK$7,'RC Lookup'!$D$3:$E$18,2,FALSE)</f>
        <v>0</v>
      </c>
      <c r="AM58" s="26">
        <f>_xlfn.IFNA(IF(LEFT('Rock Climbing Log'!AM58)="C",_xlfn.IFNA(VLOOKUP('Rock Climbing Log'!AM58,'RC Lookup'!$A$3:$B$9,2,FALSE),0.5),VLOOKUP('Rock Climbing Log'!AM58,'RC Lookup'!$G$3:$H$5,2,FALSE)),0)*VLOOKUP(AK$7,'RC Lookup'!$D$3:$E$18,2,FALSE)</f>
        <v>0</v>
      </c>
      <c r="AN58" s="26">
        <f>_xlfn.IFNA(IF(LEFT('Rock Climbing Log'!AN58)="C",_xlfn.IFNA(VLOOKUP('Rock Climbing Log'!AN58,'RC Lookup'!$A$3:$B$9,2,FALSE),0.5),VLOOKUP('Rock Climbing Log'!AN58,'RC Lookup'!$G$3:$H$5,2,FALSE)),0)*VLOOKUP(AN$7,'RC Lookup'!$D$3:$E$18,2,FALSE)</f>
        <v>0</v>
      </c>
      <c r="AO58" s="26">
        <f>_xlfn.IFNA(IF(LEFT('Rock Climbing Log'!AO58)="C",_xlfn.IFNA(VLOOKUP('Rock Climbing Log'!AO58,'RC Lookup'!$A$3:$B$9,2,FALSE),0.5),VLOOKUP('Rock Climbing Log'!AO58,'RC Lookup'!$G$3:$H$5,2,FALSE)),0)*VLOOKUP(AN$7,'RC Lookup'!$D$3:$E$18,2,FALSE)</f>
        <v>0</v>
      </c>
      <c r="AP58" s="26">
        <f>_xlfn.IFNA(IF(LEFT('Rock Climbing Log'!AP58)="C",_xlfn.IFNA(VLOOKUP('Rock Climbing Log'!AP58,'RC Lookup'!$A$3:$B$9,2,FALSE),0.5),VLOOKUP('Rock Climbing Log'!AP58,'RC Lookup'!$G$3:$H$5,2,FALSE)),0)*VLOOKUP(AN$7,'RC Lookup'!$D$3:$E$18,2,FALSE)</f>
        <v>0</v>
      </c>
      <c r="AQ58" s="26">
        <f>_xlfn.IFNA(IF(LEFT('Rock Climbing Log'!AQ58)="C",_xlfn.IFNA(VLOOKUP('Rock Climbing Log'!AQ58,'RC Lookup'!$A$3:$B$9,2,FALSE),0.5),VLOOKUP('Rock Climbing Log'!AQ58,'RC Lookup'!$G$3:$H$5,2,FALSE)),0)*VLOOKUP(AQ$7,'RC Lookup'!$D$3:$E$18,2,FALSE)</f>
        <v>0</v>
      </c>
      <c r="AR58" s="26">
        <f>_xlfn.IFNA(IF(LEFT('Rock Climbing Log'!AR58)="C",_xlfn.IFNA(VLOOKUP('Rock Climbing Log'!AR58,'RC Lookup'!$A$3:$B$9,2,FALSE),0.5),VLOOKUP('Rock Climbing Log'!AR58,'RC Lookup'!$G$3:$H$5,2,FALSE)),0)*VLOOKUP(AQ$7,'RC Lookup'!$D$3:$E$18,2,FALSE)</f>
        <v>0</v>
      </c>
      <c r="AS58" s="26">
        <f>_xlfn.IFNA(IF(LEFT('Rock Climbing Log'!AS58)="C",_xlfn.IFNA(VLOOKUP('Rock Climbing Log'!AS58,'RC Lookup'!$A$3:$B$9,2,FALSE),0.5),VLOOKUP('Rock Climbing Log'!AS58,'RC Lookup'!$G$3:$H$5,2,FALSE)),0)*VLOOKUP(AQ$7,'RC Lookup'!$D$3:$E$18,2,FALSE)</f>
        <v>0</v>
      </c>
      <c r="AT58" s="26">
        <f>_xlfn.IFNA(IF(LEFT('Rock Climbing Log'!AT58)="C",_xlfn.IFNA(VLOOKUP('Rock Climbing Log'!AT58,'RC Lookup'!$A$3:$B$9,2,FALSE),0.5),VLOOKUP('Rock Climbing Log'!AT58,'RC Lookup'!$G$3:$H$5,2,FALSE)),0)*VLOOKUP(AT$7,'RC Lookup'!$D$3:$E$18,2,FALSE)</f>
        <v>0</v>
      </c>
      <c r="AU58" s="26">
        <f>_xlfn.IFNA(IF(LEFT('Rock Climbing Log'!AU58)="C",_xlfn.IFNA(VLOOKUP('Rock Climbing Log'!AU58,'RC Lookup'!$A$3:$B$9,2,FALSE),0.5),VLOOKUP('Rock Climbing Log'!AU58,'RC Lookup'!$G$3:$H$5,2,FALSE)),0)*VLOOKUP(AT$7,'RC Lookup'!$D$3:$E$18,2,FALSE)</f>
        <v>0</v>
      </c>
      <c r="AV58" s="26">
        <f>_xlfn.IFNA(IF(LEFT('Rock Climbing Log'!AV58)="C",_xlfn.IFNA(VLOOKUP('Rock Climbing Log'!AV58,'RC Lookup'!$A$3:$B$9,2,FALSE),0.5),VLOOKUP('Rock Climbing Log'!AV58,'RC Lookup'!$G$3:$H$5,2,FALSE)),0)*VLOOKUP(AT$7,'RC Lookup'!$D$3:$E$18,2,FALSE)</f>
        <v>0</v>
      </c>
      <c r="AW58" s="30">
        <f t="shared" ca="1" si="2"/>
        <v>75.261745742400024</v>
      </c>
      <c r="AX58" s="30">
        <f ca="1">_xlfn.IFNA(VLOOKUP(SUMPRODUCT(LARGE(($C$8:$C58=Table1[[#This Row],[Climber]])*$A$8:$A58,1)),$A$8:$AW58,MATCH($AW$7,$A$7:$AW$7,FALSE),FALSE),0)/LEFT($AX$7,FIND(" ",$AX$7))+_xlfn.IFNA(VLOOKUP(SUMPRODUCT(LARGE(($C$8:$C58=Table1[[#This Row],[Climber]])*$A$8:$A58,MIN(2,COUNTIFS($C$8:$C58,$C58)))),$A$8:$AW58,MATCH($AW$7,$A$7:$AW$7,FALSE),FALSE),0)/LEFT($AX$7,FIND(" ",$AX$7))+_xlfn.IFNA(VLOOKUP(SUMPRODUCT(LARGE(($C$8:$C58=Table1[[#This Row],[Climber]])*$A$8:$A58,MIN(3,COUNTIFS($C$8:$C58,$C58)))),$A$8:$AW58,MATCH($AW$7,$A$7:$AW$7,FALSE),FALSE),0)/LEFT($AX$7,FIND(" ",$AX$7))</f>
        <v>61.842273165062892</v>
      </c>
      <c r="AY58" s="30">
        <f ca="1">_xlfn.IFNA(VLOOKUP(SUMPRODUCT(LARGE(($C$8:$C58=Table1[[#This Row],[Climber]])*$A$8:$A58,1)),$A$8:$AW58,MATCH($AW$7,$A$7:$AW$7,FALSE),FALSE),0)/LEFT($AY$7,FIND(" ",$AY$7))+_xlfn.IFNA(VLOOKUP(SUMPRODUCT(LARGE(($C$8:$C58=Table1[[#This Row],[Climber]])*$A$8:$A58,MIN(2,COUNTIFS($C$8:$C58,$C58)))),$A$8:$AW58,MATCH($AW$7,$A$7:$AW$7,FALSE),FALSE),0)/LEFT($AY$7,FIND(" ",$AY$7))+_xlfn.IFNA(VLOOKUP(SUMPRODUCT(LARGE(($C$8:$C58=Table1[[#This Row],[Climber]])*$A$8:$A58,MIN(3,COUNTIFS($C$8:$C58,$C58)))),$A$8:$AW58,MATCH($AW$7,$A$7:$AW$7,FALSE),FALSE),0)/LEFT($AY$7,FIND(" ",$AY$7))+_xlfn.IFNA(VLOOKUP(SUMPRODUCT(LARGE(($C$8:$C58=Table1[[#This Row],[Climber]])*$A$8:$A58,MIN(4,COUNTIFS($C$8:$C58,$C58)))),$A$8:$AW58,MATCH($AW$7,$A$7:$AW$7,FALSE),FALSE),0)/LEFT($AY$7,FIND(" ",$AY$7))+_xlfn.IFNA(VLOOKUP(SUMPRODUCT(LARGE(($C$8:$C58=Table1[[#This Row],[Climber]])*$A$8:$A58,MIN(5,COUNTIFS($C$8:$C58,$C58)))),$A$8:$AW58,MATCH($AW$7,$A$7:$AW$7,FALSE),FALSE),0)/LEFT($AY$7,FIND(" ",$AY$7))</f>
        <v>56.608663047517744</v>
      </c>
      <c r="AZ58" s="30">
        <f ca="1">(_xlfn.IFNA(VLOOKUP(SUMPRODUCT(LARGE(($C$8:$C58=Table1[[#This Row],[Climber]])*$A$8:$A58,4)),$A$8:$AW58,MATCH($AW$7,$A$7:$AW$7,FALSE),FALSE),0)+_xlfn.IFNA(VLOOKUP(SUMPRODUCT(LARGE(($C$8:$C58=Table1[[#This Row],[Climber]])*$A$8:$A58,5)),$A$8:$AW58,MATCH($AW$7,$A$7:$AW$7,FALSE),FALSE),0)+_xlfn.IFNA(VLOOKUP(SUMPRODUCT(LARGE(($C$8:$C58=Table1[[#This Row],[Climber]])*$A$8:$A58,6)),$A$8:$AW58,MATCH($AW$7,$A$7:$AW$7,FALSE),FALSE),0))/3</f>
        <v>45.005498580800008</v>
      </c>
      <c r="BA58" s="46">
        <f ca="1">_xlfn.MAXIFS(INDIRECT("$AW"&amp;IF(SUMPRODUCT(LARGE(($C$8:$C58=$C58)*$A$8:$A58,LEFT($BA$7,FIND(" ",$BA$7)-1)))=0,8,SUMPRODUCT(LARGE(($C$8:$C58=$C58)*$A$8:$A58,LEFT($BA$7,FIND(" ",$BA$7)-1)))+7)&amp;":$AW"&amp;ROW()),INDIRECT("$C"&amp;IF(SUMPRODUCT(LARGE(($C$8:$C58=$C58)*$A$8:$A58,LEFT($BA$7,FIND(" ",$BA$7)-1)))=0,8,SUMPRODUCT(LARGE(($C$8:$C58=$C58)*$A$8:$A58,LEFT($BA$7,FIND(" ",$BA$7)-1)))+7)&amp;":$C"&amp;ROW()),$C58)</f>
        <v>75.261745742400024</v>
      </c>
      <c r="BB58" s="46" t="str">
        <f ca="1">VLOOKUP(MAX(BG58,$AX58),'RC Lookup'!$G$14:$J$20,2,TRUE)</f>
        <v>T2</v>
      </c>
      <c r="BC58" s="46">
        <f ca="1">_xlfn.IFNA(VLOOKUP(VLOOKUP($C58,'RC Lookup'!$O$3:$P$50,2,FALSE),'RC Lookup'!$H$14:$J$23,2,FALSE),0)*AW58</f>
        <v>86.810176674271105</v>
      </c>
      <c r="BD58" s="6">
        <f ca="1">_xlfn.IFNA(VLOOKUP(SUMPRODUCT(LARGE(($C$8:$C58=Table1[[#This Row],[Climber]])*$A$8:$A58,1)),$A$8:$BC58,55,FALSE),0)/LEFT($AX$7,FIND(" ",$AX$7))+_xlfn.IFNA(VLOOKUP(SUMPRODUCT(LARGE(($C$8:$C58=Table1[[#This Row],[Climber]])*$A$8:$A58,MIN(2,COUNTIFS($C$8:$C58,$C58)))),$A$8:$BC58,55,FALSE),0)/LEFT($AX$7,FIND(" ",$AX$7))+_xlfn.IFNA(VLOOKUP(SUMPRODUCT(LARGE(($C$8:$C58=Table1[[#This Row],[Climber]])*$A$8:$A58,MIN(3,COUNTIFS($C$8:$C58,$C58)))),$A$8:$BC58,55,FALSE),0)/LEFT($AX$7,FIND(" ",$AX$7))</f>
        <v>71.3315723205871</v>
      </c>
      <c r="BE58" s="6">
        <f ca="1">(_xlfn.IFNA(VLOOKUP(SUMPRODUCT(LARGE(($C$8:$C58=Table1[[#This Row],[Climber]])*$A$8:$A58,4)),$A$8:$BD58,55,FALSE),0)+_xlfn.IFNA(VLOOKUP(SUMPRODUCT(LARGE(($C$8:$C58=Table1[[#This Row],[Climber]])*$A$8:$A58,5)),$A$8:$BD58,55,FALSE),0)+_xlfn.IFNA(VLOOKUP(SUMPRODUCT(LARGE(($C$8:$C58=Table1[[#This Row],[Climber]])*$A$8:$A58,6)),$A$8:$BD58,55,FALSE),0))/3</f>
        <v>51.911302941141656</v>
      </c>
      <c r="BF58" s="46">
        <f ca="1">_xlfn.MAXIFS(INDIRECT("$BC"&amp;IF(SUMPRODUCT(LARGE(($C$8:$C58=$C58)*$A$8:$A58,LEFT($BA$7,FIND(" ",$BA$7)-1)))=0,8,SUMPRODUCT(LARGE(($C$8:$C58=$C58)*$A$8:$A58,LEFT($BA$7,FIND(" ",$BA$7)-1)))+7)&amp;":$BC"&amp;ROW()),INDIRECT("$C"&amp;IF(SUMPRODUCT(LARGE(($C$8:$C58=$C58)*$A$8:$A58,LEFT($BA$7,FIND(" ",$BA$7)-1)))=0,8,SUMPRODUCT(LARGE(($C$8:$C58=$C58)*$A$8:$A58,LEFT($BA$7,FIND(" ",$BA$7)-1)))+7)&amp;":$C"&amp;ROW()),$C58)</f>
        <v>86.810176674271105</v>
      </c>
      <c r="BG58" s="46">
        <f t="array" aca="1" ref="BG58" ca="1">IFERROR(SUMPRODUCT(LARGE(($C$8:$C58=Table1[[#This Row],[Climber]])*$AW$8:$AW58,ROW(INDIRECT("1:5")))),AW58)/MIN(COUNTIFS($C$8:$C58,C58),5)</f>
        <v>56.608663047517744</v>
      </c>
    </row>
    <row r="59" spans="1:60" x14ac:dyDescent="0.3">
      <c r="A59" s="125">
        <f t="shared" si="1"/>
        <v>52</v>
      </c>
      <c r="B59" s="25">
        <f>'Rock Climbing Log'!B59</f>
        <v>43156</v>
      </c>
      <c r="C59" s="126" t="str">
        <f>'Rock Climbing Log'!C59</f>
        <v>Oz</v>
      </c>
      <c r="D59" s="26">
        <f>_xlfn.IFNA(IF(LEFT('Rock Climbing Log'!D59)="C",_xlfn.IFNA(VLOOKUP('Rock Climbing Log'!D59,'RC Lookup'!$A$3:$B$9,2,FALSE),0.5),VLOOKUP('Rock Climbing Log'!D59,'RC Lookup'!$G$3:$H$5,2,FALSE)),0)*VLOOKUP(D$7,'RC Lookup'!$D$3:$E$18,2,FALSE)</f>
        <v>0</v>
      </c>
      <c r="E59" s="26">
        <f>_xlfn.IFNA(IF(LEFT('Rock Climbing Log'!E59)="C",_xlfn.IFNA(VLOOKUP('Rock Climbing Log'!E59,'RC Lookup'!$A$3:$B$9,2,FALSE),0.5),VLOOKUP('Rock Climbing Log'!E59,'RC Lookup'!$G$3:$H$5,2,FALSE)),0)*VLOOKUP(D$7,'RC Lookup'!$D$3:$E$18,2,FALSE)</f>
        <v>0</v>
      </c>
      <c r="F59" s="26">
        <f>_xlfn.IFNA(IF(LEFT('Rock Climbing Log'!F59)="C",_xlfn.IFNA(VLOOKUP('Rock Climbing Log'!F59,'RC Lookup'!$A$3:$B$9,2,FALSE),0.5),VLOOKUP('Rock Climbing Log'!F59,'RC Lookup'!$G$3:$H$5,2,FALSE)),0)*VLOOKUP(D$7,'RC Lookup'!$D$3:$E$18,2,FALSE)</f>
        <v>0</v>
      </c>
      <c r="G59" s="26">
        <f>_xlfn.IFNA(IF(LEFT('Rock Climbing Log'!G59)="C",_xlfn.IFNA(VLOOKUP('Rock Climbing Log'!G59,'RC Lookup'!$A$3:$B$9,2,FALSE),0.5),VLOOKUP('Rock Climbing Log'!G59,'RC Lookup'!$G$3:$H$5,2,FALSE)),0)*VLOOKUP(G$7,'RC Lookup'!$D$3:$E$18,2,FALSE)</f>
        <v>0</v>
      </c>
      <c r="H59" s="26">
        <f>_xlfn.IFNA(IF(LEFT('Rock Climbing Log'!H59)="C",_xlfn.IFNA(VLOOKUP('Rock Climbing Log'!H59,'RC Lookup'!$A$3:$B$9,2,FALSE),0.5),VLOOKUP('Rock Climbing Log'!H59,'RC Lookup'!$G$3:$H$5,2,FALSE)),0)*VLOOKUP(G$7,'RC Lookup'!$D$3:$E$18,2,FALSE)</f>
        <v>0</v>
      </c>
      <c r="I59" s="26">
        <f>_xlfn.IFNA(IF(LEFT('Rock Climbing Log'!I59)="C",_xlfn.IFNA(VLOOKUP('Rock Climbing Log'!I59,'RC Lookup'!$A$3:$B$9,2,FALSE),0.5),VLOOKUP('Rock Climbing Log'!I59,'RC Lookup'!$G$3:$H$5,2,FALSE)),0)*VLOOKUP(G$7,'RC Lookup'!$D$3:$E$18,2,FALSE)</f>
        <v>0</v>
      </c>
      <c r="J59" s="26">
        <f>_xlfn.IFNA(IF(LEFT('Rock Climbing Log'!J59)="C",_xlfn.IFNA(VLOOKUP('Rock Climbing Log'!J59,'RC Lookup'!$A$3:$B$9,2,FALSE),0.5),VLOOKUP('Rock Climbing Log'!J59,'RC Lookup'!$G$3:$H$5,2,FALSE)),0)*VLOOKUP(J$7,'RC Lookup'!$D$3:$E$18,2,FALSE)</f>
        <v>15.75</v>
      </c>
      <c r="K59" s="26">
        <f>_xlfn.IFNA(IF(LEFT('Rock Climbing Log'!K59)="C",_xlfn.IFNA(VLOOKUP('Rock Climbing Log'!K59,'RC Lookup'!$A$3:$B$9,2,FALSE),0.5),VLOOKUP('Rock Climbing Log'!K59,'RC Lookup'!$G$3:$H$5,2,FALSE)),0)*VLOOKUP(J$7,'RC Lookup'!$D$3:$E$18,2,FALSE)</f>
        <v>0</v>
      </c>
      <c r="L59" s="26">
        <f>_xlfn.IFNA(IF(LEFT('Rock Climbing Log'!L59)="C",_xlfn.IFNA(VLOOKUP('Rock Climbing Log'!L59,'RC Lookup'!$A$3:$B$9,2,FALSE),0.5),VLOOKUP('Rock Climbing Log'!L59,'RC Lookup'!$G$3:$H$5,2,FALSE)),0)*VLOOKUP(J$7,'RC Lookup'!$D$3:$E$18,2,FALSE)</f>
        <v>0</v>
      </c>
      <c r="M59" s="26">
        <f>_xlfn.IFNA(IF(LEFT('Rock Climbing Log'!M59)="C",_xlfn.IFNA(VLOOKUP('Rock Climbing Log'!M59,'RC Lookup'!$A$3:$B$9,2,FALSE),0.5),VLOOKUP('Rock Climbing Log'!M59,'RC Lookup'!$G$3:$H$5,2,FALSE)),0)*VLOOKUP(M$7,'RC Lookup'!$D$3:$E$18,2,FALSE)</f>
        <v>0</v>
      </c>
      <c r="N59" s="26">
        <f>_xlfn.IFNA(IF(LEFT('Rock Climbing Log'!N59)="C",_xlfn.IFNA(VLOOKUP('Rock Climbing Log'!N59,'RC Lookup'!$A$3:$B$9,2,FALSE),0.5),VLOOKUP('Rock Climbing Log'!N59,'RC Lookup'!$G$3:$H$5,2,FALSE)),0)*VLOOKUP(M$7,'RC Lookup'!$D$3:$E$18,2,FALSE)</f>
        <v>0</v>
      </c>
      <c r="O59" s="26">
        <f>_xlfn.IFNA(IF(LEFT('Rock Climbing Log'!O59)="C",_xlfn.IFNA(VLOOKUP('Rock Climbing Log'!O59,'RC Lookup'!$A$3:$B$9,2,FALSE),0.5),VLOOKUP('Rock Climbing Log'!O59,'RC Lookup'!$G$3:$H$5,2,FALSE)),0)*VLOOKUP(M$7,'RC Lookup'!$D$3:$E$18,2,FALSE)</f>
        <v>0</v>
      </c>
      <c r="P59" s="26">
        <f>_xlfn.IFNA(IF(LEFT('Rock Climbing Log'!P59)="C",_xlfn.IFNA(VLOOKUP('Rock Climbing Log'!P59,'RC Lookup'!$A$3:$B$9,2,FALSE),0.5),VLOOKUP('Rock Climbing Log'!P59,'RC Lookup'!$G$3:$H$5,2,FALSE)),0)*VLOOKUP(P$7,'RC Lookup'!$D$3:$E$18,2,FALSE)</f>
        <v>0</v>
      </c>
      <c r="Q59" s="26">
        <f>_xlfn.IFNA(IF(LEFT('Rock Climbing Log'!Q59)="C",_xlfn.IFNA(VLOOKUP('Rock Climbing Log'!Q59,'RC Lookup'!$A$3:$B$9,2,FALSE),0.5),VLOOKUP('Rock Climbing Log'!Q59,'RC Lookup'!$G$3:$H$5,2,FALSE)),0)*VLOOKUP(P$7,'RC Lookup'!$D$3:$E$18,2,FALSE)</f>
        <v>0</v>
      </c>
      <c r="R59" s="26">
        <f>_xlfn.IFNA(IF(LEFT('Rock Climbing Log'!R59)="C",_xlfn.IFNA(VLOOKUP('Rock Climbing Log'!R59,'RC Lookup'!$A$3:$B$9,2,FALSE),0.5),VLOOKUP('Rock Climbing Log'!R59,'RC Lookup'!$G$3:$H$5,2,FALSE)),0)*VLOOKUP(P$7,'RC Lookup'!$D$3:$E$18,2,FALSE)</f>
        <v>0</v>
      </c>
      <c r="S59" s="26">
        <f>_xlfn.IFNA(IF(LEFT('Rock Climbing Log'!S59)="C",_xlfn.IFNA(VLOOKUP('Rock Climbing Log'!S59,'RC Lookup'!$A$3:$B$9,2,FALSE),0.5),VLOOKUP('Rock Climbing Log'!S59,'RC Lookup'!$G$3:$H$5,2,FALSE)),0)*VLOOKUP(S$7,'RC Lookup'!$D$3:$E$18,2,FALSE)</f>
        <v>0</v>
      </c>
      <c r="T59" s="26">
        <f>_xlfn.IFNA(IF(LEFT('Rock Climbing Log'!T59)="C",_xlfn.IFNA(VLOOKUP('Rock Climbing Log'!T59,'RC Lookup'!$A$3:$B$9,2,FALSE),0.5),VLOOKUP('Rock Climbing Log'!T59,'RC Lookup'!$G$3:$H$5,2,FALSE)),0)*VLOOKUP(S$7,'RC Lookup'!$D$3:$E$18,2,FALSE)</f>
        <v>0</v>
      </c>
      <c r="U59" s="26">
        <f>_xlfn.IFNA(IF(LEFT('Rock Climbing Log'!U59)="C",_xlfn.IFNA(VLOOKUP('Rock Climbing Log'!U59,'RC Lookup'!$A$3:$B$9,2,FALSE),0.5),VLOOKUP('Rock Climbing Log'!U59,'RC Lookup'!$G$3:$H$5,2,FALSE)),0)*VLOOKUP(S$7,'RC Lookup'!$D$3:$E$18,2,FALSE)</f>
        <v>0</v>
      </c>
      <c r="V59" s="26">
        <f>_xlfn.IFNA(IF(LEFT('Rock Climbing Log'!V59)="C",_xlfn.IFNA(VLOOKUP('Rock Climbing Log'!V59,'RC Lookup'!$A$3:$B$9,2,FALSE),0.5),VLOOKUP('Rock Climbing Log'!V59,'RC Lookup'!$G$3:$H$5,2,FALSE)),0)*VLOOKUP(V$7,'RC Lookup'!$D$3:$E$18,2,FALSE)</f>
        <v>35.256745742400021</v>
      </c>
      <c r="W59" s="26">
        <f>_xlfn.IFNA(IF(LEFT('Rock Climbing Log'!W59)="C",_xlfn.IFNA(VLOOKUP('Rock Climbing Log'!W59,'RC Lookup'!$A$3:$B$9,2,FALSE),0.5),VLOOKUP('Rock Climbing Log'!W59,'RC Lookup'!$G$3:$H$5,2,FALSE)),0)*VLOOKUP(V$7,'RC Lookup'!$D$3:$E$18,2,FALSE)</f>
        <v>35.256745742400021</v>
      </c>
      <c r="X59" s="26">
        <f>_xlfn.IFNA(IF(LEFT('Rock Climbing Log'!X59)="C",_xlfn.IFNA(VLOOKUP('Rock Climbing Log'!X59,'RC Lookup'!$A$3:$B$9,2,FALSE),0.5),VLOOKUP('Rock Climbing Log'!X59,'RC Lookup'!$G$3:$H$5,2,FALSE)),0)*VLOOKUP(V$7,'RC Lookup'!$D$3:$E$18,2,FALSE)</f>
        <v>0</v>
      </c>
      <c r="Y59" s="26">
        <f>_xlfn.IFNA(IF(LEFT('Rock Climbing Log'!Y59)="C",_xlfn.IFNA(VLOOKUP('Rock Climbing Log'!Y59,'RC Lookup'!$A$3:$B$9,2,FALSE),0.5),VLOOKUP('Rock Climbing Log'!Y59,'RC Lookup'!$G$3:$H$5,2,FALSE)),0)*VLOOKUP(Y$7,'RC Lookup'!$D$3:$E$18,2,FALSE)</f>
        <v>0</v>
      </c>
      <c r="Z59" s="26">
        <f>_xlfn.IFNA(IF(LEFT('Rock Climbing Log'!Z59)="C",_xlfn.IFNA(VLOOKUP('Rock Climbing Log'!Z59,'RC Lookup'!$A$3:$B$9,2,FALSE),0.5),VLOOKUP('Rock Climbing Log'!Z59,'RC Lookup'!$G$3:$H$5,2,FALSE)),0)*VLOOKUP(Y$7,'RC Lookup'!$D$3:$E$18,2,FALSE)</f>
        <v>0</v>
      </c>
      <c r="AA59" s="26">
        <f>_xlfn.IFNA(IF(LEFT('Rock Climbing Log'!AA59)="C",_xlfn.IFNA(VLOOKUP('Rock Climbing Log'!AA59,'RC Lookup'!$A$3:$B$9,2,FALSE),0.5),VLOOKUP('Rock Climbing Log'!AA59,'RC Lookup'!$G$3:$H$5,2,FALSE)),0)*VLOOKUP(Y$7,'RC Lookup'!$D$3:$E$18,2,FALSE)</f>
        <v>0</v>
      </c>
      <c r="AB59" s="26">
        <f>_xlfn.IFNA(IF(LEFT('Rock Climbing Log'!AB59)="C",_xlfn.IFNA(VLOOKUP('Rock Climbing Log'!AB59,'RC Lookup'!$A$3:$B$9,2,FALSE),0.5),VLOOKUP('Rock Climbing Log'!AB59,'RC Lookup'!$G$3:$H$5,2,FALSE)),0)*VLOOKUP(AB$7,'RC Lookup'!$D$3:$E$18,2,FALSE)</f>
        <v>54.034770578768224</v>
      </c>
      <c r="AC59" s="26">
        <f>_xlfn.IFNA(IF(LEFT('Rock Climbing Log'!AC59)="C",_xlfn.IFNA(VLOOKUP('Rock Climbing Log'!AC59,'RC Lookup'!$A$3:$B$9,2,FALSE),0.5),VLOOKUP('Rock Climbing Log'!AC59,'RC Lookup'!$G$3:$H$5,2,FALSE)),0)*VLOOKUP(AB$7,'RC Lookup'!$D$3:$E$18,2,FALSE)</f>
        <v>27.017385289384112</v>
      </c>
      <c r="AD59" s="26">
        <f>_xlfn.IFNA(IF(LEFT('Rock Climbing Log'!AD59)="C",_xlfn.IFNA(VLOOKUP('Rock Climbing Log'!AD59,'RC Lookup'!$A$3:$B$9,2,FALSE),0.5),VLOOKUP('Rock Climbing Log'!AD59,'RC Lookup'!$G$3:$H$5,2,FALSE)),0)*VLOOKUP(AB$7,'RC Lookup'!$D$3:$E$18,2,FALSE)</f>
        <v>0</v>
      </c>
      <c r="AE59" s="26">
        <f>_xlfn.IFNA(IF(LEFT('Rock Climbing Log'!AE59)="C",_xlfn.IFNA(VLOOKUP('Rock Climbing Log'!AE59,'RC Lookup'!$A$3:$B$9,2,FALSE),0.5),VLOOKUP('Rock Climbing Log'!AE59,'RC Lookup'!$G$3:$H$5,2,FALSE)),0)*VLOOKUP(AE$7,'RC Lookup'!$D$3:$E$18,2,FALSE)</f>
        <v>0</v>
      </c>
      <c r="AF59" s="26">
        <f>_xlfn.IFNA(IF(LEFT('Rock Climbing Log'!AF59)="C",_xlfn.IFNA(VLOOKUP('Rock Climbing Log'!AF59,'RC Lookup'!$A$3:$B$9,2,FALSE),0.5),VLOOKUP('Rock Climbing Log'!AF59,'RC Lookup'!$G$3:$H$5,2,FALSE)),0)*VLOOKUP(AE$7,'RC Lookup'!$D$3:$E$18,2,FALSE)</f>
        <v>0</v>
      </c>
      <c r="AG59" s="26">
        <f>_xlfn.IFNA(IF(LEFT('Rock Climbing Log'!AG59)="C",_xlfn.IFNA(VLOOKUP('Rock Climbing Log'!AG59,'RC Lookup'!$A$3:$B$9,2,FALSE),0.5),VLOOKUP('Rock Climbing Log'!AG59,'RC Lookup'!$G$3:$H$5,2,FALSE)),0)*VLOOKUP(AE$7,'RC Lookup'!$D$3:$E$18,2,FALSE)</f>
        <v>0</v>
      </c>
      <c r="AH59" s="26">
        <f>_xlfn.IFNA(IF(LEFT('Rock Climbing Log'!AH59)="C",_xlfn.IFNA(VLOOKUP('Rock Climbing Log'!AH59,'RC Lookup'!$A$3:$B$9,2,FALSE),0.5),VLOOKUP('Rock Climbing Log'!AH59,'RC Lookup'!$G$3:$H$5,2,FALSE)),0)*VLOOKUP(AH$7,'RC Lookup'!$D$3:$E$18,2,FALSE)</f>
        <v>0</v>
      </c>
      <c r="AI59" s="26">
        <f>_xlfn.IFNA(IF(LEFT('Rock Climbing Log'!AI59)="C",_xlfn.IFNA(VLOOKUP('Rock Climbing Log'!AI59,'RC Lookup'!$A$3:$B$9,2,FALSE),0.5),VLOOKUP('Rock Climbing Log'!AI59,'RC Lookup'!$G$3:$H$5,2,FALSE)),0)*VLOOKUP(AH$7,'RC Lookup'!$D$3:$E$18,2,FALSE)</f>
        <v>0</v>
      </c>
      <c r="AJ59" s="26">
        <f>_xlfn.IFNA(IF(LEFT('Rock Climbing Log'!AJ59)="C",_xlfn.IFNA(VLOOKUP('Rock Climbing Log'!AJ59,'RC Lookup'!$A$3:$B$9,2,FALSE),0.5),VLOOKUP('Rock Climbing Log'!AJ59,'RC Lookup'!$G$3:$H$5,2,FALSE)),0)*VLOOKUP(AH$7,'RC Lookup'!$D$3:$E$18,2,FALSE)</f>
        <v>0</v>
      </c>
      <c r="AK59" s="26">
        <f>_xlfn.IFNA(IF(LEFT('Rock Climbing Log'!AK59)="C",_xlfn.IFNA(VLOOKUP('Rock Climbing Log'!AK59,'RC Lookup'!$A$3:$B$9,2,FALSE),0.5),VLOOKUP('Rock Climbing Log'!AK59,'RC Lookup'!$G$3:$H$5,2,FALSE)),0)*VLOOKUP(AK$7,'RC Lookup'!$D$3:$E$18,2,FALSE)</f>
        <v>0</v>
      </c>
      <c r="AL59" s="26">
        <f>_xlfn.IFNA(IF(LEFT('Rock Climbing Log'!AL59)="C",_xlfn.IFNA(VLOOKUP('Rock Climbing Log'!AL59,'RC Lookup'!$A$3:$B$9,2,FALSE),0.5),VLOOKUP('Rock Climbing Log'!AL59,'RC Lookup'!$G$3:$H$5,2,FALSE)),0)*VLOOKUP(AK$7,'RC Lookup'!$D$3:$E$18,2,FALSE)</f>
        <v>0</v>
      </c>
      <c r="AM59" s="26">
        <f>_xlfn.IFNA(IF(LEFT('Rock Climbing Log'!AM59)="C",_xlfn.IFNA(VLOOKUP('Rock Climbing Log'!AM59,'RC Lookup'!$A$3:$B$9,2,FALSE),0.5),VLOOKUP('Rock Climbing Log'!AM59,'RC Lookup'!$G$3:$H$5,2,FALSE)),0)*VLOOKUP(AK$7,'RC Lookup'!$D$3:$E$18,2,FALSE)</f>
        <v>0</v>
      </c>
      <c r="AN59" s="26">
        <f>_xlfn.IFNA(IF(LEFT('Rock Climbing Log'!AN59)="C",_xlfn.IFNA(VLOOKUP('Rock Climbing Log'!AN59,'RC Lookup'!$A$3:$B$9,2,FALSE),0.5),VLOOKUP('Rock Climbing Log'!AN59,'RC Lookup'!$G$3:$H$5,2,FALSE)),0)*VLOOKUP(AN$7,'RC Lookup'!$D$3:$E$18,2,FALSE)</f>
        <v>0</v>
      </c>
      <c r="AO59" s="26">
        <f>_xlfn.IFNA(IF(LEFT('Rock Climbing Log'!AO59)="C",_xlfn.IFNA(VLOOKUP('Rock Climbing Log'!AO59,'RC Lookup'!$A$3:$B$9,2,FALSE),0.5),VLOOKUP('Rock Climbing Log'!AO59,'RC Lookup'!$G$3:$H$5,2,FALSE)),0)*VLOOKUP(AN$7,'RC Lookup'!$D$3:$E$18,2,FALSE)</f>
        <v>0</v>
      </c>
      <c r="AP59" s="26">
        <f>_xlfn.IFNA(IF(LEFT('Rock Climbing Log'!AP59)="C",_xlfn.IFNA(VLOOKUP('Rock Climbing Log'!AP59,'RC Lookup'!$A$3:$B$9,2,FALSE),0.5),VLOOKUP('Rock Climbing Log'!AP59,'RC Lookup'!$G$3:$H$5,2,FALSE)),0)*VLOOKUP(AN$7,'RC Lookup'!$D$3:$E$18,2,FALSE)</f>
        <v>0</v>
      </c>
      <c r="AQ59" s="26">
        <f>_xlfn.IFNA(IF(LEFT('Rock Climbing Log'!AQ59)="C",_xlfn.IFNA(VLOOKUP('Rock Climbing Log'!AQ59,'RC Lookup'!$A$3:$B$9,2,FALSE),0.5),VLOOKUP('Rock Climbing Log'!AQ59,'RC Lookup'!$G$3:$H$5,2,FALSE)),0)*VLOOKUP(AQ$7,'RC Lookup'!$D$3:$E$18,2,FALSE)</f>
        <v>0</v>
      </c>
      <c r="AR59" s="26">
        <f>_xlfn.IFNA(IF(LEFT('Rock Climbing Log'!AR59)="C",_xlfn.IFNA(VLOOKUP('Rock Climbing Log'!AR59,'RC Lookup'!$A$3:$B$9,2,FALSE),0.5),VLOOKUP('Rock Climbing Log'!AR59,'RC Lookup'!$G$3:$H$5,2,FALSE)),0)*VLOOKUP(AQ$7,'RC Lookup'!$D$3:$E$18,2,FALSE)</f>
        <v>0</v>
      </c>
      <c r="AS59" s="26">
        <f>_xlfn.IFNA(IF(LEFT('Rock Climbing Log'!AS59)="C",_xlfn.IFNA(VLOOKUP('Rock Climbing Log'!AS59,'RC Lookup'!$A$3:$B$9,2,FALSE),0.5),VLOOKUP('Rock Climbing Log'!AS59,'RC Lookup'!$G$3:$H$5,2,FALSE)),0)*VLOOKUP(AQ$7,'RC Lookup'!$D$3:$E$18,2,FALSE)</f>
        <v>0</v>
      </c>
      <c r="AT59" s="26">
        <f>_xlfn.IFNA(IF(LEFT('Rock Climbing Log'!AT59)="C",_xlfn.IFNA(VLOOKUP('Rock Climbing Log'!AT59,'RC Lookup'!$A$3:$B$9,2,FALSE),0.5),VLOOKUP('Rock Climbing Log'!AT59,'RC Lookup'!$G$3:$H$5,2,FALSE)),0)*VLOOKUP(AT$7,'RC Lookup'!$D$3:$E$18,2,FALSE)</f>
        <v>0</v>
      </c>
      <c r="AU59" s="26">
        <f>_xlfn.IFNA(IF(LEFT('Rock Climbing Log'!AU59)="C",_xlfn.IFNA(VLOOKUP('Rock Climbing Log'!AU59,'RC Lookup'!$A$3:$B$9,2,FALSE),0.5),VLOOKUP('Rock Climbing Log'!AU59,'RC Lookup'!$G$3:$H$5,2,FALSE)),0)*VLOOKUP(AT$7,'RC Lookup'!$D$3:$E$18,2,FALSE)</f>
        <v>0</v>
      </c>
      <c r="AV59" s="26">
        <f>_xlfn.IFNA(IF(LEFT('Rock Climbing Log'!AV59)="C",_xlfn.IFNA(VLOOKUP('Rock Climbing Log'!AV59,'RC Lookup'!$A$3:$B$9,2,FALSE),0.5),VLOOKUP('Rock Climbing Log'!AV59,'RC Lookup'!$G$3:$H$5,2,FALSE)),0)*VLOOKUP(AT$7,'RC Lookup'!$D$3:$E$18,2,FALSE)</f>
        <v>0</v>
      </c>
      <c r="AW59" s="30">
        <f t="shared" ca="1" si="2"/>
        <v>124.54826206356827</v>
      </c>
      <c r="AX59" s="30">
        <f ca="1">_xlfn.IFNA(VLOOKUP(SUMPRODUCT(LARGE(($C$8:$C59=Table1[[#This Row],[Climber]])*$A$8:$A59,1)),$A$8:$AW59,MATCH($AW$7,$A$7:$AW$7,FALSE),FALSE),0)/LEFT($AX$7,FIND(" ",$AX$7))+_xlfn.IFNA(VLOOKUP(SUMPRODUCT(LARGE(($C$8:$C59=Table1[[#This Row],[Climber]])*$A$8:$A59,MIN(2,COUNTIFS($C$8:$C59,$C59)))),$A$8:$AW59,MATCH($AW$7,$A$7:$AW$7,FALSE),FALSE),0)/LEFT($AX$7,FIND(" ",$AX$7))+_xlfn.IFNA(VLOOKUP(SUMPRODUCT(LARGE(($C$8:$C59=Table1[[#This Row],[Climber]])*$A$8:$A59,MIN(3,COUNTIFS($C$8:$C59,$C59)))),$A$8:$AW59,MATCH($AW$7,$A$7:$AW$7,FALSE),FALSE),0)/LEFT($AX$7,FIND(" ",$AX$7))</f>
        <v>124.54826206356827</v>
      </c>
      <c r="AY59" s="30">
        <f ca="1">_xlfn.IFNA(VLOOKUP(SUMPRODUCT(LARGE(($C$8:$C59=Table1[[#This Row],[Climber]])*$A$8:$A59,1)),$A$8:$AW59,MATCH($AW$7,$A$7:$AW$7,FALSE),FALSE),0)/LEFT($AY$7,FIND(" ",$AY$7))+_xlfn.IFNA(VLOOKUP(SUMPRODUCT(LARGE(($C$8:$C59=Table1[[#This Row],[Climber]])*$A$8:$A59,MIN(2,COUNTIFS($C$8:$C59,$C59)))),$A$8:$AW59,MATCH($AW$7,$A$7:$AW$7,FALSE),FALSE),0)/LEFT($AY$7,FIND(" ",$AY$7))+_xlfn.IFNA(VLOOKUP(SUMPRODUCT(LARGE(($C$8:$C59=Table1[[#This Row],[Climber]])*$A$8:$A59,MIN(3,COUNTIFS($C$8:$C59,$C59)))),$A$8:$AW59,MATCH($AW$7,$A$7:$AW$7,FALSE),FALSE),0)/LEFT($AY$7,FIND(" ",$AY$7))+_xlfn.IFNA(VLOOKUP(SUMPRODUCT(LARGE(($C$8:$C59=Table1[[#This Row],[Climber]])*$A$8:$A59,MIN(4,COUNTIFS($C$8:$C59,$C59)))),$A$8:$AW59,MATCH($AW$7,$A$7:$AW$7,FALSE),FALSE),0)/LEFT($AY$7,FIND(" ",$AY$7))+_xlfn.IFNA(VLOOKUP(SUMPRODUCT(LARGE(($C$8:$C59=Table1[[#This Row],[Climber]])*$A$8:$A59,MIN(5,COUNTIFS($C$8:$C59,$C59)))),$A$8:$AW59,MATCH($AW$7,$A$7:$AW$7,FALSE),FALSE),0)/LEFT($AY$7,FIND(" ",$AY$7))</f>
        <v>124.54826206356827</v>
      </c>
      <c r="AZ59" s="30">
        <f>(_xlfn.IFNA(VLOOKUP(SUMPRODUCT(LARGE(($C$8:$C59=Table1[[#This Row],[Climber]])*$A$8:$A59,4)),$A$8:$AW59,MATCH($AW$7,$A$7:$AW$7,FALSE),FALSE),0)+_xlfn.IFNA(VLOOKUP(SUMPRODUCT(LARGE(($C$8:$C59=Table1[[#This Row],[Climber]])*$A$8:$A59,5)),$A$8:$AW59,MATCH($AW$7,$A$7:$AW$7,FALSE),FALSE),0)+_xlfn.IFNA(VLOOKUP(SUMPRODUCT(LARGE(($C$8:$C59=Table1[[#This Row],[Climber]])*$A$8:$A59,6)),$A$8:$AW59,MATCH($AW$7,$A$7:$AW$7,FALSE),FALSE),0))/3</f>
        <v>0</v>
      </c>
      <c r="BA59" s="46">
        <f ca="1">_xlfn.MAXIFS(INDIRECT("$AW"&amp;IF(SUMPRODUCT(LARGE(($C$8:$C59=$C59)*$A$8:$A59,LEFT($BA$7,FIND(" ",$BA$7)-1)))=0,8,SUMPRODUCT(LARGE(($C$8:$C59=$C59)*$A$8:$A59,LEFT($BA$7,FIND(" ",$BA$7)-1)))+7)&amp;":$AW"&amp;ROW()),INDIRECT("$C"&amp;IF(SUMPRODUCT(LARGE(($C$8:$C59=$C59)*$A$8:$A59,LEFT($BA$7,FIND(" ",$BA$7)-1)))=0,8,SUMPRODUCT(LARGE(($C$8:$C59=$C59)*$A$8:$A59,LEFT($BA$7,FIND(" ",$BA$7)-1)))+7)&amp;":$C"&amp;ROW()),$C59)</f>
        <v>124.54826206356827</v>
      </c>
      <c r="BB59" s="46" t="str">
        <f ca="1">VLOOKUP(MAX(BG59,$AX59),'RC Lookup'!$G$14:$J$20,2,TRUE)</f>
        <v>T3</v>
      </c>
      <c r="BC59" s="46">
        <f ca="1">_xlfn.IFNA(VLOOKUP(VLOOKUP($C59,'RC Lookup'!$O$3:$P$50,2,FALSE),'RC Lookup'!$H$14:$J$23,2,FALSE),0)*AW59</f>
        <v>61.17211070413191</v>
      </c>
      <c r="BD59" s="6">
        <f ca="1">_xlfn.IFNA(VLOOKUP(SUMPRODUCT(LARGE(($C$8:$C59=Table1[[#This Row],[Climber]])*$A$8:$A59,1)),$A$8:$BC59,55,FALSE),0)/LEFT($AX$7,FIND(" ",$AX$7))+_xlfn.IFNA(VLOOKUP(SUMPRODUCT(LARGE(($C$8:$C59=Table1[[#This Row],[Climber]])*$A$8:$A59,MIN(2,COUNTIFS($C$8:$C59,$C59)))),$A$8:$BC59,55,FALSE),0)/LEFT($AX$7,FIND(" ",$AX$7))+_xlfn.IFNA(VLOOKUP(SUMPRODUCT(LARGE(($C$8:$C59=Table1[[#This Row],[Climber]])*$A$8:$A59,MIN(3,COUNTIFS($C$8:$C59,$C59)))),$A$8:$BC59,55,FALSE),0)/LEFT($AX$7,FIND(" ",$AX$7))</f>
        <v>61.17211070413191</v>
      </c>
      <c r="BE59" s="6">
        <f>(_xlfn.IFNA(VLOOKUP(SUMPRODUCT(LARGE(($C$8:$C59=Table1[[#This Row],[Climber]])*$A$8:$A59,4)),$A$8:$BD59,55,FALSE),0)+_xlfn.IFNA(VLOOKUP(SUMPRODUCT(LARGE(($C$8:$C59=Table1[[#This Row],[Climber]])*$A$8:$A59,5)),$A$8:$BD59,55,FALSE),0)+_xlfn.IFNA(VLOOKUP(SUMPRODUCT(LARGE(($C$8:$C59=Table1[[#This Row],[Climber]])*$A$8:$A59,6)),$A$8:$BD59,55,FALSE),0))/3</f>
        <v>0</v>
      </c>
      <c r="BF59" s="46">
        <f ca="1">_xlfn.MAXIFS(INDIRECT("$BC"&amp;IF(SUMPRODUCT(LARGE(($C$8:$C59=$C59)*$A$8:$A59,LEFT($BA$7,FIND(" ",$BA$7)-1)))=0,8,SUMPRODUCT(LARGE(($C$8:$C59=$C59)*$A$8:$A59,LEFT($BA$7,FIND(" ",$BA$7)-1)))+7)&amp;":$BC"&amp;ROW()),INDIRECT("$C"&amp;IF(SUMPRODUCT(LARGE(($C$8:$C59=$C59)*$A$8:$A59,LEFT($BA$7,FIND(" ",$BA$7)-1)))=0,8,SUMPRODUCT(LARGE(($C$8:$C59=$C59)*$A$8:$A59,LEFT($BA$7,FIND(" ",$BA$7)-1)))+7)&amp;":$C"&amp;ROW()),$C59)</f>
        <v>61.17211070413191</v>
      </c>
      <c r="BG59" s="46">
        <f t="array" aca="1" ref="BG59" ca="1">IFERROR(SUMPRODUCT(LARGE(($C$8:$C59=Table1[[#This Row],[Climber]])*$AW$8:$AW59,ROW(INDIRECT("1:5")))),AW59)/MIN(COUNTIFS($C$8:$C59,C59),5)</f>
        <v>124.54826206356827</v>
      </c>
    </row>
    <row r="60" spans="1:60" x14ac:dyDescent="0.3">
      <c r="A60" s="125">
        <f t="shared" si="1"/>
        <v>53</v>
      </c>
      <c r="B60" s="25">
        <f>'Rock Climbing Log'!B60</f>
        <v>43156</v>
      </c>
      <c r="C60" s="126" t="str">
        <f>'Rock Climbing Log'!C60</f>
        <v>Michelle</v>
      </c>
      <c r="D60" s="26">
        <f>_xlfn.IFNA(IF(LEFT('Rock Climbing Log'!D60)="C",_xlfn.IFNA(VLOOKUP('Rock Climbing Log'!D60,'RC Lookup'!$A$3:$B$9,2,FALSE),0.5),VLOOKUP('Rock Climbing Log'!D60,'RC Lookup'!$G$3:$H$5,2,FALSE)),0)*VLOOKUP(D$7,'RC Lookup'!$D$3:$E$18,2,FALSE)</f>
        <v>0</v>
      </c>
      <c r="E60" s="26">
        <f>_xlfn.IFNA(IF(LEFT('Rock Climbing Log'!E60)="C",_xlfn.IFNA(VLOOKUP('Rock Climbing Log'!E60,'RC Lookup'!$A$3:$B$9,2,FALSE),0.5),VLOOKUP('Rock Climbing Log'!E60,'RC Lookup'!$G$3:$H$5,2,FALSE)),0)*VLOOKUP(D$7,'RC Lookup'!$D$3:$E$18,2,FALSE)</f>
        <v>0</v>
      </c>
      <c r="F60" s="26">
        <f>_xlfn.IFNA(IF(LEFT('Rock Climbing Log'!F60)="C",_xlfn.IFNA(VLOOKUP('Rock Climbing Log'!F60,'RC Lookup'!$A$3:$B$9,2,FALSE),0.5),VLOOKUP('Rock Climbing Log'!F60,'RC Lookup'!$G$3:$H$5,2,FALSE)),0)*VLOOKUP(D$7,'RC Lookup'!$D$3:$E$18,2,FALSE)</f>
        <v>0</v>
      </c>
      <c r="G60" s="26">
        <f>_xlfn.IFNA(IF(LEFT('Rock Climbing Log'!G60)="C",_xlfn.IFNA(VLOOKUP('Rock Climbing Log'!G60,'RC Lookup'!$A$3:$B$9,2,FALSE),0.5),VLOOKUP('Rock Climbing Log'!G60,'RC Lookup'!$G$3:$H$5,2,FALSE)),0)*VLOOKUP(G$7,'RC Lookup'!$D$3:$E$18,2,FALSE)</f>
        <v>0</v>
      </c>
      <c r="H60" s="26">
        <f>_xlfn.IFNA(IF(LEFT('Rock Climbing Log'!H60)="C",_xlfn.IFNA(VLOOKUP('Rock Climbing Log'!H60,'RC Lookup'!$A$3:$B$9,2,FALSE),0.5),VLOOKUP('Rock Climbing Log'!H60,'RC Lookup'!$G$3:$H$5,2,FALSE)),0)*VLOOKUP(G$7,'RC Lookup'!$D$3:$E$18,2,FALSE)</f>
        <v>0</v>
      </c>
      <c r="I60" s="26">
        <f>_xlfn.IFNA(IF(LEFT('Rock Climbing Log'!I60)="C",_xlfn.IFNA(VLOOKUP('Rock Climbing Log'!I60,'RC Lookup'!$A$3:$B$9,2,FALSE),0.5),VLOOKUP('Rock Climbing Log'!I60,'RC Lookup'!$G$3:$H$5,2,FALSE)),0)*VLOOKUP(G$7,'RC Lookup'!$D$3:$E$18,2,FALSE)</f>
        <v>0</v>
      </c>
      <c r="J60" s="26">
        <f>_xlfn.IFNA(IF(LEFT('Rock Climbing Log'!J60)="C",_xlfn.IFNA(VLOOKUP('Rock Climbing Log'!J60,'RC Lookup'!$A$3:$B$9,2,FALSE),0.5),VLOOKUP('Rock Climbing Log'!J60,'RC Lookup'!$G$3:$H$5,2,FALSE)),0)*VLOOKUP(J$7,'RC Lookup'!$D$3:$E$18,2,FALSE)</f>
        <v>15.75</v>
      </c>
      <c r="K60" s="26">
        <f>_xlfn.IFNA(IF(LEFT('Rock Climbing Log'!K60)="C",_xlfn.IFNA(VLOOKUP('Rock Climbing Log'!K60,'RC Lookup'!$A$3:$B$9,2,FALSE),0.5),VLOOKUP('Rock Climbing Log'!K60,'RC Lookup'!$G$3:$H$5,2,FALSE)),0)*VLOOKUP(J$7,'RC Lookup'!$D$3:$E$18,2,FALSE)</f>
        <v>0</v>
      </c>
      <c r="L60" s="26">
        <f>_xlfn.IFNA(IF(LEFT('Rock Climbing Log'!L60)="C",_xlfn.IFNA(VLOOKUP('Rock Climbing Log'!L60,'RC Lookup'!$A$3:$B$9,2,FALSE),0.5),VLOOKUP('Rock Climbing Log'!L60,'RC Lookup'!$G$3:$H$5,2,FALSE)),0)*VLOOKUP(J$7,'RC Lookup'!$D$3:$E$18,2,FALSE)</f>
        <v>0</v>
      </c>
      <c r="M60" s="26">
        <f>_xlfn.IFNA(IF(LEFT('Rock Climbing Log'!M60)="C",_xlfn.IFNA(VLOOKUP('Rock Climbing Log'!M60,'RC Lookup'!$A$3:$B$9,2,FALSE),0.5),VLOOKUP('Rock Climbing Log'!M60,'RC Lookup'!$G$3:$H$5,2,FALSE)),0)*VLOOKUP(M$7,'RC Lookup'!$D$3:$E$18,2,FALSE)</f>
        <v>20.002500000000001</v>
      </c>
      <c r="N60" s="26">
        <f>_xlfn.IFNA(IF(LEFT('Rock Climbing Log'!N60)="C",_xlfn.IFNA(VLOOKUP('Rock Climbing Log'!N60,'RC Lookup'!$A$3:$B$9,2,FALSE),0.5),VLOOKUP('Rock Climbing Log'!N60,'RC Lookup'!$G$3:$H$5,2,FALSE)),0)*VLOOKUP(M$7,'RC Lookup'!$D$3:$E$18,2,FALSE)</f>
        <v>0</v>
      </c>
      <c r="O60" s="26">
        <f>_xlfn.IFNA(IF(LEFT('Rock Climbing Log'!O60)="C",_xlfn.IFNA(VLOOKUP('Rock Climbing Log'!O60,'RC Lookup'!$A$3:$B$9,2,FALSE),0.5),VLOOKUP('Rock Climbing Log'!O60,'RC Lookup'!$G$3:$H$5,2,FALSE)),0)*VLOOKUP(M$7,'RC Lookup'!$D$3:$E$18,2,FALSE)</f>
        <v>0</v>
      </c>
      <c r="P60" s="26">
        <f>_xlfn.IFNA(IF(LEFT('Rock Climbing Log'!P60)="C",_xlfn.IFNA(VLOOKUP('Rock Climbing Log'!P60,'RC Lookup'!$A$3:$B$9,2,FALSE),0.5),VLOOKUP('Rock Climbing Log'!P60,'RC Lookup'!$G$3:$H$5,2,FALSE)),0)*VLOOKUP(P$7,'RC Lookup'!$D$3:$E$18,2,FALSE)</f>
        <v>0</v>
      </c>
      <c r="Q60" s="26">
        <f>_xlfn.IFNA(IF(LEFT('Rock Climbing Log'!Q60)="C",_xlfn.IFNA(VLOOKUP('Rock Climbing Log'!Q60,'RC Lookup'!$A$3:$B$9,2,FALSE),0.5),VLOOKUP('Rock Climbing Log'!Q60,'RC Lookup'!$G$3:$H$5,2,FALSE)),0)*VLOOKUP(P$7,'RC Lookup'!$D$3:$E$18,2,FALSE)</f>
        <v>0</v>
      </c>
      <c r="R60" s="26">
        <f>_xlfn.IFNA(IF(LEFT('Rock Climbing Log'!R60)="C",_xlfn.IFNA(VLOOKUP('Rock Climbing Log'!R60,'RC Lookup'!$A$3:$B$9,2,FALSE),0.5),VLOOKUP('Rock Climbing Log'!R60,'RC Lookup'!$G$3:$H$5,2,FALSE)),0)*VLOOKUP(P$7,'RC Lookup'!$D$3:$E$18,2,FALSE)</f>
        <v>0</v>
      </c>
      <c r="S60" s="26">
        <f>_xlfn.IFNA(IF(LEFT('Rock Climbing Log'!S60)="C",_xlfn.IFNA(VLOOKUP('Rock Climbing Log'!S60,'RC Lookup'!$A$3:$B$9,2,FALSE),0.5),VLOOKUP('Rock Climbing Log'!S60,'RC Lookup'!$G$3:$H$5,2,FALSE)),0)*VLOOKUP(S$7,'RC Lookup'!$D$3:$E$18,2,FALSE)</f>
        <v>0</v>
      </c>
      <c r="T60" s="26">
        <f>_xlfn.IFNA(IF(LEFT('Rock Climbing Log'!T60)="C",_xlfn.IFNA(VLOOKUP('Rock Climbing Log'!T60,'RC Lookup'!$A$3:$B$9,2,FALSE),0.5),VLOOKUP('Rock Climbing Log'!T60,'RC Lookup'!$G$3:$H$5,2,FALSE)),0)*VLOOKUP(S$7,'RC Lookup'!$D$3:$E$18,2,FALSE)</f>
        <v>0</v>
      </c>
      <c r="U60" s="26">
        <f>_xlfn.IFNA(IF(LEFT('Rock Climbing Log'!U60)="C",_xlfn.IFNA(VLOOKUP('Rock Climbing Log'!U60,'RC Lookup'!$A$3:$B$9,2,FALSE),0.5),VLOOKUP('Rock Climbing Log'!U60,'RC Lookup'!$G$3:$H$5,2,FALSE)),0)*VLOOKUP(S$7,'RC Lookup'!$D$3:$E$18,2,FALSE)</f>
        <v>0</v>
      </c>
      <c r="V60" s="26">
        <f>_xlfn.IFNA(IF(LEFT('Rock Climbing Log'!V60)="C",_xlfn.IFNA(VLOOKUP('Rock Climbing Log'!V60,'RC Lookup'!$A$3:$B$9,2,FALSE),0.5),VLOOKUP('Rock Climbing Log'!V60,'RC Lookup'!$G$3:$H$5,2,FALSE)),0)*VLOOKUP(V$7,'RC Lookup'!$D$3:$E$18,2,FALSE)</f>
        <v>35.256745742400021</v>
      </c>
      <c r="W60" s="26">
        <f>_xlfn.IFNA(IF(LEFT('Rock Climbing Log'!W60)="C",_xlfn.IFNA(VLOOKUP('Rock Climbing Log'!W60,'RC Lookup'!$A$3:$B$9,2,FALSE),0.5),VLOOKUP('Rock Climbing Log'!W60,'RC Lookup'!$G$3:$H$5,2,FALSE)),0)*VLOOKUP(V$7,'RC Lookup'!$D$3:$E$18,2,FALSE)</f>
        <v>0</v>
      </c>
      <c r="X60" s="26">
        <f>_xlfn.IFNA(IF(LEFT('Rock Climbing Log'!X60)="C",_xlfn.IFNA(VLOOKUP('Rock Climbing Log'!X60,'RC Lookup'!$A$3:$B$9,2,FALSE),0.5),VLOOKUP('Rock Climbing Log'!X60,'RC Lookup'!$G$3:$H$5,2,FALSE)),0)*VLOOKUP(V$7,'RC Lookup'!$D$3:$E$18,2,FALSE)</f>
        <v>0</v>
      </c>
      <c r="Y60" s="26">
        <f>_xlfn.IFNA(IF(LEFT('Rock Climbing Log'!Y60)="C",_xlfn.IFNA(VLOOKUP('Rock Climbing Log'!Y60,'RC Lookup'!$A$3:$B$9,2,FALSE),0.5),VLOOKUP('Rock Climbing Log'!Y60,'RC Lookup'!$G$3:$H$5,2,FALSE)),0)*VLOOKUP(Y$7,'RC Lookup'!$D$3:$E$18,2,FALSE)</f>
        <v>0</v>
      </c>
      <c r="Z60" s="26">
        <f>_xlfn.IFNA(IF(LEFT('Rock Climbing Log'!Z60)="C",_xlfn.IFNA(VLOOKUP('Rock Climbing Log'!Z60,'RC Lookup'!$A$3:$B$9,2,FALSE),0.5),VLOOKUP('Rock Climbing Log'!Z60,'RC Lookup'!$G$3:$H$5,2,FALSE)),0)*VLOOKUP(Y$7,'RC Lookup'!$D$3:$E$18,2,FALSE)</f>
        <v>0</v>
      </c>
      <c r="AA60" s="26">
        <f>_xlfn.IFNA(IF(LEFT('Rock Climbing Log'!AA60)="C",_xlfn.IFNA(VLOOKUP('Rock Climbing Log'!AA60,'RC Lookup'!$A$3:$B$9,2,FALSE),0.5),VLOOKUP('Rock Climbing Log'!AA60,'RC Lookup'!$G$3:$H$5,2,FALSE)),0)*VLOOKUP(Y$7,'RC Lookup'!$D$3:$E$18,2,FALSE)</f>
        <v>0</v>
      </c>
      <c r="AB60" s="26">
        <f>_xlfn.IFNA(IF(LEFT('Rock Climbing Log'!AB60)="C",_xlfn.IFNA(VLOOKUP('Rock Climbing Log'!AB60,'RC Lookup'!$A$3:$B$9,2,FALSE),0.5),VLOOKUP('Rock Climbing Log'!AB60,'RC Lookup'!$G$3:$H$5,2,FALSE)),0)*VLOOKUP(AB$7,'RC Lookup'!$D$3:$E$18,2,FALSE)</f>
        <v>0</v>
      </c>
      <c r="AC60" s="26">
        <f>_xlfn.IFNA(IF(LEFT('Rock Climbing Log'!AC60)="C",_xlfn.IFNA(VLOOKUP('Rock Climbing Log'!AC60,'RC Lookup'!$A$3:$B$9,2,FALSE),0.5),VLOOKUP('Rock Climbing Log'!AC60,'RC Lookup'!$G$3:$H$5,2,FALSE)),0)*VLOOKUP(AB$7,'RC Lookup'!$D$3:$E$18,2,FALSE)</f>
        <v>0</v>
      </c>
      <c r="AD60" s="26">
        <f>_xlfn.IFNA(IF(LEFT('Rock Climbing Log'!AD60)="C",_xlfn.IFNA(VLOOKUP('Rock Climbing Log'!AD60,'RC Lookup'!$A$3:$B$9,2,FALSE),0.5),VLOOKUP('Rock Climbing Log'!AD60,'RC Lookup'!$G$3:$H$5,2,FALSE)),0)*VLOOKUP(AB$7,'RC Lookup'!$D$3:$E$18,2,FALSE)</f>
        <v>0</v>
      </c>
      <c r="AE60" s="26">
        <f>_xlfn.IFNA(IF(LEFT('Rock Climbing Log'!AE60)="C",_xlfn.IFNA(VLOOKUP('Rock Climbing Log'!AE60,'RC Lookup'!$A$3:$B$9,2,FALSE),0.5),VLOOKUP('Rock Climbing Log'!AE60,'RC Lookup'!$G$3:$H$5,2,FALSE)),0)*VLOOKUP(AE$7,'RC Lookup'!$D$3:$E$18,2,FALSE)</f>
        <v>0</v>
      </c>
      <c r="AF60" s="26">
        <f>_xlfn.IFNA(IF(LEFT('Rock Climbing Log'!AF60)="C",_xlfn.IFNA(VLOOKUP('Rock Climbing Log'!AF60,'RC Lookup'!$A$3:$B$9,2,FALSE),0.5),VLOOKUP('Rock Climbing Log'!AF60,'RC Lookup'!$G$3:$H$5,2,FALSE)),0)*VLOOKUP(AE$7,'RC Lookup'!$D$3:$E$18,2,FALSE)</f>
        <v>0</v>
      </c>
      <c r="AG60" s="26">
        <f>_xlfn.IFNA(IF(LEFT('Rock Climbing Log'!AG60)="C",_xlfn.IFNA(VLOOKUP('Rock Climbing Log'!AG60,'RC Lookup'!$A$3:$B$9,2,FALSE),0.5),VLOOKUP('Rock Climbing Log'!AG60,'RC Lookup'!$G$3:$H$5,2,FALSE)),0)*VLOOKUP(AE$7,'RC Lookup'!$D$3:$E$18,2,FALSE)</f>
        <v>0</v>
      </c>
      <c r="AH60" s="26">
        <f>_xlfn.IFNA(IF(LEFT('Rock Climbing Log'!AH60)="C",_xlfn.IFNA(VLOOKUP('Rock Climbing Log'!AH60,'RC Lookup'!$A$3:$B$9,2,FALSE),0.5),VLOOKUP('Rock Climbing Log'!AH60,'RC Lookup'!$G$3:$H$5,2,FALSE)),0)*VLOOKUP(AH$7,'RC Lookup'!$D$3:$E$18,2,FALSE)</f>
        <v>0</v>
      </c>
      <c r="AI60" s="26">
        <f>_xlfn.IFNA(IF(LEFT('Rock Climbing Log'!AI60)="C",_xlfn.IFNA(VLOOKUP('Rock Climbing Log'!AI60,'RC Lookup'!$A$3:$B$9,2,FALSE),0.5),VLOOKUP('Rock Climbing Log'!AI60,'RC Lookup'!$G$3:$H$5,2,FALSE)),0)*VLOOKUP(AH$7,'RC Lookup'!$D$3:$E$18,2,FALSE)</f>
        <v>0</v>
      </c>
      <c r="AJ60" s="26">
        <f>_xlfn.IFNA(IF(LEFT('Rock Climbing Log'!AJ60)="C",_xlfn.IFNA(VLOOKUP('Rock Climbing Log'!AJ60,'RC Lookup'!$A$3:$B$9,2,FALSE),0.5),VLOOKUP('Rock Climbing Log'!AJ60,'RC Lookup'!$G$3:$H$5,2,FALSE)),0)*VLOOKUP(AH$7,'RC Lookup'!$D$3:$E$18,2,FALSE)</f>
        <v>0</v>
      </c>
      <c r="AK60" s="26">
        <f>_xlfn.IFNA(IF(LEFT('Rock Climbing Log'!AK60)="C",_xlfn.IFNA(VLOOKUP('Rock Climbing Log'!AK60,'RC Lookup'!$A$3:$B$9,2,FALSE),0.5),VLOOKUP('Rock Climbing Log'!AK60,'RC Lookup'!$G$3:$H$5,2,FALSE)),0)*VLOOKUP(AK$7,'RC Lookup'!$D$3:$E$18,2,FALSE)</f>
        <v>0</v>
      </c>
      <c r="AL60" s="26">
        <f>_xlfn.IFNA(IF(LEFT('Rock Climbing Log'!AL60)="C",_xlfn.IFNA(VLOOKUP('Rock Climbing Log'!AL60,'RC Lookup'!$A$3:$B$9,2,FALSE),0.5),VLOOKUP('Rock Climbing Log'!AL60,'RC Lookup'!$G$3:$H$5,2,FALSE)),0)*VLOOKUP(AK$7,'RC Lookup'!$D$3:$E$18,2,FALSE)</f>
        <v>0</v>
      </c>
      <c r="AM60" s="26">
        <f>_xlfn.IFNA(IF(LEFT('Rock Climbing Log'!AM60)="C",_xlfn.IFNA(VLOOKUP('Rock Climbing Log'!AM60,'RC Lookup'!$A$3:$B$9,2,FALSE),0.5),VLOOKUP('Rock Climbing Log'!AM60,'RC Lookup'!$G$3:$H$5,2,FALSE)),0)*VLOOKUP(AK$7,'RC Lookup'!$D$3:$E$18,2,FALSE)</f>
        <v>0</v>
      </c>
      <c r="AN60" s="26">
        <f>_xlfn.IFNA(IF(LEFT('Rock Climbing Log'!AN60)="C",_xlfn.IFNA(VLOOKUP('Rock Climbing Log'!AN60,'RC Lookup'!$A$3:$B$9,2,FALSE),0.5),VLOOKUP('Rock Climbing Log'!AN60,'RC Lookup'!$G$3:$H$5,2,FALSE)),0)*VLOOKUP(AN$7,'RC Lookup'!$D$3:$E$18,2,FALSE)</f>
        <v>0</v>
      </c>
      <c r="AO60" s="26">
        <f>_xlfn.IFNA(IF(LEFT('Rock Climbing Log'!AO60)="C",_xlfn.IFNA(VLOOKUP('Rock Climbing Log'!AO60,'RC Lookup'!$A$3:$B$9,2,FALSE),0.5),VLOOKUP('Rock Climbing Log'!AO60,'RC Lookup'!$G$3:$H$5,2,FALSE)),0)*VLOOKUP(AN$7,'RC Lookup'!$D$3:$E$18,2,FALSE)</f>
        <v>0</v>
      </c>
      <c r="AP60" s="26">
        <f>_xlfn.IFNA(IF(LEFT('Rock Climbing Log'!AP60)="C",_xlfn.IFNA(VLOOKUP('Rock Climbing Log'!AP60,'RC Lookup'!$A$3:$B$9,2,FALSE),0.5),VLOOKUP('Rock Climbing Log'!AP60,'RC Lookup'!$G$3:$H$5,2,FALSE)),0)*VLOOKUP(AN$7,'RC Lookup'!$D$3:$E$18,2,FALSE)</f>
        <v>0</v>
      </c>
      <c r="AQ60" s="26">
        <f>_xlfn.IFNA(IF(LEFT('Rock Climbing Log'!AQ60)="C",_xlfn.IFNA(VLOOKUP('Rock Climbing Log'!AQ60,'RC Lookup'!$A$3:$B$9,2,FALSE),0.5),VLOOKUP('Rock Climbing Log'!AQ60,'RC Lookup'!$G$3:$H$5,2,FALSE)),0)*VLOOKUP(AQ$7,'RC Lookup'!$D$3:$E$18,2,FALSE)</f>
        <v>0</v>
      </c>
      <c r="AR60" s="26">
        <f>_xlfn.IFNA(IF(LEFT('Rock Climbing Log'!AR60)="C",_xlfn.IFNA(VLOOKUP('Rock Climbing Log'!AR60,'RC Lookup'!$A$3:$B$9,2,FALSE),0.5),VLOOKUP('Rock Climbing Log'!AR60,'RC Lookup'!$G$3:$H$5,2,FALSE)),0)*VLOOKUP(AQ$7,'RC Lookup'!$D$3:$E$18,2,FALSE)</f>
        <v>0</v>
      </c>
      <c r="AS60" s="26">
        <f>_xlfn.IFNA(IF(LEFT('Rock Climbing Log'!AS60)="C",_xlfn.IFNA(VLOOKUP('Rock Climbing Log'!AS60,'RC Lookup'!$A$3:$B$9,2,FALSE),0.5),VLOOKUP('Rock Climbing Log'!AS60,'RC Lookup'!$G$3:$H$5,2,FALSE)),0)*VLOOKUP(AQ$7,'RC Lookup'!$D$3:$E$18,2,FALSE)</f>
        <v>0</v>
      </c>
      <c r="AT60" s="26">
        <f>_xlfn.IFNA(IF(LEFT('Rock Climbing Log'!AT60)="C",_xlfn.IFNA(VLOOKUP('Rock Climbing Log'!AT60,'RC Lookup'!$A$3:$B$9,2,FALSE),0.5),VLOOKUP('Rock Climbing Log'!AT60,'RC Lookup'!$G$3:$H$5,2,FALSE)),0)*VLOOKUP(AT$7,'RC Lookup'!$D$3:$E$18,2,FALSE)</f>
        <v>0</v>
      </c>
      <c r="AU60" s="26">
        <f>_xlfn.IFNA(IF(LEFT('Rock Climbing Log'!AU60)="C",_xlfn.IFNA(VLOOKUP('Rock Climbing Log'!AU60,'RC Lookup'!$A$3:$B$9,2,FALSE),0.5),VLOOKUP('Rock Climbing Log'!AU60,'RC Lookup'!$G$3:$H$5,2,FALSE)),0)*VLOOKUP(AT$7,'RC Lookup'!$D$3:$E$18,2,FALSE)</f>
        <v>0</v>
      </c>
      <c r="AV60" s="26">
        <f>_xlfn.IFNA(IF(LEFT('Rock Climbing Log'!AV60)="C",_xlfn.IFNA(VLOOKUP('Rock Climbing Log'!AV60,'RC Lookup'!$A$3:$B$9,2,FALSE),0.5),VLOOKUP('Rock Climbing Log'!AV60,'RC Lookup'!$G$3:$H$5,2,FALSE)),0)*VLOOKUP(AT$7,'RC Lookup'!$D$3:$E$18,2,FALSE)</f>
        <v>0</v>
      </c>
      <c r="AW60" s="30">
        <f t="shared" ca="1" si="2"/>
        <v>71.009245742400026</v>
      </c>
      <c r="AX60" s="30">
        <f ca="1">_xlfn.IFNA(VLOOKUP(SUMPRODUCT(LARGE(($C$8:$C60=Table1[[#This Row],[Climber]])*$A$8:$A60,1)),$A$8:$AW60,MATCH($AW$7,$A$7:$AW$7,FALSE),FALSE),0)/LEFT($AX$7,FIND(" ",$AX$7))+_xlfn.IFNA(VLOOKUP(SUMPRODUCT(LARGE(($C$8:$C60=Table1[[#This Row],[Climber]])*$A$8:$A60,MIN(2,COUNTIFS($C$8:$C60,$C60)))),$A$8:$AW60,MATCH($AW$7,$A$7:$AW$7,FALSE),FALSE),0)/LEFT($AX$7,FIND(" ",$AX$7))+_xlfn.IFNA(VLOOKUP(SUMPRODUCT(LARGE(($C$8:$C60=Table1[[#This Row],[Climber]])*$A$8:$A60,MIN(3,COUNTIFS($C$8:$C60,$C60)))),$A$8:$AW60,MATCH($AW$7,$A$7:$AW$7,FALSE),FALSE),0)/LEFT($AX$7,FIND(" ",$AX$7))</f>
        <v>66.550621452000016</v>
      </c>
      <c r="AY60" s="30">
        <f ca="1">_xlfn.IFNA(VLOOKUP(SUMPRODUCT(LARGE(($C$8:$C60=Table1[[#This Row],[Climber]])*$A$8:$A60,1)),$A$8:$AW60,MATCH($AW$7,$A$7:$AW$7,FALSE),FALSE),0)/LEFT($AY$7,FIND(" ",$AY$7))+_xlfn.IFNA(VLOOKUP(SUMPRODUCT(LARGE(($C$8:$C60=Table1[[#This Row],[Climber]])*$A$8:$A60,MIN(2,COUNTIFS($C$8:$C60,$C60)))),$A$8:$AW60,MATCH($AW$7,$A$7:$AW$7,FALSE),FALSE),0)/LEFT($AY$7,FIND(" ",$AY$7))+_xlfn.IFNA(VLOOKUP(SUMPRODUCT(LARGE(($C$8:$C60=Table1[[#This Row],[Climber]])*$A$8:$A60,MIN(3,COUNTIFS($C$8:$C60,$C60)))),$A$8:$AW60,MATCH($AW$7,$A$7:$AW$7,FALSE),FALSE),0)/LEFT($AY$7,FIND(" ",$AY$7))+_xlfn.IFNA(VLOOKUP(SUMPRODUCT(LARGE(($C$8:$C60=Table1[[#This Row],[Climber]])*$A$8:$A60,MIN(4,COUNTIFS($C$8:$C60,$C60)))),$A$8:$AW60,MATCH($AW$7,$A$7:$AW$7,FALSE),FALSE),0)/LEFT($AY$7,FIND(" ",$AY$7))+_xlfn.IFNA(VLOOKUP(SUMPRODUCT(LARGE(($C$8:$C60=Table1[[#This Row],[Climber]])*$A$8:$A60,MIN(5,COUNTIFS($C$8:$C60,$C60)))),$A$8:$AW60,MATCH($AW$7,$A$7:$AW$7,FALSE),FALSE),0)/LEFT($AY$7,FIND(" ",$AY$7))</f>
        <v>61.58333762175775</v>
      </c>
      <c r="AZ60" s="30">
        <f ca="1">(_xlfn.IFNA(VLOOKUP(SUMPRODUCT(LARGE(($C$8:$C60=Table1[[#This Row],[Climber]])*$A$8:$A60,4)),$A$8:$AW60,MATCH($AW$7,$A$7:$AW$7,FALSE),FALSE),0)+_xlfn.IFNA(VLOOKUP(SUMPRODUCT(LARGE(($C$8:$C60=Table1[[#This Row],[Climber]])*$A$8:$A60,5)),$A$8:$AW60,MATCH($AW$7,$A$7:$AW$7,FALSE),FALSE),0)+_xlfn.IFNA(VLOOKUP(SUMPRODUCT(LARGE(($C$8:$C60=Table1[[#This Row],[Climber]])*$A$8:$A60,6)),$A$8:$AW60,MATCH($AW$7,$A$7:$AW$7,FALSE),FALSE),0))/3</f>
        <v>51.466898874662888</v>
      </c>
      <c r="BA60" s="46">
        <f ca="1">_xlfn.MAXIFS(INDIRECT("$AW"&amp;IF(SUMPRODUCT(LARGE(($C$8:$C60=$C60)*$A$8:$A60,LEFT($BA$7,FIND(" ",$BA$7)-1)))=0,8,SUMPRODUCT(LARGE(($C$8:$C60=$C60)*$A$8:$A60,LEFT($BA$7,FIND(" ",$BA$7)-1)))+7)&amp;":$AW"&amp;ROW()),INDIRECT("$C"&amp;IF(SUMPRODUCT(LARGE(($C$8:$C60=$C60)*$A$8:$A60,LEFT($BA$7,FIND(" ",$BA$7)-1)))=0,8,SUMPRODUCT(LARGE(($C$8:$C60=$C60)*$A$8:$A60,LEFT($BA$7,FIND(" ",$BA$7)-1)))+7)&amp;":$C"&amp;ROW()),$C60)</f>
        <v>75.261745742400024</v>
      </c>
      <c r="BB60" s="46" t="str">
        <f ca="1">VLOOKUP(MAX(BG60,$AX60),'RC Lookup'!$G$14:$J$20,2,TRUE)</f>
        <v>T2</v>
      </c>
      <c r="BC60" s="46">
        <f ca="1">_xlfn.IFNA(VLOOKUP(VLOOKUP($C60,'RC Lookup'!$O$3:$P$50,2,FALSE),'RC Lookup'!$H$14:$J$23,2,FALSE),0)*AW60</f>
        <v>81.905157893935197</v>
      </c>
      <c r="BD60" s="6">
        <f ca="1">_xlfn.IFNA(VLOOKUP(SUMPRODUCT(LARGE(($C$8:$C60=Table1[[#This Row],[Climber]])*$A$8:$A60,1)),$A$8:$BC60,55,FALSE),0)/LEFT($AX$7,FIND(" ",$AX$7))+_xlfn.IFNA(VLOOKUP(SUMPRODUCT(LARGE(($C$8:$C60=Table1[[#This Row],[Climber]])*$A$8:$A60,MIN(2,COUNTIFS($C$8:$C60,$C60)))),$A$8:$BC60,55,FALSE),0)/LEFT($AX$7,FIND(" ",$AX$7))+_xlfn.IFNA(VLOOKUP(SUMPRODUCT(LARGE(($C$8:$C60=Table1[[#This Row],[Climber]])*$A$8:$A60,MIN(3,COUNTIFS($C$8:$C60,$C60)))),$A$8:$BC60,55,FALSE),0)/LEFT($AX$7,FIND(" ",$AX$7))</f>
        <v>76.76238637626939</v>
      </c>
      <c r="BE60" s="6">
        <f ca="1">(_xlfn.IFNA(VLOOKUP(SUMPRODUCT(LARGE(($C$8:$C60=Table1[[#This Row],[Climber]])*$A$8:$A60,4)),$A$8:$BD60,55,FALSE),0)+_xlfn.IFNA(VLOOKUP(SUMPRODUCT(LARGE(($C$8:$C60=Table1[[#This Row],[Climber]])*$A$8:$A60,5)),$A$8:$BD60,55,FALSE),0)+_xlfn.IFNA(VLOOKUP(SUMPRODUCT(LARGE(($C$8:$C60=Table1[[#This Row],[Climber]])*$A$8:$A60,6)),$A$8:$BD60,55,FALSE),0))/3</f>
        <v>59.364163561639096</v>
      </c>
      <c r="BF60" s="46">
        <f ca="1">_xlfn.MAXIFS(INDIRECT("$BC"&amp;IF(SUMPRODUCT(LARGE(($C$8:$C60=$C60)*$A$8:$A60,LEFT($BA$7,FIND(" ",$BA$7)-1)))=0,8,SUMPRODUCT(LARGE(($C$8:$C60=$C60)*$A$8:$A60,LEFT($BA$7,FIND(" ",$BA$7)-1)))+7)&amp;":$BC"&amp;ROW()),INDIRECT("$C"&amp;IF(SUMPRODUCT(LARGE(($C$8:$C60=$C60)*$A$8:$A60,LEFT($BA$7,FIND(" ",$BA$7)-1)))=0,8,SUMPRODUCT(LARGE(($C$8:$C60=$C60)*$A$8:$A60,LEFT($BA$7,FIND(" ",$BA$7)-1)))+7)&amp;":$C"&amp;ROW()),$C60)</f>
        <v>86.810176674271105</v>
      </c>
      <c r="BG60" s="46">
        <f t="array" aca="1" ref="BG60" ca="1">IFERROR(SUMPRODUCT(LARGE(($C$8:$C60=Table1[[#This Row],[Climber]])*$AW$8:$AW60,ROW(INDIRECT("1:5")))),AW60)/MIN(COUNTIFS($C$8:$C60,C60),5)</f>
        <v>61.583337621757735</v>
      </c>
    </row>
    <row r="61" spans="1:60" x14ac:dyDescent="0.3">
      <c r="A61" s="125">
        <f t="shared" si="1"/>
        <v>54</v>
      </c>
      <c r="B61" s="25">
        <f>'Rock Climbing Log'!B61</f>
        <v>43156</v>
      </c>
      <c r="C61" s="126" t="str">
        <f>'Rock Climbing Log'!C61</f>
        <v>Angel</v>
      </c>
      <c r="D61" s="26">
        <f>_xlfn.IFNA(IF(LEFT('Rock Climbing Log'!D61)="C",_xlfn.IFNA(VLOOKUP('Rock Climbing Log'!D61,'RC Lookup'!$A$3:$B$9,2,FALSE),0.5),VLOOKUP('Rock Climbing Log'!D61,'RC Lookup'!$G$3:$H$5,2,FALSE)),0)*VLOOKUP(D$7,'RC Lookup'!$D$3:$E$18,2,FALSE)</f>
        <v>10</v>
      </c>
      <c r="E61" s="26">
        <f>_xlfn.IFNA(IF(LEFT('Rock Climbing Log'!E61)="C",_xlfn.IFNA(VLOOKUP('Rock Climbing Log'!E61,'RC Lookup'!$A$3:$B$9,2,FALSE),0.5),VLOOKUP('Rock Climbing Log'!E61,'RC Lookup'!$G$3:$H$5,2,FALSE)),0)*VLOOKUP(D$7,'RC Lookup'!$D$3:$E$18,2,FALSE)</f>
        <v>0</v>
      </c>
      <c r="F61" s="26">
        <f>_xlfn.IFNA(IF(LEFT('Rock Climbing Log'!F61)="C",_xlfn.IFNA(VLOOKUP('Rock Climbing Log'!F61,'RC Lookup'!$A$3:$B$9,2,FALSE),0.5),VLOOKUP('Rock Climbing Log'!F61,'RC Lookup'!$G$3:$H$5,2,FALSE)),0)*VLOOKUP(D$7,'RC Lookup'!$D$3:$E$18,2,FALSE)</f>
        <v>0</v>
      </c>
      <c r="G61" s="26">
        <f>_xlfn.IFNA(IF(LEFT('Rock Climbing Log'!G61)="C",_xlfn.IFNA(VLOOKUP('Rock Climbing Log'!G61,'RC Lookup'!$A$3:$B$9,2,FALSE),0.5),VLOOKUP('Rock Climbing Log'!G61,'RC Lookup'!$G$3:$H$5,2,FALSE)),0)*VLOOKUP(G$7,'RC Lookup'!$D$3:$E$18,2,FALSE)</f>
        <v>12.5</v>
      </c>
      <c r="H61" s="26">
        <f>_xlfn.IFNA(IF(LEFT('Rock Climbing Log'!H61)="C",_xlfn.IFNA(VLOOKUP('Rock Climbing Log'!H61,'RC Lookup'!$A$3:$B$9,2,FALSE),0.5),VLOOKUP('Rock Climbing Log'!H61,'RC Lookup'!$G$3:$H$5,2,FALSE)),0)*VLOOKUP(G$7,'RC Lookup'!$D$3:$E$18,2,FALSE)</f>
        <v>0</v>
      </c>
      <c r="I61" s="26">
        <f>_xlfn.IFNA(IF(LEFT('Rock Climbing Log'!I61)="C",_xlfn.IFNA(VLOOKUP('Rock Climbing Log'!I61,'RC Lookup'!$A$3:$B$9,2,FALSE),0.5),VLOOKUP('Rock Climbing Log'!I61,'RC Lookup'!$G$3:$H$5,2,FALSE)),0)*VLOOKUP(G$7,'RC Lookup'!$D$3:$E$18,2,FALSE)</f>
        <v>0</v>
      </c>
      <c r="J61" s="26">
        <f>_xlfn.IFNA(IF(LEFT('Rock Climbing Log'!J61)="C",_xlfn.IFNA(VLOOKUP('Rock Climbing Log'!J61,'RC Lookup'!$A$3:$B$9,2,FALSE),0.5),VLOOKUP('Rock Climbing Log'!J61,'RC Lookup'!$G$3:$H$5,2,FALSE)),0)*VLOOKUP(J$7,'RC Lookup'!$D$3:$E$18,2,FALSE)</f>
        <v>15.75</v>
      </c>
      <c r="K61" s="26">
        <f>_xlfn.IFNA(IF(LEFT('Rock Climbing Log'!K61)="C",_xlfn.IFNA(VLOOKUP('Rock Climbing Log'!K61,'RC Lookup'!$A$3:$B$9,2,FALSE),0.5),VLOOKUP('Rock Climbing Log'!K61,'RC Lookup'!$G$3:$H$5,2,FALSE)),0)*VLOOKUP(J$7,'RC Lookup'!$D$3:$E$18,2,FALSE)</f>
        <v>0</v>
      </c>
      <c r="L61" s="26">
        <f>_xlfn.IFNA(IF(LEFT('Rock Climbing Log'!L61)="C",_xlfn.IFNA(VLOOKUP('Rock Climbing Log'!L61,'RC Lookup'!$A$3:$B$9,2,FALSE),0.5),VLOOKUP('Rock Climbing Log'!L61,'RC Lookup'!$G$3:$H$5,2,FALSE)),0)*VLOOKUP(J$7,'RC Lookup'!$D$3:$E$18,2,FALSE)</f>
        <v>0</v>
      </c>
      <c r="M61" s="26">
        <f>_xlfn.IFNA(IF(LEFT('Rock Climbing Log'!M61)="C",_xlfn.IFNA(VLOOKUP('Rock Climbing Log'!M61,'RC Lookup'!$A$3:$B$9,2,FALSE),0.5),VLOOKUP('Rock Climbing Log'!M61,'RC Lookup'!$G$3:$H$5,2,FALSE)),0)*VLOOKUP(M$7,'RC Lookup'!$D$3:$E$18,2,FALSE)</f>
        <v>0</v>
      </c>
      <c r="N61" s="26">
        <f>_xlfn.IFNA(IF(LEFT('Rock Climbing Log'!N61)="C",_xlfn.IFNA(VLOOKUP('Rock Climbing Log'!N61,'RC Lookup'!$A$3:$B$9,2,FALSE),0.5),VLOOKUP('Rock Climbing Log'!N61,'RC Lookup'!$G$3:$H$5,2,FALSE)),0)*VLOOKUP(M$7,'RC Lookup'!$D$3:$E$18,2,FALSE)</f>
        <v>0</v>
      </c>
      <c r="O61" s="26">
        <f>_xlfn.IFNA(IF(LEFT('Rock Climbing Log'!O61)="C",_xlfn.IFNA(VLOOKUP('Rock Climbing Log'!O61,'RC Lookup'!$A$3:$B$9,2,FALSE),0.5),VLOOKUP('Rock Climbing Log'!O61,'RC Lookup'!$G$3:$H$5,2,FALSE)),0)*VLOOKUP(M$7,'RC Lookup'!$D$3:$E$18,2,FALSE)</f>
        <v>0</v>
      </c>
      <c r="P61" s="26">
        <f>_xlfn.IFNA(IF(LEFT('Rock Climbing Log'!P61)="C",_xlfn.IFNA(VLOOKUP('Rock Climbing Log'!P61,'RC Lookup'!$A$3:$B$9,2,FALSE),0.5),VLOOKUP('Rock Climbing Log'!P61,'RC Lookup'!$G$3:$H$5,2,FALSE)),0)*VLOOKUP(P$7,'RC Lookup'!$D$3:$E$18,2,FALSE)</f>
        <v>0</v>
      </c>
      <c r="Q61" s="26">
        <f>_xlfn.IFNA(IF(LEFT('Rock Climbing Log'!Q61)="C",_xlfn.IFNA(VLOOKUP('Rock Climbing Log'!Q61,'RC Lookup'!$A$3:$B$9,2,FALSE),0.5),VLOOKUP('Rock Climbing Log'!Q61,'RC Lookup'!$G$3:$H$5,2,FALSE)),0)*VLOOKUP(P$7,'RC Lookup'!$D$3:$E$18,2,FALSE)</f>
        <v>0</v>
      </c>
      <c r="R61" s="26">
        <f>_xlfn.IFNA(IF(LEFT('Rock Climbing Log'!R61)="C",_xlfn.IFNA(VLOOKUP('Rock Climbing Log'!R61,'RC Lookup'!$A$3:$B$9,2,FALSE),0.5),VLOOKUP('Rock Climbing Log'!R61,'RC Lookup'!$G$3:$H$5,2,FALSE)),0)*VLOOKUP(P$7,'RC Lookup'!$D$3:$E$18,2,FALSE)</f>
        <v>0</v>
      </c>
      <c r="S61" s="26">
        <f>_xlfn.IFNA(IF(LEFT('Rock Climbing Log'!S61)="C",_xlfn.IFNA(VLOOKUP('Rock Climbing Log'!S61,'RC Lookup'!$A$3:$B$9,2,FALSE),0.5),VLOOKUP('Rock Climbing Log'!S61,'RC Lookup'!$G$3:$H$5,2,FALSE)),0)*VLOOKUP(S$7,'RC Lookup'!$D$3:$E$18,2,FALSE)</f>
        <v>0</v>
      </c>
      <c r="T61" s="26">
        <f>_xlfn.IFNA(IF(LEFT('Rock Climbing Log'!T61)="C",_xlfn.IFNA(VLOOKUP('Rock Climbing Log'!T61,'RC Lookup'!$A$3:$B$9,2,FALSE),0.5),VLOOKUP('Rock Climbing Log'!T61,'RC Lookup'!$G$3:$H$5,2,FALSE)),0)*VLOOKUP(S$7,'RC Lookup'!$D$3:$E$18,2,FALSE)</f>
        <v>0</v>
      </c>
      <c r="U61" s="26">
        <f>_xlfn.IFNA(IF(LEFT('Rock Climbing Log'!U61)="C",_xlfn.IFNA(VLOOKUP('Rock Climbing Log'!U61,'RC Lookup'!$A$3:$B$9,2,FALSE),0.5),VLOOKUP('Rock Climbing Log'!U61,'RC Lookup'!$G$3:$H$5,2,FALSE)),0)*VLOOKUP(S$7,'RC Lookup'!$D$3:$E$18,2,FALSE)</f>
        <v>0</v>
      </c>
      <c r="V61" s="26">
        <f>_xlfn.IFNA(IF(LEFT('Rock Climbing Log'!V61)="C",_xlfn.IFNA(VLOOKUP('Rock Climbing Log'!V61,'RC Lookup'!$A$3:$B$9,2,FALSE),0.5),VLOOKUP('Rock Climbing Log'!V61,'RC Lookup'!$G$3:$H$5,2,FALSE)),0)*VLOOKUP(V$7,'RC Lookup'!$D$3:$E$18,2,FALSE)</f>
        <v>0</v>
      </c>
      <c r="W61" s="26">
        <f>_xlfn.IFNA(IF(LEFT('Rock Climbing Log'!W61)="C",_xlfn.IFNA(VLOOKUP('Rock Climbing Log'!W61,'RC Lookup'!$A$3:$B$9,2,FALSE),0.5),VLOOKUP('Rock Climbing Log'!W61,'RC Lookup'!$G$3:$H$5,2,FALSE)),0)*VLOOKUP(V$7,'RC Lookup'!$D$3:$E$18,2,FALSE)</f>
        <v>0</v>
      </c>
      <c r="X61" s="26">
        <f>_xlfn.IFNA(IF(LEFT('Rock Climbing Log'!X61)="C",_xlfn.IFNA(VLOOKUP('Rock Climbing Log'!X61,'RC Lookup'!$A$3:$B$9,2,FALSE),0.5),VLOOKUP('Rock Climbing Log'!X61,'RC Lookup'!$G$3:$H$5,2,FALSE)),0)*VLOOKUP(V$7,'RC Lookup'!$D$3:$E$18,2,FALSE)</f>
        <v>0</v>
      </c>
      <c r="Y61" s="26">
        <f>_xlfn.IFNA(IF(LEFT('Rock Climbing Log'!Y61)="C",_xlfn.IFNA(VLOOKUP('Rock Climbing Log'!Y61,'RC Lookup'!$A$3:$B$9,2,FALSE),0.5),VLOOKUP('Rock Climbing Log'!Y61,'RC Lookup'!$G$3:$H$5,2,FALSE)),0)*VLOOKUP(Y$7,'RC Lookup'!$D$3:$E$18,2,FALSE)</f>
        <v>0</v>
      </c>
      <c r="Z61" s="26">
        <f>_xlfn.IFNA(IF(LEFT('Rock Climbing Log'!Z61)="C",_xlfn.IFNA(VLOOKUP('Rock Climbing Log'!Z61,'RC Lookup'!$A$3:$B$9,2,FALSE),0.5),VLOOKUP('Rock Climbing Log'!Z61,'RC Lookup'!$G$3:$H$5,2,FALSE)),0)*VLOOKUP(Y$7,'RC Lookup'!$D$3:$E$18,2,FALSE)</f>
        <v>0</v>
      </c>
      <c r="AA61" s="26">
        <f>_xlfn.IFNA(IF(LEFT('Rock Climbing Log'!AA61)="C",_xlfn.IFNA(VLOOKUP('Rock Climbing Log'!AA61,'RC Lookup'!$A$3:$B$9,2,FALSE),0.5),VLOOKUP('Rock Climbing Log'!AA61,'RC Lookup'!$G$3:$H$5,2,FALSE)),0)*VLOOKUP(Y$7,'RC Lookup'!$D$3:$E$18,2,FALSE)</f>
        <v>0</v>
      </c>
      <c r="AB61" s="26">
        <f>_xlfn.IFNA(IF(LEFT('Rock Climbing Log'!AB61)="C",_xlfn.IFNA(VLOOKUP('Rock Climbing Log'!AB61,'RC Lookup'!$A$3:$B$9,2,FALSE),0.5),VLOOKUP('Rock Climbing Log'!AB61,'RC Lookup'!$G$3:$H$5,2,FALSE)),0)*VLOOKUP(AB$7,'RC Lookup'!$D$3:$E$18,2,FALSE)</f>
        <v>0</v>
      </c>
      <c r="AC61" s="26">
        <f>_xlfn.IFNA(IF(LEFT('Rock Climbing Log'!AC61)="C",_xlfn.IFNA(VLOOKUP('Rock Climbing Log'!AC61,'RC Lookup'!$A$3:$B$9,2,FALSE),0.5),VLOOKUP('Rock Climbing Log'!AC61,'RC Lookup'!$G$3:$H$5,2,FALSE)),0)*VLOOKUP(AB$7,'RC Lookup'!$D$3:$E$18,2,FALSE)</f>
        <v>0</v>
      </c>
      <c r="AD61" s="26">
        <f>_xlfn.IFNA(IF(LEFT('Rock Climbing Log'!AD61)="C",_xlfn.IFNA(VLOOKUP('Rock Climbing Log'!AD61,'RC Lookup'!$A$3:$B$9,2,FALSE),0.5),VLOOKUP('Rock Climbing Log'!AD61,'RC Lookup'!$G$3:$H$5,2,FALSE)),0)*VLOOKUP(AB$7,'RC Lookup'!$D$3:$E$18,2,FALSE)</f>
        <v>0</v>
      </c>
      <c r="AE61" s="26">
        <f>_xlfn.IFNA(IF(LEFT('Rock Climbing Log'!AE61)="C",_xlfn.IFNA(VLOOKUP('Rock Climbing Log'!AE61,'RC Lookup'!$A$3:$B$9,2,FALSE),0.5),VLOOKUP('Rock Climbing Log'!AE61,'RC Lookup'!$G$3:$H$5,2,FALSE)),0)*VLOOKUP(AE$7,'RC Lookup'!$D$3:$E$18,2,FALSE)</f>
        <v>0</v>
      </c>
      <c r="AF61" s="26">
        <f>_xlfn.IFNA(IF(LEFT('Rock Climbing Log'!AF61)="C",_xlfn.IFNA(VLOOKUP('Rock Climbing Log'!AF61,'RC Lookup'!$A$3:$B$9,2,FALSE),0.5),VLOOKUP('Rock Climbing Log'!AF61,'RC Lookup'!$G$3:$H$5,2,FALSE)),0)*VLOOKUP(AE$7,'RC Lookup'!$D$3:$E$18,2,FALSE)</f>
        <v>0</v>
      </c>
      <c r="AG61" s="26">
        <f>_xlfn.IFNA(IF(LEFT('Rock Climbing Log'!AG61)="C",_xlfn.IFNA(VLOOKUP('Rock Climbing Log'!AG61,'RC Lookup'!$A$3:$B$9,2,FALSE),0.5),VLOOKUP('Rock Climbing Log'!AG61,'RC Lookup'!$G$3:$H$5,2,FALSE)),0)*VLOOKUP(AE$7,'RC Lookup'!$D$3:$E$18,2,FALSE)</f>
        <v>0</v>
      </c>
      <c r="AH61" s="26">
        <f>_xlfn.IFNA(IF(LEFT('Rock Climbing Log'!AH61)="C",_xlfn.IFNA(VLOOKUP('Rock Climbing Log'!AH61,'RC Lookup'!$A$3:$B$9,2,FALSE),0.5),VLOOKUP('Rock Climbing Log'!AH61,'RC Lookup'!$G$3:$H$5,2,FALSE)),0)*VLOOKUP(AH$7,'RC Lookup'!$D$3:$E$18,2,FALSE)</f>
        <v>0</v>
      </c>
      <c r="AI61" s="26">
        <f>_xlfn.IFNA(IF(LEFT('Rock Climbing Log'!AI61)="C",_xlfn.IFNA(VLOOKUP('Rock Climbing Log'!AI61,'RC Lookup'!$A$3:$B$9,2,FALSE),0.5),VLOOKUP('Rock Climbing Log'!AI61,'RC Lookup'!$G$3:$H$5,2,FALSE)),0)*VLOOKUP(AH$7,'RC Lookup'!$D$3:$E$18,2,FALSE)</f>
        <v>0</v>
      </c>
      <c r="AJ61" s="26">
        <f>_xlfn.IFNA(IF(LEFT('Rock Climbing Log'!AJ61)="C",_xlfn.IFNA(VLOOKUP('Rock Climbing Log'!AJ61,'RC Lookup'!$A$3:$B$9,2,FALSE),0.5),VLOOKUP('Rock Climbing Log'!AJ61,'RC Lookup'!$G$3:$H$5,2,FALSE)),0)*VLOOKUP(AH$7,'RC Lookup'!$D$3:$E$18,2,FALSE)</f>
        <v>0</v>
      </c>
      <c r="AK61" s="26">
        <f>_xlfn.IFNA(IF(LEFT('Rock Climbing Log'!AK61)="C",_xlfn.IFNA(VLOOKUP('Rock Climbing Log'!AK61,'RC Lookup'!$A$3:$B$9,2,FALSE),0.5),VLOOKUP('Rock Climbing Log'!AK61,'RC Lookup'!$G$3:$H$5,2,FALSE)),0)*VLOOKUP(AK$7,'RC Lookup'!$D$3:$E$18,2,FALSE)</f>
        <v>0</v>
      </c>
      <c r="AL61" s="26">
        <f>_xlfn.IFNA(IF(LEFT('Rock Climbing Log'!AL61)="C",_xlfn.IFNA(VLOOKUP('Rock Climbing Log'!AL61,'RC Lookup'!$A$3:$B$9,2,FALSE),0.5),VLOOKUP('Rock Climbing Log'!AL61,'RC Lookup'!$G$3:$H$5,2,FALSE)),0)*VLOOKUP(AK$7,'RC Lookup'!$D$3:$E$18,2,FALSE)</f>
        <v>0</v>
      </c>
      <c r="AM61" s="26">
        <f>_xlfn.IFNA(IF(LEFT('Rock Climbing Log'!AM61)="C",_xlfn.IFNA(VLOOKUP('Rock Climbing Log'!AM61,'RC Lookup'!$A$3:$B$9,2,FALSE),0.5),VLOOKUP('Rock Climbing Log'!AM61,'RC Lookup'!$G$3:$H$5,2,FALSE)),0)*VLOOKUP(AK$7,'RC Lookup'!$D$3:$E$18,2,FALSE)</f>
        <v>0</v>
      </c>
      <c r="AN61" s="26">
        <f>_xlfn.IFNA(IF(LEFT('Rock Climbing Log'!AN61)="C",_xlfn.IFNA(VLOOKUP('Rock Climbing Log'!AN61,'RC Lookup'!$A$3:$B$9,2,FALSE),0.5),VLOOKUP('Rock Climbing Log'!AN61,'RC Lookup'!$G$3:$H$5,2,FALSE)),0)*VLOOKUP(AN$7,'RC Lookup'!$D$3:$E$18,2,FALSE)</f>
        <v>0</v>
      </c>
      <c r="AO61" s="26">
        <f>_xlfn.IFNA(IF(LEFT('Rock Climbing Log'!AO61)="C",_xlfn.IFNA(VLOOKUP('Rock Climbing Log'!AO61,'RC Lookup'!$A$3:$B$9,2,FALSE),0.5),VLOOKUP('Rock Climbing Log'!AO61,'RC Lookup'!$G$3:$H$5,2,FALSE)),0)*VLOOKUP(AN$7,'RC Lookup'!$D$3:$E$18,2,FALSE)</f>
        <v>0</v>
      </c>
      <c r="AP61" s="26">
        <f>_xlfn.IFNA(IF(LEFT('Rock Climbing Log'!AP61)="C",_xlfn.IFNA(VLOOKUP('Rock Climbing Log'!AP61,'RC Lookup'!$A$3:$B$9,2,FALSE),0.5),VLOOKUP('Rock Climbing Log'!AP61,'RC Lookup'!$G$3:$H$5,2,FALSE)),0)*VLOOKUP(AN$7,'RC Lookup'!$D$3:$E$18,2,FALSE)</f>
        <v>0</v>
      </c>
      <c r="AQ61" s="26">
        <f>_xlfn.IFNA(IF(LEFT('Rock Climbing Log'!AQ61)="C",_xlfn.IFNA(VLOOKUP('Rock Climbing Log'!AQ61,'RC Lookup'!$A$3:$B$9,2,FALSE),0.5),VLOOKUP('Rock Climbing Log'!AQ61,'RC Lookup'!$G$3:$H$5,2,FALSE)),0)*VLOOKUP(AQ$7,'RC Lookup'!$D$3:$E$18,2,FALSE)</f>
        <v>0</v>
      </c>
      <c r="AR61" s="26">
        <f>_xlfn.IFNA(IF(LEFT('Rock Climbing Log'!AR61)="C",_xlfn.IFNA(VLOOKUP('Rock Climbing Log'!AR61,'RC Lookup'!$A$3:$B$9,2,FALSE),0.5),VLOOKUP('Rock Climbing Log'!AR61,'RC Lookup'!$G$3:$H$5,2,FALSE)),0)*VLOOKUP(AQ$7,'RC Lookup'!$D$3:$E$18,2,FALSE)</f>
        <v>0</v>
      </c>
      <c r="AS61" s="26">
        <f>_xlfn.IFNA(IF(LEFT('Rock Climbing Log'!AS61)="C",_xlfn.IFNA(VLOOKUP('Rock Climbing Log'!AS61,'RC Lookup'!$A$3:$B$9,2,FALSE),0.5),VLOOKUP('Rock Climbing Log'!AS61,'RC Lookup'!$G$3:$H$5,2,FALSE)),0)*VLOOKUP(AQ$7,'RC Lookup'!$D$3:$E$18,2,FALSE)</f>
        <v>0</v>
      </c>
      <c r="AT61" s="26">
        <f>_xlfn.IFNA(IF(LEFT('Rock Climbing Log'!AT61)="C",_xlfn.IFNA(VLOOKUP('Rock Climbing Log'!AT61,'RC Lookup'!$A$3:$B$9,2,FALSE),0.5),VLOOKUP('Rock Climbing Log'!AT61,'RC Lookup'!$G$3:$H$5,2,FALSE)),0)*VLOOKUP(AT$7,'RC Lookup'!$D$3:$E$18,2,FALSE)</f>
        <v>0</v>
      </c>
      <c r="AU61" s="26">
        <f>_xlfn.IFNA(IF(LEFT('Rock Climbing Log'!AU61)="C",_xlfn.IFNA(VLOOKUP('Rock Climbing Log'!AU61,'RC Lookup'!$A$3:$B$9,2,FALSE),0.5),VLOOKUP('Rock Climbing Log'!AU61,'RC Lookup'!$G$3:$H$5,2,FALSE)),0)*VLOOKUP(AT$7,'RC Lookup'!$D$3:$E$18,2,FALSE)</f>
        <v>0</v>
      </c>
      <c r="AV61" s="26">
        <f>_xlfn.IFNA(IF(LEFT('Rock Climbing Log'!AV61)="C",_xlfn.IFNA(VLOOKUP('Rock Climbing Log'!AV61,'RC Lookup'!$A$3:$B$9,2,FALSE),0.5),VLOOKUP('Rock Climbing Log'!AV61,'RC Lookup'!$G$3:$H$5,2,FALSE)),0)*VLOOKUP(AT$7,'RC Lookup'!$D$3:$E$18,2,FALSE)</f>
        <v>0</v>
      </c>
      <c r="AW61" s="30">
        <f t="shared" ca="1" si="2"/>
        <v>38.25</v>
      </c>
      <c r="AX61" s="30">
        <f ca="1">_xlfn.IFNA(VLOOKUP(SUMPRODUCT(LARGE(($C$8:$C61=Table1[[#This Row],[Climber]])*$A$8:$A61,1)),$A$8:$AW61,MATCH($AW$7,$A$7:$AW$7,FALSE),FALSE),0)/LEFT($AX$7,FIND(" ",$AX$7))+_xlfn.IFNA(VLOOKUP(SUMPRODUCT(LARGE(($C$8:$C61=Table1[[#This Row],[Climber]])*$A$8:$A61,MIN(2,COUNTIFS($C$8:$C61,$C61)))),$A$8:$AW61,MATCH($AW$7,$A$7:$AW$7,FALSE),FALSE),0)/LEFT($AX$7,FIND(" ",$AX$7))+_xlfn.IFNA(VLOOKUP(SUMPRODUCT(LARGE(($C$8:$C61=Table1[[#This Row],[Climber]])*$A$8:$A61,MIN(3,COUNTIFS($C$8:$C61,$C61)))),$A$8:$AW61,MATCH($AW$7,$A$7:$AW$7,FALSE),FALSE),0)/LEFT($AX$7,FIND(" ",$AX$7))</f>
        <v>38.25</v>
      </c>
      <c r="AY61" s="30">
        <f ca="1">_xlfn.IFNA(VLOOKUP(SUMPRODUCT(LARGE(($C$8:$C61=Table1[[#This Row],[Climber]])*$A$8:$A61,1)),$A$8:$AW61,MATCH($AW$7,$A$7:$AW$7,FALSE),FALSE),0)/LEFT($AY$7,FIND(" ",$AY$7))+_xlfn.IFNA(VLOOKUP(SUMPRODUCT(LARGE(($C$8:$C61=Table1[[#This Row],[Climber]])*$A$8:$A61,MIN(2,COUNTIFS($C$8:$C61,$C61)))),$A$8:$AW61,MATCH($AW$7,$A$7:$AW$7,FALSE),FALSE),0)/LEFT($AY$7,FIND(" ",$AY$7))+_xlfn.IFNA(VLOOKUP(SUMPRODUCT(LARGE(($C$8:$C61=Table1[[#This Row],[Climber]])*$A$8:$A61,MIN(3,COUNTIFS($C$8:$C61,$C61)))),$A$8:$AW61,MATCH($AW$7,$A$7:$AW$7,FALSE),FALSE),0)/LEFT($AY$7,FIND(" ",$AY$7))+_xlfn.IFNA(VLOOKUP(SUMPRODUCT(LARGE(($C$8:$C61=Table1[[#This Row],[Climber]])*$A$8:$A61,MIN(4,COUNTIFS($C$8:$C61,$C61)))),$A$8:$AW61,MATCH($AW$7,$A$7:$AW$7,FALSE),FALSE),0)/LEFT($AY$7,FIND(" ",$AY$7))+_xlfn.IFNA(VLOOKUP(SUMPRODUCT(LARGE(($C$8:$C61=Table1[[#This Row],[Climber]])*$A$8:$A61,MIN(5,COUNTIFS($C$8:$C61,$C61)))),$A$8:$AW61,MATCH($AW$7,$A$7:$AW$7,FALSE),FALSE),0)/LEFT($AY$7,FIND(" ",$AY$7))</f>
        <v>38.25</v>
      </c>
      <c r="AZ61" s="30">
        <f>(_xlfn.IFNA(VLOOKUP(SUMPRODUCT(LARGE(($C$8:$C61=Table1[[#This Row],[Climber]])*$A$8:$A61,4)),$A$8:$AW61,MATCH($AW$7,$A$7:$AW$7,FALSE),FALSE),0)+_xlfn.IFNA(VLOOKUP(SUMPRODUCT(LARGE(($C$8:$C61=Table1[[#This Row],[Climber]])*$A$8:$A61,5)),$A$8:$AW61,MATCH($AW$7,$A$7:$AW$7,FALSE),FALSE),0)+_xlfn.IFNA(VLOOKUP(SUMPRODUCT(LARGE(($C$8:$C61=Table1[[#This Row],[Climber]])*$A$8:$A61,6)),$A$8:$AW61,MATCH($AW$7,$A$7:$AW$7,FALSE),FALSE),0))/3</f>
        <v>0</v>
      </c>
      <c r="BA61" s="46">
        <f ca="1">_xlfn.MAXIFS(INDIRECT("$AW"&amp;IF(SUMPRODUCT(LARGE(($C$8:$C61=$C61)*$A$8:$A61,LEFT($BA$7,FIND(" ",$BA$7)-1)))=0,8,SUMPRODUCT(LARGE(($C$8:$C61=$C61)*$A$8:$A61,LEFT($BA$7,FIND(" ",$BA$7)-1)))+7)&amp;":$AW"&amp;ROW()),INDIRECT("$C"&amp;IF(SUMPRODUCT(LARGE(($C$8:$C61=$C61)*$A$8:$A61,LEFT($BA$7,FIND(" ",$BA$7)-1)))=0,8,SUMPRODUCT(LARGE(($C$8:$C61=$C61)*$A$8:$A61,LEFT($BA$7,FIND(" ",$BA$7)-1)))+7)&amp;":$C"&amp;ROW()),$C61)</f>
        <v>38.25</v>
      </c>
      <c r="BB61" s="46" t="str">
        <f ca="1">VLOOKUP(MAX(BG61,$AX61),'RC Lookup'!$G$14:$J$20,2,TRUE)</f>
        <v>T1</v>
      </c>
      <c r="BC61" s="46">
        <f ca="1">_xlfn.IFNA(VLOOKUP(VLOOKUP($C61,'RC Lookup'!$O$3:$P$50,2,FALSE),'RC Lookup'!$H$14:$J$23,2,FALSE),0)*AW61</f>
        <v>63.742032245969249</v>
      </c>
      <c r="BD61" s="6">
        <f ca="1">_xlfn.IFNA(VLOOKUP(SUMPRODUCT(LARGE(($C$8:$C61=Table1[[#This Row],[Climber]])*$A$8:$A61,1)),$A$8:$BC61,55,FALSE),0)/LEFT($AX$7,FIND(" ",$AX$7))+_xlfn.IFNA(VLOOKUP(SUMPRODUCT(LARGE(($C$8:$C61=Table1[[#This Row],[Climber]])*$A$8:$A61,MIN(2,COUNTIFS($C$8:$C61,$C61)))),$A$8:$BC61,55,FALSE),0)/LEFT($AX$7,FIND(" ",$AX$7))+_xlfn.IFNA(VLOOKUP(SUMPRODUCT(LARGE(($C$8:$C61=Table1[[#This Row],[Climber]])*$A$8:$A61,MIN(3,COUNTIFS($C$8:$C61,$C61)))),$A$8:$BC61,55,FALSE),0)/LEFT($AX$7,FIND(" ",$AX$7))</f>
        <v>63.742032245969241</v>
      </c>
      <c r="BE61" s="6">
        <f>(_xlfn.IFNA(VLOOKUP(SUMPRODUCT(LARGE(($C$8:$C61=Table1[[#This Row],[Climber]])*$A$8:$A61,4)),$A$8:$BD61,55,FALSE),0)+_xlfn.IFNA(VLOOKUP(SUMPRODUCT(LARGE(($C$8:$C61=Table1[[#This Row],[Climber]])*$A$8:$A61,5)),$A$8:$BD61,55,FALSE),0)+_xlfn.IFNA(VLOOKUP(SUMPRODUCT(LARGE(($C$8:$C61=Table1[[#This Row],[Climber]])*$A$8:$A61,6)),$A$8:$BD61,55,FALSE),0))/3</f>
        <v>0</v>
      </c>
      <c r="BF61" s="46">
        <f ca="1">_xlfn.MAXIFS(INDIRECT("$BC"&amp;IF(SUMPRODUCT(LARGE(($C$8:$C61=$C61)*$A$8:$A61,LEFT($BA$7,FIND(" ",$BA$7)-1)))=0,8,SUMPRODUCT(LARGE(($C$8:$C61=$C61)*$A$8:$A61,LEFT($BA$7,FIND(" ",$BA$7)-1)))+7)&amp;":$BC"&amp;ROW()),INDIRECT("$C"&amp;IF(SUMPRODUCT(LARGE(($C$8:$C61=$C61)*$A$8:$A61,LEFT($BA$7,FIND(" ",$BA$7)-1)))=0,8,SUMPRODUCT(LARGE(($C$8:$C61=$C61)*$A$8:$A61,LEFT($BA$7,FIND(" ",$BA$7)-1)))+7)&amp;":$C"&amp;ROW()),$C61)</f>
        <v>63.742032245969249</v>
      </c>
      <c r="BG61" s="46">
        <f t="array" aca="1" ref="BG61" ca="1">IFERROR(SUMPRODUCT(LARGE(($C$8:$C61=Table1[[#This Row],[Climber]])*$AW$8:$AW61,ROW(INDIRECT("1:5")))),AW61)/MIN(COUNTIFS($C$8:$C61,C61),5)</f>
        <v>38.25</v>
      </c>
    </row>
    <row r="62" spans="1:60" x14ac:dyDescent="0.3">
      <c r="A62" s="125">
        <f t="shared" si="1"/>
        <v>55</v>
      </c>
      <c r="B62" s="25">
        <f>'Rock Climbing Log'!B62</f>
        <v>43156</v>
      </c>
      <c r="C62" s="126" t="str">
        <f>'Rock Climbing Log'!C62</f>
        <v>Edwin</v>
      </c>
      <c r="D62" s="26">
        <f>_xlfn.IFNA(IF(LEFT('Rock Climbing Log'!D62)="C",_xlfn.IFNA(VLOOKUP('Rock Climbing Log'!D62,'RC Lookup'!$A$3:$B$9,2,FALSE),0.5),VLOOKUP('Rock Climbing Log'!D62,'RC Lookup'!$G$3:$H$5,2,FALSE)),0)*VLOOKUP(D$7,'RC Lookup'!$D$3:$E$18,2,FALSE)</f>
        <v>0</v>
      </c>
      <c r="E62" s="26">
        <f>_xlfn.IFNA(IF(LEFT('Rock Climbing Log'!E62)="C",_xlfn.IFNA(VLOOKUP('Rock Climbing Log'!E62,'RC Lookup'!$A$3:$B$9,2,FALSE),0.5),VLOOKUP('Rock Climbing Log'!E62,'RC Lookup'!$G$3:$H$5,2,FALSE)),0)*VLOOKUP(D$7,'RC Lookup'!$D$3:$E$18,2,FALSE)</f>
        <v>0</v>
      </c>
      <c r="F62" s="26">
        <f>_xlfn.IFNA(IF(LEFT('Rock Climbing Log'!F62)="C",_xlfn.IFNA(VLOOKUP('Rock Climbing Log'!F62,'RC Lookup'!$A$3:$B$9,2,FALSE),0.5),VLOOKUP('Rock Climbing Log'!F62,'RC Lookup'!$G$3:$H$5,2,FALSE)),0)*VLOOKUP(D$7,'RC Lookup'!$D$3:$E$18,2,FALSE)</f>
        <v>0</v>
      </c>
      <c r="G62" s="26">
        <f>_xlfn.IFNA(IF(LEFT('Rock Climbing Log'!G62)="C",_xlfn.IFNA(VLOOKUP('Rock Climbing Log'!G62,'RC Lookup'!$A$3:$B$9,2,FALSE),0.5),VLOOKUP('Rock Climbing Log'!G62,'RC Lookup'!$G$3:$H$5,2,FALSE)),0)*VLOOKUP(G$7,'RC Lookup'!$D$3:$E$18,2,FALSE)</f>
        <v>0</v>
      </c>
      <c r="H62" s="26">
        <f>_xlfn.IFNA(IF(LEFT('Rock Climbing Log'!H62)="C",_xlfn.IFNA(VLOOKUP('Rock Climbing Log'!H62,'RC Lookup'!$A$3:$B$9,2,FALSE),0.5),VLOOKUP('Rock Climbing Log'!H62,'RC Lookup'!$G$3:$H$5,2,FALSE)),0)*VLOOKUP(G$7,'RC Lookup'!$D$3:$E$18,2,FALSE)</f>
        <v>0</v>
      </c>
      <c r="I62" s="26">
        <f>_xlfn.IFNA(IF(LEFT('Rock Climbing Log'!I62)="C",_xlfn.IFNA(VLOOKUP('Rock Climbing Log'!I62,'RC Lookup'!$A$3:$B$9,2,FALSE),0.5),VLOOKUP('Rock Climbing Log'!I62,'RC Lookup'!$G$3:$H$5,2,FALSE)),0)*VLOOKUP(G$7,'RC Lookup'!$D$3:$E$18,2,FALSE)</f>
        <v>0</v>
      </c>
      <c r="J62" s="26">
        <f>_xlfn.IFNA(IF(LEFT('Rock Climbing Log'!J62)="C",_xlfn.IFNA(VLOOKUP('Rock Climbing Log'!J62,'RC Lookup'!$A$3:$B$9,2,FALSE),0.5),VLOOKUP('Rock Climbing Log'!J62,'RC Lookup'!$G$3:$H$5,2,FALSE)),0)*VLOOKUP(J$7,'RC Lookup'!$D$3:$E$18,2,FALSE)</f>
        <v>0</v>
      </c>
      <c r="K62" s="26">
        <f>_xlfn.IFNA(IF(LEFT('Rock Climbing Log'!K62)="C",_xlfn.IFNA(VLOOKUP('Rock Climbing Log'!K62,'RC Lookup'!$A$3:$B$9,2,FALSE),0.5),VLOOKUP('Rock Climbing Log'!K62,'RC Lookup'!$G$3:$H$5,2,FALSE)),0)*VLOOKUP(J$7,'RC Lookup'!$D$3:$E$18,2,FALSE)</f>
        <v>0</v>
      </c>
      <c r="L62" s="26">
        <f>_xlfn.IFNA(IF(LEFT('Rock Climbing Log'!L62)="C",_xlfn.IFNA(VLOOKUP('Rock Climbing Log'!L62,'RC Lookup'!$A$3:$B$9,2,FALSE),0.5),VLOOKUP('Rock Climbing Log'!L62,'RC Lookup'!$G$3:$H$5,2,FALSE)),0)*VLOOKUP(J$7,'RC Lookup'!$D$3:$E$18,2,FALSE)</f>
        <v>0</v>
      </c>
      <c r="M62" s="26">
        <f>_xlfn.IFNA(IF(LEFT('Rock Climbing Log'!M62)="C",_xlfn.IFNA(VLOOKUP('Rock Climbing Log'!M62,'RC Lookup'!$A$3:$B$9,2,FALSE),0.5),VLOOKUP('Rock Climbing Log'!M62,'RC Lookup'!$G$3:$H$5,2,FALSE)),0)*VLOOKUP(M$7,'RC Lookup'!$D$3:$E$18,2,FALSE)</f>
        <v>20.002500000000001</v>
      </c>
      <c r="N62" s="26">
        <f>_xlfn.IFNA(IF(LEFT('Rock Climbing Log'!N62)="C",_xlfn.IFNA(VLOOKUP('Rock Climbing Log'!N62,'RC Lookup'!$A$3:$B$9,2,FALSE),0.5),VLOOKUP('Rock Climbing Log'!N62,'RC Lookup'!$G$3:$H$5,2,FALSE)),0)*VLOOKUP(M$7,'RC Lookup'!$D$3:$E$18,2,FALSE)</f>
        <v>0</v>
      </c>
      <c r="O62" s="26">
        <f>_xlfn.IFNA(IF(LEFT('Rock Climbing Log'!O62)="C",_xlfn.IFNA(VLOOKUP('Rock Climbing Log'!O62,'RC Lookup'!$A$3:$B$9,2,FALSE),0.5),VLOOKUP('Rock Climbing Log'!O62,'RC Lookup'!$G$3:$H$5,2,FALSE)),0)*VLOOKUP(M$7,'RC Lookup'!$D$3:$E$18,2,FALSE)</f>
        <v>0</v>
      </c>
      <c r="P62" s="26">
        <f>_xlfn.IFNA(IF(LEFT('Rock Climbing Log'!P62)="C",_xlfn.IFNA(VLOOKUP('Rock Climbing Log'!P62,'RC Lookup'!$A$3:$B$9,2,FALSE),0.5),VLOOKUP('Rock Climbing Log'!P62,'RC Lookup'!$G$3:$H$5,2,FALSE)),0)*VLOOKUP(P$7,'RC Lookup'!$D$3:$E$18,2,FALSE)</f>
        <v>0</v>
      </c>
      <c r="Q62" s="26">
        <f>_xlfn.IFNA(IF(LEFT('Rock Climbing Log'!Q62)="C",_xlfn.IFNA(VLOOKUP('Rock Climbing Log'!Q62,'RC Lookup'!$A$3:$B$9,2,FALSE),0.5),VLOOKUP('Rock Climbing Log'!Q62,'RC Lookup'!$G$3:$H$5,2,FALSE)),0)*VLOOKUP(P$7,'RC Lookup'!$D$3:$E$18,2,FALSE)</f>
        <v>0</v>
      </c>
      <c r="R62" s="26">
        <f>_xlfn.IFNA(IF(LEFT('Rock Climbing Log'!R62)="C",_xlfn.IFNA(VLOOKUP('Rock Climbing Log'!R62,'RC Lookup'!$A$3:$B$9,2,FALSE),0.5),VLOOKUP('Rock Climbing Log'!R62,'RC Lookup'!$G$3:$H$5,2,FALSE)),0)*VLOOKUP(P$7,'RC Lookup'!$D$3:$E$18,2,FALSE)</f>
        <v>0</v>
      </c>
      <c r="S62" s="26">
        <f>_xlfn.IFNA(IF(LEFT('Rock Climbing Log'!S62)="C",_xlfn.IFNA(VLOOKUP('Rock Climbing Log'!S62,'RC Lookup'!$A$3:$B$9,2,FALSE),0.5),VLOOKUP('Rock Climbing Log'!S62,'RC Lookup'!$G$3:$H$5,2,FALSE)),0)*VLOOKUP(S$7,'RC Lookup'!$D$3:$E$18,2,FALSE)</f>
        <v>0</v>
      </c>
      <c r="T62" s="26">
        <f>_xlfn.IFNA(IF(LEFT('Rock Climbing Log'!T62)="C",_xlfn.IFNA(VLOOKUP('Rock Climbing Log'!T62,'RC Lookup'!$A$3:$B$9,2,FALSE),0.5),VLOOKUP('Rock Climbing Log'!T62,'RC Lookup'!$G$3:$H$5,2,FALSE)),0)*VLOOKUP(S$7,'RC Lookup'!$D$3:$E$18,2,FALSE)</f>
        <v>0</v>
      </c>
      <c r="U62" s="26">
        <f>_xlfn.IFNA(IF(LEFT('Rock Climbing Log'!U62)="C",_xlfn.IFNA(VLOOKUP('Rock Climbing Log'!U62,'RC Lookup'!$A$3:$B$9,2,FALSE),0.5),VLOOKUP('Rock Climbing Log'!U62,'RC Lookup'!$G$3:$H$5,2,FALSE)),0)*VLOOKUP(S$7,'RC Lookup'!$D$3:$E$18,2,FALSE)</f>
        <v>0</v>
      </c>
      <c r="V62" s="26">
        <f>_xlfn.IFNA(IF(LEFT('Rock Climbing Log'!V62)="C",_xlfn.IFNA(VLOOKUP('Rock Climbing Log'!V62,'RC Lookup'!$A$3:$B$9,2,FALSE),0.5),VLOOKUP('Rock Climbing Log'!V62,'RC Lookup'!$G$3:$H$5,2,FALSE)),0)*VLOOKUP(V$7,'RC Lookup'!$D$3:$E$18,2,FALSE)</f>
        <v>35.256745742400021</v>
      </c>
      <c r="W62" s="26">
        <f>_xlfn.IFNA(IF(LEFT('Rock Climbing Log'!W62)="C",_xlfn.IFNA(VLOOKUP('Rock Climbing Log'!W62,'RC Lookup'!$A$3:$B$9,2,FALSE),0.5),VLOOKUP('Rock Climbing Log'!W62,'RC Lookup'!$G$3:$H$5,2,FALSE)),0)*VLOOKUP(V$7,'RC Lookup'!$D$3:$E$18,2,FALSE)</f>
        <v>35.256745742400021</v>
      </c>
      <c r="X62" s="26">
        <f>_xlfn.IFNA(IF(LEFT('Rock Climbing Log'!X62)="C",_xlfn.IFNA(VLOOKUP('Rock Climbing Log'!X62,'RC Lookup'!$A$3:$B$9,2,FALSE),0.5),VLOOKUP('Rock Climbing Log'!X62,'RC Lookup'!$G$3:$H$5,2,FALSE)),0)*VLOOKUP(V$7,'RC Lookup'!$D$3:$E$18,2,FALSE)</f>
        <v>0</v>
      </c>
      <c r="Y62" s="26">
        <f>_xlfn.IFNA(IF(LEFT('Rock Climbing Log'!Y62)="C",_xlfn.IFNA(VLOOKUP('Rock Climbing Log'!Y62,'RC Lookup'!$A$3:$B$9,2,FALSE),0.5),VLOOKUP('Rock Climbing Log'!Y62,'RC Lookup'!$G$3:$H$5,2,FALSE)),0)*VLOOKUP(Y$7,'RC Lookup'!$D$3:$E$18,2,FALSE)</f>
        <v>0</v>
      </c>
      <c r="Z62" s="26">
        <f>_xlfn.IFNA(IF(LEFT('Rock Climbing Log'!Z62)="C",_xlfn.IFNA(VLOOKUP('Rock Climbing Log'!Z62,'RC Lookup'!$A$3:$B$9,2,FALSE),0.5),VLOOKUP('Rock Climbing Log'!Z62,'RC Lookup'!$G$3:$H$5,2,FALSE)),0)*VLOOKUP(Y$7,'RC Lookup'!$D$3:$E$18,2,FALSE)</f>
        <v>0</v>
      </c>
      <c r="AA62" s="26">
        <f>_xlfn.IFNA(IF(LEFT('Rock Climbing Log'!AA62)="C",_xlfn.IFNA(VLOOKUP('Rock Climbing Log'!AA62,'RC Lookup'!$A$3:$B$9,2,FALSE),0.5),VLOOKUP('Rock Climbing Log'!AA62,'RC Lookup'!$G$3:$H$5,2,FALSE)),0)*VLOOKUP(Y$7,'RC Lookup'!$D$3:$E$18,2,FALSE)</f>
        <v>0</v>
      </c>
      <c r="AB62" s="26">
        <f>_xlfn.IFNA(IF(LEFT('Rock Climbing Log'!AB62)="C",_xlfn.IFNA(VLOOKUP('Rock Climbing Log'!AB62,'RC Lookup'!$A$3:$B$9,2,FALSE),0.5),VLOOKUP('Rock Climbing Log'!AB62,'RC Lookup'!$G$3:$H$5,2,FALSE)),0)*VLOOKUP(AB$7,'RC Lookup'!$D$3:$E$18,2,FALSE)</f>
        <v>0</v>
      </c>
      <c r="AC62" s="26">
        <f>_xlfn.IFNA(IF(LEFT('Rock Climbing Log'!AC62)="C",_xlfn.IFNA(VLOOKUP('Rock Climbing Log'!AC62,'RC Lookup'!$A$3:$B$9,2,FALSE),0.5),VLOOKUP('Rock Climbing Log'!AC62,'RC Lookup'!$G$3:$H$5,2,FALSE)),0)*VLOOKUP(AB$7,'RC Lookup'!$D$3:$E$18,2,FALSE)</f>
        <v>0</v>
      </c>
      <c r="AD62" s="26">
        <f>_xlfn.IFNA(IF(LEFT('Rock Climbing Log'!AD62)="C",_xlfn.IFNA(VLOOKUP('Rock Climbing Log'!AD62,'RC Lookup'!$A$3:$B$9,2,FALSE),0.5),VLOOKUP('Rock Climbing Log'!AD62,'RC Lookup'!$G$3:$H$5,2,FALSE)),0)*VLOOKUP(AB$7,'RC Lookup'!$D$3:$E$18,2,FALSE)</f>
        <v>0</v>
      </c>
      <c r="AE62" s="26">
        <f>_xlfn.IFNA(IF(LEFT('Rock Climbing Log'!AE62)="C",_xlfn.IFNA(VLOOKUP('Rock Climbing Log'!AE62,'RC Lookup'!$A$3:$B$9,2,FALSE),0.5),VLOOKUP('Rock Climbing Log'!AE62,'RC Lookup'!$G$3:$H$5,2,FALSE)),0)*VLOOKUP(AE$7,'RC Lookup'!$D$3:$E$18,2,FALSE)</f>
        <v>33.933835923466447</v>
      </c>
      <c r="AF62" s="26">
        <f>_xlfn.IFNA(IF(LEFT('Rock Climbing Log'!AF62)="C",_xlfn.IFNA(VLOOKUP('Rock Climbing Log'!AF62,'RC Lookup'!$A$3:$B$9,2,FALSE),0.5),VLOOKUP('Rock Climbing Log'!AF62,'RC Lookup'!$G$3:$H$5,2,FALSE)),0)*VLOOKUP(AE$7,'RC Lookup'!$D$3:$E$18,2,FALSE)</f>
        <v>0</v>
      </c>
      <c r="AG62" s="26">
        <f>_xlfn.IFNA(IF(LEFT('Rock Climbing Log'!AG62)="C",_xlfn.IFNA(VLOOKUP('Rock Climbing Log'!AG62,'RC Lookup'!$A$3:$B$9,2,FALSE),0.5),VLOOKUP('Rock Climbing Log'!AG62,'RC Lookup'!$G$3:$H$5,2,FALSE)),0)*VLOOKUP(AE$7,'RC Lookup'!$D$3:$E$18,2,FALSE)</f>
        <v>0</v>
      </c>
      <c r="AH62" s="26">
        <f>_xlfn.IFNA(IF(LEFT('Rock Climbing Log'!AH62)="C",_xlfn.IFNA(VLOOKUP('Rock Climbing Log'!AH62,'RC Lookup'!$A$3:$B$9,2,FALSE),0.5),VLOOKUP('Rock Climbing Log'!AH62,'RC Lookup'!$G$3:$H$5,2,FALSE)),0)*VLOOKUP(AH$7,'RC Lookup'!$D$3:$E$18,2,FALSE)</f>
        <v>0</v>
      </c>
      <c r="AI62" s="26">
        <f>_xlfn.IFNA(IF(LEFT('Rock Climbing Log'!AI62)="C",_xlfn.IFNA(VLOOKUP('Rock Climbing Log'!AI62,'RC Lookup'!$A$3:$B$9,2,FALSE),0.5),VLOOKUP('Rock Climbing Log'!AI62,'RC Lookup'!$G$3:$H$5,2,FALSE)),0)*VLOOKUP(AH$7,'RC Lookup'!$D$3:$E$18,2,FALSE)</f>
        <v>0</v>
      </c>
      <c r="AJ62" s="26">
        <f>_xlfn.IFNA(IF(LEFT('Rock Climbing Log'!AJ62)="C",_xlfn.IFNA(VLOOKUP('Rock Climbing Log'!AJ62,'RC Lookup'!$A$3:$B$9,2,FALSE),0.5),VLOOKUP('Rock Climbing Log'!AJ62,'RC Lookup'!$G$3:$H$5,2,FALSE)),0)*VLOOKUP(AH$7,'RC Lookup'!$D$3:$E$18,2,FALSE)</f>
        <v>0</v>
      </c>
      <c r="AK62" s="26">
        <f>_xlfn.IFNA(IF(LEFT('Rock Climbing Log'!AK62)="C",_xlfn.IFNA(VLOOKUP('Rock Climbing Log'!AK62,'RC Lookup'!$A$3:$B$9,2,FALSE),0.5),VLOOKUP('Rock Climbing Log'!AK62,'RC Lookup'!$G$3:$H$5,2,FALSE)),0)*VLOOKUP(AK$7,'RC Lookup'!$D$3:$E$18,2,FALSE)</f>
        <v>0</v>
      </c>
      <c r="AL62" s="26">
        <f>_xlfn.IFNA(IF(LEFT('Rock Climbing Log'!AL62)="C",_xlfn.IFNA(VLOOKUP('Rock Climbing Log'!AL62,'RC Lookup'!$A$3:$B$9,2,FALSE),0.5),VLOOKUP('Rock Climbing Log'!AL62,'RC Lookup'!$G$3:$H$5,2,FALSE)),0)*VLOOKUP(AK$7,'RC Lookup'!$D$3:$E$18,2,FALSE)</f>
        <v>0</v>
      </c>
      <c r="AM62" s="26">
        <f>_xlfn.IFNA(IF(LEFT('Rock Climbing Log'!AM62)="C",_xlfn.IFNA(VLOOKUP('Rock Climbing Log'!AM62,'RC Lookup'!$A$3:$B$9,2,FALSE),0.5),VLOOKUP('Rock Climbing Log'!AM62,'RC Lookup'!$G$3:$H$5,2,FALSE)),0)*VLOOKUP(AK$7,'RC Lookup'!$D$3:$E$18,2,FALSE)</f>
        <v>0</v>
      </c>
      <c r="AN62" s="26">
        <f>_xlfn.IFNA(IF(LEFT('Rock Climbing Log'!AN62)="C",_xlfn.IFNA(VLOOKUP('Rock Climbing Log'!AN62,'RC Lookup'!$A$3:$B$9,2,FALSE),0.5),VLOOKUP('Rock Climbing Log'!AN62,'RC Lookup'!$G$3:$H$5,2,FALSE)),0)*VLOOKUP(AN$7,'RC Lookup'!$D$3:$E$18,2,FALSE)</f>
        <v>0</v>
      </c>
      <c r="AO62" s="26">
        <f>_xlfn.IFNA(IF(LEFT('Rock Climbing Log'!AO62)="C",_xlfn.IFNA(VLOOKUP('Rock Climbing Log'!AO62,'RC Lookup'!$A$3:$B$9,2,FALSE),0.5),VLOOKUP('Rock Climbing Log'!AO62,'RC Lookup'!$G$3:$H$5,2,FALSE)),0)*VLOOKUP(AN$7,'RC Lookup'!$D$3:$E$18,2,FALSE)</f>
        <v>0</v>
      </c>
      <c r="AP62" s="26">
        <f>_xlfn.IFNA(IF(LEFT('Rock Climbing Log'!AP62)="C",_xlfn.IFNA(VLOOKUP('Rock Climbing Log'!AP62,'RC Lookup'!$A$3:$B$9,2,FALSE),0.5),VLOOKUP('Rock Climbing Log'!AP62,'RC Lookup'!$G$3:$H$5,2,FALSE)),0)*VLOOKUP(AN$7,'RC Lookup'!$D$3:$E$18,2,FALSE)</f>
        <v>0</v>
      </c>
      <c r="AQ62" s="26">
        <f>_xlfn.IFNA(IF(LEFT('Rock Climbing Log'!AQ62)="C",_xlfn.IFNA(VLOOKUP('Rock Climbing Log'!AQ62,'RC Lookup'!$A$3:$B$9,2,FALSE),0.5),VLOOKUP('Rock Climbing Log'!AQ62,'RC Lookup'!$G$3:$H$5,2,FALSE)),0)*VLOOKUP(AQ$7,'RC Lookup'!$D$3:$E$18,2,FALSE)</f>
        <v>0</v>
      </c>
      <c r="AR62" s="26">
        <f>_xlfn.IFNA(IF(LEFT('Rock Climbing Log'!AR62)="C",_xlfn.IFNA(VLOOKUP('Rock Climbing Log'!AR62,'RC Lookup'!$A$3:$B$9,2,FALSE),0.5),VLOOKUP('Rock Climbing Log'!AR62,'RC Lookup'!$G$3:$H$5,2,FALSE)),0)*VLOOKUP(AQ$7,'RC Lookup'!$D$3:$E$18,2,FALSE)</f>
        <v>0</v>
      </c>
      <c r="AS62" s="26">
        <f>_xlfn.IFNA(IF(LEFT('Rock Climbing Log'!AS62)="C",_xlfn.IFNA(VLOOKUP('Rock Climbing Log'!AS62,'RC Lookup'!$A$3:$B$9,2,FALSE),0.5),VLOOKUP('Rock Climbing Log'!AS62,'RC Lookup'!$G$3:$H$5,2,FALSE)),0)*VLOOKUP(AQ$7,'RC Lookup'!$D$3:$E$18,2,FALSE)</f>
        <v>0</v>
      </c>
      <c r="AT62" s="26">
        <f>_xlfn.IFNA(IF(LEFT('Rock Climbing Log'!AT62)="C",_xlfn.IFNA(VLOOKUP('Rock Climbing Log'!AT62,'RC Lookup'!$A$3:$B$9,2,FALSE),0.5),VLOOKUP('Rock Climbing Log'!AT62,'RC Lookup'!$G$3:$H$5,2,FALSE)),0)*VLOOKUP(AT$7,'RC Lookup'!$D$3:$E$18,2,FALSE)</f>
        <v>0</v>
      </c>
      <c r="AU62" s="26">
        <f>_xlfn.IFNA(IF(LEFT('Rock Climbing Log'!AU62)="C",_xlfn.IFNA(VLOOKUP('Rock Climbing Log'!AU62,'RC Lookup'!$A$3:$B$9,2,FALSE),0.5),VLOOKUP('Rock Climbing Log'!AU62,'RC Lookup'!$G$3:$H$5,2,FALSE)),0)*VLOOKUP(AT$7,'RC Lookup'!$D$3:$E$18,2,FALSE)</f>
        <v>0</v>
      </c>
      <c r="AV62" s="26">
        <f>_xlfn.IFNA(IF(LEFT('Rock Climbing Log'!AV62)="C",_xlfn.IFNA(VLOOKUP('Rock Climbing Log'!AV62,'RC Lookup'!$A$3:$B$9,2,FALSE),0.5),VLOOKUP('Rock Climbing Log'!AV62,'RC Lookup'!$G$3:$H$5,2,FALSE)),0)*VLOOKUP(AT$7,'RC Lookup'!$D$3:$E$18,2,FALSE)</f>
        <v>0</v>
      </c>
      <c r="AW62" s="30">
        <f t="shared" ca="1" si="2"/>
        <v>104.44732740826649</v>
      </c>
      <c r="AX62" s="30">
        <f ca="1">_xlfn.IFNA(VLOOKUP(SUMPRODUCT(LARGE(($C$8:$C62=Table1[[#This Row],[Climber]])*$A$8:$A62,1)),$A$8:$AW62,MATCH($AW$7,$A$7:$AW$7,FALSE),FALSE),0)/LEFT($AX$7,FIND(" ",$AX$7))+_xlfn.IFNA(VLOOKUP(SUMPRODUCT(LARGE(($C$8:$C62=Table1[[#This Row],[Climber]])*$A$8:$A62,MIN(2,COUNTIFS($C$8:$C62,$C62)))),$A$8:$AW62,MATCH($AW$7,$A$7:$AW$7,FALSE),FALSE),0)/LEFT($AX$7,FIND(" ",$AX$7))+_xlfn.IFNA(VLOOKUP(SUMPRODUCT(LARGE(($C$8:$C62=Table1[[#This Row],[Climber]])*$A$8:$A62,MIN(3,COUNTIFS($C$8:$C62,$C62)))),$A$8:$AW62,MATCH($AW$7,$A$7:$AW$7,FALSE),FALSE),0)/LEFT($AX$7,FIND(" ",$AX$7))</f>
        <v>97.996909601422942</v>
      </c>
      <c r="AY62" s="30">
        <f ca="1">_xlfn.IFNA(VLOOKUP(SUMPRODUCT(LARGE(($C$8:$C62=Table1[[#This Row],[Climber]])*$A$8:$A62,1)),$A$8:$AW62,MATCH($AW$7,$A$7:$AW$7,FALSE),FALSE),0)/LEFT($AY$7,FIND(" ",$AY$7))+_xlfn.IFNA(VLOOKUP(SUMPRODUCT(LARGE(($C$8:$C62=Table1[[#This Row],[Climber]])*$A$8:$A62,MIN(2,COUNTIFS($C$8:$C62,$C62)))),$A$8:$AW62,MATCH($AW$7,$A$7:$AW$7,FALSE),FALSE),0)/LEFT($AY$7,FIND(" ",$AY$7))+_xlfn.IFNA(VLOOKUP(SUMPRODUCT(LARGE(($C$8:$C62=Table1[[#This Row],[Climber]])*$A$8:$A62,MIN(3,COUNTIFS($C$8:$C62,$C62)))),$A$8:$AW62,MATCH($AW$7,$A$7:$AW$7,FALSE),FALSE),0)/LEFT($AY$7,FIND(" ",$AY$7))+_xlfn.IFNA(VLOOKUP(SUMPRODUCT(LARGE(($C$8:$C62=Table1[[#This Row],[Climber]])*$A$8:$A62,MIN(4,COUNTIFS($C$8:$C62,$C62)))),$A$8:$AW62,MATCH($AW$7,$A$7:$AW$7,FALSE),FALSE),0)/LEFT($AY$7,FIND(" ",$AY$7))+_xlfn.IFNA(VLOOKUP(SUMPRODUCT(LARGE(($C$8:$C62=Table1[[#This Row],[Climber]])*$A$8:$A62,MIN(5,COUNTIFS($C$8:$C62,$C62)))),$A$8:$AW62,MATCH($AW$7,$A$7:$AW$7,FALSE),FALSE),0)/LEFT($AY$7,FIND(" ",$AY$7))</f>
        <v>99.66603080910383</v>
      </c>
      <c r="AZ62" s="30">
        <f ca="1">(_xlfn.IFNA(VLOOKUP(SUMPRODUCT(LARGE(($C$8:$C62=Table1[[#This Row],[Climber]])*$A$8:$A62,4)),$A$8:$AW62,MATCH($AW$7,$A$7:$AW$7,FALSE),FALSE),0)+_xlfn.IFNA(VLOOKUP(SUMPRODUCT(LARGE(($C$8:$C62=Table1[[#This Row],[Climber]])*$A$8:$A62,5)),$A$8:$AW62,MATCH($AW$7,$A$7:$AW$7,FALSE),FALSE),0)+_xlfn.IFNA(VLOOKUP(SUMPRODUCT(LARGE(($C$8:$C62=Table1[[#This Row],[Climber]])*$A$8:$A62,6)),$A$8:$AW62,MATCH($AW$7,$A$7:$AW$7,FALSE),FALSE),0))/3</f>
        <v>94.363460566264806</v>
      </c>
      <c r="BA62" s="46">
        <f ca="1">_xlfn.MAXIFS(INDIRECT("$AW"&amp;IF(SUMPRODUCT(LARGE(($C$8:$C62=$C62)*$A$8:$A62,LEFT($BA$7,FIND(" ",$BA$7)-1)))=0,8,SUMPRODUCT(LARGE(($C$8:$C62=$C62)*$A$8:$A62,LEFT($BA$7,FIND(" ",$BA$7)-1)))+7)&amp;":$AW"&amp;ROW()),INDIRECT("$C"&amp;IF(SUMPRODUCT(LARGE(($C$8:$C62=$C62)*$A$8:$A62,LEFT($BA$7,FIND(" ",$BA$7)-1)))=0,8,SUMPRODUCT(LARGE(($C$8:$C62=$C62)*$A$8:$A62,LEFT($BA$7,FIND(" ",$BA$7)-1)))+7)&amp;":$C"&amp;ROW()),$C62)</f>
        <v>104.44732740826649</v>
      </c>
      <c r="BB62" s="46" t="str">
        <f ca="1">VLOOKUP(MAX(BG62,$AX62),'RC Lookup'!$G$14:$J$20,2,TRUE)</f>
        <v>T3</v>
      </c>
      <c r="BC62" s="46">
        <f ca="1">_xlfn.IFNA(VLOOKUP(VLOOKUP($C62,'RC Lookup'!$O$3:$P$50,2,FALSE),'RC Lookup'!$H$14:$J$23,2,FALSE),0)*AW62</f>
        <v>80.153620779220773</v>
      </c>
      <c r="BD62" s="6">
        <f ca="1">_xlfn.IFNA(VLOOKUP(SUMPRODUCT(LARGE(($C$8:$C62=Table1[[#This Row],[Climber]])*$A$8:$A62,1)),$A$8:$BC62,55,FALSE),0)/LEFT($AX$7,FIND(" ",$AX$7))+_xlfn.IFNA(VLOOKUP(SUMPRODUCT(LARGE(($C$8:$C62=Table1[[#This Row],[Climber]])*$A$8:$A62,MIN(2,COUNTIFS($C$8:$C62,$C62)))),$A$8:$BC62,55,FALSE),0)/LEFT($AX$7,FIND(" ",$AX$7))+_xlfn.IFNA(VLOOKUP(SUMPRODUCT(LARGE(($C$8:$C62=Table1[[#This Row],[Climber]])*$A$8:$A62,MIN(3,COUNTIFS($C$8:$C62,$C62)))),$A$8:$BC62,55,FALSE),0)/LEFT($AX$7,FIND(" ",$AX$7))</f>
        <v>75.203524347013243</v>
      </c>
      <c r="BE62" s="6">
        <f ca="1">(_xlfn.IFNA(VLOOKUP(SUMPRODUCT(LARGE(($C$8:$C62=Table1[[#This Row],[Climber]])*$A$8:$A62,4)),$A$8:$BD62,55,FALSE),0)+_xlfn.IFNA(VLOOKUP(SUMPRODUCT(LARGE(($C$8:$C62=Table1[[#This Row],[Climber]])*$A$8:$A62,5)),$A$8:$BD62,55,FALSE),0)+_xlfn.IFNA(VLOOKUP(SUMPRODUCT(LARGE(($C$8:$C62=Table1[[#This Row],[Climber]])*$A$8:$A62,6)),$A$8:$BD62,55,FALSE),0))/3</f>
        <v>72.415189754723443</v>
      </c>
      <c r="BF62" s="46">
        <f ca="1">_xlfn.MAXIFS(INDIRECT("$BC"&amp;IF(SUMPRODUCT(LARGE(($C$8:$C62=$C62)*$A$8:$A62,LEFT($BA$7,FIND(" ",$BA$7)-1)))=0,8,SUMPRODUCT(LARGE(($C$8:$C62=$C62)*$A$8:$A62,LEFT($BA$7,FIND(" ",$BA$7)-1)))+7)&amp;":$BC"&amp;ROW()),INDIRECT("$C"&amp;IF(SUMPRODUCT(LARGE(($C$8:$C62=$C62)*$A$8:$A62,LEFT($BA$7,FIND(" ",$BA$7)-1)))=0,8,SUMPRODUCT(LARGE(($C$8:$C62=$C62)*$A$8:$A62,LEFT($BA$7,FIND(" ",$BA$7)-1)))+7)&amp;":$C"&amp;ROW()),$C62)</f>
        <v>80.153620779220773</v>
      </c>
      <c r="BG62" s="46">
        <f t="array" aca="1" ref="BG62" ca="1">IFERROR(SUMPRODUCT(LARGE(($C$8:$C62=Table1[[#This Row],[Climber]])*$AW$8:$AW62,ROW(INDIRECT("1:5")))),AW62)/MIN(COUNTIFS($C$8:$C62,C62),5)</f>
        <v>99.66603080910383</v>
      </c>
    </row>
    <row r="63" spans="1:60" x14ac:dyDescent="0.3">
      <c r="A63" s="125">
        <f t="shared" si="1"/>
        <v>56</v>
      </c>
      <c r="B63" s="25">
        <f>'Rock Climbing Log'!B63</f>
        <v>43156</v>
      </c>
      <c r="C63" s="126" t="str">
        <f>'Rock Climbing Log'!C63</f>
        <v>Lester</v>
      </c>
      <c r="D63" s="26">
        <f>_xlfn.IFNA(IF(LEFT('Rock Climbing Log'!D63)="C",_xlfn.IFNA(VLOOKUP('Rock Climbing Log'!D63,'RC Lookup'!$A$3:$B$9,2,FALSE),0.5),VLOOKUP('Rock Climbing Log'!D63,'RC Lookup'!$G$3:$H$5,2,FALSE)),0)*VLOOKUP(D$7,'RC Lookup'!$D$3:$E$18,2,FALSE)</f>
        <v>0</v>
      </c>
      <c r="E63" s="26">
        <f>_xlfn.IFNA(IF(LEFT('Rock Climbing Log'!E63)="C",_xlfn.IFNA(VLOOKUP('Rock Climbing Log'!E63,'RC Lookup'!$A$3:$B$9,2,FALSE),0.5),VLOOKUP('Rock Climbing Log'!E63,'RC Lookup'!$G$3:$H$5,2,FALSE)),0)*VLOOKUP(D$7,'RC Lookup'!$D$3:$E$18,2,FALSE)</f>
        <v>0</v>
      </c>
      <c r="F63" s="26">
        <f>_xlfn.IFNA(IF(LEFT('Rock Climbing Log'!F63)="C",_xlfn.IFNA(VLOOKUP('Rock Climbing Log'!F63,'RC Lookup'!$A$3:$B$9,2,FALSE),0.5),VLOOKUP('Rock Climbing Log'!F63,'RC Lookup'!$G$3:$H$5,2,FALSE)),0)*VLOOKUP(D$7,'RC Lookup'!$D$3:$E$18,2,FALSE)</f>
        <v>0</v>
      </c>
      <c r="G63" s="26">
        <f>_xlfn.IFNA(IF(LEFT('Rock Climbing Log'!G63)="C",_xlfn.IFNA(VLOOKUP('Rock Climbing Log'!G63,'RC Lookup'!$A$3:$B$9,2,FALSE),0.5),VLOOKUP('Rock Climbing Log'!G63,'RC Lookup'!$G$3:$H$5,2,FALSE)),0)*VLOOKUP(G$7,'RC Lookup'!$D$3:$E$18,2,FALSE)</f>
        <v>0</v>
      </c>
      <c r="H63" s="26">
        <f>_xlfn.IFNA(IF(LEFT('Rock Climbing Log'!H63)="C",_xlfn.IFNA(VLOOKUP('Rock Climbing Log'!H63,'RC Lookup'!$A$3:$B$9,2,FALSE),0.5),VLOOKUP('Rock Climbing Log'!H63,'RC Lookup'!$G$3:$H$5,2,FALSE)),0)*VLOOKUP(G$7,'RC Lookup'!$D$3:$E$18,2,FALSE)</f>
        <v>0</v>
      </c>
      <c r="I63" s="26">
        <f>_xlfn.IFNA(IF(LEFT('Rock Climbing Log'!I63)="C",_xlfn.IFNA(VLOOKUP('Rock Climbing Log'!I63,'RC Lookup'!$A$3:$B$9,2,FALSE),0.5),VLOOKUP('Rock Climbing Log'!I63,'RC Lookup'!$G$3:$H$5,2,FALSE)),0)*VLOOKUP(G$7,'RC Lookup'!$D$3:$E$18,2,FALSE)</f>
        <v>0</v>
      </c>
      <c r="J63" s="26">
        <f>_xlfn.IFNA(IF(LEFT('Rock Climbing Log'!J63)="C",_xlfn.IFNA(VLOOKUP('Rock Climbing Log'!J63,'RC Lookup'!$A$3:$B$9,2,FALSE),0.5),VLOOKUP('Rock Climbing Log'!J63,'RC Lookup'!$G$3:$H$5,2,FALSE)),0)*VLOOKUP(J$7,'RC Lookup'!$D$3:$E$18,2,FALSE)</f>
        <v>0</v>
      </c>
      <c r="K63" s="26">
        <f>_xlfn.IFNA(IF(LEFT('Rock Climbing Log'!K63)="C",_xlfn.IFNA(VLOOKUP('Rock Climbing Log'!K63,'RC Lookup'!$A$3:$B$9,2,FALSE),0.5),VLOOKUP('Rock Climbing Log'!K63,'RC Lookup'!$G$3:$H$5,2,FALSE)),0)*VLOOKUP(J$7,'RC Lookup'!$D$3:$E$18,2,FALSE)</f>
        <v>0</v>
      </c>
      <c r="L63" s="26">
        <f>_xlfn.IFNA(IF(LEFT('Rock Climbing Log'!L63)="C",_xlfn.IFNA(VLOOKUP('Rock Climbing Log'!L63,'RC Lookup'!$A$3:$B$9,2,FALSE),0.5),VLOOKUP('Rock Climbing Log'!L63,'RC Lookup'!$G$3:$H$5,2,FALSE)),0)*VLOOKUP(J$7,'RC Lookup'!$D$3:$E$18,2,FALSE)</f>
        <v>0</v>
      </c>
      <c r="M63" s="26">
        <f>_xlfn.IFNA(IF(LEFT('Rock Climbing Log'!M63)="C",_xlfn.IFNA(VLOOKUP('Rock Climbing Log'!M63,'RC Lookup'!$A$3:$B$9,2,FALSE),0.5),VLOOKUP('Rock Climbing Log'!M63,'RC Lookup'!$G$3:$H$5,2,FALSE)),0)*VLOOKUP(M$7,'RC Lookup'!$D$3:$E$18,2,FALSE)</f>
        <v>0</v>
      </c>
      <c r="N63" s="26">
        <f>_xlfn.IFNA(IF(LEFT('Rock Climbing Log'!N63)="C",_xlfn.IFNA(VLOOKUP('Rock Climbing Log'!N63,'RC Lookup'!$A$3:$B$9,2,FALSE),0.5),VLOOKUP('Rock Climbing Log'!N63,'RC Lookup'!$G$3:$H$5,2,FALSE)),0)*VLOOKUP(M$7,'RC Lookup'!$D$3:$E$18,2,FALSE)</f>
        <v>0</v>
      </c>
      <c r="O63" s="26">
        <f>_xlfn.IFNA(IF(LEFT('Rock Climbing Log'!O63)="C",_xlfn.IFNA(VLOOKUP('Rock Climbing Log'!O63,'RC Lookup'!$A$3:$B$9,2,FALSE),0.5),VLOOKUP('Rock Climbing Log'!O63,'RC Lookup'!$G$3:$H$5,2,FALSE)),0)*VLOOKUP(M$7,'RC Lookup'!$D$3:$E$18,2,FALSE)</f>
        <v>0</v>
      </c>
      <c r="P63" s="26">
        <f>_xlfn.IFNA(IF(LEFT('Rock Climbing Log'!P63)="C",_xlfn.IFNA(VLOOKUP('Rock Climbing Log'!P63,'RC Lookup'!$A$3:$B$9,2,FALSE),0.5),VLOOKUP('Rock Climbing Log'!P63,'RC Lookup'!$G$3:$H$5,2,FALSE)),0)*VLOOKUP(P$7,'RC Lookup'!$D$3:$E$18,2,FALSE)</f>
        <v>0</v>
      </c>
      <c r="Q63" s="26">
        <f>_xlfn.IFNA(IF(LEFT('Rock Climbing Log'!Q63)="C",_xlfn.IFNA(VLOOKUP('Rock Climbing Log'!Q63,'RC Lookup'!$A$3:$B$9,2,FALSE),0.5),VLOOKUP('Rock Climbing Log'!Q63,'RC Lookup'!$G$3:$H$5,2,FALSE)),0)*VLOOKUP(P$7,'RC Lookup'!$D$3:$E$18,2,FALSE)</f>
        <v>0</v>
      </c>
      <c r="R63" s="26">
        <f>_xlfn.IFNA(IF(LEFT('Rock Climbing Log'!R63)="C",_xlfn.IFNA(VLOOKUP('Rock Climbing Log'!R63,'RC Lookup'!$A$3:$B$9,2,FALSE),0.5),VLOOKUP('Rock Climbing Log'!R63,'RC Lookup'!$G$3:$H$5,2,FALSE)),0)*VLOOKUP(P$7,'RC Lookup'!$D$3:$E$18,2,FALSE)</f>
        <v>0</v>
      </c>
      <c r="S63" s="26">
        <f>_xlfn.IFNA(IF(LEFT('Rock Climbing Log'!S63)="C",_xlfn.IFNA(VLOOKUP('Rock Climbing Log'!S63,'RC Lookup'!$A$3:$B$9,2,FALSE),0.5),VLOOKUP('Rock Climbing Log'!S63,'RC Lookup'!$G$3:$H$5,2,FALSE)),0)*VLOOKUP(S$7,'RC Lookup'!$D$3:$E$18,2,FALSE)</f>
        <v>0</v>
      </c>
      <c r="T63" s="26">
        <f>_xlfn.IFNA(IF(LEFT('Rock Climbing Log'!T63)="C",_xlfn.IFNA(VLOOKUP('Rock Climbing Log'!T63,'RC Lookup'!$A$3:$B$9,2,FALSE),0.5),VLOOKUP('Rock Climbing Log'!T63,'RC Lookup'!$G$3:$H$5,2,FALSE)),0)*VLOOKUP(S$7,'RC Lookup'!$D$3:$E$18,2,FALSE)</f>
        <v>0</v>
      </c>
      <c r="U63" s="26">
        <f>_xlfn.IFNA(IF(LEFT('Rock Climbing Log'!U63)="C",_xlfn.IFNA(VLOOKUP('Rock Climbing Log'!U63,'RC Lookup'!$A$3:$B$9,2,FALSE),0.5),VLOOKUP('Rock Climbing Log'!U63,'RC Lookup'!$G$3:$H$5,2,FALSE)),0)*VLOOKUP(S$7,'RC Lookup'!$D$3:$E$18,2,FALSE)</f>
        <v>0</v>
      </c>
      <c r="V63" s="26">
        <f>_xlfn.IFNA(IF(LEFT('Rock Climbing Log'!V63)="C",_xlfn.IFNA(VLOOKUP('Rock Climbing Log'!V63,'RC Lookup'!$A$3:$B$9,2,FALSE),0.5),VLOOKUP('Rock Climbing Log'!V63,'RC Lookup'!$G$3:$H$5,2,FALSE)),0)*VLOOKUP(V$7,'RC Lookup'!$D$3:$E$18,2,FALSE)</f>
        <v>35.256745742400021</v>
      </c>
      <c r="W63" s="26">
        <f>_xlfn.IFNA(IF(LEFT('Rock Climbing Log'!W63)="C",_xlfn.IFNA(VLOOKUP('Rock Climbing Log'!W63,'RC Lookup'!$A$3:$B$9,2,FALSE),0.5),VLOOKUP('Rock Climbing Log'!W63,'RC Lookup'!$G$3:$H$5,2,FALSE)),0)*VLOOKUP(V$7,'RC Lookup'!$D$3:$E$18,2,FALSE)</f>
        <v>0</v>
      </c>
      <c r="X63" s="26">
        <f>_xlfn.IFNA(IF(LEFT('Rock Climbing Log'!X63)="C",_xlfn.IFNA(VLOOKUP('Rock Climbing Log'!X63,'RC Lookup'!$A$3:$B$9,2,FALSE),0.5),VLOOKUP('Rock Climbing Log'!X63,'RC Lookup'!$G$3:$H$5,2,FALSE)),0)*VLOOKUP(V$7,'RC Lookup'!$D$3:$E$18,2,FALSE)</f>
        <v>0</v>
      </c>
      <c r="Y63" s="26">
        <f>_xlfn.IFNA(IF(LEFT('Rock Climbing Log'!Y63)="C",_xlfn.IFNA(VLOOKUP('Rock Climbing Log'!Y63,'RC Lookup'!$A$3:$B$9,2,FALSE),0.5),VLOOKUP('Rock Climbing Log'!Y63,'RC Lookup'!$G$3:$H$5,2,FALSE)),0)*VLOOKUP(Y$7,'RC Lookup'!$D$3:$E$18,2,FALSE)</f>
        <v>0</v>
      </c>
      <c r="Z63" s="26">
        <f>_xlfn.IFNA(IF(LEFT('Rock Climbing Log'!Z63)="C",_xlfn.IFNA(VLOOKUP('Rock Climbing Log'!Z63,'RC Lookup'!$A$3:$B$9,2,FALSE),0.5),VLOOKUP('Rock Climbing Log'!Z63,'RC Lookup'!$G$3:$H$5,2,FALSE)),0)*VLOOKUP(Y$7,'RC Lookup'!$D$3:$E$18,2,FALSE)</f>
        <v>0</v>
      </c>
      <c r="AA63" s="26">
        <f>_xlfn.IFNA(IF(LEFT('Rock Climbing Log'!AA63)="C",_xlfn.IFNA(VLOOKUP('Rock Climbing Log'!AA63,'RC Lookup'!$A$3:$B$9,2,FALSE),0.5),VLOOKUP('Rock Climbing Log'!AA63,'RC Lookup'!$G$3:$H$5,2,FALSE)),0)*VLOOKUP(Y$7,'RC Lookup'!$D$3:$E$18,2,FALSE)</f>
        <v>0</v>
      </c>
      <c r="AB63" s="26">
        <f>_xlfn.IFNA(IF(LEFT('Rock Climbing Log'!AB63)="C",_xlfn.IFNA(VLOOKUP('Rock Climbing Log'!AB63,'RC Lookup'!$A$3:$B$9,2,FALSE),0.5),VLOOKUP('Rock Climbing Log'!AB63,'RC Lookup'!$G$3:$H$5,2,FALSE)),0)*VLOOKUP(AB$7,'RC Lookup'!$D$3:$E$18,2,FALSE)</f>
        <v>0</v>
      </c>
      <c r="AC63" s="26">
        <f>_xlfn.IFNA(IF(LEFT('Rock Climbing Log'!AC63)="C",_xlfn.IFNA(VLOOKUP('Rock Climbing Log'!AC63,'RC Lookup'!$A$3:$B$9,2,FALSE),0.5),VLOOKUP('Rock Climbing Log'!AC63,'RC Lookup'!$G$3:$H$5,2,FALSE)),0)*VLOOKUP(AB$7,'RC Lookup'!$D$3:$E$18,2,FALSE)</f>
        <v>0</v>
      </c>
      <c r="AD63" s="26">
        <f>_xlfn.IFNA(IF(LEFT('Rock Climbing Log'!AD63)="C",_xlfn.IFNA(VLOOKUP('Rock Climbing Log'!AD63,'RC Lookup'!$A$3:$B$9,2,FALSE),0.5),VLOOKUP('Rock Climbing Log'!AD63,'RC Lookup'!$G$3:$H$5,2,FALSE)),0)*VLOOKUP(AB$7,'RC Lookup'!$D$3:$E$18,2,FALSE)</f>
        <v>0</v>
      </c>
      <c r="AE63" s="26">
        <f>_xlfn.IFNA(IF(LEFT('Rock Climbing Log'!AE63)="C",_xlfn.IFNA(VLOOKUP('Rock Climbing Log'!AE63,'RC Lookup'!$A$3:$B$9,2,FALSE),0.5),VLOOKUP('Rock Climbing Log'!AE63,'RC Lookup'!$G$3:$H$5,2,FALSE)),0)*VLOOKUP(AE$7,'RC Lookup'!$D$3:$E$18,2,FALSE)</f>
        <v>67.867671846932893</v>
      </c>
      <c r="AF63" s="26">
        <f>_xlfn.IFNA(IF(LEFT('Rock Climbing Log'!AF63)="C",_xlfn.IFNA(VLOOKUP('Rock Climbing Log'!AF63,'RC Lookup'!$A$3:$B$9,2,FALSE),0.5),VLOOKUP('Rock Climbing Log'!AF63,'RC Lookup'!$G$3:$H$5,2,FALSE)),0)*VLOOKUP(AE$7,'RC Lookup'!$D$3:$E$18,2,FALSE)</f>
        <v>67.867671846932893</v>
      </c>
      <c r="AG63" s="26">
        <f>_xlfn.IFNA(IF(LEFT('Rock Climbing Log'!AG63)="C",_xlfn.IFNA(VLOOKUP('Rock Climbing Log'!AG63,'RC Lookup'!$A$3:$B$9,2,FALSE),0.5),VLOOKUP('Rock Climbing Log'!AG63,'RC Lookup'!$G$3:$H$5,2,FALSE)),0)*VLOOKUP(AE$7,'RC Lookup'!$D$3:$E$18,2,FALSE)</f>
        <v>0</v>
      </c>
      <c r="AH63" s="26">
        <f>_xlfn.IFNA(IF(LEFT('Rock Climbing Log'!AH63)="C",_xlfn.IFNA(VLOOKUP('Rock Climbing Log'!AH63,'RC Lookup'!$A$3:$B$9,2,FALSE),0.5),VLOOKUP('Rock Climbing Log'!AH63,'RC Lookup'!$G$3:$H$5,2,FALSE)),0)*VLOOKUP(AH$7,'RC Lookup'!$D$3:$E$18,2,FALSE)</f>
        <v>0</v>
      </c>
      <c r="AI63" s="26">
        <f>_xlfn.IFNA(IF(LEFT('Rock Climbing Log'!AI63)="C",_xlfn.IFNA(VLOOKUP('Rock Climbing Log'!AI63,'RC Lookup'!$A$3:$B$9,2,FALSE),0.5),VLOOKUP('Rock Climbing Log'!AI63,'RC Lookup'!$G$3:$H$5,2,FALSE)),0)*VLOOKUP(AH$7,'RC Lookup'!$D$3:$E$18,2,FALSE)</f>
        <v>0</v>
      </c>
      <c r="AJ63" s="26">
        <f>_xlfn.IFNA(IF(LEFT('Rock Climbing Log'!AJ63)="C",_xlfn.IFNA(VLOOKUP('Rock Climbing Log'!AJ63,'RC Lookup'!$A$3:$B$9,2,FALSE),0.5),VLOOKUP('Rock Climbing Log'!AJ63,'RC Lookup'!$G$3:$H$5,2,FALSE)),0)*VLOOKUP(AH$7,'RC Lookup'!$D$3:$E$18,2,FALSE)</f>
        <v>0</v>
      </c>
      <c r="AK63" s="26">
        <f>_xlfn.IFNA(IF(LEFT('Rock Climbing Log'!AK63)="C",_xlfn.IFNA(VLOOKUP('Rock Climbing Log'!AK63,'RC Lookup'!$A$3:$B$9,2,FALSE),0.5),VLOOKUP('Rock Climbing Log'!AK63,'RC Lookup'!$G$3:$H$5,2,FALSE)),0)*VLOOKUP(AK$7,'RC Lookup'!$D$3:$E$18,2,FALSE)</f>
        <v>0</v>
      </c>
      <c r="AL63" s="26">
        <f>_xlfn.IFNA(IF(LEFT('Rock Climbing Log'!AL63)="C",_xlfn.IFNA(VLOOKUP('Rock Climbing Log'!AL63,'RC Lookup'!$A$3:$B$9,2,FALSE),0.5),VLOOKUP('Rock Climbing Log'!AL63,'RC Lookup'!$G$3:$H$5,2,FALSE)),0)*VLOOKUP(AK$7,'RC Lookup'!$D$3:$E$18,2,FALSE)</f>
        <v>0</v>
      </c>
      <c r="AM63" s="26">
        <f>_xlfn.IFNA(IF(LEFT('Rock Climbing Log'!AM63)="C",_xlfn.IFNA(VLOOKUP('Rock Climbing Log'!AM63,'RC Lookup'!$A$3:$B$9,2,FALSE),0.5),VLOOKUP('Rock Climbing Log'!AM63,'RC Lookup'!$G$3:$H$5,2,FALSE)),0)*VLOOKUP(AK$7,'RC Lookup'!$D$3:$E$18,2,FALSE)</f>
        <v>0</v>
      </c>
      <c r="AN63" s="26">
        <f>_xlfn.IFNA(IF(LEFT('Rock Climbing Log'!AN63)="C",_xlfn.IFNA(VLOOKUP('Rock Climbing Log'!AN63,'RC Lookup'!$A$3:$B$9,2,FALSE),0.5),VLOOKUP('Rock Climbing Log'!AN63,'RC Lookup'!$G$3:$H$5,2,FALSE)),0)*VLOOKUP(AN$7,'RC Lookup'!$D$3:$E$18,2,FALSE)</f>
        <v>93.373733864628917</v>
      </c>
      <c r="AO63" s="26">
        <f>_xlfn.IFNA(IF(LEFT('Rock Climbing Log'!AO63)="C",_xlfn.IFNA(VLOOKUP('Rock Climbing Log'!AO63,'RC Lookup'!$A$3:$B$9,2,FALSE),0.5),VLOOKUP('Rock Climbing Log'!AO63,'RC Lookup'!$G$3:$H$5,2,FALSE)),0)*VLOOKUP(AN$7,'RC Lookup'!$D$3:$E$18,2,FALSE)</f>
        <v>0</v>
      </c>
      <c r="AP63" s="26">
        <f>_xlfn.IFNA(IF(LEFT('Rock Climbing Log'!AP63)="C",_xlfn.IFNA(VLOOKUP('Rock Climbing Log'!AP63,'RC Lookup'!$A$3:$B$9,2,FALSE),0.5),VLOOKUP('Rock Climbing Log'!AP63,'RC Lookup'!$G$3:$H$5,2,FALSE)),0)*VLOOKUP(AN$7,'RC Lookup'!$D$3:$E$18,2,FALSE)</f>
        <v>0</v>
      </c>
      <c r="AQ63" s="26">
        <f>_xlfn.IFNA(IF(LEFT('Rock Climbing Log'!AQ63)="C",_xlfn.IFNA(VLOOKUP('Rock Climbing Log'!AQ63,'RC Lookup'!$A$3:$B$9,2,FALSE),0.5),VLOOKUP('Rock Climbing Log'!AQ63,'RC Lookup'!$G$3:$H$5,2,FALSE)),0)*VLOOKUP(AQ$7,'RC Lookup'!$D$3:$E$18,2,FALSE)</f>
        <v>0</v>
      </c>
      <c r="AR63" s="26">
        <f>_xlfn.IFNA(IF(LEFT('Rock Climbing Log'!AR63)="C",_xlfn.IFNA(VLOOKUP('Rock Climbing Log'!AR63,'RC Lookup'!$A$3:$B$9,2,FALSE),0.5),VLOOKUP('Rock Climbing Log'!AR63,'RC Lookup'!$G$3:$H$5,2,FALSE)),0)*VLOOKUP(AQ$7,'RC Lookup'!$D$3:$E$18,2,FALSE)</f>
        <v>0</v>
      </c>
      <c r="AS63" s="26">
        <f>_xlfn.IFNA(IF(LEFT('Rock Climbing Log'!AS63)="C",_xlfn.IFNA(VLOOKUP('Rock Climbing Log'!AS63,'RC Lookup'!$A$3:$B$9,2,FALSE),0.5),VLOOKUP('Rock Climbing Log'!AS63,'RC Lookup'!$G$3:$H$5,2,FALSE)),0)*VLOOKUP(AQ$7,'RC Lookup'!$D$3:$E$18,2,FALSE)</f>
        <v>0</v>
      </c>
      <c r="AT63" s="26">
        <f>_xlfn.IFNA(IF(LEFT('Rock Climbing Log'!AT63)="C",_xlfn.IFNA(VLOOKUP('Rock Climbing Log'!AT63,'RC Lookup'!$A$3:$B$9,2,FALSE),0.5),VLOOKUP('Rock Climbing Log'!AT63,'RC Lookup'!$G$3:$H$5,2,FALSE)),0)*VLOOKUP(AT$7,'RC Lookup'!$D$3:$E$18,2,FALSE)</f>
        <v>0</v>
      </c>
      <c r="AU63" s="26">
        <f>_xlfn.IFNA(IF(LEFT('Rock Climbing Log'!AU63)="C",_xlfn.IFNA(VLOOKUP('Rock Climbing Log'!AU63,'RC Lookup'!$A$3:$B$9,2,FALSE),0.5),VLOOKUP('Rock Climbing Log'!AU63,'RC Lookup'!$G$3:$H$5,2,FALSE)),0)*VLOOKUP(AT$7,'RC Lookup'!$D$3:$E$18,2,FALSE)</f>
        <v>0</v>
      </c>
      <c r="AV63" s="26">
        <f>_xlfn.IFNA(IF(LEFT('Rock Climbing Log'!AV63)="C",_xlfn.IFNA(VLOOKUP('Rock Climbing Log'!AV63,'RC Lookup'!$A$3:$B$9,2,FALSE),0.5),VLOOKUP('Rock Climbing Log'!AV63,'RC Lookup'!$G$3:$H$5,2,FALSE)),0)*VLOOKUP(AT$7,'RC Lookup'!$D$3:$E$18,2,FALSE)</f>
        <v>0</v>
      </c>
      <c r="AW63" s="30">
        <f t="shared" ca="1" si="2"/>
        <v>229.1090775584947</v>
      </c>
      <c r="AX63" s="30">
        <f ca="1">_xlfn.IFNA(VLOOKUP(SUMPRODUCT(LARGE(($C$8:$C63=Table1[[#This Row],[Climber]])*$A$8:$A63,1)),$A$8:$AW63,MATCH($AW$7,$A$7:$AW$7,FALSE),FALSE),0)/LEFT($AX$7,FIND(" ",$AX$7))+_xlfn.IFNA(VLOOKUP(SUMPRODUCT(LARGE(($C$8:$C63=Table1[[#This Row],[Climber]])*$A$8:$A63,MIN(2,COUNTIFS($C$8:$C63,$C63)))),$A$8:$AW63,MATCH($AW$7,$A$7:$AW$7,FALSE),FALSE),0)/LEFT($AX$7,FIND(" ",$AX$7))+_xlfn.IFNA(VLOOKUP(SUMPRODUCT(LARGE(($C$8:$C63=Table1[[#This Row],[Climber]])*$A$8:$A63,MIN(3,COUNTIFS($C$8:$C63,$C63)))),$A$8:$AW63,MATCH($AW$7,$A$7:$AW$7,FALSE),FALSE),0)/LEFT($AX$7,FIND(" ",$AX$7))</f>
        <v>218.16788156502332</v>
      </c>
      <c r="AY63" s="30">
        <f ca="1">_xlfn.IFNA(VLOOKUP(SUMPRODUCT(LARGE(($C$8:$C63=Table1[[#This Row],[Climber]])*$A$8:$A63,1)),$A$8:$AW63,MATCH($AW$7,$A$7:$AW$7,FALSE),FALSE),0)/LEFT($AY$7,FIND(" ",$AY$7))+_xlfn.IFNA(VLOOKUP(SUMPRODUCT(LARGE(($C$8:$C63=Table1[[#This Row],[Climber]])*$A$8:$A63,MIN(2,COUNTIFS($C$8:$C63,$C63)))),$A$8:$AW63,MATCH($AW$7,$A$7:$AW$7,FALSE),FALSE),0)/LEFT($AY$7,FIND(" ",$AY$7))+_xlfn.IFNA(VLOOKUP(SUMPRODUCT(LARGE(($C$8:$C63=Table1[[#This Row],[Climber]])*$A$8:$A63,MIN(3,COUNTIFS($C$8:$C63,$C63)))),$A$8:$AW63,MATCH($AW$7,$A$7:$AW$7,FALSE),FALSE),0)/LEFT($AY$7,FIND(" ",$AY$7))+_xlfn.IFNA(VLOOKUP(SUMPRODUCT(LARGE(($C$8:$C63=Table1[[#This Row],[Climber]])*$A$8:$A63,MIN(4,COUNTIFS($C$8:$C63,$C63)))),$A$8:$AW63,MATCH($AW$7,$A$7:$AW$7,FALSE),FALSE),0)/LEFT($AY$7,FIND(" ",$AY$7))+_xlfn.IFNA(VLOOKUP(SUMPRODUCT(LARGE(($C$8:$C63=Table1[[#This Row],[Climber]])*$A$8:$A63,MIN(5,COUNTIFS($C$8:$C63,$C63)))),$A$8:$AW63,MATCH($AW$7,$A$7:$AW$7,FALSE),FALSE),0)/LEFT($AY$7,FIND(" ",$AY$7))</f>
        <v>213.39293163906171</v>
      </c>
      <c r="AZ63" s="30">
        <f ca="1">(_xlfn.IFNA(VLOOKUP(SUMPRODUCT(LARGE(($C$8:$C63=Table1[[#This Row],[Climber]])*$A$8:$A63,4)),$A$8:$AW63,MATCH($AW$7,$A$7:$AW$7,FALSE),FALSE),0)+_xlfn.IFNA(VLOOKUP(SUMPRODUCT(LARGE(($C$8:$C63=Table1[[#This Row],[Climber]])*$A$8:$A63,5)),$A$8:$AW63,MATCH($AW$7,$A$7:$AW$7,FALSE),FALSE),0)+_xlfn.IFNA(VLOOKUP(SUMPRODUCT(LARGE(($C$8:$C63=Table1[[#This Row],[Climber]])*$A$8:$A63,6)),$A$8:$AW63,MATCH($AW$7,$A$7:$AW$7,FALSE),FALSE),0))/3</f>
        <v>227.75695614576293</v>
      </c>
      <c r="BA63" s="46">
        <f ca="1">_xlfn.MAXIFS(INDIRECT("$AW"&amp;IF(SUMPRODUCT(LARGE(($C$8:$C63=$C63)*$A$8:$A63,LEFT($BA$7,FIND(" ",$BA$7)-1)))=0,8,SUMPRODUCT(LARGE(($C$8:$C63=$C63)*$A$8:$A63,LEFT($BA$7,FIND(" ",$BA$7)-1)))+7)&amp;":$AW"&amp;ROW()),INDIRECT("$C"&amp;IF(SUMPRODUCT(LARGE(($C$8:$C63=$C63)*$A$8:$A63,LEFT($BA$7,FIND(" ",$BA$7)-1)))=0,8,SUMPRODUCT(LARGE(($C$8:$C63=$C63)*$A$8:$A63,LEFT($BA$7,FIND(" ",$BA$7)-1)))+7)&amp;":$C"&amp;ROW()),$C63)</f>
        <v>229.1090775584947</v>
      </c>
      <c r="BB63" s="46" t="str">
        <f ca="1">VLOOKUP(MAX(BG63,$AX63),'RC Lookup'!$G$14:$J$20,2,TRUE)</f>
        <v>T5</v>
      </c>
      <c r="BC63" s="46">
        <f ca="1">_xlfn.IFNA(VLOOKUP(VLOOKUP($C63,'RC Lookup'!$O$3:$P$50,2,FALSE),'RC Lookup'!$H$14:$J$23,2,FALSE),0)*AW63</f>
        <v>69.331224016824407</v>
      </c>
      <c r="BD63" s="6">
        <f ca="1">_xlfn.IFNA(VLOOKUP(SUMPRODUCT(LARGE(($C$8:$C63=Table1[[#This Row],[Climber]])*$A$8:$A63,1)),$A$8:$BC63,55,FALSE),0)/LEFT($AX$7,FIND(" ",$AX$7))+_xlfn.IFNA(VLOOKUP(SUMPRODUCT(LARGE(($C$8:$C63=Table1[[#This Row],[Climber]])*$A$8:$A63,MIN(2,COUNTIFS($C$8:$C63,$C63)))),$A$8:$BC63,55,FALSE),0)/LEFT($AX$7,FIND(" ",$AX$7))+_xlfn.IFNA(VLOOKUP(SUMPRODUCT(LARGE(($C$8:$C63=Table1[[#This Row],[Climber]])*$A$8:$A63,MIN(3,COUNTIFS($C$8:$C63,$C63)))),$A$8:$BC63,55,FALSE),0)/LEFT($AX$7,FIND(" ",$AX$7))</f>
        <v>66.020283575184024</v>
      </c>
      <c r="BE63" s="6">
        <f ca="1">(_xlfn.IFNA(VLOOKUP(SUMPRODUCT(LARGE(($C$8:$C63=Table1[[#This Row],[Climber]])*$A$8:$A63,4)),$A$8:$BD63,55,FALSE),0)+_xlfn.IFNA(VLOOKUP(SUMPRODUCT(LARGE(($C$8:$C63=Table1[[#This Row],[Climber]])*$A$8:$A63,5)),$A$8:$BD63,55,FALSE),0)+_xlfn.IFNA(VLOOKUP(SUMPRODUCT(LARGE(($C$8:$C63=Table1[[#This Row],[Climber]])*$A$8:$A63,6)),$A$8:$BD63,55,FALSE),0))/3</f>
        <v>68.922055451514652</v>
      </c>
      <c r="BF63" s="46">
        <f ca="1">_xlfn.MAXIFS(INDIRECT("$BC"&amp;IF(SUMPRODUCT(LARGE(($C$8:$C63=$C63)*$A$8:$A63,LEFT($BA$7,FIND(" ",$BA$7)-1)))=0,8,SUMPRODUCT(LARGE(($C$8:$C63=$C63)*$A$8:$A63,LEFT($BA$7,FIND(" ",$BA$7)-1)))+7)&amp;":$BC"&amp;ROW()),INDIRECT("$C"&amp;IF(SUMPRODUCT(LARGE(($C$8:$C63=$C63)*$A$8:$A63,LEFT($BA$7,FIND(" ",$BA$7)-1)))=0,8,SUMPRODUCT(LARGE(($C$8:$C63=$C63)*$A$8:$A63,LEFT($BA$7,FIND(" ",$BA$7)-1)))+7)&amp;":$C"&amp;ROW()),$C63)</f>
        <v>69.331224016824407</v>
      </c>
      <c r="BG63" s="46">
        <f t="array" aca="1" ref="BG63" ca="1">IFERROR(SUMPRODUCT(LARGE(($C$8:$C63=Table1[[#This Row],[Climber]])*$AW$8:$AW63,ROW(INDIRECT("1:5")))),AW63)/MIN(COUNTIFS($C$8:$C63,C63),5)</f>
        <v>283.75838274142654</v>
      </c>
    </row>
    <row r="64" spans="1:60" x14ac:dyDescent="0.3">
      <c r="A64" s="125">
        <f t="shared" si="1"/>
        <v>57</v>
      </c>
      <c r="B64" s="25">
        <f>'Rock Climbing Log'!B64</f>
        <v>43156</v>
      </c>
      <c r="C64" s="126" t="str">
        <f>'Rock Climbing Log'!C64</f>
        <v>Sameena</v>
      </c>
      <c r="D64" s="26">
        <f>_xlfn.IFNA(IF(LEFT('Rock Climbing Log'!D64)="C",_xlfn.IFNA(VLOOKUP('Rock Climbing Log'!D64,'RC Lookup'!$A$3:$B$9,2,FALSE),0.5),VLOOKUP('Rock Climbing Log'!D64,'RC Lookup'!$G$3:$H$5,2,FALSE)),0)*VLOOKUP(D$7,'RC Lookup'!$D$3:$E$18,2,FALSE)</f>
        <v>0</v>
      </c>
      <c r="E64" s="26">
        <f>_xlfn.IFNA(IF(LEFT('Rock Climbing Log'!E64)="C",_xlfn.IFNA(VLOOKUP('Rock Climbing Log'!E64,'RC Lookup'!$A$3:$B$9,2,FALSE),0.5),VLOOKUP('Rock Climbing Log'!E64,'RC Lookup'!$G$3:$H$5,2,FALSE)),0)*VLOOKUP(D$7,'RC Lookup'!$D$3:$E$18,2,FALSE)</f>
        <v>0</v>
      </c>
      <c r="F64" s="26">
        <f>_xlfn.IFNA(IF(LEFT('Rock Climbing Log'!F64)="C",_xlfn.IFNA(VLOOKUP('Rock Climbing Log'!F64,'RC Lookup'!$A$3:$B$9,2,FALSE),0.5),VLOOKUP('Rock Climbing Log'!F64,'RC Lookup'!$G$3:$H$5,2,FALSE)),0)*VLOOKUP(D$7,'RC Lookup'!$D$3:$E$18,2,FALSE)</f>
        <v>0</v>
      </c>
      <c r="G64" s="26">
        <f>_xlfn.IFNA(IF(LEFT('Rock Climbing Log'!G64)="C",_xlfn.IFNA(VLOOKUP('Rock Climbing Log'!G64,'RC Lookup'!$A$3:$B$9,2,FALSE),0.5),VLOOKUP('Rock Climbing Log'!G64,'RC Lookup'!$G$3:$H$5,2,FALSE)),0)*VLOOKUP(G$7,'RC Lookup'!$D$3:$E$18,2,FALSE)</f>
        <v>0</v>
      </c>
      <c r="H64" s="26">
        <f>_xlfn.IFNA(IF(LEFT('Rock Climbing Log'!H64)="C",_xlfn.IFNA(VLOOKUP('Rock Climbing Log'!H64,'RC Lookup'!$A$3:$B$9,2,FALSE),0.5),VLOOKUP('Rock Climbing Log'!H64,'RC Lookup'!$G$3:$H$5,2,FALSE)),0)*VLOOKUP(G$7,'RC Lookup'!$D$3:$E$18,2,FALSE)</f>
        <v>0</v>
      </c>
      <c r="I64" s="26">
        <f>_xlfn.IFNA(IF(LEFT('Rock Climbing Log'!I64)="C",_xlfn.IFNA(VLOOKUP('Rock Climbing Log'!I64,'RC Lookup'!$A$3:$B$9,2,FALSE),0.5),VLOOKUP('Rock Climbing Log'!I64,'RC Lookup'!$G$3:$H$5,2,FALSE)),0)*VLOOKUP(G$7,'RC Lookup'!$D$3:$E$18,2,FALSE)</f>
        <v>0</v>
      </c>
      <c r="J64" s="26">
        <f>_xlfn.IFNA(IF(LEFT('Rock Climbing Log'!J64)="C",_xlfn.IFNA(VLOOKUP('Rock Climbing Log'!J64,'RC Lookup'!$A$3:$B$9,2,FALSE),0.5),VLOOKUP('Rock Climbing Log'!J64,'RC Lookup'!$G$3:$H$5,2,FALSE)),0)*VLOOKUP(J$7,'RC Lookup'!$D$3:$E$18,2,FALSE)</f>
        <v>0</v>
      </c>
      <c r="K64" s="26">
        <f>_xlfn.IFNA(IF(LEFT('Rock Climbing Log'!K64)="C",_xlfn.IFNA(VLOOKUP('Rock Climbing Log'!K64,'RC Lookup'!$A$3:$B$9,2,FALSE),0.5),VLOOKUP('Rock Climbing Log'!K64,'RC Lookup'!$G$3:$H$5,2,FALSE)),0)*VLOOKUP(J$7,'RC Lookup'!$D$3:$E$18,2,FALSE)</f>
        <v>0</v>
      </c>
      <c r="L64" s="26">
        <f>_xlfn.IFNA(IF(LEFT('Rock Climbing Log'!L64)="C",_xlfn.IFNA(VLOOKUP('Rock Climbing Log'!L64,'RC Lookup'!$A$3:$B$9,2,FALSE),0.5),VLOOKUP('Rock Climbing Log'!L64,'RC Lookup'!$G$3:$H$5,2,FALSE)),0)*VLOOKUP(J$7,'RC Lookup'!$D$3:$E$18,2,FALSE)</f>
        <v>0</v>
      </c>
      <c r="M64" s="26">
        <f>_xlfn.IFNA(IF(LEFT('Rock Climbing Log'!M64)="C",_xlfn.IFNA(VLOOKUP('Rock Climbing Log'!M64,'RC Lookup'!$A$3:$B$9,2,FALSE),0.5),VLOOKUP('Rock Climbing Log'!M64,'RC Lookup'!$G$3:$H$5,2,FALSE)),0)*VLOOKUP(M$7,'RC Lookup'!$D$3:$E$18,2,FALSE)</f>
        <v>20.002500000000001</v>
      </c>
      <c r="N64" s="26">
        <f>_xlfn.IFNA(IF(LEFT('Rock Climbing Log'!N64)="C",_xlfn.IFNA(VLOOKUP('Rock Climbing Log'!N64,'RC Lookup'!$A$3:$B$9,2,FALSE),0.5),VLOOKUP('Rock Climbing Log'!N64,'RC Lookup'!$G$3:$H$5,2,FALSE)),0)*VLOOKUP(M$7,'RC Lookup'!$D$3:$E$18,2,FALSE)</f>
        <v>0</v>
      </c>
      <c r="O64" s="26">
        <f>_xlfn.IFNA(IF(LEFT('Rock Climbing Log'!O64)="C",_xlfn.IFNA(VLOOKUP('Rock Climbing Log'!O64,'RC Lookup'!$A$3:$B$9,2,FALSE),0.5),VLOOKUP('Rock Climbing Log'!O64,'RC Lookup'!$G$3:$H$5,2,FALSE)),0)*VLOOKUP(M$7,'RC Lookup'!$D$3:$E$18,2,FALSE)</f>
        <v>0</v>
      </c>
      <c r="P64" s="26">
        <f>_xlfn.IFNA(IF(LEFT('Rock Climbing Log'!P64)="C",_xlfn.IFNA(VLOOKUP('Rock Climbing Log'!P64,'RC Lookup'!$A$3:$B$9,2,FALSE),0.5),VLOOKUP('Rock Climbing Log'!P64,'RC Lookup'!$G$3:$H$5,2,FALSE)),0)*VLOOKUP(P$7,'RC Lookup'!$D$3:$E$18,2,FALSE)</f>
        <v>0</v>
      </c>
      <c r="Q64" s="26">
        <f>_xlfn.IFNA(IF(LEFT('Rock Climbing Log'!Q64)="C",_xlfn.IFNA(VLOOKUP('Rock Climbing Log'!Q64,'RC Lookup'!$A$3:$B$9,2,FALSE),0.5),VLOOKUP('Rock Climbing Log'!Q64,'RC Lookup'!$G$3:$H$5,2,FALSE)),0)*VLOOKUP(P$7,'RC Lookup'!$D$3:$E$18,2,FALSE)</f>
        <v>0</v>
      </c>
      <c r="R64" s="26">
        <f>_xlfn.IFNA(IF(LEFT('Rock Climbing Log'!R64)="C",_xlfn.IFNA(VLOOKUP('Rock Climbing Log'!R64,'RC Lookup'!$A$3:$B$9,2,FALSE),0.5),VLOOKUP('Rock Climbing Log'!R64,'RC Lookup'!$G$3:$H$5,2,FALSE)),0)*VLOOKUP(P$7,'RC Lookup'!$D$3:$E$18,2,FALSE)</f>
        <v>0</v>
      </c>
      <c r="S64" s="26">
        <f>_xlfn.IFNA(IF(LEFT('Rock Climbing Log'!S64)="C",_xlfn.IFNA(VLOOKUP('Rock Climbing Log'!S64,'RC Lookup'!$A$3:$B$9,2,FALSE),0.5),VLOOKUP('Rock Climbing Log'!S64,'RC Lookup'!$G$3:$H$5,2,FALSE)),0)*VLOOKUP(S$7,'RC Lookup'!$D$3:$E$18,2,FALSE)</f>
        <v>0</v>
      </c>
      <c r="T64" s="26">
        <f>_xlfn.IFNA(IF(LEFT('Rock Climbing Log'!T64)="C",_xlfn.IFNA(VLOOKUP('Rock Climbing Log'!T64,'RC Lookup'!$A$3:$B$9,2,FALSE),0.5),VLOOKUP('Rock Climbing Log'!T64,'RC Lookup'!$G$3:$H$5,2,FALSE)),0)*VLOOKUP(S$7,'RC Lookup'!$D$3:$E$18,2,FALSE)</f>
        <v>0</v>
      </c>
      <c r="U64" s="26">
        <f>_xlfn.IFNA(IF(LEFT('Rock Climbing Log'!U64)="C",_xlfn.IFNA(VLOOKUP('Rock Climbing Log'!U64,'RC Lookup'!$A$3:$B$9,2,FALSE),0.5),VLOOKUP('Rock Climbing Log'!U64,'RC Lookup'!$G$3:$H$5,2,FALSE)),0)*VLOOKUP(S$7,'RC Lookup'!$D$3:$E$18,2,FALSE)</f>
        <v>0</v>
      </c>
      <c r="V64" s="26">
        <f>_xlfn.IFNA(IF(LEFT('Rock Climbing Log'!V64)="C",_xlfn.IFNA(VLOOKUP('Rock Climbing Log'!V64,'RC Lookup'!$A$3:$B$9,2,FALSE),0.5),VLOOKUP('Rock Climbing Log'!V64,'RC Lookup'!$G$3:$H$5,2,FALSE)),0)*VLOOKUP(V$7,'RC Lookup'!$D$3:$E$18,2,FALSE)</f>
        <v>17.628372871200011</v>
      </c>
      <c r="W64" s="26">
        <f>_xlfn.IFNA(IF(LEFT('Rock Climbing Log'!W64)="C",_xlfn.IFNA(VLOOKUP('Rock Climbing Log'!W64,'RC Lookup'!$A$3:$B$9,2,FALSE),0.5),VLOOKUP('Rock Climbing Log'!W64,'RC Lookup'!$G$3:$H$5,2,FALSE)),0)*VLOOKUP(V$7,'RC Lookup'!$D$3:$E$18,2,FALSE)</f>
        <v>35.256745742400021</v>
      </c>
      <c r="X64" s="26">
        <f>_xlfn.IFNA(IF(LEFT('Rock Climbing Log'!X64)="C",_xlfn.IFNA(VLOOKUP('Rock Climbing Log'!X64,'RC Lookup'!$A$3:$B$9,2,FALSE),0.5),VLOOKUP('Rock Climbing Log'!X64,'RC Lookup'!$G$3:$H$5,2,FALSE)),0)*VLOOKUP(V$7,'RC Lookup'!$D$3:$E$18,2,FALSE)</f>
        <v>35.256745742400021</v>
      </c>
      <c r="Y64" s="26">
        <f>_xlfn.IFNA(IF(LEFT('Rock Climbing Log'!Y64)="C",_xlfn.IFNA(VLOOKUP('Rock Climbing Log'!Y64,'RC Lookup'!$A$3:$B$9,2,FALSE),0.5),VLOOKUP('Rock Climbing Log'!Y64,'RC Lookup'!$G$3:$H$5,2,FALSE)),0)*VLOOKUP(Y$7,'RC Lookup'!$D$3:$E$18,2,FALSE)</f>
        <v>0</v>
      </c>
      <c r="Z64" s="26">
        <f>_xlfn.IFNA(IF(LEFT('Rock Climbing Log'!Z64)="C",_xlfn.IFNA(VLOOKUP('Rock Climbing Log'!Z64,'RC Lookup'!$A$3:$B$9,2,FALSE),0.5),VLOOKUP('Rock Climbing Log'!Z64,'RC Lookup'!$G$3:$H$5,2,FALSE)),0)*VLOOKUP(Y$7,'RC Lookup'!$D$3:$E$18,2,FALSE)</f>
        <v>0</v>
      </c>
      <c r="AA64" s="26">
        <f>_xlfn.IFNA(IF(LEFT('Rock Climbing Log'!AA64)="C",_xlfn.IFNA(VLOOKUP('Rock Climbing Log'!AA64,'RC Lookup'!$A$3:$B$9,2,FALSE),0.5),VLOOKUP('Rock Climbing Log'!AA64,'RC Lookup'!$G$3:$H$5,2,FALSE)),0)*VLOOKUP(Y$7,'RC Lookup'!$D$3:$E$18,2,FALSE)</f>
        <v>0</v>
      </c>
      <c r="AB64" s="26">
        <f>_xlfn.IFNA(IF(LEFT('Rock Climbing Log'!AB64)="C",_xlfn.IFNA(VLOOKUP('Rock Climbing Log'!AB64,'RC Lookup'!$A$3:$B$9,2,FALSE),0.5),VLOOKUP('Rock Climbing Log'!AB64,'RC Lookup'!$G$3:$H$5,2,FALSE)),0)*VLOOKUP(AB$7,'RC Lookup'!$D$3:$E$18,2,FALSE)</f>
        <v>0</v>
      </c>
      <c r="AC64" s="26">
        <f>_xlfn.IFNA(IF(LEFT('Rock Climbing Log'!AC64)="C",_xlfn.IFNA(VLOOKUP('Rock Climbing Log'!AC64,'RC Lookup'!$A$3:$B$9,2,FALSE),0.5),VLOOKUP('Rock Climbing Log'!AC64,'RC Lookup'!$G$3:$H$5,2,FALSE)),0)*VLOOKUP(AB$7,'RC Lookup'!$D$3:$E$18,2,FALSE)</f>
        <v>0</v>
      </c>
      <c r="AD64" s="26">
        <f>_xlfn.IFNA(IF(LEFT('Rock Climbing Log'!AD64)="C",_xlfn.IFNA(VLOOKUP('Rock Climbing Log'!AD64,'RC Lookup'!$A$3:$B$9,2,FALSE),0.5),VLOOKUP('Rock Climbing Log'!AD64,'RC Lookup'!$G$3:$H$5,2,FALSE)),0)*VLOOKUP(AB$7,'RC Lookup'!$D$3:$E$18,2,FALSE)</f>
        <v>0</v>
      </c>
      <c r="AE64" s="26">
        <f>_xlfn.IFNA(IF(LEFT('Rock Climbing Log'!AE64)="C",_xlfn.IFNA(VLOOKUP('Rock Climbing Log'!AE64,'RC Lookup'!$A$3:$B$9,2,FALSE),0.5),VLOOKUP('Rock Climbing Log'!AE64,'RC Lookup'!$G$3:$H$5,2,FALSE)),0)*VLOOKUP(AE$7,'RC Lookup'!$D$3:$E$18,2,FALSE)</f>
        <v>67.867671846932893</v>
      </c>
      <c r="AF64" s="26">
        <f>_xlfn.IFNA(IF(LEFT('Rock Climbing Log'!AF64)="C",_xlfn.IFNA(VLOOKUP('Rock Climbing Log'!AF64,'RC Lookup'!$A$3:$B$9,2,FALSE),0.5),VLOOKUP('Rock Climbing Log'!AF64,'RC Lookup'!$G$3:$H$5,2,FALSE)),0)*VLOOKUP(AE$7,'RC Lookup'!$D$3:$E$18,2,FALSE)</f>
        <v>0</v>
      </c>
      <c r="AG64" s="26">
        <f>_xlfn.IFNA(IF(LEFT('Rock Climbing Log'!AG64)="C",_xlfn.IFNA(VLOOKUP('Rock Climbing Log'!AG64,'RC Lookup'!$A$3:$B$9,2,FALSE),0.5),VLOOKUP('Rock Climbing Log'!AG64,'RC Lookup'!$G$3:$H$5,2,FALSE)),0)*VLOOKUP(AE$7,'RC Lookup'!$D$3:$E$18,2,FALSE)</f>
        <v>0</v>
      </c>
      <c r="AH64" s="26">
        <f>_xlfn.IFNA(IF(LEFT('Rock Climbing Log'!AH64)="C",_xlfn.IFNA(VLOOKUP('Rock Climbing Log'!AH64,'RC Lookup'!$A$3:$B$9,2,FALSE),0.5),VLOOKUP('Rock Climbing Log'!AH64,'RC Lookup'!$G$3:$H$5,2,FALSE)),0)*VLOOKUP(AH$7,'RC Lookup'!$D$3:$E$18,2,FALSE)</f>
        <v>0</v>
      </c>
      <c r="AI64" s="26">
        <f>_xlfn.IFNA(IF(LEFT('Rock Climbing Log'!AI64)="C",_xlfn.IFNA(VLOOKUP('Rock Climbing Log'!AI64,'RC Lookup'!$A$3:$B$9,2,FALSE),0.5),VLOOKUP('Rock Climbing Log'!AI64,'RC Lookup'!$G$3:$H$5,2,FALSE)),0)*VLOOKUP(AH$7,'RC Lookup'!$D$3:$E$18,2,FALSE)</f>
        <v>0</v>
      </c>
      <c r="AJ64" s="26">
        <f>_xlfn.IFNA(IF(LEFT('Rock Climbing Log'!AJ64)="C",_xlfn.IFNA(VLOOKUP('Rock Climbing Log'!AJ64,'RC Lookup'!$A$3:$B$9,2,FALSE),0.5),VLOOKUP('Rock Climbing Log'!AJ64,'RC Lookup'!$G$3:$H$5,2,FALSE)),0)*VLOOKUP(AH$7,'RC Lookup'!$D$3:$E$18,2,FALSE)</f>
        <v>0</v>
      </c>
      <c r="AK64" s="26">
        <f>_xlfn.IFNA(IF(LEFT('Rock Climbing Log'!AK64)="C",_xlfn.IFNA(VLOOKUP('Rock Climbing Log'!AK64,'RC Lookup'!$A$3:$B$9,2,FALSE),0.5),VLOOKUP('Rock Climbing Log'!AK64,'RC Lookup'!$G$3:$H$5,2,FALSE)),0)*VLOOKUP(AK$7,'RC Lookup'!$D$3:$E$18,2,FALSE)</f>
        <v>0</v>
      </c>
      <c r="AL64" s="26">
        <f>_xlfn.IFNA(IF(LEFT('Rock Climbing Log'!AL64)="C",_xlfn.IFNA(VLOOKUP('Rock Climbing Log'!AL64,'RC Lookup'!$A$3:$B$9,2,FALSE),0.5),VLOOKUP('Rock Climbing Log'!AL64,'RC Lookup'!$G$3:$H$5,2,FALSE)),0)*VLOOKUP(AK$7,'RC Lookup'!$D$3:$E$18,2,FALSE)</f>
        <v>0</v>
      </c>
      <c r="AM64" s="26">
        <f>_xlfn.IFNA(IF(LEFT('Rock Climbing Log'!AM64)="C",_xlfn.IFNA(VLOOKUP('Rock Climbing Log'!AM64,'RC Lookup'!$A$3:$B$9,2,FALSE),0.5),VLOOKUP('Rock Climbing Log'!AM64,'RC Lookup'!$G$3:$H$5,2,FALSE)),0)*VLOOKUP(AK$7,'RC Lookup'!$D$3:$E$18,2,FALSE)</f>
        <v>0</v>
      </c>
      <c r="AN64" s="26">
        <f>_xlfn.IFNA(IF(LEFT('Rock Climbing Log'!AN64)="C",_xlfn.IFNA(VLOOKUP('Rock Climbing Log'!AN64,'RC Lookup'!$A$3:$B$9,2,FALSE),0.5),VLOOKUP('Rock Climbing Log'!AN64,'RC Lookup'!$G$3:$H$5,2,FALSE)),0)*VLOOKUP(AN$7,'RC Lookup'!$D$3:$E$18,2,FALSE)</f>
        <v>0</v>
      </c>
      <c r="AO64" s="26">
        <f>_xlfn.IFNA(IF(LEFT('Rock Climbing Log'!AO64)="C",_xlfn.IFNA(VLOOKUP('Rock Climbing Log'!AO64,'RC Lookup'!$A$3:$B$9,2,FALSE),0.5),VLOOKUP('Rock Climbing Log'!AO64,'RC Lookup'!$G$3:$H$5,2,FALSE)),0)*VLOOKUP(AN$7,'RC Lookup'!$D$3:$E$18,2,FALSE)</f>
        <v>0</v>
      </c>
      <c r="AP64" s="26">
        <f>_xlfn.IFNA(IF(LEFT('Rock Climbing Log'!AP64)="C",_xlfn.IFNA(VLOOKUP('Rock Climbing Log'!AP64,'RC Lookup'!$A$3:$B$9,2,FALSE),0.5),VLOOKUP('Rock Climbing Log'!AP64,'RC Lookup'!$G$3:$H$5,2,FALSE)),0)*VLOOKUP(AN$7,'RC Lookup'!$D$3:$E$18,2,FALSE)</f>
        <v>0</v>
      </c>
      <c r="AQ64" s="26">
        <f>_xlfn.IFNA(IF(LEFT('Rock Climbing Log'!AQ64)="C",_xlfn.IFNA(VLOOKUP('Rock Climbing Log'!AQ64,'RC Lookup'!$A$3:$B$9,2,FALSE),0.5),VLOOKUP('Rock Climbing Log'!AQ64,'RC Lookup'!$G$3:$H$5,2,FALSE)),0)*VLOOKUP(AQ$7,'RC Lookup'!$D$3:$E$18,2,FALSE)</f>
        <v>0</v>
      </c>
      <c r="AR64" s="26">
        <f>_xlfn.IFNA(IF(LEFT('Rock Climbing Log'!AR64)="C",_xlfn.IFNA(VLOOKUP('Rock Climbing Log'!AR64,'RC Lookup'!$A$3:$B$9,2,FALSE),0.5),VLOOKUP('Rock Climbing Log'!AR64,'RC Lookup'!$G$3:$H$5,2,FALSE)),0)*VLOOKUP(AQ$7,'RC Lookup'!$D$3:$E$18,2,FALSE)</f>
        <v>0</v>
      </c>
      <c r="AS64" s="26">
        <f>_xlfn.IFNA(IF(LEFT('Rock Climbing Log'!AS64)="C",_xlfn.IFNA(VLOOKUP('Rock Climbing Log'!AS64,'RC Lookup'!$A$3:$B$9,2,FALSE),0.5),VLOOKUP('Rock Climbing Log'!AS64,'RC Lookup'!$G$3:$H$5,2,FALSE)),0)*VLOOKUP(AQ$7,'RC Lookup'!$D$3:$E$18,2,FALSE)</f>
        <v>0</v>
      </c>
      <c r="AT64" s="26">
        <f>_xlfn.IFNA(IF(LEFT('Rock Climbing Log'!AT64)="C",_xlfn.IFNA(VLOOKUP('Rock Climbing Log'!AT64,'RC Lookup'!$A$3:$B$9,2,FALSE),0.5),VLOOKUP('Rock Climbing Log'!AT64,'RC Lookup'!$G$3:$H$5,2,FALSE)),0)*VLOOKUP(AT$7,'RC Lookup'!$D$3:$E$18,2,FALSE)</f>
        <v>0</v>
      </c>
      <c r="AU64" s="26">
        <f>_xlfn.IFNA(IF(LEFT('Rock Climbing Log'!AU64)="C",_xlfn.IFNA(VLOOKUP('Rock Climbing Log'!AU64,'RC Lookup'!$A$3:$B$9,2,FALSE),0.5),VLOOKUP('Rock Climbing Log'!AU64,'RC Lookup'!$G$3:$H$5,2,FALSE)),0)*VLOOKUP(AT$7,'RC Lookup'!$D$3:$E$18,2,FALSE)</f>
        <v>0</v>
      </c>
      <c r="AV64" s="26">
        <f>_xlfn.IFNA(IF(LEFT('Rock Climbing Log'!AV64)="C",_xlfn.IFNA(VLOOKUP('Rock Climbing Log'!AV64,'RC Lookup'!$A$3:$B$9,2,FALSE),0.5),VLOOKUP('Rock Climbing Log'!AV64,'RC Lookup'!$G$3:$H$5,2,FALSE)),0)*VLOOKUP(AT$7,'RC Lookup'!$D$3:$E$18,2,FALSE)</f>
        <v>0</v>
      </c>
      <c r="AW64" s="30">
        <f t="shared" ca="1" si="2"/>
        <v>138.38116333173295</v>
      </c>
      <c r="AX64" s="30">
        <f ca="1">_xlfn.IFNA(VLOOKUP(SUMPRODUCT(LARGE(($C$8:$C64=Table1[[#This Row],[Climber]])*$A$8:$A64,1)),$A$8:$AW64,MATCH($AW$7,$A$7:$AW$7,FALSE),FALSE),0)/LEFT($AX$7,FIND(" ",$AX$7))+_xlfn.IFNA(VLOOKUP(SUMPRODUCT(LARGE(($C$8:$C64=Table1[[#This Row],[Climber]])*$A$8:$A64,MIN(2,COUNTIFS($C$8:$C64,$C64)))),$A$8:$AW64,MATCH($AW$7,$A$7:$AW$7,FALSE),FALSE),0)/LEFT($AX$7,FIND(" ",$AX$7))+_xlfn.IFNA(VLOOKUP(SUMPRODUCT(LARGE(($C$8:$C64=Table1[[#This Row],[Climber]])*$A$8:$A64,MIN(3,COUNTIFS($C$8:$C64,$C64)))),$A$8:$AW64,MATCH($AW$7,$A$7:$AW$7,FALSE),FALSE),0)/LEFT($AX$7,FIND(" ",$AX$7))</f>
        <v>131.65093830154473</v>
      </c>
      <c r="AY64" s="30">
        <f ca="1">_xlfn.IFNA(VLOOKUP(SUMPRODUCT(LARGE(($C$8:$C64=Table1[[#This Row],[Climber]])*$A$8:$A64,1)),$A$8:$AW64,MATCH($AW$7,$A$7:$AW$7,FALSE),FALSE),0)/LEFT($AY$7,FIND(" ",$AY$7))+_xlfn.IFNA(VLOOKUP(SUMPRODUCT(LARGE(($C$8:$C64=Table1[[#This Row],[Climber]])*$A$8:$A64,MIN(2,COUNTIFS($C$8:$C64,$C64)))),$A$8:$AW64,MATCH($AW$7,$A$7:$AW$7,FALSE),FALSE),0)/LEFT($AY$7,FIND(" ",$AY$7))+_xlfn.IFNA(VLOOKUP(SUMPRODUCT(LARGE(($C$8:$C64=Table1[[#This Row],[Climber]])*$A$8:$A64,MIN(3,COUNTIFS($C$8:$C64,$C64)))),$A$8:$AW64,MATCH($AW$7,$A$7:$AW$7,FALSE),FALSE),0)/LEFT($AY$7,FIND(" ",$AY$7))+_xlfn.IFNA(VLOOKUP(SUMPRODUCT(LARGE(($C$8:$C64=Table1[[#This Row],[Climber]])*$A$8:$A64,MIN(4,COUNTIFS($C$8:$C64,$C64)))),$A$8:$AW64,MATCH($AW$7,$A$7:$AW$7,FALSE),FALSE),0)/LEFT($AY$7,FIND(" ",$AY$7))+_xlfn.IFNA(VLOOKUP(SUMPRODUCT(LARGE(($C$8:$C64=Table1[[#This Row],[Climber]])*$A$8:$A64,MIN(5,COUNTIFS($C$8:$C64,$C64)))),$A$8:$AW64,MATCH($AW$7,$A$7:$AW$7,FALSE),FALSE),0)/LEFT($AY$7,FIND(" ",$AY$7))</f>
        <v>129.82439693170801</v>
      </c>
      <c r="AZ64" s="30">
        <f ca="1">(_xlfn.IFNA(VLOOKUP(SUMPRODUCT(LARGE(($C$8:$C64=Table1[[#This Row],[Climber]])*$A$8:$A64,4)),$A$8:$AW64,MATCH($AW$7,$A$7:$AW$7,FALSE),FALSE),0)+_xlfn.IFNA(VLOOKUP(SUMPRODUCT(LARGE(($C$8:$C64=Table1[[#This Row],[Climber]])*$A$8:$A64,5)),$A$8:$AW64,MATCH($AW$7,$A$7:$AW$7,FALSE),FALSE),0)+_xlfn.IFNA(VLOOKUP(SUMPRODUCT(LARGE(($C$8:$C64=Table1[[#This Row],[Climber]])*$A$8:$A64,6)),$A$8:$AW64,MATCH($AW$7,$A$7:$AW$7,FALSE),FALSE),0))/3</f>
        <v>107.07553687849821</v>
      </c>
      <c r="BA64" s="46">
        <f ca="1">_xlfn.MAXIFS(INDIRECT("$AW"&amp;IF(SUMPRODUCT(LARGE(($C$8:$C64=$C64)*$A$8:$A64,LEFT($BA$7,FIND(" ",$BA$7)-1)))=0,8,SUMPRODUCT(LARGE(($C$8:$C64=$C64)*$A$8:$A64,LEFT($BA$7,FIND(" ",$BA$7)-1)))+7)&amp;":$AW"&amp;ROW()),INDIRECT("$C"&amp;IF(SUMPRODUCT(LARGE(($C$8:$C64=$C64)*$A$8:$A64,LEFT($BA$7,FIND(" ",$BA$7)-1)))=0,8,SUMPRODUCT(LARGE(($C$8:$C64=$C64)*$A$8:$A64,LEFT($BA$7,FIND(" ",$BA$7)-1)))+7)&amp;":$C"&amp;ROW()),$C64)</f>
        <v>138.38116333173295</v>
      </c>
      <c r="BB64" s="46" t="str">
        <f ca="1">VLOOKUP(MAX(BG64,$AX64),'RC Lookup'!$G$14:$J$20,2,TRUE)</f>
        <v>T4</v>
      </c>
      <c r="BC64" s="46">
        <f ca="1">_xlfn.IFNA(VLOOKUP(VLOOKUP($C64,'RC Lookup'!$O$3:$P$50,2,FALSE),'RC Lookup'!$H$14:$J$23,2,FALSE),0)*AW64</f>
        <v>67.966165905830437</v>
      </c>
      <c r="BD64" s="6">
        <f ca="1">_xlfn.IFNA(VLOOKUP(SUMPRODUCT(LARGE(($C$8:$C64=Table1[[#This Row],[Climber]])*$A$8:$A64,1)),$A$8:$BC64,55,FALSE),0)/LEFT($AX$7,FIND(" ",$AX$7))+_xlfn.IFNA(VLOOKUP(SUMPRODUCT(LARGE(($C$8:$C64=Table1[[#This Row],[Climber]])*$A$8:$A64,MIN(2,COUNTIFS($C$8:$C64,$C64)))),$A$8:$BC64,55,FALSE),0)/LEFT($AX$7,FIND(" ",$AX$7))+_xlfn.IFNA(VLOOKUP(SUMPRODUCT(LARGE(($C$8:$C64=Table1[[#This Row],[Climber]])*$A$8:$A64,MIN(3,COUNTIFS($C$8:$C64,$C64)))),$A$8:$BC64,55,FALSE),0)/LEFT($AX$7,FIND(" ",$AX$7))</f>
        <v>64.660603356910514</v>
      </c>
      <c r="BE64" s="6">
        <f ca="1">(_xlfn.IFNA(VLOOKUP(SUMPRODUCT(LARGE(($C$8:$C64=Table1[[#This Row],[Climber]])*$A$8:$A64,4)),$A$8:$BD64,55,FALSE),0)+_xlfn.IFNA(VLOOKUP(SUMPRODUCT(LARGE(($C$8:$C64=Table1[[#This Row],[Climber]])*$A$8:$A64,5)),$A$8:$BD64,55,FALSE),0)+_xlfn.IFNA(VLOOKUP(SUMPRODUCT(LARGE(($C$8:$C64=Table1[[#This Row],[Climber]])*$A$8:$A64,6)),$A$8:$BD64,55,FALSE),0))/3</f>
        <v>52.590349211719825</v>
      </c>
      <c r="BF64" s="46">
        <f ca="1">_xlfn.MAXIFS(INDIRECT("$BC"&amp;IF(SUMPRODUCT(LARGE(($C$8:$C64=$C64)*$A$8:$A64,LEFT($BA$7,FIND(" ",$BA$7)-1)))=0,8,SUMPRODUCT(LARGE(($C$8:$C64=$C64)*$A$8:$A64,LEFT($BA$7,FIND(" ",$BA$7)-1)))+7)&amp;":$BC"&amp;ROW()),INDIRECT("$C"&amp;IF(SUMPRODUCT(LARGE(($C$8:$C64=$C64)*$A$8:$A64,LEFT($BA$7,FIND(" ",$BA$7)-1)))=0,8,SUMPRODUCT(LARGE(($C$8:$C64=$C64)*$A$8:$A64,LEFT($BA$7,FIND(" ",$BA$7)-1)))+7)&amp;":$C"&amp;ROW()),$C64)</f>
        <v>67.966165905830437</v>
      </c>
      <c r="BG64" s="46">
        <f t="array" aca="1" ref="BG64" ca="1">IFERROR(SUMPRODUCT(LARGE(($C$8:$C64=Table1[[#This Row],[Climber]])*$AW$8:$AW64,ROW(INDIRECT("1:5")))),AW64)/MIN(COUNTIFS($C$8:$C64,C64),5)</f>
        <v>129.82439693170801</v>
      </c>
    </row>
    <row r="65" spans="1:59" x14ac:dyDescent="0.3">
      <c r="A65" s="125">
        <f t="shared" si="1"/>
        <v>58</v>
      </c>
      <c r="B65" s="25">
        <f>'Rock Climbing Log'!B65</f>
        <v>43158</v>
      </c>
      <c r="C65" s="126" t="str">
        <f>'Rock Climbing Log'!C65</f>
        <v>Michelle</v>
      </c>
      <c r="D65" s="26">
        <f>_xlfn.IFNA(IF(LEFT('Rock Climbing Log'!D65)="C",_xlfn.IFNA(VLOOKUP('Rock Climbing Log'!D65,'RC Lookup'!$A$3:$B$9,2,FALSE),0.5),VLOOKUP('Rock Climbing Log'!D65,'RC Lookup'!$G$3:$H$5,2,FALSE)),0)*VLOOKUP(D$7,'RC Lookup'!$D$3:$E$18,2,FALSE)</f>
        <v>0</v>
      </c>
      <c r="E65" s="26">
        <f>_xlfn.IFNA(IF(LEFT('Rock Climbing Log'!E65)="C",_xlfn.IFNA(VLOOKUP('Rock Climbing Log'!E65,'RC Lookup'!$A$3:$B$9,2,FALSE),0.5),VLOOKUP('Rock Climbing Log'!E65,'RC Lookup'!$G$3:$H$5,2,FALSE)),0)*VLOOKUP(D$7,'RC Lookup'!$D$3:$E$18,2,FALSE)</f>
        <v>0</v>
      </c>
      <c r="F65" s="26">
        <f>_xlfn.IFNA(IF(LEFT('Rock Climbing Log'!F65)="C",_xlfn.IFNA(VLOOKUP('Rock Climbing Log'!F65,'RC Lookup'!$A$3:$B$9,2,FALSE),0.5),VLOOKUP('Rock Climbing Log'!F65,'RC Lookup'!$G$3:$H$5,2,FALSE)),0)*VLOOKUP(D$7,'RC Lookup'!$D$3:$E$18,2,FALSE)</f>
        <v>0</v>
      </c>
      <c r="G65" s="26">
        <f>_xlfn.IFNA(IF(LEFT('Rock Climbing Log'!G65)="C",_xlfn.IFNA(VLOOKUP('Rock Climbing Log'!G65,'RC Lookup'!$A$3:$B$9,2,FALSE),0.5),VLOOKUP('Rock Climbing Log'!G65,'RC Lookup'!$G$3:$H$5,2,FALSE)),0)*VLOOKUP(G$7,'RC Lookup'!$D$3:$E$18,2,FALSE)</f>
        <v>0</v>
      </c>
      <c r="H65" s="26">
        <f>_xlfn.IFNA(IF(LEFT('Rock Climbing Log'!H65)="C",_xlfn.IFNA(VLOOKUP('Rock Climbing Log'!H65,'RC Lookup'!$A$3:$B$9,2,FALSE),0.5),VLOOKUP('Rock Climbing Log'!H65,'RC Lookup'!$G$3:$H$5,2,FALSE)),0)*VLOOKUP(G$7,'RC Lookup'!$D$3:$E$18,2,FALSE)</f>
        <v>0</v>
      </c>
      <c r="I65" s="26">
        <f>_xlfn.IFNA(IF(LEFT('Rock Climbing Log'!I65)="C",_xlfn.IFNA(VLOOKUP('Rock Climbing Log'!I65,'RC Lookup'!$A$3:$B$9,2,FALSE),0.5),VLOOKUP('Rock Climbing Log'!I65,'RC Lookup'!$G$3:$H$5,2,FALSE)),0)*VLOOKUP(G$7,'RC Lookup'!$D$3:$E$18,2,FALSE)</f>
        <v>0</v>
      </c>
      <c r="J65" s="26">
        <f>_xlfn.IFNA(IF(LEFT('Rock Climbing Log'!J65)="C",_xlfn.IFNA(VLOOKUP('Rock Climbing Log'!J65,'RC Lookup'!$A$3:$B$9,2,FALSE),0.5),VLOOKUP('Rock Climbing Log'!J65,'RC Lookup'!$G$3:$H$5,2,FALSE)),0)*VLOOKUP(J$7,'RC Lookup'!$D$3:$E$18,2,FALSE)</f>
        <v>15.75</v>
      </c>
      <c r="K65" s="26">
        <f>_xlfn.IFNA(IF(LEFT('Rock Climbing Log'!K65)="C",_xlfn.IFNA(VLOOKUP('Rock Climbing Log'!K65,'RC Lookup'!$A$3:$B$9,2,FALSE),0.5),VLOOKUP('Rock Climbing Log'!K65,'RC Lookup'!$G$3:$H$5,2,FALSE)),0)*VLOOKUP(J$7,'RC Lookup'!$D$3:$E$18,2,FALSE)</f>
        <v>15.75</v>
      </c>
      <c r="L65" s="26">
        <f>_xlfn.IFNA(IF(LEFT('Rock Climbing Log'!L65)="C",_xlfn.IFNA(VLOOKUP('Rock Climbing Log'!L65,'RC Lookup'!$A$3:$B$9,2,FALSE),0.5),VLOOKUP('Rock Climbing Log'!L65,'RC Lookup'!$G$3:$H$5,2,FALSE)),0)*VLOOKUP(J$7,'RC Lookup'!$D$3:$E$18,2,FALSE)</f>
        <v>0</v>
      </c>
      <c r="M65" s="26">
        <f>_xlfn.IFNA(IF(LEFT('Rock Climbing Log'!M65)="C",_xlfn.IFNA(VLOOKUP('Rock Climbing Log'!M65,'RC Lookup'!$A$3:$B$9,2,FALSE),0.5),VLOOKUP('Rock Climbing Log'!M65,'RC Lookup'!$G$3:$H$5,2,FALSE)),0)*VLOOKUP(M$7,'RC Lookup'!$D$3:$E$18,2,FALSE)</f>
        <v>20.002500000000001</v>
      </c>
      <c r="N65" s="26">
        <f>_xlfn.IFNA(IF(LEFT('Rock Climbing Log'!N65)="C",_xlfn.IFNA(VLOOKUP('Rock Climbing Log'!N65,'RC Lookup'!$A$3:$B$9,2,FALSE),0.5),VLOOKUP('Rock Climbing Log'!N65,'RC Lookup'!$G$3:$H$5,2,FALSE)),0)*VLOOKUP(M$7,'RC Lookup'!$D$3:$E$18,2,FALSE)</f>
        <v>20.002500000000001</v>
      </c>
      <c r="O65" s="26">
        <f>_xlfn.IFNA(IF(LEFT('Rock Climbing Log'!O65)="C",_xlfn.IFNA(VLOOKUP('Rock Climbing Log'!O65,'RC Lookup'!$A$3:$B$9,2,FALSE),0.5),VLOOKUP('Rock Climbing Log'!O65,'RC Lookup'!$G$3:$H$5,2,FALSE)),0)*VLOOKUP(M$7,'RC Lookup'!$D$3:$E$18,2,FALSE)</f>
        <v>0</v>
      </c>
      <c r="P65" s="26">
        <f>_xlfn.IFNA(IF(LEFT('Rock Climbing Log'!P65)="C",_xlfn.IFNA(VLOOKUP('Rock Climbing Log'!P65,'RC Lookup'!$A$3:$B$9,2,FALSE),0.5),VLOOKUP('Rock Climbing Log'!P65,'RC Lookup'!$G$3:$H$5,2,FALSE)),0)*VLOOKUP(P$7,'RC Lookup'!$D$3:$E$18,2,FALSE)</f>
        <v>0</v>
      </c>
      <c r="Q65" s="26">
        <f>_xlfn.IFNA(IF(LEFT('Rock Climbing Log'!Q65)="C",_xlfn.IFNA(VLOOKUP('Rock Climbing Log'!Q65,'RC Lookup'!$A$3:$B$9,2,FALSE),0.5),VLOOKUP('Rock Climbing Log'!Q65,'RC Lookup'!$G$3:$H$5,2,FALSE)),0)*VLOOKUP(P$7,'RC Lookup'!$D$3:$E$18,2,FALSE)</f>
        <v>0</v>
      </c>
      <c r="R65" s="26">
        <f>_xlfn.IFNA(IF(LEFT('Rock Climbing Log'!R65)="C",_xlfn.IFNA(VLOOKUP('Rock Climbing Log'!R65,'RC Lookup'!$A$3:$B$9,2,FALSE),0.5),VLOOKUP('Rock Climbing Log'!R65,'RC Lookup'!$G$3:$H$5,2,FALSE)),0)*VLOOKUP(P$7,'RC Lookup'!$D$3:$E$18,2,FALSE)</f>
        <v>0</v>
      </c>
      <c r="S65" s="26">
        <f>_xlfn.IFNA(IF(LEFT('Rock Climbing Log'!S65)="C",_xlfn.IFNA(VLOOKUP('Rock Climbing Log'!S65,'RC Lookup'!$A$3:$B$9,2,FALSE),0.5),VLOOKUP('Rock Climbing Log'!S65,'RC Lookup'!$G$3:$H$5,2,FALSE)),0)*VLOOKUP(S$7,'RC Lookup'!$D$3:$E$18,2,FALSE)</f>
        <v>0</v>
      </c>
      <c r="T65" s="26">
        <f>_xlfn.IFNA(IF(LEFT('Rock Climbing Log'!T65)="C",_xlfn.IFNA(VLOOKUP('Rock Climbing Log'!T65,'RC Lookup'!$A$3:$B$9,2,FALSE),0.5),VLOOKUP('Rock Climbing Log'!T65,'RC Lookup'!$G$3:$H$5,2,FALSE)),0)*VLOOKUP(S$7,'RC Lookup'!$D$3:$E$18,2,FALSE)</f>
        <v>0</v>
      </c>
      <c r="U65" s="26">
        <f>_xlfn.IFNA(IF(LEFT('Rock Climbing Log'!U65)="C",_xlfn.IFNA(VLOOKUP('Rock Climbing Log'!U65,'RC Lookup'!$A$3:$B$9,2,FALSE),0.5),VLOOKUP('Rock Climbing Log'!U65,'RC Lookup'!$G$3:$H$5,2,FALSE)),0)*VLOOKUP(S$7,'RC Lookup'!$D$3:$E$18,2,FALSE)</f>
        <v>0</v>
      </c>
      <c r="V65" s="26">
        <f>_xlfn.IFNA(IF(LEFT('Rock Climbing Log'!V65)="C",_xlfn.IFNA(VLOOKUP('Rock Climbing Log'!V65,'RC Lookup'!$A$3:$B$9,2,FALSE),0.5),VLOOKUP('Rock Climbing Log'!V65,'RC Lookup'!$G$3:$H$5,2,FALSE)),0)*VLOOKUP(V$7,'RC Lookup'!$D$3:$E$18,2,FALSE)</f>
        <v>17.628372871200011</v>
      </c>
      <c r="W65" s="26">
        <f>_xlfn.IFNA(IF(LEFT('Rock Climbing Log'!W65)="C",_xlfn.IFNA(VLOOKUP('Rock Climbing Log'!W65,'RC Lookup'!$A$3:$B$9,2,FALSE),0.5),VLOOKUP('Rock Climbing Log'!W65,'RC Lookup'!$G$3:$H$5,2,FALSE)),0)*VLOOKUP(V$7,'RC Lookup'!$D$3:$E$18,2,FALSE)</f>
        <v>35.256745742400021</v>
      </c>
      <c r="X65" s="26">
        <f>_xlfn.IFNA(IF(LEFT('Rock Climbing Log'!X65)="C",_xlfn.IFNA(VLOOKUP('Rock Climbing Log'!X65,'RC Lookup'!$A$3:$B$9,2,FALSE),0.5),VLOOKUP('Rock Climbing Log'!X65,'RC Lookup'!$G$3:$H$5,2,FALSE)),0)*VLOOKUP(V$7,'RC Lookup'!$D$3:$E$18,2,FALSE)</f>
        <v>0</v>
      </c>
      <c r="Y65" s="26">
        <f>_xlfn.IFNA(IF(LEFT('Rock Climbing Log'!Y65)="C",_xlfn.IFNA(VLOOKUP('Rock Climbing Log'!Y65,'RC Lookup'!$A$3:$B$9,2,FALSE),0.5),VLOOKUP('Rock Climbing Log'!Y65,'RC Lookup'!$G$3:$H$5,2,FALSE)),0)*VLOOKUP(Y$7,'RC Lookup'!$D$3:$E$18,2,FALSE)</f>
        <v>0</v>
      </c>
      <c r="Z65" s="26">
        <f>_xlfn.IFNA(IF(LEFT('Rock Climbing Log'!Z65)="C",_xlfn.IFNA(VLOOKUP('Rock Climbing Log'!Z65,'RC Lookup'!$A$3:$B$9,2,FALSE),0.5),VLOOKUP('Rock Climbing Log'!Z65,'RC Lookup'!$G$3:$H$5,2,FALSE)),0)*VLOOKUP(Y$7,'RC Lookup'!$D$3:$E$18,2,FALSE)</f>
        <v>0</v>
      </c>
      <c r="AA65" s="26">
        <f>_xlfn.IFNA(IF(LEFT('Rock Climbing Log'!AA65)="C",_xlfn.IFNA(VLOOKUP('Rock Climbing Log'!AA65,'RC Lookup'!$A$3:$B$9,2,FALSE),0.5),VLOOKUP('Rock Climbing Log'!AA65,'RC Lookup'!$G$3:$H$5,2,FALSE)),0)*VLOOKUP(Y$7,'RC Lookup'!$D$3:$E$18,2,FALSE)</f>
        <v>0</v>
      </c>
      <c r="AB65" s="26">
        <f>_xlfn.IFNA(IF(LEFT('Rock Climbing Log'!AB65)="C",_xlfn.IFNA(VLOOKUP('Rock Climbing Log'!AB65,'RC Lookup'!$A$3:$B$9,2,FALSE),0.5),VLOOKUP('Rock Climbing Log'!AB65,'RC Lookup'!$G$3:$H$5,2,FALSE)),0)*VLOOKUP(AB$7,'RC Lookup'!$D$3:$E$18,2,FALSE)</f>
        <v>0</v>
      </c>
      <c r="AC65" s="26">
        <f>_xlfn.IFNA(IF(LEFT('Rock Climbing Log'!AC65)="C",_xlfn.IFNA(VLOOKUP('Rock Climbing Log'!AC65,'RC Lookup'!$A$3:$B$9,2,FALSE),0.5),VLOOKUP('Rock Climbing Log'!AC65,'RC Lookup'!$G$3:$H$5,2,FALSE)),0)*VLOOKUP(AB$7,'RC Lookup'!$D$3:$E$18,2,FALSE)</f>
        <v>0</v>
      </c>
      <c r="AD65" s="26">
        <f>_xlfn.IFNA(IF(LEFT('Rock Climbing Log'!AD65)="C",_xlfn.IFNA(VLOOKUP('Rock Climbing Log'!AD65,'RC Lookup'!$A$3:$B$9,2,FALSE),0.5),VLOOKUP('Rock Climbing Log'!AD65,'RC Lookup'!$G$3:$H$5,2,FALSE)),0)*VLOOKUP(AB$7,'RC Lookup'!$D$3:$E$18,2,FALSE)</f>
        <v>0</v>
      </c>
      <c r="AE65" s="26">
        <f>_xlfn.IFNA(IF(LEFT('Rock Climbing Log'!AE65)="C",_xlfn.IFNA(VLOOKUP('Rock Climbing Log'!AE65,'RC Lookup'!$A$3:$B$9,2,FALSE),0.5),VLOOKUP('Rock Climbing Log'!AE65,'RC Lookup'!$G$3:$H$5,2,FALSE)),0)*VLOOKUP(AE$7,'RC Lookup'!$D$3:$E$18,2,FALSE)</f>
        <v>0</v>
      </c>
      <c r="AF65" s="26">
        <f>_xlfn.IFNA(IF(LEFT('Rock Climbing Log'!AF65)="C",_xlfn.IFNA(VLOOKUP('Rock Climbing Log'!AF65,'RC Lookup'!$A$3:$B$9,2,FALSE),0.5),VLOOKUP('Rock Climbing Log'!AF65,'RC Lookup'!$G$3:$H$5,2,FALSE)),0)*VLOOKUP(AE$7,'RC Lookup'!$D$3:$E$18,2,FALSE)</f>
        <v>0</v>
      </c>
      <c r="AG65" s="26">
        <f>_xlfn.IFNA(IF(LEFT('Rock Climbing Log'!AG65)="C",_xlfn.IFNA(VLOOKUP('Rock Climbing Log'!AG65,'RC Lookup'!$A$3:$B$9,2,FALSE),0.5),VLOOKUP('Rock Climbing Log'!AG65,'RC Lookup'!$G$3:$H$5,2,FALSE)),0)*VLOOKUP(AE$7,'RC Lookup'!$D$3:$E$18,2,FALSE)</f>
        <v>0</v>
      </c>
      <c r="AH65" s="26">
        <f>_xlfn.IFNA(IF(LEFT('Rock Climbing Log'!AH65)="C",_xlfn.IFNA(VLOOKUP('Rock Climbing Log'!AH65,'RC Lookup'!$A$3:$B$9,2,FALSE),0.5),VLOOKUP('Rock Climbing Log'!AH65,'RC Lookup'!$G$3:$H$5,2,FALSE)),0)*VLOOKUP(AH$7,'RC Lookup'!$D$3:$E$18,2,FALSE)</f>
        <v>0</v>
      </c>
      <c r="AI65" s="26">
        <f>_xlfn.IFNA(IF(LEFT('Rock Climbing Log'!AI65)="C",_xlfn.IFNA(VLOOKUP('Rock Climbing Log'!AI65,'RC Lookup'!$A$3:$B$9,2,FALSE),0.5),VLOOKUP('Rock Climbing Log'!AI65,'RC Lookup'!$G$3:$H$5,2,FALSE)),0)*VLOOKUP(AH$7,'RC Lookup'!$D$3:$E$18,2,FALSE)</f>
        <v>0</v>
      </c>
      <c r="AJ65" s="26">
        <f>_xlfn.IFNA(IF(LEFT('Rock Climbing Log'!AJ65)="C",_xlfn.IFNA(VLOOKUP('Rock Climbing Log'!AJ65,'RC Lookup'!$A$3:$B$9,2,FALSE),0.5),VLOOKUP('Rock Climbing Log'!AJ65,'RC Lookup'!$G$3:$H$5,2,FALSE)),0)*VLOOKUP(AH$7,'RC Lookup'!$D$3:$E$18,2,FALSE)</f>
        <v>0</v>
      </c>
      <c r="AK65" s="26">
        <f>_xlfn.IFNA(IF(LEFT('Rock Climbing Log'!AK65)="C",_xlfn.IFNA(VLOOKUP('Rock Climbing Log'!AK65,'RC Lookup'!$A$3:$B$9,2,FALSE),0.5),VLOOKUP('Rock Climbing Log'!AK65,'RC Lookup'!$G$3:$H$5,2,FALSE)),0)*VLOOKUP(AK$7,'RC Lookup'!$D$3:$E$18,2,FALSE)</f>
        <v>0</v>
      </c>
      <c r="AL65" s="26">
        <f>_xlfn.IFNA(IF(LEFT('Rock Climbing Log'!AL65)="C",_xlfn.IFNA(VLOOKUP('Rock Climbing Log'!AL65,'RC Lookup'!$A$3:$B$9,2,FALSE),0.5),VLOOKUP('Rock Climbing Log'!AL65,'RC Lookup'!$G$3:$H$5,2,FALSE)),0)*VLOOKUP(AK$7,'RC Lookup'!$D$3:$E$18,2,FALSE)</f>
        <v>0</v>
      </c>
      <c r="AM65" s="26">
        <f>_xlfn.IFNA(IF(LEFT('Rock Climbing Log'!AM65)="C",_xlfn.IFNA(VLOOKUP('Rock Climbing Log'!AM65,'RC Lookup'!$A$3:$B$9,2,FALSE),0.5),VLOOKUP('Rock Climbing Log'!AM65,'RC Lookup'!$G$3:$H$5,2,FALSE)),0)*VLOOKUP(AK$7,'RC Lookup'!$D$3:$E$18,2,FALSE)</f>
        <v>0</v>
      </c>
      <c r="AN65" s="26">
        <f>_xlfn.IFNA(IF(LEFT('Rock Climbing Log'!AN65)="C",_xlfn.IFNA(VLOOKUP('Rock Climbing Log'!AN65,'RC Lookup'!$A$3:$B$9,2,FALSE),0.5),VLOOKUP('Rock Climbing Log'!AN65,'RC Lookup'!$G$3:$H$5,2,FALSE)),0)*VLOOKUP(AN$7,'RC Lookup'!$D$3:$E$18,2,FALSE)</f>
        <v>0</v>
      </c>
      <c r="AO65" s="26">
        <f>_xlfn.IFNA(IF(LEFT('Rock Climbing Log'!AO65)="C",_xlfn.IFNA(VLOOKUP('Rock Climbing Log'!AO65,'RC Lookup'!$A$3:$B$9,2,FALSE),0.5),VLOOKUP('Rock Climbing Log'!AO65,'RC Lookup'!$G$3:$H$5,2,FALSE)),0)*VLOOKUP(AN$7,'RC Lookup'!$D$3:$E$18,2,FALSE)</f>
        <v>0</v>
      </c>
      <c r="AP65" s="26">
        <f>_xlfn.IFNA(IF(LEFT('Rock Climbing Log'!AP65)="C",_xlfn.IFNA(VLOOKUP('Rock Climbing Log'!AP65,'RC Lookup'!$A$3:$B$9,2,FALSE),0.5),VLOOKUP('Rock Climbing Log'!AP65,'RC Lookup'!$G$3:$H$5,2,FALSE)),0)*VLOOKUP(AN$7,'RC Lookup'!$D$3:$E$18,2,FALSE)</f>
        <v>0</v>
      </c>
      <c r="AQ65" s="26">
        <f>_xlfn.IFNA(IF(LEFT('Rock Climbing Log'!AQ65)="C",_xlfn.IFNA(VLOOKUP('Rock Climbing Log'!AQ65,'RC Lookup'!$A$3:$B$9,2,FALSE),0.5),VLOOKUP('Rock Climbing Log'!AQ65,'RC Lookup'!$G$3:$H$5,2,FALSE)),0)*VLOOKUP(AQ$7,'RC Lookup'!$D$3:$E$18,2,FALSE)</f>
        <v>0</v>
      </c>
      <c r="AR65" s="26">
        <f>_xlfn.IFNA(IF(LEFT('Rock Climbing Log'!AR65)="C",_xlfn.IFNA(VLOOKUP('Rock Climbing Log'!AR65,'RC Lookup'!$A$3:$B$9,2,FALSE),0.5),VLOOKUP('Rock Climbing Log'!AR65,'RC Lookup'!$G$3:$H$5,2,FALSE)),0)*VLOOKUP(AQ$7,'RC Lookup'!$D$3:$E$18,2,FALSE)</f>
        <v>0</v>
      </c>
      <c r="AS65" s="26">
        <f>_xlfn.IFNA(IF(LEFT('Rock Climbing Log'!AS65)="C",_xlfn.IFNA(VLOOKUP('Rock Climbing Log'!AS65,'RC Lookup'!$A$3:$B$9,2,FALSE),0.5),VLOOKUP('Rock Climbing Log'!AS65,'RC Lookup'!$G$3:$H$5,2,FALSE)),0)*VLOOKUP(AQ$7,'RC Lookup'!$D$3:$E$18,2,FALSE)</f>
        <v>0</v>
      </c>
      <c r="AT65" s="26">
        <f>_xlfn.IFNA(IF(LEFT('Rock Climbing Log'!AT65)="C",_xlfn.IFNA(VLOOKUP('Rock Climbing Log'!AT65,'RC Lookup'!$A$3:$B$9,2,FALSE),0.5),VLOOKUP('Rock Climbing Log'!AT65,'RC Lookup'!$G$3:$H$5,2,FALSE)),0)*VLOOKUP(AT$7,'RC Lookup'!$D$3:$E$18,2,FALSE)</f>
        <v>0</v>
      </c>
      <c r="AU65" s="26">
        <f>_xlfn.IFNA(IF(LEFT('Rock Climbing Log'!AU65)="C",_xlfn.IFNA(VLOOKUP('Rock Climbing Log'!AU65,'RC Lookup'!$A$3:$B$9,2,FALSE),0.5),VLOOKUP('Rock Climbing Log'!AU65,'RC Lookup'!$G$3:$H$5,2,FALSE)),0)*VLOOKUP(AT$7,'RC Lookup'!$D$3:$E$18,2,FALSE)</f>
        <v>0</v>
      </c>
      <c r="AV65" s="26">
        <f>_xlfn.IFNA(IF(LEFT('Rock Climbing Log'!AV65)="C",_xlfn.IFNA(VLOOKUP('Rock Climbing Log'!AV65,'RC Lookup'!$A$3:$B$9,2,FALSE),0.5),VLOOKUP('Rock Climbing Log'!AV65,'RC Lookup'!$G$3:$H$5,2,FALSE)),0)*VLOOKUP(AT$7,'RC Lookup'!$D$3:$E$18,2,FALSE)</f>
        <v>0</v>
      </c>
      <c r="AW65" s="30">
        <f t="shared" ca="1" si="2"/>
        <v>75.261745742400024</v>
      </c>
      <c r="AX65" s="30">
        <f ca="1">_xlfn.IFNA(VLOOKUP(SUMPRODUCT(LARGE(($C$8:$C65=Table1[[#This Row],[Climber]])*$A$8:$A65,1)),$A$8:$AW65,MATCH($AW$7,$A$7:$AW$7,FALSE),FALSE),0)/LEFT($AX$7,FIND(" ",$AX$7))+_xlfn.IFNA(VLOOKUP(SUMPRODUCT(LARGE(($C$8:$C65=Table1[[#This Row],[Climber]])*$A$8:$A65,MIN(2,COUNTIFS($C$8:$C65,$C65)))),$A$8:$AW65,MATCH($AW$7,$A$7:$AW$7,FALSE),FALSE),0)/LEFT($AX$7,FIND(" ",$AX$7))+_xlfn.IFNA(VLOOKUP(SUMPRODUCT(LARGE(($C$8:$C65=Table1[[#This Row],[Climber]])*$A$8:$A65,MIN(3,COUNTIFS($C$8:$C65,$C65)))),$A$8:$AW65,MATCH($AW$7,$A$7:$AW$7,FALSE),FALSE),0)/LEFT($AX$7,FIND(" ",$AX$7))</f>
        <v>73.84424574240002</v>
      </c>
      <c r="AY65" s="30">
        <f ca="1">_xlfn.IFNA(VLOOKUP(SUMPRODUCT(LARGE(($C$8:$C65=Table1[[#This Row],[Climber]])*$A$8:$A65,1)),$A$8:$AW65,MATCH($AW$7,$A$7:$AW$7,FALSE),FALSE),0)/LEFT($AY$7,FIND(" ",$AY$7))+_xlfn.IFNA(VLOOKUP(SUMPRODUCT(LARGE(($C$8:$C65=Table1[[#This Row],[Climber]])*$A$8:$A65,MIN(2,COUNTIFS($C$8:$C65,$C65)))),$A$8:$AW65,MATCH($AW$7,$A$7:$AW$7,FALSE),FALSE),0)/LEFT($AY$7,FIND(" ",$AY$7))+_xlfn.IFNA(VLOOKUP(SUMPRODUCT(LARGE(($C$8:$C65=Table1[[#This Row],[Climber]])*$A$8:$A65,MIN(3,COUNTIFS($C$8:$C65,$C65)))),$A$8:$AW65,MATCH($AW$7,$A$7:$AW$7,FALSE),FALSE),0)/LEFT($AY$7,FIND(" ",$AY$7))+_xlfn.IFNA(VLOOKUP(SUMPRODUCT(LARGE(($C$8:$C65=Table1[[#This Row],[Climber]])*$A$8:$A65,MIN(4,COUNTIFS($C$8:$C65,$C65)))),$A$8:$AW65,MATCH($AW$7,$A$7:$AW$7,FALSE),FALSE),0)/LEFT($AY$7,FIND(" ",$AY$7))+_xlfn.IFNA(VLOOKUP(SUMPRODUCT(LARGE(($C$8:$C65=Table1[[#This Row],[Climber]])*$A$8:$A65,MIN(5,COUNTIFS($C$8:$C65,$C65)))),$A$8:$AW65,MATCH($AW$7,$A$7:$AW$7,FALSE),FALSE),0)/LEFT($AY$7,FIND(" ",$AY$7))</f>
        <v>66.359562195997754</v>
      </c>
      <c r="AZ65" s="30">
        <f ca="1">(_xlfn.IFNA(VLOOKUP(SUMPRODUCT(LARGE(($C$8:$C65=Table1[[#This Row],[Climber]])*$A$8:$A65,4)),$A$8:$AW65,MATCH($AW$7,$A$7:$AW$7,FALSE),FALSE),0)+_xlfn.IFNA(VLOOKUP(SUMPRODUCT(LARGE(($C$8:$C65=Table1[[#This Row],[Climber]])*$A$8:$A65,5)),$A$8:$AW65,MATCH($AW$7,$A$7:$AW$7,FALSE),FALSE),0)+_xlfn.IFNA(VLOOKUP(SUMPRODUCT(LARGE(($C$8:$C65=Table1[[#This Row],[Climber]])*$A$8:$A65,6)),$A$8:$AW65,MATCH($AW$7,$A$7:$AW$7,FALSE),FALSE),0))/3</f>
        <v>53.881898874662888</v>
      </c>
      <c r="BA65" s="46">
        <f ca="1">_xlfn.MAXIFS(INDIRECT("$AW"&amp;IF(SUMPRODUCT(LARGE(($C$8:$C65=$C65)*$A$8:$A65,LEFT($BA$7,FIND(" ",$BA$7)-1)))=0,8,SUMPRODUCT(LARGE(($C$8:$C65=$C65)*$A$8:$A65,LEFT($BA$7,FIND(" ",$BA$7)-1)))+7)&amp;":$AW"&amp;ROW()),INDIRECT("$C"&amp;IF(SUMPRODUCT(LARGE(($C$8:$C65=$C65)*$A$8:$A65,LEFT($BA$7,FIND(" ",$BA$7)-1)))=0,8,SUMPRODUCT(LARGE(($C$8:$C65=$C65)*$A$8:$A65,LEFT($BA$7,FIND(" ",$BA$7)-1)))+7)&amp;":$C"&amp;ROW()),$C65)</f>
        <v>75.261745742400024</v>
      </c>
      <c r="BB65" s="46" t="str">
        <f ca="1">VLOOKUP(MAX(BG65,$AX65),'RC Lookup'!$G$14:$J$20,2,TRUE)</f>
        <v>T2</v>
      </c>
      <c r="BC65" s="46">
        <f ca="1">_xlfn.IFNA(VLOOKUP(VLOOKUP($C65,'RC Lookup'!$O$3:$P$50,2,FALSE),'RC Lookup'!$H$14:$J$23,2,FALSE),0)*AW65</f>
        <v>86.810176674271105</v>
      </c>
      <c r="BD65" s="6">
        <f ca="1">_xlfn.IFNA(VLOOKUP(SUMPRODUCT(LARGE(($C$8:$C65=Table1[[#This Row],[Climber]])*$A$8:$A65,1)),$A$8:$BC65,55,FALSE),0)/LEFT($AX$7,FIND(" ",$AX$7))+_xlfn.IFNA(VLOOKUP(SUMPRODUCT(LARGE(($C$8:$C65=Table1[[#This Row],[Climber]])*$A$8:$A65,MIN(2,COUNTIFS($C$8:$C65,$C65)))),$A$8:$BC65,55,FALSE),0)/LEFT($AX$7,FIND(" ",$AX$7))+_xlfn.IFNA(VLOOKUP(SUMPRODUCT(LARGE(($C$8:$C65=Table1[[#This Row],[Climber]])*$A$8:$A65,MIN(3,COUNTIFS($C$8:$C65,$C65)))),$A$8:$BC65,55,FALSE),0)/LEFT($AX$7,FIND(" ",$AX$7))</f>
        <v>85.17517041415914</v>
      </c>
      <c r="BE65" s="6">
        <f ca="1">(_xlfn.IFNA(VLOOKUP(SUMPRODUCT(LARGE(($C$8:$C65=Table1[[#This Row],[Climber]])*$A$8:$A65,4)),$A$8:$BD65,55,FALSE),0)+_xlfn.IFNA(VLOOKUP(SUMPRODUCT(LARGE(($C$8:$C65=Table1[[#This Row],[Climber]])*$A$8:$A65,5)),$A$8:$BD65,55,FALSE),0)+_xlfn.IFNA(VLOOKUP(SUMPRODUCT(LARGE(($C$8:$C65=Table1[[#This Row],[Climber]])*$A$8:$A65,6)),$A$8:$BD65,55,FALSE),0))/3</f>
        <v>62.149729782570603</v>
      </c>
      <c r="BF65" s="46">
        <f ca="1">_xlfn.MAXIFS(INDIRECT("$BC"&amp;IF(SUMPRODUCT(LARGE(($C$8:$C65=$C65)*$A$8:$A65,LEFT($BA$7,FIND(" ",$BA$7)-1)))=0,8,SUMPRODUCT(LARGE(($C$8:$C65=$C65)*$A$8:$A65,LEFT($BA$7,FIND(" ",$BA$7)-1)))+7)&amp;":$BC"&amp;ROW()),INDIRECT("$C"&amp;IF(SUMPRODUCT(LARGE(($C$8:$C65=$C65)*$A$8:$A65,LEFT($BA$7,FIND(" ",$BA$7)-1)))=0,8,SUMPRODUCT(LARGE(($C$8:$C65=$C65)*$A$8:$A65,LEFT($BA$7,FIND(" ",$BA$7)-1)))+7)&amp;":$C"&amp;ROW()),$C65)</f>
        <v>86.810176674271105</v>
      </c>
      <c r="BG65" s="46">
        <f t="array" aca="1" ref="BG65" ca="1">IFERROR(SUMPRODUCT(LARGE(($C$8:$C65=Table1[[#This Row],[Climber]])*$AW$8:$AW65,ROW(INDIRECT("1:5")))),AW65)/MIN(COUNTIFS($C$8:$C65,C65),5)</f>
        <v>66.359562195997754</v>
      </c>
    </row>
    <row r="66" spans="1:59" x14ac:dyDescent="0.3">
      <c r="A66" s="125">
        <f t="shared" si="1"/>
        <v>59</v>
      </c>
      <c r="B66" s="25">
        <f>'Rock Climbing Log'!B66</f>
        <v>43159</v>
      </c>
      <c r="C66" s="126" t="str">
        <f>'Rock Climbing Log'!C66</f>
        <v>Jan</v>
      </c>
      <c r="D66" s="26">
        <f>_xlfn.IFNA(IF(LEFT('Rock Climbing Log'!D66)="C",_xlfn.IFNA(VLOOKUP('Rock Climbing Log'!D66,'RC Lookup'!$A$3:$B$9,2,FALSE),0.5),VLOOKUP('Rock Climbing Log'!D66,'RC Lookup'!$G$3:$H$5,2,FALSE)),0)*VLOOKUP(D$7,'RC Lookup'!$D$3:$E$18,2,FALSE)</f>
        <v>0</v>
      </c>
      <c r="E66" s="26">
        <f>_xlfn.IFNA(IF(LEFT('Rock Climbing Log'!E66)="C",_xlfn.IFNA(VLOOKUP('Rock Climbing Log'!E66,'RC Lookup'!$A$3:$B$9,2,FALSE),0.5),VLOOKUP('Rock Climbing Log'!E66,'RC Lookup'!$G$3:$H$5,2,FALSE)),0)*VLOOKUP(D$7,'RC Lookup'!$D$3:$E$18,2,FALSE)</f>
        <v>0</v>
      </c>
      <c r="F66" s="26">
        <f>_xlfn.IFNA(IF(LEFT('Rock Climbing Log'!F66)="C",_xlfn.IFNA(VLOOKUP('Rock Climbing Log'!F66,'RC Lookup'!$A$3:$B$9,2,FALSE),0.5),VLOOKUP('Rock Climbing Log'!F66,'RC Lookup'!$G$3:$H$5,2,FALSE)),0)*VLOOKUP(D$7,'RC Lookup'!$D$3:$E$18,2,FALSE)</f>
        <v>0</v>
      </c>
      <c r="G66" s="26">
        <f>_xlfn.IFNA(IF(LEFT('Rock Climbing Log'!G66)="C",_xlfn.IFNA(VLOOKUP('Rock Climbing Log'!G66,'RC Lookup'!$A$3:$B$9,2,FALSE),0.5),VLOOKUP('Rock Climbing Log'!G66,'RC Lookup'!$G$3:$H$5,2,FALSE)),0)*VLOOKUP(G$7,'RC Lookup'!$D$3:$E$18,2,FALSE)</f>
        <v>12.5</v>
      </c>
      <c r="H66" s="26">
        <f>_xlfn.IFNA(IF(LEFT('Rock Climbing Log'!H66)="C",_xlfn.IFNA(VLOOKUP('Rock Climbing Log'!H66,'RC Lookup'!$A$3:$B$9,2,FALSE),0.5),VLOOKUP('Rock Climbing Log'!H66,'RC Lookup'!$G$3:$H$5,2,FALSE)),0)*VLOOKUP(G$7,'RC Lookup'!$D$3:$E$18,2,FALSE)</f>
        <v>0</v>
      </c>
      <c r="I66" s="26">
        <f>_xlfn.IFNA(IF(LEFT('Rock Climbing Log'!I66)="C",_xlfn.IFNA(VLOOKUP('Rock Climbing Log'!I66,'RC Lookup'!$A$3:$B$9,2,FALSE),0.5),VLOOKUP('Rock Climbing Log'!I66,'RC Lookup'!$G$3:$H$5,2,FALSE)),0)*VLOOKUP(G$7,'RC Lookup'!$D$3:$E$18,2,FALSE)</f>
        <v>0</v>
      </c>
      <c r="J66" s="26">
        <f>_xlfn.IFNA(IF(LEFT('Rock Climbing Log'!J66)="C",_xlfn.IFNA(VLOOKUP('Rock Climbing Log'!J66,'RC Lookup'!$A$3:$B$9,2,FALSE),0.5),VLOOKUP('Rock Climbing Log'!J66,'RC Lookup'!$G$3:$H$5,2,FALSE)),0)*VLOOKUP(J$7,'RC Lookup'!$D$3:$E$18,2,FALSE)</f>
        <v>15.75</v>
      </c>
      <c r="K66" s="26">
        <f>_xlfn.IFNA(IF(LEFT('Rock Climbing Log'!K66)="C",_xlfn.IFNA(VLOOKUP('Rock Climbing Log'!K66,'RC Lookup'!$A$3:$B$9,2,FALSE),0.5),VLOOKUP('Rock Climbing Log'!K66,'RC Lookup'!$G$3:$H$5,2,FALSE)),0)*VLOOKUP(J$7,'RC Lookup'!$D$3:$E$18,2,FALSE)</f>
        <v>0</v>
      </c>
      <c r="L66" s="26">
        <f>_xlfn.IFNA(IF(LEFT('Rock Climbing Log'!L66)="C",_xlfn.IFNA(VLOOKUP('Rock Climbing Log'!L66,'RC Lookup'!$A$3:$B$9,2,FALSE),0.5),VLOOKUP('Rock Climbing Log'!L66,'RC Lookup'!$G$3:$H$5,2,FALSE)),0)*VLOOKUP(J$7,'RC Lookup'!$D$3:$E$18,2,FALSE)</f>
        <v>0</v>
      </c>
      <c r="M66" s="26">
        <f>_xlfn.IFNA(IF(LEFT('Rock Climbing Log'!M66)="C",_xlfn.IFNA(VLOOKUP('Rock Climbing Log'!M66,'RC Lookup'!$A$3:$B$9,2,FALSE),0.5),VLOOKUP('Rock Climbing Log'!M66,'RC Lookup'!$G$3:$H$5,2,FALSE)),0)*VLOOKUP(M$7,'RC Lookup'!$D$3:$E$18,2,FALSE)</f>
        <v>20.002500000000001</v>
      </c>
      <c r="N66" s="26">
        <f>_xlfn.IFNA(IF(LEFT('Rock Climbing Log'!N66)="C",_xlfn.IFNA(VLOOKUP('Rock Climbing Log'!N66,'RC Lookup'!$A$3:$B$9,2,FALSE),0.5),VLOOKUP('Rock Climbing Log'!N66,'RC Lookup'!$G$3:$H$5,2,FALSE)),0)*VLOOKUP(M$7,'RC Lookup'!$D$3:$E$18,2,FALSE)</f>
        <v>0</v>
      </c>
      <c r="O66" s="26">
        <f>_xlfn.IFNA(IF(LEFT('Rock Climbing Log'!O66)="C",_xlfn.IFNA(VLOOKUP('Rock Climbing Log'!O66,'RC Lookup'!$A$3:$B$9,2,FALSE),0.5),VLOOKUP('Rock Climbing Log'!O66,'RC Lookup'!$G$3:$H$5,2,FALSE)),0)*VLOOKUP(M$7,'RC Lookup'!$D$3:$E$18,2,FALSE)</f>
        <v>0</v>
      </c>
      <c r="P66" s="26">
        <f>_xlfn.IFNA(IF(LEFT('Rock Climbing Log'!P66)="C",_xlfn.IFNA(VLOOKUP('Rock Climbing Log'!P66,'RC Lookup'!$A$3:$B$9,2,FALSE),0.5),VLOOKUP('Rock Climbing Log'!P66,'RC Lookup'!$G$3:$H$5,2,FALSE)),0)*VLOOKUP(P$7,'RC Lookup'!$D$3:$E$18,2,FALSE)</f>
        <v>0</v>
      </c>
      <c r="Q66" s="26">
        <f>_xlfn.IFNA(IF(LEFT('Rock Climbing Log'!Q66)="C",_xlfn.IFNA(VLOOKUP('Rock Climbing Log'!Q66,'RC Lookup'!$A$3:$B$9,2,FALSE),0.5),VLOOKUP('Rock Climbing Log'!Q66,'RC Lookup'!$G$3:$H$5,2,FALSE)),0)*VLOOKUP(P$7,'RC Lookup'!$D$3:$E$18,2,FALSE)</f>
        <v>0</v>
      </c>
      <c r="R66" s="26">
        <f>_xlfn.IFNA(IF(LEFT('Rock Climbing Log'!R66)="C",_xlfn.IFNA(VLOOKUP('Rock Climbing Log'!R66,'RC Lookup'!$A$3:$B$9,2,FALSE),0.5),VLOOKUP('Rock Climbing Log'!R66,'RC Lookup'!$G$3:$H$5,2,FALSE)),0)*VLOOKUP(P$7,'RC Lookup'!$D$3:$E$18,2,FALSE)</f>
        <v>0</v>
      </c>
      <c r="S66" s="26">
        <f>_xlfn.IFNA(IF(LEFT('Rock Climbing Log'!S66)="C",_xlfn.IFNA(VLOOKUP('Rock Climbing Log'!S66,'RC Lookup'!$A$3:$B$9,2,FALSE),0.5),VLOOKUP('Rock Climbing Log'!S66,'RC Lookup'!$G$3:$H$5,2,FALSE)),0)*VLOOKUP(S$7,'RC Lookup'!$D$3:$E$18,2,FALSE)</f>
        <v>0</v>
      </c>
      <c r="T66" s="26">
        <f>_xlfn.IFNA(IF(LEFT('Rock Climbing Log'!T66)="C",_xlfn.IFNA(VLOOKUP('Rock Climbing Log'!T66,'RC Lookup'!$A$3:$B$9,2,FALSE),0.5),VLOOKUP('Rock Climbing Log'!T66,'RC Lookup'!$G$3:$H$5,2,FALSE)),0)*VLOOKUP(S$7,'RC Lookup'!$D$3:$E$18,2,FALSE)</f>
        <v>0</v>
      </c>
      <c r="U66" s="26">
        <f>_xlfn.IFNA(IF(LEFT('Rock Climbing Log'!U66)="C",_xlfn.IFNA(VLOOKUP('Rock Climbing Log'!U66,'RC Lookup'!$A$3:$B$9,2,FALSE),0.5),VLOOKUP('Rock Climbing Log'!U66,'RC Lookup'!$G$3:$H$5,2,FALSE)),0)*VLOOKUP(S$7,'RC Lookup'!$D$3:$E$18,2,FALSE)</f>
        <v>0</v>
      </c>
      <c r="V66" s="26">
        <f>_xlfn.IFNA(IF(LEFT('Rock Climbing Log'!V66)="C",_xlfn.IFNA(VLOOKUP('Rock Climbing Log'!V66,'RC Lookup'!$A$3:$B$9,2,FALSE),0.5),VLOOKUP('Rock Climbing Log'!V66,'RC Lookup'!$G$3:$H$5,2,FALSE)),0)*VLOOKUP(V$7,'RC Lookup'!$D$3:$E$18,2,FALSE)</f>
        <v>31.731071168160021</v>
      </c>
      <c r="W66" s="26">
        <f>_xlfn.IFNA(IF(LEFT('Rock Climbing Log'!W66)="C",_xlfn.IFNA(VLOOKUP('Rock Climbing Log'!W66,'RC Lookup'!$A$3:$B$9,2,FALSE),0.5),VLOOKUP('Rock Climbing Log'!W66,'RC Lookup'!$G$3:$H$5,2,FALSE)),0)*VLOOKUP(V$7,'RC Lookup'!$D$3:$E$18,2,FALSE)</f>
        <v>35.256745742400021</v>
      </c>
      <c r="X66" s="26">
        <f>_xlfn.IFNA(IF(LEFT('Rock Climbing Log'!X66)="C",_xlfn.IFNA(VLOOKUP('Rock Climbing Log'!X66,'RC Lookup'!$A$3:$B$9,2,FALSE),0.5),VLOOKUP('Rock Climbing Log'!X66,'RC Lookup'!$G$3:$H$5,2,FALSE)),0)*VLOOKUP(V$7,'RC Lookup'!$D$3:$E$18,2,FALSE)</f>
        <v>0</v>
      </c>
      <c r="Y66" s="26">
        <f>_xlfn.IFNA(IF(LEFT('Rock Climbing Log'!Y66)="C",_xlfn.IFNA(VLOOKUP('Rock Climbing Log'!Y66,'RC Lookup'!$A$3:$B$9,2,FALSE),0.5),VLOOKUP('Rock Climbing Log'!Y66,'RC Lookup'!$G$3:$H$5,2,FALSE)),0)*VLOOKUP(Y$7,'RC Lookup'!$D$3:$E$18,2,FALSE)</f>
        <v>0</v>
      </c>
      <c r="Z66" s="26">
        <f>_xlfn.IFNA(IF(LEFT('Rock Climbing Log'!Z66)="C",_xlfn.IFNA(VLOOKUP('Rock Climbing Log'!Z66,'RC Lookup'!$A$3:$B$9,2,FALSE),0.5),VLOOKUP('Rock Climbing Log'!Z66,'RC Lookup'!$G$3:$H$5,2,FALSE)),0)*VLOOKUP(Y$7,'RC Lookup'!$D$3:$E$18,2,FALSE)</f>
        <v>0</v>
      </c>
      <c r="AA66" s="26">
        <f>_xlfn.IFNA(IF(LEFT('Rock Climbing Log'!AA66)="C",_xlfn.IFNA(VLOOKUP('Rock Climbing Log'!AA66,'RC Lookup'!$A$3:$B$9,2,FALSE),0.5),VLOOKUP('Rock Climbing Log'!AA66,'RC Lookup'!$G$3:$H$5,2,FALSE)),0)*VLOOKUP(Y$7,'RC Lookup'!$D$3:$E$18,2,FALSE)</f>
        <v>0</v>
      </c>
      <c r="AB66" s="26">
        <f>_xlfn.IFNA(IF(LEFT('Rock Climbing Log'!AB66)="C",_xlfn.IFNA(VLOOKUP('Rock Climbing Log'!AB66,'RC Lookup'!$A$3:$B$9,2,FALSE),0.5),VLOOKUP('Rock Climbing Log'!AB66,'RC Lookup'!$G$3:$H$5,2,FALSE)),0)*VLOOKUP(AB$7,'RC Lookup'!$D$3:$E$18,2,FALSE)</f>
        <v>0</v>
      </c>
      <c r="AC66" s="26">
        <f>_xlfn.IFNA(IF(LEFT('Rock Climbing Log'!AC66)="C",_xlfn.IFNA(VLOOKUP('Rock Climbing Log'!AC66,'RC Lookup'!$A$3:$B$9,2,FALSE),0.5),VLOOKUP('Rock Climbing Log'!AC66,'RC Lookup'!$G$3:$H$5,2,FALSE)),0)*VLOOKUP(AB$7,'RC Lookup'!$D$3:$E$18,2,FALSE)</f>
        <v>0</v>
      </c>
      <c r="AD66" s="26">
        <f>_xlfn.IFNA(IF(LEFT('Rock Climbing Log'!AD66)="C",_xlfn.IFNA(VLOOKUP('Rock Climbing Log'!AD66,'RC Lookup'!$A$3:$B$9,2,FALSE),0.5),VLOOKUP('Rock Climbing Log'!AD66,'RC Lookup'!$G$3:$H$5,2,FALSE)),0)*VLOOKUP(AB$7,'RC Lookup'!$D$3:$E$18,2,FALSE)</f>
        <v>0</v>
      </c>
      <c r="AE66" s="26">
        <f>_xlfn.IFNA(IF(LEFT('Rock Climbing Log'!AE66)="C",_xlfn.IFNA(VLOOKUP('Rock Climbing Log'!AE66,'RC Lookup'!$A$3:$B$9,2,FALSE),0.5),VLOOKUP('Rock Climbing Log'!AE66,'RC Lookup'!$G$3:$H$5,2,FALSE)),0)*VLOOKUP(AE$7,'RC Lookup'!$D$3:$E$18,2,FALSE)</f>
        <v>33.933835923466447</v>
      </c>
      <c r="AF66" s="26">
        <f>_xlfn.IFNA(IF(LEFT('Rock Climbing Log'!AF66)="C",_xlfn.IFNA(VLOOKUP('Rock Climbing Log'!AF66,'RC Lookup'!$A$3:$B$9,2,FALSE),0.5),VLOOKUP('Rock Climbing Log'!AF66,'RC Lookup'!$G$3:$H$5,2,FALSE)),0)*VLOOKUP(AE$7,'RC Lookup'!$D$3:$E$18,2,FALSE)</f>
        <v>0</v>
      </c>
      <c r="AG66" s="26">
        <f>_xlfn.IFNA(IF(LEFT('Rock Climbing Log'!AG66)="C",_xlfn.IFNA(VLOOKUP('Rock Climbing Log'!AG66,'RC Lookup'!$A$3:$B$9,2,FALSE),0.5),VLOOKUP('Rock Climbing Log'!AG66,'RC Lookup'!$G$3:$H$5,2,FALSE)),0)*VLOOKUP(AE$7,'RC Lookup'!$D$3:$E$18,2,FALSE)</f>
        <v>0</v>
      </c>
      <c r="AH66" s="26">
        <f>_xlfn.IFNA(IF(LEFT('Rock Climbing Log'!AH66)="C",_xlfn.IFNA(VLOOKUP('Rock Climbing Log'!AH66,'RC Lookup'!$A$3:$B$9,2,FALSE),0.5),VLOOKUP('Rock Climbing Log'!AH66,'RC Lookup'!$G$3:$H$5,2,FALSE)),0)*VLOOKUP(AH$7,'RC Lookup'!$D$3:$E$18,2,FALSE)</f>
        <v>0</v>
      </c>
      <c r="AI66" s="26">
        <f>_xlfn.IFNA(IF(LEFT('Rock Climbing Log'!AI66)="C",_xlfn.IFNA(VLOOKUP('Rock Climbing Log'!AI66,'RC Lookup'!$A$3:$B$9,2,FALSE),0.5),VLOOKUP('Rock Climbing Log'!AI66,'RC Lookup'!$G$3:$H$5,2,FALSE)),0)*VLOOKUP(AH$7,'RC Lookup'!$D$3:$E$18,2,FALSE)</f>
        <v>0</v>
      </c>
      <c r="AJ66" s="26">
        <f>_xlfn.IFNA(IF(LEFT('Rock Climbing Log'!AJ66)="C",_xlfn.IFNA(VLOOKUP('Rock Climbing Log'!AJ66,'RC Lookup'!$A$3:$B$9,2,FALSE),0.5),VLOOKUP('Rock Climbing Log'!AJ66,'RC Lookup'!$G$3:$H$5,2,FALSE)),0)*VLOOKUP(AH$7,'RC Lookup'!$D$3:$E$18,2,FALSE)</f>
        <v>0</v>
      </c>
      <c r="AK66" s="26">
        <f>_xlfn.IFNA(IF(LEFT('Rock Climbing Log'!AK66)="C",_xlfn.IFNA(VLOOKUP('Rock Climbing Log'!AK66,'RC Lookup'!$A$3:$B$9,2,FALSE),0.5),VLOOKUP('Rock Climbing Log'!AK66,'RC Lookup'!$G$3:$H$5,2,FALSE)),0)*VLOOKUP(AK$7,'RC Lookup'!$D$3:$E$18,2,FALSE)</f>
        <v>0</v>
      </c>
      <c r="AL66" s="26">
        <f>_xlfn.IFNA(IF(LEFT('Rock Climbing Log'!AL66)="C",_xlfn.IFNA(VLOOKUP('Rock Climbing Log'!AL66,'RC Lookup'!$A$3:$B$9,2,FALSE),0.5),VLOOKUP('Rock Climbing Log'!AL66,'RC Lookup'!$G$3:$H$5,2,FALSE)),0)*VLOOKUP(AK$7,'RC Lookup'!$D$3:$E$18,2,FALSE)</f>
        <v>0</v>
      </c>
      <c r="AM66" s="26">
        <f>_xlfn.IFNA(IF(LEFT('Rock Climbing Log'!AM66)="C",_xlfn.IFNA(VLOOKUP('Rock Climbing Log'!AM66,'RC Lookup'!$A$3:$B$9,2,FALSE),0.5),VLOOKUP('Rock Climbing Log'!AM66,'RC Lookup'!$G$3:$H$5,2,FALSE)),0)*VLOOKUP(AK$7,'RC Lookup'!$D$3:$E$18,2,FALSE)</f>
        <v>0</v>
      </c>
      <c r="AN66" s="26">
        <f>_xlfn.IFNA(IF(LEFT('Rock Climbing Log'!AN66)="C",_xlfn.IFNA(VLOOKUP('Rock Climbing Log'!AN66,'RC Lookup'!$A$3:$B$9,2,FALSE),0.5),VLOOKUP('Rock Climbing Log'!AN66,'RC Lookup'!$G$3:$H$5,2,FALSE)),0)*VLOOKUP(AN$7,'RC Lookup'!$D$3:$E$18,2,FALSE)</f>
        <v>0</v>
      </c>
      <c r="AO66" s="26">
        <f>_xlfn.IFNA(IF(LEFT('Rock Climbing Log'!AO66)="C",_xlfn.IFNA(VLOOKUP('Rock Climbing Log'!AO66,'RC Lookup'!$A$3:$B$9,2,FALSE),0.5),VLOOKUP('Rock Climbing Log'!AO66,'RC Lookup'!$G$3:$H$5,2,FALSE)),0)*VLOOKUP(AN$7,'RC Lookup'!$D$3:$E$18,2,FALSE)</f>
        <v>0</v>
      </c>
      <c r="AP66" s="26">
        <f>_xlfn.IFNA(IF(LEFT('Rock Climbing Log'!AP66)="C",_xlfn.IFNA(VLOOKUP('Rock Climbing Log'!AP66,'RC Lookup'!$A$3:$B$9,2,FALSE),0.5),VLOOKUP('Rock Climbing Log'!AP66,'RC Lookup'!$G$3:$H$5,2,FALSE)),0)*VLOOKUP(AN$7,'RC Lookup'!$D$3:$E$18,2,FALSE)</f>
        <v>0</v>
      </c>
      <c r="AQ66" s="26">
        <f>_xlfn.IFNA(IF(LEFT('Rock Climbing Log'!AQ66)="C",_xlfn.IFNA(VLOOKUP('Rock Climbing Log'!AQ66,'RC Lookup'!$A$3:$B$9,2,FALSE),0.5),VLOOKUP('Rock Climbing Log'!AQ66,'RC Lookup'!$G$3:$H$5,2,FALSE)),0)*VLOOKUP(AQ$7,'RC Lookup'!$D$3:$E$18,2,FALSE)</f>
        <v>0</v>
      </c>
      <c r="AR66" s="26">
        <f>_xlfn.IFNA(IF(LEFT('Rock Climbing Log'!AR66)="C",_xlfn.IFNA(VLOOKUP('Rock Climbing Log'!AR66,'RC Lookup'!$A$3:$B$9,2,FALSE),0.5),VLOOKUP('Rock Climbing Log'!AR66,'RC Lookup'!$G$3:$H$5,2,FALSE)),0)*VLOOKUP(AQ$7,'RC Lookup'!$D$3:$E$18,2,FALSE)</f>
        <v>0</v>
      </c>
      <c r="AS66" s="26">
        <f>_xlfn.IFNA(IF(LEFT('Rock Climbing Log'!AS66)="C",_xlfn.IFNA(VLOOKUP('Rock Climbing Log'!AS66,'RC Lookup'!$A$3:$B$9,2,FALSE),0.5),VLOOKUP('Rock Climbing Log'!AS66,'RC Lookup'!$G$3:$H$5,2,FALSE)),0)*VLOOKUP(AQ$7,'RC Lookup'!$D$3:$E$18,2,FALSE)</f>
        <v>0</v>
      </c>
      <c r="AT66" s="26">
        <f>_xlfn.IFNA(IF(LEFT('Rock Climbing Log'!AT66)="C",_xlfn.IFNA(VLOOKUP('Rock Climbing Log'!AT66,'RC Lookup'!$A$3:$B$9,2,FALSE),0.5),VLOOKUP('Rock Climbing Log'!AT66,'RC Lookup'!$G$3:$H$5,2,FALSE)),0)*VLOOKUP(AT$7,'RC Lookup'!$D$3:$E$18,2,FALSE)</f>
        <v>0</v>
      </c>
      <c r="AU66" s="26">
        <f>_xlfn.IFNA(IF(LEFT('Rock Climbing Log'!AU66)="C",_xlfn.IFNA(VLOOKUP('Rock Climbing Log'!AU66,'RC Lookup'!$A$3:$B$9,2,FALSE),0.5),VLOOKUP('Rock Climbing Log'!AU66,'RC Lookup'!$G$3:$H$5,2,FALSE)),0)*VLOOKUP(AT$7,'RC Lookup'!$D$3:$E$18,2,FALSE)</f>
        <v>0</v>
      </c>
      <c r="AV66" s="26">
        <f>_xlfn.IFNA(IF(LEFT('Rock Climbing Log'!AV66)="C",_xlfn.IFNA(VLOOKUP('Rock Climbing Log'!AV66,'RC Lookup'!$A$3:$B$9,2,FALSE),0.5),VLOOKUP('Rock Climbing Log'!AV66,'RC Lookup'!$G$3:$H$5,2,FALSE)),0)*VLOOKUP(AT$7,'RC Lookup'!$D$3:$E$18,2,FALSE)</f>
        <v>0</v>
      </c>
      <c r="AW66" s="30">
        <f t="shared" ca="1" si="2"/>
        <v>100.92165283402647</v>
      </c>
      <c r="AX66" s="30">
        <f ca="1">_xlfn.IFNA(VLOOKUP(SUMPRODUCT(LARGE(($C$8:$C66=Table1[[#This Row],[Climber]])*$A$8:$A66,1)),$A$8:$AW66,MATCH($AW$7,$A$7:$AW$7,FALSE),FALSE),0)/LEFT($AX$7,FIND(" ",$AX$7))+_xlfn.IFNA(VLOOKUP(SUMPRODUCT(LARGE(($C$8:$C66=Table1[[#This Row],[Climber]])*$A$8:$A66,MIN(2,COUNTIFS($C$8:$C66,$C66)))),$A$8:$AW66,MATCH($AW$7,$A$7:$AW$7,FALSE),FALSE),0)/LEFT($AX$7,FIND(" ",$AX$7))+_xlfn.IFNA(VLOOKUP(SUMPRODUCT(LARGE(($C$8:$C66=Table1[[#This Row],[Climber]])*$A$8:$A66,MIN(3,COUNTIFS($C$8:$C66,$C66)))),$A$8:$AW66,MATCH($AW$7,$A$7:$AW$7,FALSE),FALSE),0)/LEFT($AX$7,FIND(" ",$AX$7))</f>
        <v>92.567045267875514</v>
      </c>
      <c r="AY66" s="30">
        <f ca="1">_xlfn.IFNA(VLOOKUP(SUMPRODUCT(LARGE(($C$8:$C66=Table1[[#This Row],[Climber]])*$A$8:$A66,1)),$A$8:$AW66,MATCH($AW$7,$A$7:$AW$7,FALSE),FALSE),0)/LEFT($AY$7,FIND(" ",$AY$7))+_xlfn.IFNA(VLOOKUP(SUMPRODUCT(LARGE(($C$8:$C66=Table1[[#This Row],[Climber]])*$A$8:$A66,MIN(2,COUNTIFS($C$8:$C66,$C66)))),$A$8:$AW66,MATCH($AW$7,$A$7:$AW$7,FALSE),FALSE),0)/LEFT($AY$7,FIND(" ",$AY$7))+_xlfn.IFNA(VLOOKUP(SUMPRODUCT(LARGE(($C$8:$C66=Table1[[#This Row],[Climber]])*$A$8:$A66,MIN(3,COUNTIFS($C$8:$C66,$C66)))),$A$8:$AW66,MATCH($AW$7,$A$7:$AW$7,FALSE),FALSE),0)/LEFT($AY$7,FIND(" ",$AY$7))+_xlfn.IFNA(VLOOKUP(SUMPRODUCT(LARGE(($C$8:$C66=Table1[[#This Row],[Climber]])*$A$8:$A66,MIN(4,COUNTIFS($C$8:$C66,$C66)))),$A$8:$AW66,MATCH($AW$7,$A$7:$AW$7,FALSE),FALSE),0)/LEFT($AY$7,FIND(" ",$AY$7))+_xlfn.IFNA(VLOOKUP(SUMPRODUCT(LARGE(($C$8:$C66=Table1[[#This Row],[Climber]])*$A$8:$A66,MIN(5,COUNTIFS($C$8:$C66,$C66)))),$A$8:$AW66,MATCH($AW$7,$A$7:$AW$7,FALSE),FALSE),0)/LEFT($AY$7,FIND(" ",$AY$7))</f>
        <v>85.075508908725325</v>
      </c>
      <c r="AZ66" s="30">
        <f ca="1">(_xlfn.IFNA(VLOOKUP(SUMPRODUCT(LARGE(($C$8:$C66=Table1[[#This Row],[Climber]])*$A$8:$A66,4)),$A$8:$AW66,MATCH($AW$7,$A$7:$AW$7,FALSE),FALSE),0)+_xlfn.IFNA(VLOOKUP(SUMPRODUCT(LARGE(($C$8:$C66=Table1[[#This Row],[Climber]])*$A$8:$A66,5)),$A$8:$AW66,MATCH($AW$7,$A$7:$AW$7,FALSE),FALSE),0)+_xlfn.IFNA(VLOOKUP(SUMPRODUCT(LARGE(($C$8:$C66=Table1[[#This Row],[Climber]])*$A$8:$A66,6)),$A$8:$AW66,MATCH($AW$7,$A$7:$AW$7,FALSE),FALSE),0))/3</f>
        <v>65.309636246666685</v>
      </c>
      <c r="BA66" s="46">
        <f ca="1">_xlfn.MAXIFS(INDIRECT("$AW"&amp;IF(SUMPRODUCT(LARGE(($C$8:$C66=$C66)*$A$8:$A66,LEFT($BA$7,FIND(" ",$BA$7)-1)))=0,8,SUMPRODUCT(LARGE(($C$8:$C66=$C66)*$A$8:$A66,LEFT($BA$7,FIND(" ",$BA$7)-1)))+7)&amp;":$AW"&amp;ROW()),INDIRECT("$C"&amp;IF(SUMPRODUCT(LARGE(($C$8:$C66=$C66)*$A$8:$A66,LEFT($BA$7,FIND(" ",$BA$7)-1)))=0,8,SUMPRODUCT(LARGE(($C$8:$C66=$C66)*$A$8:$A66,LEFT($BA$7,FIND(" ",$BA$7)-1)))+7)&amp;":$C"&amp;ROW()),$C66)</f>
        <v>100.92165283402647</v>
      </c>
      <c r="BB66" s="46" t="str">
        <f ca="1">VLOOKUP(MAX(BG66,$AX66),'RC Lookup'!$G$14:$J$20,2,TRUE)</f>
        <v>T3</v>
      </c>
      <c r="BC66" s="46">
        <f ca="1">_xlfn.IFNA(VLOOKUP(VLOOKUP($C66,'RC Lookup'!$O$3:$P$50,2,FALSE),'RC Lookup'!$H$14:$J$23,2,FALSE),0)*AW66</f>
        <v>77.447993073593068</v>
      </c>
      <c r="BD66" s="6">
        <f ca="1">_xlfn.IFNA(VLOOKUP(SUMPRODUCT(LARGE(($C$8:$C66=Table1[[#This Row],[Climber]])*$A$8:$A66,1)),$A$8:$BC66,55,FALSE),0)/LEFT($AX$7,FIND(" ",$AX$7))+_xlfn.IFNA(VLOOKUP(SUMPRODUCT(LARGE(($C$8:$C66=Table1[[#This Row],[Climber]])*$A$8:$A66,MIN(2,COUNTIFS($C$8:$C66,$C66)))),$A$8:$BC66,55,FALSE),0)/LEFT($AX$7,FIND(" ",$AX$7))+_xlfn.IFNA(VLOOKUP(SUMPRODUCT(LARGE(($C$8:$C66=Table1[[#This Row],[Climber]])*$A$8:$A66,MIN(3,COUNTIFS($C$8:$C66,$C66)))),$A$8:$BC66,55,FALSE),0)/LEFT($AX$7,FIND(" ",$AX$7))</f>
        <v>71.0366078976094</v>
      </c>
      <c r="BE66" s="6">
        <f ca="1">(_xlfn.IFNA(VLOOKUP(SUMPRODUCT(LARGE(($C$8:$C66=Table1[[#This Row],[Climber]])*$A$8:$A66,4)),$A$8:$BD66,55,FALSE),0)+_xlfn.IFNA(VLOOKUP(SUMPRODUCT(LARGE(($C$8:$C66=Table1[[#This Row],[Climber]])*$A$8:$A66,5)),$A$8:$BD66,55,FALSE),0)+_xlfn.IFNA(VLOOKUP(SUMPRODUCT(LARGE(($C$8:$C66=Table1[[#This Row],[Climber]])*$A$8:$A66,6)),$A$8:$BD66,55,FALSE),0))/3</f>
        <v>50.11907864796035</v>
      </c>
      <c r="BF66" s="46">
        <f ca="1">_xlfn.MAXIFS(INDIRECT("$BC"&amp;IF(SUMPRODUCT(LARGE(($C$8:$C66=$C66)*$A$8:$A66,LEFT($BA$7,FIND(" ",$BA$7)-1)))=0,8,SUMPRODUCT(LARGE(($C$8:$C66=$C66)*$A$8:$A66,LEFT($BA$7,FIND(" ",$BA$7)-1)))+7)&amp;":$BC"&amp;ROW()),INDIRECT("$C"&amp;IF(SUMPRODUCT(LARGE(($C$8:$C66=$C66)*$A$8:$A66,LEFT($BA$7,FIND(" ",$BA$7)-1)))=0,8,SUMPRODUCT(LARGE(($C$8:$C66=$C66)*$A$8:$A66,LEFT($BA$7,FIND(" ",$BA$7)-1)))+7)&amp;":$C"&amp;ROW()),$C66)</f>
        <v>77.447993073593068</v>
      </c>
      <c r="BG66" s="46">
        <f t="array" aca="1" ref="BG66" ca="1">IFERROR(SUMPRODUCT(LARGE(($C$8:$C66=Table1[[#This Row],[Climber]])*$AW$8:$AW66,ROW(INDIRECT("1:5")))),AW66)/MIN(COUNTIFS($C$8:$C66,C66),5)</f>
        <v>85.686151718994125</v>
      </c>
    </row>
    <row r="67" spans="1:59" x14ac:dyDescent="0.3">
      <c r="A67" s="125">
        <f t="shared" si="1"/>
        <v>60</v>
      </c>
      <c r="B67" s="25">
        <f>'Rock Climbing Log'!B67</f>
        <v>43159</v>
      </c>
      <c r="C67" s="126" t="str">
        <f>'Rock Climbing Log'!C67</f>
        <v>Lester</v>
      </c>
      <c r="D67" s="26">
        <f>_xlfn.IFNA(IF(LEFT('Rock Climbing Log'!D67)="C",_xlfn.IFNA(VLOOKUP('Rock Climbing Log'!D67,'RC Lookup'!$A$3:$B$9,2,FALSE),0.5),VLOOKUP('Rock Climbing Log'!D67,'RC Lookup'!$G$3:$H$5,2,FALSE)),0)*VLOOKUP(D$7,'RC Lookup'!$D$3:$E$18,2,FALSE)</f>
        <v>0</v>
      </c>
      <c r="E67" s="26">
        <f>_xlfn.IFNA(IF(LEFT('Rock Climbing Log'!E67)="C",_xlfn.IFNA(VLOOKUP('Rock Climbing Log'!E67,'RC Lookup'!$A$3:$B$9,2,FALSE),0.5),VLOOKUP('Rock Climbing Log'!E67,'RC Lookup'!$G$3:$H$5,2,FALSE)),0)*VLOOKUP(D$7,'RC Lookup'!$D$3:$E$18,2,FALSE)</f>
        <v>0</v>
      </c>
      <c r="F67" s="26">
        <f>_xlfn.IFNA(IF(LEFT('Rock Climbing Log'!F67)="C",_xlfn.IFNA(VLOOKUP('Rock Climbing Log'!F67,'RC Lookup'!$A$3:$B$9,2,FALSE),0.5),VLOOKUP('Rock Climbing Log'!F67,'RC Lookup'!$G$3:$H$5,2,FALSE)),0)*VLOOKUP(D$7,'RC Lookup'!$D$3:$E$18,2,FALSE)</f>
        <v>0</v>
      </c>
      <c r="G67" s="26">
        <f>_xlfn.IFNA(IF(LEFT('Rock Climbing Log'!G67)="C",_xlfn.IFNA(VLOOKUP('Rock Climbing Log'!G67,'RC Lookup'!$A$3:$B$9,2,FALSE),0.5),VLOOKUP('Rock Climbing Log'!G67,'RC Lookup'!$G$3:$H$5,2,FALSE)),0)*VLOOKUP(G$7,'RC Lookup'!$D$3:$E$18,2,FALSE)</f>
        <v>0</v>
      </c>
      <c r="H67" s="26">
        <f>_xlfn.IFNA(IF(LEFT('Rock Climbing Log'!H67)="C",_xlfn.IFNA(VLOOKUP('Rock Climbing Log'!H67,'RC Lookup'!$A$3:$B$9,2,FALSE),0.5),VLOOKUP('Rock Climbing Log'!H67,'RC Lookup'!$G$3:$H$5,2,FALSE)),0)*VLOOKUP(G$7,'RC Lookup'!$D$3:$E$18,2,FALSE)</f>
        <v>0</v>
      </c>
      <c r="I67" s="26">
        <f>_xlfn.IFNA(IF(LEFT('Rock Climbing Log'!I67)="C",_xlfn.IFNA(VLOOKUP('Rock Climbing Log'!I67,'RC Lookup'!$A$3:$B$9,2,FALSE),0.5),VLOOKUP('Rock Climbing Log'!I67,'RC Lookup'!$G$3:$H$5,2,FALSE)),0)*VLOOKUP(G$7,'RC Lookup'!$D$3:$E$18,2,FALSE)</f>
        <v>0</v>
      </c>
      <c r="J67" s="26">
        <f>_xlfn.IFNA(IF(LEFT('Rock Climbing Log'!J67)="C",_xlfn.IFNA(VLOOKUP('Rock Climbing Log'!J67,'RC Lookup'!$A$3:$B$9,2,FALSE),0.5),VLOOKUP('Rock Climbing Log'!J67,'RC Lookup'!$G$3:$H$5,2,FALSE)),0)*VLOOKUP(J$7,'RC Lookup'!$D$3:$E$18,2,FALSE)</f>
        <v>0</v>
      </c>
      <c r="K67" s="26">
        <f>_xlfn.IFNA(IF(LEFT('Rock Climbing Log'!K67)="C",_xlfn.IFNA(VLOOKUP('Rock Climbing Log'!K67,'RC Lookup'!$A$3:$B$9,2,FALSE),0.5),VLOOKUP('Rock Climbing Log'!K67,'RC Lookup'!$G$3:$H$5,2,FALSE)),0)*VLOOKUP(J$7,'RC Lookup'!$D$3:$E$18,2,FALSE)</f>
        <v>0</v>
      </c>
      <c r="L67" s="26">
        <f>_xlfn.IFNA(IF(LEFT('Rock Climbing Log'!L67)="C",_xlfn.IFNA(VLOOKUP('Rock Climbing Log'!L67,'RC Lookup'!$A$3:$B$9,2,FALSE),0.5),VLOOKUP('Rock Climbing Log'!L67,'RC Lookup'!$G$3:$H$5,2,FALSE)),0)*VLOOKUP(J$7,'RC Lookup'!$D$3:$E$18,2,FALSE)</f>
        <v>0</v>
      </c>
      <c r="M67" s="26">
        <f>_xlfn.IFNA(IF(LEFT('Rock Climbing Log'!M67)="C",_xlfn.IFNA(VLOOKUP('Rock Climbing Log'!M67,'RC Lookup'!$A$3:$B$9,2,FALSE),0.5),VLOOKUP('Rock Climbing Log'!M67,'RC Lookup'!$G$3:$H$5,2,FALSE)),0)*VLOOKUP(M$7,'RC Lookup'!$D$3:$E$18,2,FALSE)</f>
        <v>20.002500000000001</v>
      </c>
      <c r="N67" s="26">
        <f>_xlfn.IFNA(IF(LEFT('Rock Climbing Log'!N67)="C",_xlfn.IFNA(VLOOKUP('Rock Climbing Log'!N67,'RC Lookup'!$A$3:$B$9,2,FALSE),0.5),VLOOKUP('Rock Climbing Log'!N67,'RC Lookup'!$G$3:$H$5,2,FALSE)),0)*VLOOKUP(M$7,'RC Lookup'!$D$3:$E$18,2,FALSE)</f>
        <v>0</v>
      </c>
      <c r="O67" s="26">
        <f>_xlfn.IFNA(IF(LEFT('Rock Climbing Log'!O67)="C",_xlfn.IFNA(VLOOKUP('Rock Climbing Log'!O67,'RC Lookup'!$A$3:$B$9,2,FALSE),0.5),VLOOKUP('Rock Climbing Log'!O67,'RC Lookup'!$G$3:$H$5,2,FALSE)),0)*VLOOKUP(M$7,'RC Lookup'!$D$3:$E$18,2,FALSE)</f>
        <v>0</v>
      </c>
      <c r="P67" s="26">
        <f>_xlfn.IFNA(IF(LEFT('Rock Climbing Log'!P67)="C",_xlfn.IFNA(VLOOKUP('Rock Climbing Log'!P67,'RC Lookup'!$A$3:$B$9,2,FALSE),0.5),VLOOKUP('Rock Climbing Log'!P67,'RC Lookup'!$G$3:$H$5,2,FALSE)),0)*VLOOKUP(P$7,'RC Lookup'!$D$3:$E$18,2,FALSE)</f>
        <v>0</v>
      </c>
      <c r="Q67" s="26">
        <f>_xlfn.IFNA(IF(LEFT('Rock Climbing Log'!Q67)="C",_xlfn.IFNA(VLOOKUP('Rock Climbing Log'!Q67,'RC Lookup'!$A$3:$B$9,2,FALSE),0.5),VLOOKUP('Rock Climbing Log'!Q67,'RC Lookup'!$G$3:$H$5,2,FALSE)),0)*VLOOKUP(P$7,'RC Lookup'!$D$3:$E$18,2,FALSE)</f>
        <v>0</v>
      </c>
      <c r="R67" s="26">
        <f>_xlfn.IFNA(IF(LEFT('Rock Climbing Log'!R67)="C",_xlfn.IFNA(VLOOKUP('Rock Climbing Log'!R67,'RC Lookup'!$A$3:$B$9,2,FALSE),0.5),VLOOKUP('Rock Climbing Log'!R67,'RC Lookup'!$G$3:$H$5,2,FALSE)),0)*VLOOKUP(P$7,'RC Lookup'!$D$3:$E$18,2,FALSE)</f>
        <v>0</v>
      </c>
      <c r="S67" s="26">
        <f>_xlfn.IFNA(IF(LEFT('Rock Climbing Log'!S67)="C",_xlfn.IFNA(VLOOKUP('Rock Climbing Log'!S67,'RC Lookup'!$A$3:$B$9,2,FALSE),0.5),VLOOKUP('Rock Climbing Log'!S67,'RC Lookup'!$G$3:$H$5,2,FALSE)),0)*VLOOKUP(S$7,'RC Lookup'!$D$3:$E$18,2,FALSE)</f>
        <v>0</v>
      </c>
      <c r="T67" s="26">
        <f>_xlfn.IFNA(IF(LEFT('Rock Climbing Log'!T67)="C",_xlfn.IFNA(VLOOKUP('Rock Climbing Log'!T67,'RC Lookup'!$A$3:$B$9,2,FALSE),0.5),VLOOKUP('Rock Climbing Log'!T67,'RC Lookup'!$G$3:$H$5,2,FALSE)),0)*VLOOKUP(S$7,'RC Lookup'!$D$3:$E$18,2,FALSE)</f>
        <v>0</v>
      </c>
      <c r="U67" s="26">
        <f>_xlfn.IFNA(IF(LEFT('Rock Climbing Log'!U67)="C",_xlfn.IFNA(VLOOKUP('Rock Climbing Log'!U67,'RC Lookup'!$A$3:$B$9,2,FALSE),0.5),VLOOKUP('Rock Climbing Log'!U67,'RC Lookup'!$G$3:$H$5,2,FALSE)),0)*VLOOKUP(S$7,'RC Lookup'!$D$3:$E$18,2,FALSE)</f>
        <v>0</v>
      </c>
      <c r="V67" s="26">
        <f>_xlfn.IFNA(IF(LEFT('Rock Climbing Log'!V67)="C",_xlfn.IFNA(VLOOKUP('Rock Climbing Log'!V67,'RC Lookup'!$A$3:$B$9,2,FALSE),0.5),VLOOKUP('Rock Climbing Log'!V67,'RC Lookup'!$G$3:$H$5,2,FALSE)),0)*VLOOKUP(V$7,'RC Lookup'!$D$3:$E$18,2,FALSE)</f>
        <v>0</v>
      </c>
      <c r="W67" s="26">
        <f>_xlfn.IFNA(IF(LEFT('Rock Climbing Log'!W67)="C",_xlfn.IFNA(VLOOKUP('Rock Climbing Log'!W67,'RC Lookup'!$A$3:$B$9,2,FALSE),0.5),VLOOKUP('Rock Climbing Log'!W67,'RC Lookup'!$G$3:$H$5,2,FALSE)),0)*VLOOKUP(V$7,'RC Lookup'!$D$3:$E$18,2,FALSE)</f>
        <v>0</v>
      </c>
      <c r="X67" s="26">
        <f>_xlfn.IFNA(IF(LEFT('Rock Climbing Log'!X67)="C",_xlfn.IFNA(VLOOKUP('Rock Climbing Log'!X67,'RC Lookup'!$A$3:$B$9,2,FALSE),0.5),VLOOKUP('Rock Climbing Log'!X67,'RC Lookup'!$G$3:$H$5,2,FALSE)),0)*VLOOKUP(V$7,'RC Lookup'!$D$3:$E$18,2,FALSE)</f>
        <v>0</v>
      </c>
      <c r="Y67" s="26">
        <f>_xlfn.IFNA(IF(LEFT('Rock Climbing Log'!Y67)="C",_xlfn.IFNA(VLOOKUP('Rock Climbing Log'!Y67,'RC Lookup'!$A$3:$B$9,2,FALSE),0.5),VLOOKUP('Rock Climbing Log'!Y67,'RC Lookup'!$G$3:$H$5,2,FALSE)),0)*VLOOKUP(Y$7,'RC Lookup'!$D$3:$E$18,2,FALSE)</f>
        <v>0</v>
      </c>
      <c r="Z67" s="26">
        <f>_xlfn.IFNA(IF(LEFT('Rock Climbing Log'!Z67)="C",_xlfn.IFNA(VLOOKUP('Rock Climbing Log'!Z67,'RC Lookup'!$A$3:$B$9,2,FALSE),0.5),VLOOKUP('Rock Climbing Log'!Z67,'RC Lookup'!$G$3:$H$5,2,FALSE)),0)*VLOOKUP(Y$7,'RC Lookup'!$D$3:$E$18,2,FALSE)</f>
        <v>0</v>
      </c>
      <c r="AA67" s="26">
        <f>_xlfn.IFNA(IF(LEFT('Rock Climbing Log'!AA67)="C",_xlfn.IFNA(VLOOKUP('Rock Climbing Log'!AA67,'RC Lookup'!$A$3:$B$9,2,FALSE),0.5),VLOOKUP('Rock Climbing Log'!AA67,'RC Lookup'!$G$3:$H$5,2,FALSE)),0)*VLOOKUP(Y$7,'RC Lookup'!$D$3:$E$18,2,FALSE)</f>
        <v>0</v>
      </c>
      <c r="AB67" s="26">
        <f>_xlfn.IFNA(IF(LEFT('Rock Climbing Log'!AB67)="C",_xlfn.IFNA(VLOOKUP('Rock Climbing Log'!AB67,'RC Lookup'!$A$3:$B$9,2,FALSE),0.5),VLOOKUP('Rock Climbing Log'!AB67,'RC Lookup'!$G$3:$H$5,2,FALSE)),0)*VLOOKUP(AB$7,'RC Lookup'!$D$3:$E$18,2,FALSE)</f>
        <v>0</v>
      </c>
      <c r="AC67" s="26">
        <f>_xlfn.IFNA(IF(LEFT('Rock Climbing Log'!AC67)="C",_xlfn.IFNA(VLOOKUP('Rock Climbing Log'!AC67,'RC Lookup'!$A$3:$B$9,2,FALSE),0.5),VLOOKUP('Rock Climbing Log'!AC67,'RC Lookup'!$G$3:$H$5,2,FALSE)),0)*VLOOKUP(AB$7,'RC Lookup'!$D$3:$E$18,2,FALSE)</f>
        <v>0</v>
      </c>
      <c r="AD67" s="26">
        <f>_xlfn.IFNA(IF(LEFT('Rock Climbing Log'!AD67)="C",_xlfn.IFNA(VLOOKUP('Rock Climbing Log'!AD67,'RC Lookup'!$A$3:$B$9,2,FALSE),0.5),VLOOKUP('Rock Climbing Log'!AD67,'RC Lookup'!$G$3:$H$5,2,FALSE)),0)*VLOOKUP(AB$7,'RC Lookup'!$D$3:$E$18,2,FALSE)</f>
        <v>0</v>
      </c>
      <c r="AE67" s="26">
        <f>_xlfn.IFNA(IF(LEFT('Rock Climbing Log'!AE67)="C",_xlfn.IFNA(VLOOKUP('Rock Climbing Log'!AE67,'RC Lookup'!$A$3:$B$9,2,FALSE),0.5),VLOOKUP('Rock Climbing Log'!AE67,'RC Lookup'!$G$3:$H$5,2,FALSE)),0)*VLOOKUP(AE$7,'RC Lookup'!$D$3:$E$18,2,FALSE)</f>
        <v>67.867671846932893</v>
      </c>
      <c r="AF67" s="26">
        <f>_xlfn.IFNA(IF(LEFT('Rock Climbing Log'!AF67)="C",_xlfn.IFNA(VLOOKUP('Rock Climbing Log'!AF67,'RC Lookup'!$A$3:$B$9,2,FALSE),0.5),VLOOKUP('Rock Climbing Log'!AF67,'RC Lookup'!$G$3:$H$5,2,FALSE)),0)*VLOOKUP(AE$7,'RC Lookup'!$D$3:$E$18,2,FALSE)</f>
        <v>0</v>
      </c>
      <c r="AG67" s="26">
        <f>_xlfn.IFNA(IF(LEFT('Rock Climbing Log'!AG67)="C",_xlfn.IFNA(VLOOKUP('Rock Climbing Log'!AG67,'RC Lookup'!$A$3:$B$9,2,FALSE),0.5),VLOOKUP('Rock Climbing Log'!AG67,'RC Lookup'!$G$3:$H$5,2,FALSE)),0)*VLOOKUP(AE$7,'RC Lookup'!$D$3:$E$18,2,FALSE)</f>
        <v>0</v>
      </c>
      <c r="AH67" s="26">
        <f>_xlfn.IFNA(IF(LEFT('Rock Climbing Log'!AH67)="C",_xlfn.IFNA(VLOOKUP('Rock Climbing Log'!AH67,'RC Lookup'!$A$3:$B$9,2,FALSE),0.5),VLOOKUP('Rock Climbing Log'!AH67,'RC Lookup'!$G$3:$H$5,2,FALSE)),0)*VLOOKUP(AH$7,'RC Lookup'!$D$3:$E$18,2,FALSE)</f>
        <v>0</v>
      </c>
      <c r="AI67" s="26">
        <f>_xlfn.IFNA(IF(LEFT('Rock Climbing Log'!AI67)="C",_xlfn.IFNA(VLOOKUP('Rock Climbing Log'!AI67,'RC Lookup'!$A$3:$B$9,2,FALSE),0.5),VLOOKUP('Rock Climbing Log'!AI67,'RC Lookup'!$G$3:$H$5,2,FALSE)),0)*VLOOKUP(AH$7,'RC Lookup'!$D$3:$E$18,2,FALSE)</f>
        <v>0</v>
      </c>
      <c r="AJ67" s="26">
        <f>_xlfn.IFNA(IF(LEFT('Rock Climbing Log'!AJ67)="C",_xlfn.IFNA(VLOOKUP('Rock Climbing Log'!AJ67,'RC Lookup'!$A$3:$B$9,2,FALSE),0.5),VLOOKUP('Rock Climbing Log'!AJ67,'RC Lookup'!$G$3:$H$5,2,FALSE)),0)*VLOOKUP(AH$7,'RC Lookup'!$D$3:$E$18,2,FALSE)</f>
        <v>0</v>
      </c>
      <c r="AK67" s="26">
        <f>_xlfn.IFNA(IF(LEFT('Rock Climbing Log'!AK67)="C",_xlfn.IFNA(VLOOKUP('Rock Climbing Log'!AK67,'RC Lookup'!$A$3:$B$9,2,FALSE),0.5),VLOOKUP('Rock Climbing Log'!AK67,'RC Lookup'!$G$3:$H$5,2,FALSE)),0)*VLOOKUP(AK$7,'RC Lookup'!$D$3:$E$18,2,FALSE)</f>
        <v>110.15194611444596</v>
      </c>
      <c r="AL67" s="26">
        <f>_xlfn.IFNA(IF(LEFT('Rock Climbing Log'!AL67)="C",_xlfn.IFNA(VLOOKUP('Rock Climbing Log'!AL67,'RC Lookup'!$A$3:$B$9,2,FALSE),0.5),VLOOKUP('Rock Climbing Log'!AL67,'RC Lookup'!$G$3:$H$5,2,FALSE)),0)*VLOOKUP(AK$7,'RC Lookup'!$D$3:$E$18,2,FALSE)</f>
        <v>0</v>
      </c>
      <c r="AM67" s="26">
        <f>_xlfn.IFNA(IF(LEFT('Rock Climbing Log'!AM67)="C",_xlfn.IFNA(VLOOKUP('Rock Climbing Log'!AM67,'RC Lookup'!$A$3:$B$9,2,FALSE),0.5),VLOOKUP('Rock Climbing Log'!AM67,'RC Lookup'!$G$3:$H$5,2,FALSE)),0)*VLOOKUP(AK$7,'RC Lookup'!$D$3:$E$18,2,FALSE)</f>
        <v>0</v>
      </c>
      <c r="AN67" s="26">
        <f>_xlfn.IFNA(IF(LEFT('Rock Climbing Log'!AN67)="C",_xlfn.IFNA(VLOOKUP('Rock Climbing Log'!AN67,'RC Lookup'!$A$3:$B$9,2,FALSE),0.5),VLOOKUP('Rock Climbing Log'!AN67,'RC Lookup'!$G$3:$H$5,2,FALSE)),0)*VLOOKUP(AN$7,'RC Lookup'!$D$3:$E$18,2,FALSE)</f>
        <v>115.27621464769001</v>
      </c>
      <c r="AO67" s="26">
        <f>_xlfn.IFNA(IF(LEFT('Rock Climbing Log'!AO67)="C",_xlfn.IFNA(VLOOKUP('Rock Climbing Log'!AO67,'RC Lookup'!$A$3:$B$9,2,FALSE),0.5),VLOOKUP('Rock Climbing Log'!AO67,'RC Lookup'!$G$3:$H$5,2,FALSE)),0)*VLOOKUP(AN$7,'RC Lookup'!$D$3:$E$18,2,FALSE)</f>
        <v>0</v>
      </c>
      <c r="AP67" s="26">
        <f>_xlfn.IFNA(IF(LEFT('Rock Climbing Log'!AP67)="C",_xlfn.IFNA(VLOOKUP('Rock Climbing Log'!AP67,'RC Lookup'!$A$3:$B$9,2,FALSE),0.5),VLOOKUP('Rock Climbing Log'!AP67,'RC Lookup'!$G$3:$H$5,2,FALSE)),0)*VLOOKUP(AN$7,'RC Lookup'!$D$3:$E$18,2,FALSE)</f>
        <v>0</v>
      </c>
      <c r="AQ67" s="26">
        <f>_xlfn.IFNA(IF(LEFT('Rock Climbing Log'!AQ67)="C",_xlfn.IFNA(VLOOKUP('Rock Climbing Log'!AQ67,'RC Lookup'!$A$3:$B$9,2,FALSE),0.5),VLOOKUP('Rock Climbing Log'!AQ67,'RC Lookup'!$G$3:$H$5,2,FALSE)),0)*VLOOKUP(AQ$7,'RC Lookup'!$D$3:$E$18,2,FALSE)</f>
        <v>0</v>
      </c>
      <c r="AR67" s="26">
        <f>_xlfn.IFNA(IF(LEFT('Rock Climbing Log'!AR67)="C",_xlfn.IFNA(VLOOKUP('Rock Climbing Log'!AR67,'RC Lookup'!$A$3:$B$9,2,FALSE),0.5),VLOOKUP('Rock Climbing Log'!AR67,'RC Lookup'!$G$3:$H$5,2,FALSE)),0)*VLOOKUP(AQ$7,'RC Lookup'!$D$3:$E$18,2,FALSE)</f>
        <v>0</v>
      </c>
      <c r="AS67" s="26">
        <f>_xlfn.IFNA(IF(LEFT('Rock Climbing Log'!AS67)="C",_xlfn.IFNA(VLOOKUP('Rock Climbing Log'!AS67,'RC Lookup'!$A$3:$B$9,2,FALSE),0.5),VLOOKUP('Rock Climbing Log'!AS67,'RC Lookup'!$G$3:$H$5,2,FALSE)),0)*VLOOKUP(AQ$7,'RC Lookup'!$D$3:$E$18,2,FALSE)</f>
        <v>0</v>
      </c>
      <c r="AT67" s="26">
        <f>_xlfn.IFNA(IF(LEFT('Rock Climbing Log'!AT67)="C",_xlfn.IFNA(VLOOKUP('Rock Climbing Log'!AT67,'RC Lookup'!$A$3:$B$9,2,FALSE),0.5),VLOOKUP('Rock Climbing Log'!AT67,'RC Lookup'!$G$3:$H$5,2,FALSE)),0)*VLOOKUP(AT$7,'RC Lookup'!$D$3:$E$18,2,FALSE)</f>
        <v>0</v>
      </c>
      <c r="AU67" s="26">
        <f>_xlfn.IFNA(IF(LEFT('Rock Climbing Log'!AU67)="C",_xlfn.IFNA(VLOOKUP('Rock Climbing Log'!AU67,'RC Lookup'!$A$3:$B$9,2,FALSE),0.5),VLOOKUP('Rock Climbing Log'!AU67,'RC Lookup'!$G$3:$H$5,2,FALSE)),0)*VLOOKUP(AT$7,'RC Lookup'!$D$3:$E$18,2,FALSE)</f>
        <v>0</v>
      </c>
      <c r="AV67" s="26">
        <f>_xlfn.IFNA(IF(LEFT('Rock Climbing Log'!AV67)="C",_xlfn.IFNA(VLOOKUP('Rock Climbing Log'!AV67,'RC Lookup'!$A$3:$B$9,2,FALSE),0.5),VLOOKUP('Rock Climbing Log'!AV67,'RC Lookup'!$G$3:$H$5,2,FALSE)),0)*VLOOKUP(AT$7,'RC Lookup'!$D$3:$E$18,2,FALSE)</f>
        <v>0</v>
      </c>
      <c r="AW67" s="30">
        <f t="shared" ca="1" si="2"/>
        <v>293.29583260906884</v>
      </c>
      <c r="AX67" s="30">
        <f ca="1">_xlfn.IFNA(VLOOKUP(SUMPRODUCT(LARGE(($C$8:$C67=Table1[[#This Row],[Climber]])*$A$8:$A67,1)),$A$8:$AW67,MATCH($AW$7,$A$7:$AW$7,FALSE),FALSE),0)/LEFT($AX$7,FIND(" ",$AX$7))+_xlfn.IFNA(VLOOKUP(SUMPRODUCT(LARGE(($C$8:$C67=Table1[[#This Row],[Climber]])*$A$8:$A67,MIN(2,COUNTIFS($C$8:$C67,$C67)))),$A$8:$AW67,MATCH($AW$7,$A$7:$AW$7,FALSE),FALSE),0)/LEFT($AX$7,FIND(" ",$AX$7))+_xlfn.IFNA(VLOOKUP(SUMPRODUCT(LARGE(($C$8:$C67=Table1[[#This Row],[Climber]])*$A$8:$A67,MIN(3,COUNTIFS($C$8:$C67,$C67)))),$A$8:$AW67,MATCH($AW$7,$A$7:$AW$7,FALSE),FALSE),0)/LEFT($AX$7,FIND(" ",$AX$7))</f>
        <v>242.00264190278742</v>
      </c>
      <c r="AY67" s="30">
        <f ca="1">_xlfn.IFNA(VLOOKUP(SUMPRODUCT(LARGE(($C$8:$C67=Table1[[#This Row],[Climber]])*$A$8:$A67,1)),$A$8:$AW67,MATCH($AW$7,$A$7:$AW$7,FALSE),FALSE),0)/LEFT($AY$7,FIND(" ",$AY$7))+_xlfn.IFNA(VLOOKUP(SUMPRODUCT(LARGE(($C$8:$C67=Table1[[#This Row],[Climber]])*$A$8:$A67,MIN(2,COUNTIFS($C$8:$C67,$C67)))),$A$8:$AW67,MATCH($AW$7,$A$7:$AW$7,FALSE),FALSE),0)/LEFT($AY$7,FIND(" ",$AY$7))+_xlfn.IFNA(VLOOKUP(SUMPRODUCT(LARGE(($C$8:$C67=Table1[[#This Row],[Climber]])*$A$8:$A67,MIN(3,COUNTIFS($C$8:$C67,$C67)))),$A$8:$AW67,MATCH($AW$7,$A$7:$AW$7,FALSE),FALSE),0)/LEFT($AY$7,FIND(" ",$AY$7))+_xlfn.IFNA(VLOOKUP(SUMPRODUCT(LARGE(($C$8:$C67=Table1[[#This Row],[Climber]])*$A$8:$A67,MIN(4,COUNTIFS($C$8:$C67,$C67)))),$A$8:$AW67,MATCH($AW$7,$A$7:$AW$7,FALSE),FALSE),0)/LEFT($AY$7,FIND(" ",$AY$7))+_xlfn.IFNA(VLOOKUP(SUMPRODUCT(LARGE(($C$8:$C67=Table1[[#This Row],[Climber]])*$A$8:$A67,MIN(5,COUNTIFS($C$8:$C67,$C67)))),$A$8:$AW67,MATCH($AW$7,$A$7:$AW$7,FALSE),FALSE),0)/LEFT($AY$7,FIND(" ",$AY$7))</f>
        <v>210.71394290626776</v>
      </c>
      <c r="AZ67" s="30">
        <f ca="1">(_xlfn.IFNA(VLOOKUP(SUMPRODUCT(LARGE(($C$8:$C67=Table1[[#This Row],[Climber]])*$A$8:$A67,4)),$A$8:$AW67,MATCH($AW$7,$A$7:$AW$7,FALSE),FALSE),0)+_xlfn.IFNA(VLOOKUP(SUMPRODUCT(LARGE(($C$8:$C67=Table1[[#This Row],[Climber]])*$A$8:$A67,5)),$A$8:$AW67,MATCH($AW$7,$A$7:$AW$7,FALSE),FALSE),0)+_xlfn.IFNA(VLOOKUP(SUMPRODUCT(LARGE(($C$8:$C67=Table1[[#This Row],[Climber]])*$A$8:$A67,6)),$A$8:$AW67,MATCH($AW$7,$A$7:$AW$7,FALSE),FALSE),0))/3</f>
        <v>211.41752169867172</v>
      </c>
      <c r="BA67" s="46">
        <f ca="1">_xlfn.MAXIFS(INDIRECT("$AW"&amp;IF(SUMPRODUCT(LARGE(($C$8:$C67=$C67)*$A$8:$A67,LEFT($BA$7,FIND(" ",$BA$7)-1)))=0,8,SUMPRODUCT(LARGE(($C$8:$C67=$C67)*$A$8:$A67,LEFT($BA$7,FIND(" ",$BA$7)-1)))+7)&amp;":$AW"&amp;ROW()),INDIRECT("$C"&amp;IF(SUMPRODUCT(LARGE(($C$8:$C67=$C67)*$A$8:$A67,LEFT($BA$7,FIND(" ",$BA$7)-1)))=0,8,SUMPRODUCT(LARGE(($C$8:$C67=$C67)*$A$8:$A67,LEFT($BA$7,FIND(" ",$BA$7)-1)))+7)&amp;":$C"&amp;ROW()),$C67)</f>
        <v>293.29583260906884</v>
      </c>
      <c r="BB67" s="46" t="str">
        <f ca="1">VLOOKUP(MAX(BG67,$AX67),'RC Lookup'!$G$14:$J$20,2,TRUE)</f>
        <v>T5</v>
      </c>
      <c r="BC67" s="46">
        <f ca="1">_xlfn.IFNA(VLOOKUP(VLOOKUP($C67,'RC Lookup'!$O$3:$P$50,2,FALSE),'RC Lookup'!$H$14:$J$23,2,FALSE),0)*AW67</f>
        <v>88.754925341745547</v>
      </c>
      <c r="BD67" s="6">
        <f ca="1">_xlfn.IFNA(VLOOKUP(SUMPRODUCT(LARGE(($C$8:$C67=Table1[[#This Row],[Climber]])*$A$8:$A67,1)),$A$8:$BC67,55,FALSE),0)/LEFT($AX$7,FIND(" ",$AX$7))+_xlfn.IFNA(VLOOKUP(SUMPRODUCT(LARGE(($C$8:$C67=Table1[[#This Row],[Climber]])*$A$8:$A67,MIN(2,COUNTIFS($C$8:$C67,$C67)))),$A$8:$BC67,55,FALSE),0)/LEFT($AX$7,FIND(" ",$AX$7))+_xlfn.IFNA(VLOOKUP(SUMPRODUCT(LARGE(($C$8:$C67=Table1[[#This Row],[Climber]])*$A$8:$A67,MIN(3,COUNTIFS($C$8:$C67,$C67)))),$A$8:$BC67,55,FALSE),0)/LEFT($AX$7,FIND(" ",$AX$7))</f>
        <v>73.232975127935518</v>
      </c>
      <c r="BE67" s="6">
        <f ca="1">(_xlfn.IFNA(VLOOKUP(SUMPRODUCT(LARGE(($C$8:$C67=Table1[[#This Row],[Climber]])*$A$8:$A67,4)),$A$8:$BD67,55,FALSE),0)+_xlfn.IFNA(VLOOKUP(SUMPRODUCT(LARGE(($C$8:$C67=Table1[[#This Row],[Climber]])*$A$8:$A67,5)),$A$8:$BD67,55,FALSE),0)+_xlfn.IFNA(VLOOKUP(SUMPRODUCT(LARGE(($C$8:$C67=Table1[[#This Row],[Climber]])*$A$8:$A67,6)),$A$8:$BD67,55,FALSE),0))/3</f>
        <v>63.977541676540937</v>
      </c>
      <c r="BF67" s="46">
        <f ca="1">_xlfn.MAXIFS(INDIRECT("$BC"&amp;IF(SUMPRODUCT(LARGE(($C$8:$C67=$C67)*$A$8:$A67,LEFT($BA$7,FIND(" ",$BA$7)-1)))=0,8,SUMPRODUCT(LARGE(($C$8:$C67=$C67)*$A$8:$A67,LEFT($BA$7,FIND(" ",$BA$7)-1)))+7)&amp;":$BC"&amp;ROW()),INDIRECT("$C"&amp;IF(SUMPRODUCT(LARGE(($C$8:$C67=$C67)*$A$8:$A67,LEFT($BA$7,FIND(" ",$BA$7)-1)))=0,8,SUMPRODUCT(LARGE(($C$8:$C67=$C67)*$A$8:$A67,LEFT($BA$7,FIND(" ",$BA$7)-1)))+7)&amp;":$C"&amp;ROW()),$C67)</f>
        <v>88.754925341745547</v>
      </c>
      <c r="BG67" s="46">
        <f t="array" aca="1" ref="BG67" ca="1">IFERROR(SUMPRODUCT(LARGE(($C$8:$C67=Table1[[#This Row],[Climber]])*$AW$8:$AW67,ROW(INDIRECT("1:5")))),AW67)/MIN(COUNTIFS($C$8:$C67,C67),5)</f>
        <v>288.25557827583015</v>
      </c>
    </row>
    <row r="68" spans="1:59" x14ac:dyDescent="0.3">
      <c r="A68" s="125">
        <f t="shared" si="1"/>
        <v>61</v>
      </c>
      <c r="B68" s="25">
        <f>'Rock Climbing Log'!B68</f>
        <v>43161</v>
      </c>
      <c r="C68" s="126" t="str">
        <f>'Rock Climbing Log'!C68</f>
        <v>Oz</v>
      </c>
      <c r="D68" s="26">
        <f>_xlfn.IFNA(IF(LEFT('Rock Climbing Log'!D68)="C",_xlfn.IFNA(VLOOKUP('Rock Climbing Log'!D68,'RC Lookup'!$A$3:$B$9,2,FALSE),0.5),VLOOKUP('Rock Climbing Log'!D68,'RC Lookup'!$G$3:$H$5,2,FALSE)),0)*VLOOKUP(D$7,'RC Lookup'!$D$3:$E$18,2,FALSE)</f>
        <v>0</v>
      </c>
      <c r="E68" s="26">
        <f>_xlfn.IFNA(IF(LEFT('Rock Climbing Log'!E68)="C",_xlfn.IFNA(VLOOKUP('Rock Climbing Log'!E68,'RC Lookup'!$A$3:$B$9,2,FALSE),0.5),VLOOKUP('Rock Climbing Log'!E68,'RC Lookup'!$G$3:$H$5,2,FALSE)),0)*VLOOKUP(D$7,'RC Lookup'!$D$3:$E$18,2,FALSE)</f>
        <v>0</v>
      </c>
      <c r="F68" s="26">
        <f>_xlfn.IFNA(IF(LEFT('Rock Climbing Log'!F68)="C",_xlfn.IFNA(VLOOKUP('Rock Climbing Log'!F68,'RC Lookup'!$A$3:$B$9,2,FALSE),0.5),VLOOKUP('Rock Climbing Log'!F68,'RC Lookup'!$G$3:$H$5,2,FALSE)),0)*VLOOKUP(D$7,'RC Lookup'!$D$3:$E$18,2,FALSE)</f>
        <v>0</v>
      </c>
      <c r="G68" s="26">
        <f>_xlfn.IFNA(IF(LEFT('Rock Climbing Log'!G68)="C",_xlfn.IFNA(VLOOKUP('Rock Climbing Log'!G68,'RC Lookup'!$A$3:$B$9,2,FALSE),0.5),VLOOKUP('Rock Climbing Log'!G68,'RC Lookup'!$G$3:$H$5,2,FALSE)),0)*VLOOKUP(G$7,'RC Lookup'!$D$3:$E$18,2,FALSE)</f>
        <v>0</v>
      </c>
      <c r="H68" s="26">
        <f>_xlfn.IFNA(IF(LEFT('Rock Climbing Log'!H68)="C",_xlfn.IFNA(VLOOKUP('Rock Climbing Log'!H68,'RC Lookup'!$A$3:$B$9,2,FALSE),0.5),VLOOKUP('Rock Climbing Log'!H68,'RC Lookup'!$G$3:$H$5,2,FALSE)),0)*VLOOKUP(G$7,'RC Lookup'!$D$3:$E$18,2,FALSE)</f>
        <v>0</v>
      </c>
      <c r="I68" s="26">
        <f>_xlfn.IFNA(IF(LEFT('Rock Climbing Log'!I68)="C",_xlfn.IFNA(VLOOKUP('Rock Climbing Log'!I68,'RC Lookup'!$A$3:$B$9,2,FALSE),0.5),VLOOKUP('Rock Climbing Log'!I68,'RC Lookup'!$G$3:$H$5,2,FALSE)),0)*VLOOKUP(G$7,'RC Lookup'!$D$3:$E$18,2,FALSE)</f>
        <v>0</v>
      </c>
      <c r="J68" s="26">
        <f>_xlfn.IFNA(IF(LEFT('Rock Climbing Log'!J68)="C",_xlfn.IFNA(VLOOKUP('Rock Climbing Log'!J68,'RC Lookup'!$A$3:$B$9,2,FALSE),0.5),VLOOKUP('Rock Climbing Log'!J68,'RC Lookup'!$G$3:$H$5,2,FALSE)),0)*VLOOKUP(J$7,'RC Lookup'!$D$3:$E$18,2,FALSE)</f>
        <v>15.75</v>
      </c>
      <c r="K68" s="26">
        <f>_xlfn.IFNA(IF(LEFT('Rock Climbing Log'!K68)="C",_xlfn.IFNA(VLOOKUP('Rock Climbing Log'!K68,'RC Lookup'!$A$3:$B$9,2,FALSE),0.5),VLOOKUP('Rock Climbing Log'!K68,'RC Lookup'!$G$3:$H$5,2,FALSE)),0)*VLOOKUP(J$7,'RC Lookup'!$D$3:$E$18,2,FALSE)</f>
        <v>0</v>
      </c>
      <c r="L68" s="26">
        <f>_xlfn.IFNA(IF(LEFT('Rock Climbing Log'!L68)="C",_xlfn.IFNA(VLOOKUP('Rock Climbing Log'!L68,'RC Lookup'!$A$3:$B$9,2,FALSE),0.5),VLOOKUP('Rock Climbing Log'!L68,'RC Lookup'!$G$3:$H$5,2,FALSE)),0)*VLOOKUP(J$7,'RC Lookup'!$D$3:$E$18,2,FALSE)</f>
        <v>0</v>
      </c>
      <c r="M68" s="26">
        <f>_xlfn.IFNA(IF(LEFT('Rock Climbing Log'!M68)="C",_xlfn.IFNA(VLOOKUP('Rock Climbing Log'!M68,'RC Lookup'!$A$3:$B$9,2,FALSE),0.5),VLOOKUP('Rock Climbing Log'!M68,'RC Lookup'!$G$3:$H$5,2,FALSE)),0)*VLOOKUP(M$7,'RC Lookup'!$D$3:$E$18,2,FALSE)</f>
        <v>10.001250000000001</v>
      </c>
      <c r="N68" s="26">
        <f>_xlfn.IFNA(IF(LEFT('Rock Climbing Log'!N68)="C",_xlfn.IFNA(VLOOKUP('Rock Climbing Log'!N68,'RC Lookup'!$A$3:$B$9,2,FALSE),0.5),VLOOKUP('Rock Climbing Log'!N68,'RC Lookup'!$G$3:$H$5,2,FALSE)),0)*VLOOKUP(M$7,'RC Lookup'!$D$3:$E$18,2,FALSE)</f>
        <v>0</v>
      </c>
      <c r="O68" s="26">
        <f>_xlfn.IFNA(IF(LEFT('Rock Climbing Log'!O68)="C",_xlfn.IFNA(VLOOKUP('Rock Climbing Log'!O68,'RC Lookup'!$A$3:$B$9,2,FALSE),0.5),VLOOKUP('Rock Climbing Log'!O68,'RC Lookup'!$G$3:$H$5,2,FALSE)),0)*VLOOKUP(M$7,'RC Lookup'!$D$3:$E$18,2,FALSE)</f>
        <v>0</v>
      </c>
      <c r="P68" s="26">
        <f>_xlfn.IFNA(IF(LEFT('Rock Climbing Log'!P68)="C",_xlfn.IFNA(VLOOKUP('Rock Climbing Log'!P68,'RC Lookup'!$A$3:$B$9,2,FALSE),0.5),VLOOKUP('Rock Climbing Log'!P68,'RC Lookup'!$G$3:$H$5,2,FALSE)),0)*VLOOKUP(P$7,'RC Lookup'!$D$3:$E$18,2,FALSE)</f>
        <v>0</v>
      </c>
      <c r="Q68" s="26">
        <f>_xlfn.IFNA(IF(LEFT('Rock Climbing Log'!Q68)="C",_xlfn.IFNA(VLOOKUP('Rock Climbing Log'!Q68,'RC Lookup'!$A$3:$B$9,2,FALSE),0.5),VLOOKUP('Rock Climbing Log'!Q68,'RC Lookup'!$G$3:$H$5,2,FALSE)),0)*VLOOKUP(P$7,'RC Lookup'!$D$3:$E$18,2,FALSE)</f>
        <v>0</v>
      </c>
      <c r="R68" s="26">
        <f>_xlfn.IFNA(IF(LEFT('Rock Climbing Log'!R68)="C",_xlfn.IFNA(VLOOKUP('Rock Climbing Log'!R68,'RC Lookup'!$A$3:$B$9,2,FALSE),0.5),VLOOKUP('Rock Climbing Log'!R68,'RC Lookup'!$G$3:$H$5,2,FALSE)),0)*VLOOKUP(P$7,'RC Lookup'!$D$3:$E$18,2,FALSE)</f>
        <v>0</v>
      </c>
      <c r="S68" s="26">
        <f>_xlfn.IFNA(IF(LEFT('Rock Climbing Log'!S68)="C",_xlfn.IFNA(VLOOKUP('Rock Climbing Log'!S68,'RC Lookup'!$A$3:$B$9,2,FALSE),0.5),VLOOKUP('Rock Climbing Log'!S68,'RC Lookup'!$G$3:$H$5,2,FALSE)),0)*VLOOKUP(S$7,'RC Lookup'!$D$3:$E$18,2,FALSE)</f>
        <v>14.449485960000006</v>
      </c>
      <c r="T68" s="26">
        <f>_xlfn.IFNA(IF(LEFT('Rock Climbing Log'!T68)="C",_xlfn.IFNA(VLOOKUP('Rock Climbing Log'!T68,'RC Lookup'!$A$3:$B$9,2,FALSE),0.5),VLOOKUP('Rock Climbing Log'!T68,'RC Lookup'!$G$3:$H$5,2,FALSE)),0)*VLOOKUP(S$7,'RC Lookup'!$D$3:$E$18,2,FALSE)</f>
        <v>0</v>
      </c>
      <c r="U68" s="26">
        <f>_xlfn.IFNA(IF(LEFT('Rock Climbing Log'!U68)="C",_xlfn.IFNA(VLOOKUP('Rock Climbing Log'!U68,'RC Lookup'!$A$3:$B$9,2,FALSE),0.5),VLOOKUP('Rock Climbing Log'!U68,'RC Lookup'!$G$3:$H$5,2,FALSE)),0)*VLOOKUP(S$7,'RC Lookup'!$D$3:$E$18,2,FALSE)</f>
        <v>0</v>
      </c>
      <c r="V68" s="26">
        <f>_xlfn.IFNA(IF(LEFT('Rock Climbing Log'!V68)="C",_xlfn.IFNA(VLOOKUP('Rock Climbing Log'!V68,'RC Lookup'!$A$3:$B$9,2,FALSE),0.5),VLOOKUP('Rock Climbing Log'!V68,'RC Lookup'!$G$3:$H$5,2,FALSE)),0)*VLOOKUP(V$7,'RC Lookup'!$D$3:$E$18,2,FALSE)</f>
        <v>31.731071168160021</v>
      </c>
      <c r="W68" s="26">
        <f>_xlfn.IFNA(IF(LEFT('Rock Climbing Log'!W68)="C",_xlfn.IFNA(VLOOKUP('Rock Climbing Log'!W68,'RC Lookup'!$A$3:$B$9,2,FALSE),0.5),VLOOKUP('Rock Climbing Log'!W68,'RC Lookup'!$G$3:$H$5,2,FALSE)),0)*VLOOKUP(V$7,'RC Lookup'!$D$3:$E$18,2,FALSE)</f>
        <v>35.256745742400021</v>
      </c>
      <c r="X68" s="26">
        <f>_xlfn.IFNA(IF(LEFT('Rock Climbing Log'!X68)="C",_xlfn.IFNA(VLOOKUP('Rock Climbing Log'!X68,'RC Lookup'!$A$3:$B$9,2,FALSE),0.5),VLOOKUP('Rock Climbing Log'!X68,'RC Lookup'!$G$3:$H$5,2,FALSE)),0)*VLOOKUP(V$7,'RC Lookup'!$D$3:$E$18,2,FALSE)</f>
        <v>17.628372871200011</v>
      </c>
      <c r="Y68" s="26">
        <f>_xlfn.IFNA(IF(LEFT('Rock Climbing Log'!Y68)="C",_xlfn.IFNA(VLOOKUP('Rock Climbing Log'!Y68,'RC Lookup'!$A$3:$B$9,2,FALSE),0.5),VLOOKUP('Rock Climbing Log'!Y68,'RC Lookup'!$G$3:$H$5,2,FALSE)),0)*VLOOKUP(Y$7,'RC Lookup'!$D$3:$E$18,2,FALSE)</f>
        <v>0</v>
      </c>
      <c r="Z68" s="26">
        <f>_xlfn.IFNA(IF(LEFT('Rock Climbing Log'!Z68)="C",_xlfn.IFNA(VLOOKUP('Rock Climbing Log'!Z68,'RC Lookup'!$A$3:$B$9,2,FALSE),0.5),VLOOKUP('Rock Climbing Log'!Z68,'RC Lookup'!$G$3:$H$5,2,FALSE)),0)*VLOOKUP(Y$7,'RC Lookup'!$D$3:$E$18,2,FALSE)</f>
        <v>0</v>
      </c>
      <c r="AA68" s="26">
        <f>_xlfn.IFNA(IF(LEFT('Rock Climbing Log'!AA68)="C",_xlfn.IFNA(VLOOKUP('Rock Climbing Log'!AA68,'RC Lookup'!$A$3:$B$9,2,FALSE),0.5),VLOOKUP('Rock Climbing Log'!AA68,'RC Lookup'!$G$3:$H$5,2,FALSE)),0)*VLOOKUP(Y$7,'RC Lookup'!$D$3:$E$18,2,FALSE)</f>
        <v>0</v>
      </c>
      <c r="AB68" s="26">
        <f>_xlfn.IFNA(IF(LEFT('Rock Climbing Log'!AB68)="C",_xlfn.IFNA(VLOOKUP('Rock Climbing Log'!AB68,'RC Lookup'!$A$3:$B$9,2,FALSE),0.5),VLOOKUP('Rock Climbing Log'!AB68,'RC Lookup'!$G$3:$H$5,2,FALSE)),0)*VLOOKUP(AB$7,'RC Lookup'!$D$3:$E$18,2,FALSE)</f>
        <v>0</v>
      </c>
      <c r="AC68" s="26">
        <f>_xlfn.IFNA(IF(LEFT('Rock Climbing Log'!AC68)="C",_xlfn.IFNA(VLOOKUP('Rock Climbing Log'!AC68,'RC Lookup'!$A$3:$B$9,2,FALSE),0.5),VLOOKUP('Rock Climbing Log'!AC68,'RC Lookup'!$G$3:$H$5,2,FALSE)),0)*VLOOKUP(AB$7,'RC Lookup'!$D$3:$E$18,2,FALSE)</f>
        <v>0</v>
      </c>
      <c r="AD68" s="26">
        <f>_xlfn.IFNA(IF(LEFT('Rock Climbing Log'!AD68)="C",_xlfn.IFNA(VLOOKUP('Rock Climbing Log'!AD68,'RC Lookup'!$A$3:$B$9,2,FALSE),0.5),VLOOKUP('Rock Climbing Log'!AD68,'RC Lookup'!$G$3:$H$5,2,FALSE)),0)*VLOOKUP(AB$7,'RC Lookup'!$D$3:$E$18,2,FALSE)</f>
        <v>0</v>
      </c>
      <c r="AE68" s="26">
        <f>_xlfn.IFNA(IF(LEFT('Rock Climbing Log'!AE68)="C",_xlfn.IFNA(VLOOKUP('Rock Climbing Log'!AE68,'RC Lookup'!$A$3:$B$9,2,FALSE),0.5),VLOOKUP('Rock Climbing Log'!AE68,'RC Lookup'!$G$3:$H$5,2,FALSE)),0)*VLOOKUP(AE$7,'RC Lookup'!$D$3:$E$18,2,FALSE)</f>
        <v>54.972814196015648</v>
      </c>
      <c r="AF68" s="26">
        <f>_xlfn.IFNA(IF(LEFT('Rock Climbing Log'!AF68)="C",_xlfn.IFNA(VLOOKUP('Rock Climbing Log'!AF68,'RC Lookup'!$A$3:$B$9,2,FALSE),0.5),VLOOKUP('Rock Climbing Log'!AF68,'RC Lookup'!$G$3:$H$5,2,FALSE)),0)*VLOOKUP(AE$7,'RC Lookup'!$D$3:$E$18,2,FALSE)</f>
        <v>33.933835923466447</v>
      </c>
      <c r="AG68" s="26">
        <f>_xlfn.IFNA(IF(LEFT('Rock Climbing Log'!AG68)="C",_xlfn.IFNA(VLOOKUP('Rock Climbing Log'!AG68,'RC Lookup'!$A$3:$B$9,2,FALSE),0.5),VLOOKUP('Rock Climbing Log'!AG68,'RC Lookup'!$G$3:$H$5,2,FALSE)),0)*VLOOKUP(AE$7,'RC Lookup'!$D$3:$E$18,2,FALSE)</f>
        <v>0</v>
      </c>
      <c r="AH68" s="26">
        <f>_xlfn.IFNA(IF(LEFT('Rock Climbing Log'!AH68)="C",_xlfn.IFNA(VLOOKUP('Rock Climbing Log'!AH68,'RC Lookup'!$A$3:$B$9,2,FALSE),0.5),VLOOKUP('Rock Climbing Log'!AH68,'RC Lookup'!$G$3:$H$5,2,FALSE)),0)*VLOOKUP(AH$7,'RC Lookup'!$D$3:$E$18,2,FALSE)</f>
        <v>0</v>
      </c>
      <c r="AI68" s="26">
        <f>_xlfn.IFNA(IF(LEFT('Rock Climbing Log'!AI68)="C",_xlfn.IFNA(VLOOKUP('Rock Climbing Log'!AI68,'RC Lookup'!$A$3:$B$9,2,FALSE),0.5),VLOOKUP('Rock Climbing Log'!AI68,'RC Lookup'!$G$3:$H$5,2,FALSE)),0)*VLOOKUP(AH$7,'RC Lookup'!$D$3:$E$18,2,FALSE)</f>
        <v>0</v>
      </c>
      <c r="AJ68" s="26">
        <f>_xlfn.IFNA(IF(LEFT('Rock Climbing Log'!AJ68)="C",_xlfn.IFNA(VLOOKUP('Rock Climbing Log'!AJ68,'RC Lookup'!$A$3:$B$9,2,FALSE),0.5),VLOOKUP('Rock Climbing Log'!AJ68,'RC Lookup'!$G$3:$H$5,2,FALSE)),0)*VLOOKUP(AH$7,'RC Lookup'!$D$3:$E$18,2,FALSE)</f>
        <v>0</v>
      </c>
      <c r="AK68" s="26">
        <f>_xlfn.IFNA(IF(LEFT('Rock Climbing Log'!AK68)="C",_xlfn.IFNA(VLOOKUP('Rock Climbing Log'!AK68,'RC Lookup'!$A$3:$B$9,2,FALSE),0.5),VLOOKUP('Rock Climbing Log'!AK68,'RC Lookup'!$G$3:$H$5,2,FALSE)),0)*VLOOKUP(AK$7,'RC Lookup'!$D$3:$E$18,2,FALSE)</f>
        <v>0</v>
      </c>
      <c r="AL68" s="26">
        <f>_xlfn.IFNA(IF(LEFT('Rock Climbing Log'!AL68)="C",_xlfn.IFNA(VLOOKUP('Rock Climbing Log'!AL68,'RC Lookup'!$A$3:$B$9,2,FALSE),0.5),VLOOKUP('Rock Climbing Log'!AL68,'RC Lookup'!$G$3:$H$5,2,FALSE)),0)*VLOOKUP(AK$7,'RC Lookup'!$D$3:$E$18,2,FALSE)</f>
        <v>0</v>
      </c>
      <c r="AM68" s="26">
        <f>_xlfn.IFNA(IF(LEFT('Rock Climbing Log'!AM68)="C",_xlfn.IFNA(VLOOKUP('Rock Climbing Log'!AM68,'RC Lookup'!$A$3:$B$9,2,FALSE),0.5),VLOOKUP('Rock Climbing Log'!AM68,'RC Lookup'!$G$3:$H$5,2,FALSE)),0)*VLOOKUP(AK$7,'RC Lookup'!$D$3:$E$18,2,FALSE)</f>
        <v>0</v>
      </c>
      <c r="AN68" s="26">
        <f>_xlfn.IFNA(IF(LEFT('Rock Climbing Log'!AN68)="C",_xlfn.IFNA(VLOOKUP('Rock Climbing Log'!AN68,'RC Lookup'!$A$3:$B$9,2,FALSE),0.5),VLOOKUP('Rock Climbing Log'!AN68,'RC Lookup'!$G$3:$H$5,2,FALSE)),0)*VLOOKUP(AN$7,'RC Lookup'!$D$3:$E$18,2,FALSE)</f>
        <v>0</v>
      </c>
      <c r="AO68" s="26">
        <f>_xlfn.IFNA(IF(LEFT('Rock Climbing Log'!AO68)="C",_xlfn.IFNA(VLOOKUP('Rock Climbing Log'!AO68,'RC Lookup'!$A$3:$B$9,2,FALSE),0.5),VLOOKUP('Rock Climbing Log'!AO68,'RC Lookup'!$G$3:$H$5,2,FALSE)),0)*VLOOKUP(AN$7,'RC Lookup'!$D$3:$E$18,2,FALSE)</f>
        <v>0</v>
      </c>
      <c r="AP68" s="26">
        <f>_xlfn.IFNA(IF(LEFT('Rock Climbing Log'!AP68)="C",_xlfn.IFNA(VLOOKUP('Rock Climbing Log'!AP68,'RC Lookup'!$A$3:$B$9,2,FALSE),0.5),VLOOKUP('Rock Climbing Log'!AP68,'RC Lookup'!$G$3:$H$5,2,FALSE)),0)*VLOOKUP(AN$7,'RC Lookup'!$D$3:$E$18,2,FALSE)</f>
        <v>0</v>
      </c>
      <c r="AQ68" s="26">
        <f>_xlfn.IFNA(IF(LEFT('Rock Climbing Log'!AQ68)="C",_xlfn.IFNA(VLOOKUP('Rock Climbing Log'!AQ68,'RC Lookup'!$A$3:$B$9,2,FALSE),0.5),VLOOKUP('Rock Climbing Log'!AQ68,'RC Lookup'!$G$3:$H$5,2,FALSE)),0)*VLOOKUP(AQ$7,'RC Lookup'!$D$3:$E$18,2,FALSE)</f>
        <v>0</v>
      </c>
      <c r="AR68" s="26">
        <f>_xlfn.IFNA(IF(LEFT('Rock Climbing Log'!AR68)="C",_xlfn.IFNA(VLOOKUP('Rock Climbing Log'!AR68,'RC Lookup'!$A$3:$B$9,2,FALSE),0.5),VLOOKUP('Rock Climbing Log'!AR68,'RC Lookup'!$G$3:$H$5,2,FALSE)),0)*VLOOKUP(AQ$7,'RC Lookup'!$D$3:$E$18,2,FALSE)</f>
        <v>0</v>
      </c>
      <c r="AS68" s="26">
        <f>_xlfn.IFNA(IF(LEFT('Rock Climbing Log'!AS68)="C",_xlfn.IFNA(VLOOKUP('Rock Climbing Log'!AS68,'RC Lookup'!$A$3:$B$9,2,FALSE),0.5),VLOOKUP('Rock Climbing Log'!AS68,'RC Lookup'!$G$3:$H$5,2,FALSE)),0)*VLOOKUP(AQ$7,'RC Lookup'!$D$3:$E$18,2,FALSE)</f>
        <v>0</v>
      </c>
      <c r="AT68" s="26">
        <f>_xlfn.IFNA(IF(LEFT('Rock Climbing Log'!AT68)="C",_xlfn.IFNA(VLOOKUP('Rock Climbing Log'!AT68,'RC Lookup'!$A$3:$B$9,2,FALSE),0.5),VLOOKUP('Rock Climbing Log'!AT68,'RC Lookup'!$G$3:$H$5,2,FALSE)),0)*VLOOKUP(AT$7,'RC Lookup'!$D$3:$E$18,2,FALSE)</f>
        <v>0</v>
      </c>
      <c r="AU68" s="26">
        <f>_xlfn.IFNA(IF(LEFT('Rock Climbing Log'!AU68)="C",_xlfn.IFNA(VLOOKUP('Rock Climbing Log'!AU68,'RC Lookup'!$A$3:$B$9,2,FALSE),0.5),VLOOKUP('Rock Climbing Log'!AU68,'RC Lookup'!$G$3:$H$5,2,FALSE)),0)*VLOOKUP(AT$7,'RC Lookup'!$D$3:$E$18,2,FALSE)</f>
        <v>0</v>
      </c>
      <c r="AV68" s="26">
        <f>_xlfn.IFNA(IF(LEFT('Rock Climbing Log'!AV68)="C",_xlfn.IFNA(VLOOKUP('Rock Climbing Log'!AV68,'RC Lookup'!$A$3:$B$9,2,FALSE),0.5),VLOOKUP('Rock Climbing Log'!AV68,'RC Lookup'!$G$3:$H$5,2,FALSE)),0)*VLOOKUP(AT$7,'RC Lookup'!$D$3:$E$18,2,FALSE)</f>
        <v>0</v>
      </c>
      <c r="AW68" s="30">
        <f t="shared" ca="1" si="2"/>
        <v>124.16339586188211</v>
      </c>
      <c r="AX68" s="30">
        <f ca="1">_xlfn.IFNA(VLOOKUP(SUMPRODUCT(LARGE(($C$8:$C68=Table1[[#This Row],[Climber]])*$A$8:$A68,1)),$A$8:$AW68,MATCH($AW$7,$A$7:$AW$7,FALSE),FALSE),0)/LEFT($AX$7,FIND(" ",$AX$7))+_xlfn.IFNA(VLOOKUP(SUMPRODUCT(LARGE(($C$8:$C68=Table1[[#This Row],[Climber]])*$A$8:$A68,MIN(2,COUNTIFS($C$8:$C68,$C68)))),$A$8:$AW68,MATCH($AW$7,$A$7:$AW$7,FALSE),FALSE),0)/LEFT($AX$7,FIND(" ",$AX$7))+_xlfn.IFNA(VLOOKUP(SUMPRODUCT(LARGE(($C$8:$C68=Table1[[#This Row],[Climber]])*$A$8:$A68,MIN(3,COUNTIFS($C$8:$C68,$C68)))),$A$8:$AW68,MATCH($AW$7,$A$7:$AW$7,FALSE),FALSE),0)/LEFT($AX$7,FIND(" ",$AX$7))</f>
        <v>124.4199733296729</v>
      </c>
      <c r="AY68" s="30">
        <f ca="1">_xlfn.IFNA(VLOOKUP(SUMPRODUCT(LARGE(($C$8:$C68=Table1[[#This Row],[Climber]])*$A$8:$A68,1)),$A$8:$AW68,MATCH($AW$7,$A$7:$AW$7,FALSE),FALSE),0)/LEFT($AY$7,FIND(" ",$AY$7))+_xlfn.IFNA(VLOOKUP(SUMPRODUCT(LARGE(($C$8:$C68=Table1[[#This Row],[Climber]])*$A$8:$A68,MIN(2,COUNTIFS($C$8:$C68,$C68)))),$A$8:$AW68,MATCH($AW$7,$A$7:$AW$7,FALSE),FALSE),0)/LEFT($AY$7,FIND(" ",$AY$7))+_xlfn.IFNA(VLOOKUP(SUMPRODUCT(LARGE(($C$8:$C68=Table1[[#This Row],[Climber]])*$A$8:$A68,MIN(3,COUNTIFS($C$8:$C68,$C68)))),$A$8:$AW68,MATCH($AW$7,$A$7:$AW$7,FALSE),FALSE),0)/LEFT($AY$7,FIND(" ",$AY$7))+_xlfn.IFNA(VLOOKUP(SUMPRODUCT(LARGE(($C$8:$C68=Table1[[#This Row],[Climber]])*$A$8:$A68,MIN(4,COUNTIFS($C$8:$C68,$C68)))),$A$8:$AW68,MATCH($AW$7,$A$7:$AW$7,FALSE),FALSE),0)/LEFT($AY$7,FIND(" ",$AY$7))+_xlfn.IFNA(VLOOKUP(SUMPRODUCT(LARGE(($C$8:$C68=Table1[[#This Row],[Climber]])*$A$8:$A68,MIN(5,COUNTIFS($C$8:$C68,$C68)))),$A$8:$AW68,MATCH($AW$7,$A$7:$AW$7,FALSE),FALSE),0)/LEFT($AY$7,FIND(" ",$AY$7))</f>
        <v>124.47128882323105</v>
      </c>
      <c r="AZ68" s="30">
        <f>(_xlfn.IFNA(VLOOKUP(SUMPRODUCT(LARGE(($C$8:$C68=Table1[[#This Row],[Climber]])*$A$8:$A68,4)),$A$8:$AW68,MATCH($AW$7,$A$7:$AW$7,FALSE),FALSE),0)+_xlfn.IFNA(VLOOKUP(SUMPRODUCT(LARGE(($C$8:$C68=Table1[[#This Row],[Climber]])*$A$8:$A68,5)),$A$8:$AW68,MATCH($AW$7,$A$7:$AW$7,FALSE),FALSE),0)+_xlfn.IFNA(VLOOKUP(SUMPRODUCT(LARGE(($C$8:$C68=Table1[[#This Row],[Climber]])*$A$8:$A68,6)),$A$8:$AW68,MATCH($AW$7,$A$7:$AW$7,FALSE),FALSE),0))/3</f>
        <v>0</v>
      </c>
      <c r="BA68" s="46">
        <f ca="1">_xlfn.MAXIFS(INDIRECT("$AW"&amp;IF(SUMPRODUCT(LARGE(($C$8:$C68=$C68)*$A$8:$A68,LEFT($BA$7,FIND(" ",$BA$7)-1)))=0,8,SUMPRODUCT(LARGE(($C$8:$C68=$C68)*$A$8:$A68,LEFT($BA$7,FIND(" ",$BA$7)-1)))+7)&amp;":$AW"&amp;ROW()),INDIRECT("$C"&amp;IF(SUMPRODUCT(LARGE(($C$8:$C68=$C68)*$A$8:$A68,LEFT($BA$7,FIND(" ",$BA$7)-1)))=0,8,SUMPRODUCT(LARGE(($C$8:$C68=$C68)*$A$8:$A68,LEFT($BA$7,FIND(" ",$BA$7)-1)))+7)&amp;":$C"&amp;ROW()),$C68)</f>
        <v>124.54826206356827</v>
      </c>
      <c r="BB68" s="46" t="str">
        <f ca="1">VLOOKUP(MAX(BG68,$AX68),'RC Lookup'!$G$14:$J$20,2,TRUE)</f>
        <v>T3</v>
      </c>
      <c r="BC68" s="46">
        <f ca="1">_xlfn.IFNA(VLOOKUP(VLOOKUP($C68,'RC Lookup'!$O$3:$P$50,2,FALSE),'RC Lookup'!$H$14:$J$23,2,FALSE),0)*AW68</f>
        <v>60.983082952915211</v>
      </c>
      <c r="BD68" s="6">
        <f ca="1">_xlfn.IFNA(VLOOKUP(SUMPRODUCT(LARGE(($C$8:$C68=Table1[[#This Row],[Climber]])*$A$8:$A68,1)),$A$8:$BC68,55,FALSE),0)/LEFT($AX$7,FIND(" ",$AX$7))+_xlfn.IFNA(VLOOKUP(SUMPRODUCT(LARGE(($C$8:$C68=Table1[[#This Row],[Climber]])*$A$8:$A68,MIN(2,COUNTIFS($C$8:$C68,$C68)))),$A$8:$BC68,55,FALSE),0)/LEFT($AX$7,FIND(" ",$AX$7))+_xlfn.IFNA(VLOOKUP(SUMPRODUCT(LARGE(($C$8:$C68=Table1[[#This Row],[Climber]])*$A$8:$A68,MIN(3,COUNTIFS($C$8:$C68,$C68)))),$A$8:$BC68,55,FALSE),0)/LEFT($AX$7,FIND(" ",$AX$7))</f>
        <v>61.109101453726353</v>
      </c>
      <c r="BE68" s="6">
        <f>(_xlfn.IFNA(VLOOKUP(SUMPRODUCT(LARGE(($C$8:$C68=Table1[[#This Row],[Climber]])*$A$8:$A68,4)),$A$8:$BD68,55,FALSE),0)+_xlfn.IFNA(VLOOKUP(SUMPRODUCT(LARGE(($C$8:$C68=Table1[[#This Row],[Climber]])*$A$8:$A68,5)),$A$8:$BD68,55,FALSE),0)+_xlfn.IFNA(VLOOKUP(SUMPRODUCT(LARGE(($C$8:$C68=Table1[[#This Row],[Climber]])*$A$8:$A68,6)),$A$8:$BD68,55,FALSE),0))/3</f>
        <v>0</v>
      </c>
      <c r="BF68" s="46">
        <f ca="1">_xlfn.MAXIFS(INDIRECT("$BC"&amp;IF(SUMPRODUCT(LARGE(($C$8:$C68=$C68)*$A$8:$A68,LEFT($BA$7,FIND(" ",$BA$7)-1)))=0,8,SUMPRODUCT(LARGE(($C$8:$C68=$C68)*$A$8:$A68,LEFT($BA$7,FIND(" ",$BA$7)-1)))+7)&amp;":$BC"&amp;ROW()),INDIRECT("$C"&amp;IF(SUMPRODUCT(LARGE(($C$8:$C68=$C68)*$A$8:$A68,LEFT($BA$7,FIND(" ",$BA$7)-1)))=0,8,SUMPRODUCT(LARGE(($C$8:$C68=$C68)*$A$8:$A68,LEFT($BA$7,FIND(" ",$BA$7)-1)))+7)&amp;":$C"&amp;ROW()),$C68)</f>
        <v>61.17211070413191</v>
      </c>
      <c r="BG68" s="46">
        <f t="array" aca="1" ref="BG68" ca="1">IFERROR(SUMPRODUCT(LARGE(($C$8:$C68=Table1[[#This Row],[Climber]])*$AW$8:$AW68,ROW(INDIRECT("1:5")))),AW68)/MIN(COUNTIFS($C$8:$C68,C68),5)</f>
        <v>124.35582896272518</v>
      </c>
    </row>
    <row r="69" spans="1:59" x14ac:dyDescent="0.3">
      <c r="A69" s="125">
        <f t="shared" si="1"/>
        <v>62</v>
      </c>
      <c r="B69" s="25">
        <f>'Rock Climbing Log'!B69</f>
        <v>43161</v>
      </c>
      <c r="C69" s="126" t="str">
        <f>'Rock Climbing Log'!C69</f>
        <v>Angel</v>
      </c>
      <c r="D69" s="26">
        <f>_xlfn.IFNA(IF(LEFT('Rock Climbing Log'!D69)="C",_xlfn.IFNA(VLOOKUP('Rock Climbing Log'!D69,'RC Lookup'!$A$3:$B$9,2,FALSE),0.5),VLOOKUP('Rock Climbing Log'!D69,'RC Lookup'!$G$3:$H$5,2,FALSE)),0)*VLOOKUP(D$7,'RC Lookup'!$D$3:$E$18,2,FALSE)</f>
        <v>0</v>
      </c>
      <c r="E69" s="26">
        <f>_xlfn.IFNA(IF(LEFT('Rock Climbing Log'!E69)="C",_xlfn.IFNA(VLOOKUP('Rock Climbing Log'!E69,'RC Lookup'!$A$3:$B$9,2,FALSE),0.5),VLOOKUP('Rock Climbing Log'!E69,'RC Lookup'!$G$3:$H$5,2,FALSE)),0)*VLOOKUP(D$7,'RC Lookup'!$D$3:$E$18,2,FALSE)</f>
        <v>0</v>
      </c>
      <c r="F69" s="26">
        <f>_xlfn.IFNA(IF(LEFT('Rock Climbing Log'!F69)="C",_xlfn.IFNA(VLOOKUP('Rock Climbing Log'!F69,'RC Lookup'!$A$3:$B$9,2,FALSE),0.5),VLOOKUP('Rock Climbing Log'!F69,'RC Lookup'!$G$3:$H$5,2,FALSE)),0)*VLOOKUP(D$7,'RC Lookup'!$D$3:$E$18,2,FALSE)</f>
        <v>0</v>
      </c>
      <c r="G69" s="26">
        <f>_xlfn.IFNA(IF(LEFT('Rock Climbing Log'!G69)="C",_xlfn.IFNA(VLOOKUP('Rock Climbing Log'!G69,'RC Lookup'!$A$3:$B$9,2,FALSE),0.5),VLOOKUP('Rock Climbing Log'!G69,'RC Lookup'!$G$3:$H$5,2,FALSE)),0)*VLOOKUP(G$7,'RC Lookup'!$D$3:$E$18,2,FALSE)</f>
        <v>0</v>
      </c>
      <c r="H69" s="26">
        <f>_xlfn.IFNA(IF(LEFT('Rock Climbing Log'!H69)="C",_xlfn.IFNA(VLOOKUP('Rock Climbing Log'!H69,'RC Lookup'!$A$3:$B$9,2,FALSE),0.5),VLOOKUP('Rock Climbing Log'!H69,'RC Lookup'!$G$3:$H$5,2,FALSE)),0)*VLOOKUP(G$7,'RC Lookup'!$D$3:$E$18,2,FALSE)</f>
        <v>0</v>
      </c>
      <c r="I69" s="26">
        <f>_xlfn.IFNA(IF(LEFT('Rock Climbing Log'!I69)="C",_xlfn.IFNA(VLOOKUP('Rock Climbing Log'!I69,'RC Lookup'!$A$3:$B$9,2,FALSE),0.5),VLOOKUP('Rock Climbing Log'!I69,'RC Lookup'!$G$3:$H$5,2,FALSE)),0)*VLOOKUP(G$7,'RC Lookup'!$D$3:$E$18,2,FALSE)</f>
        <v>0</v>
      </c>
      <c r="J69" s="26">
        <f>_xlfn.IFNA(IF(LEFT('Rock Climbing Log'!J69)="C",_xlfn.IFNA(VLOOKUP('Rock Climbing Log'!J69,'RC Lookup'!$A$3:$B$9,2,FALSE),0.5),VLOOKUP('Rock Climbing Log'!J69,'RC Lookup'!$G$3:$H$5,2,FALSE)),0)*VLOOKUP(J$7,'RC Lookup'!$D$3:$E$18,2,FALSE)</f>
        <v>15.75</v>
      </c>
      <c r="K69" s="26">
        <f>_xlfn.IFNA(IF(LEFT('Rock Climbing Log'!K69)="C",_xlfn.IFNA(VLOOKUP('Rock Climbing Log'!K69,'RC Lookup'!$A$3:$B$9,2,FALSE),0.5),VLOOKUP('Rock Climbing Log'!K69,'RC Lookup'!$G$3:$H$5,2,FALSE)),0)*VLOOKUP(J$7,'RC Lookup'!$D$3:$E$18,2,FALSE)</f>
        <v>15.75</v>
      </c>
      <c r="L69" s="26">
        <f>_xlfn.IFNA(IF(LEFT('Rock Climbing Log'!L69)="C",_xlfn.IFNA(VLOOKUP('Rock Climbing Log'!L69,'RC Lookup'!$A$3:$B$9,2,FALSE),0.5),VLOOKUP('Rock Climbing Log'!L69,'RC Lookup'!$G$3:$H$5,2,FALSE)),0)*VLOOKUP(J$7,'RC Lookup'!$D$3:$E$18,2,FALSE)</f>
        <v>0</v>
      </c>
      <c r="M69" s="26">
        <f>_xlfn.IFNA(IF(LEFT('Rock Climbing Log'!M69)="C",_xlfn.IFNA(VLOOKUP('Rock Climbing Log'!M69,'RC Lookup'!$A$3:$B$9,2,FALSE),0.5),VLOOKUP('Rock Climbing Log'!M69,'RC Lookup'!$G$3:$H$5,2,FALSE)),0)*VLOOKUP(M$7,'RC Lookup'!$D$3:$E$18,2,FALSE)</f>
        <v>20.002500000000001</v>
      </c>
      <c r="N69" s="26">
        <f>_xlfn.IFNA(IF(LEFT('Rock Climbing Log'!N69)="C",_xlfn.IFNA(VLOOKUP('Rock Climbing Log'!N69,'RC Lookup'!$A$3:$B$9,2,FALSE),0.5),VLOOKUP('Rock Climbing Log'!N69,'RC Lookup'!$G$3:$H$5,2,FALSE)),0)*VLOOKUP(M$7,'RC Lookup'!$D$3:$E$18,2,FALSE)</f>
        <v>0</v>
      </c>
      <c r="O69" s="26">
        <f>_xlfn.IFNA(IF(LEFT('Rock Climbing Log'!O69)="C",_xlfn.IFNA(VLOOKUP('Rock Climbing Log'!O69,'RC Lookup'!$A$3:$B$9,2,FALSE),0.5),VLOOKUP('Rock Climbing Log'!O69,'RC Lookup'!$G$3:$H$5,2,FALSE)),0)*VLOOKUP(M$7,'RC Lookup'!$D$3:$E$18,2,FALSE)</f>
        <v>0</v>
      </c>
      <c r="P69" s="26">
        <f>_xlfn.IFNA(IF(LEFT('Rock Climbing Log'!P69)="C",_xlfn.IFNA(VLOOKUP('Rock Climbing Log'!P69,'RC Lookup'!$A$3:$B$9,2,FALSE),0.5),VLOOKUP('Rock Climbing Log'!P69,'RC Lookup'!$G$3:$H$5,2,FALSE)),0)*VLOOKUP(P$7,'RC Lookup'!$D$3:$E$18,2,FALSE)</f>
        <v>0</v>
      </c>
      <c r="Q69" s="26">
        <f>_xlfn.IFNA(IF(LEFT('Rock Climbing Log'!Q69)="C",_xlfn.IFNA(VLOOKUP('Rock Climbing Log'!Q69,'RC Lookup'!$A$3:$B$9,2,FALSE),0.5),VLOOKUP('Rock Climbing Log'!Q69,'RC Lookup'!$G$3:$H$5,2,FALSE)),0)*VLOOKUP(P$7,'RC Lookup'!$D$3:$E$18,2,FALSE)</f>
        <v>0</v>
      </c>
      <c r="R69" s="26">
        <f>_xlfn.IFNA(IF(LEFT('Rock Climbing Log'!R69)="C",_xlfn.IFNA(VLOOKUP('Rock Climbing Log'!R69,'RC Lookup'!$A$3:$B$9,2,FALSE),0.5),VLOOKUP('Rock Climbing Log'!R69,'RC Lookup'!$G$3:$H$5,2,FALSE)),0)*VLOOKUP(P$7,'RC Lookup'!$D$3:$E$18,2,FALSE)</f>
        <v>0</v>
      </c>
      <c r="S69" s="26">
        <f>_xlfn.IFNA(IF(LEFT('Rock Climbing Log'!S69)="C",_xlfn.IFNA(VLOOKUP('Rock Climbing Log'!S69,'RC Lookup'!$A$3:$B$9,2,FALSE),0.5),VLOOKUP('Rock Climbing Log'!S69,'RC Lookup'!$G$3:$H$5,2,FALSE)),0)*VLOOKUP(S$7,'RC Lookup'!$D$3:$E$18,2,FALSE)</f>
        <v>0</v>
      </c>
      <c r="T69" s="26">
        <f>_xlfn.IFNA(IF(LEFT('Rock Climbing Log'!T69)="C",_xlfn.IFNA(VLOOKUP('Rock Climbing Log'!T69,'RC Lookup'!$A$3:$B$9,2,FALSE),0.5),VLOOKUP('Rock Climbing Log'!T69,'RC Lookup'!$G$3:$H$5,2,FALSE)),0)*VLOOKUP(S$7,'RC Lookup'!$D$3:$E$18,2,FALSE)</f>
        <v>0</v>
      </c>
      <c r="U69" s="26">
        <f>_xlfn.IFNA(IF(LEFT('Rock Climbing Log'!U69)="C",_xlfn.IFNA(VLOOKUP('Rock Climbing Log'!U69,'RC Lookup'!$A$3:$B$9,2,FALSE),0.5),VLOOKUP('Rock Climbing Log'!U69,'RC Lookup'!$G$3:$H$5,2,FALSE)),0)*VLOOKUP(S$7,'RC Lookup'!$D$3:$E$18,2,FALSE)</f>
        <v>0</v>
      </c>
      <c r="V69" s="26">
        <f>_xlfn.IFNA(IF(LEFT('Rock Climbing Log'!V69)="C",_xlfn.IFNA(VLOOKUP('Rock Climbing Log'!V69,'RC Lookup'!$A$3:$B$9,2,FALSE),0.5),VLOOKUP('Rock Climbing Log'!V69,'RC Lookup'!$G$3:$H$5,2,FALSE)),0)*VLOOKUP(V$7,'RC Lookup'!$D$3:$E$18,2,FALSE)</f>
        <v>17.628372871200011</v>
      </c>
      <c r="W69" s="26">
        <f>_xlfn.IFNA(IF(LEFT('Rock Climbing Log'!W69)="C",_xlfn.IFNA(VLOOKUP('Rock Climbing Log'!W69,'RC Lookup'!$A$3:$B$9,2,FALSE),0.5),VLOOKUP('Rock Climbing Log'!W69,'RC Lookup'!$G$3:$H$5,2,FALSE)),0)*VLOOKUP(V$7,'RC Lookup'!$D$3:$E$18,2,FALSE)</f>
        <v>17.628372871200011</v>
      </c>
      <c r="X69" s="26">
        <f>_xlfn.IFNA(IF(LEFT('Rock Climbing Log'!X69)="C",_xlfn.IFNA(VLOOKUP('Rock Climbing Log'!X69,'RC Lookup'!$A$3:$B$9,2,FALSE),0.5),VLOOKUP('Rock Climbing Log'!X69,'RC Lookup'!$G$3:$H$5,2,FALSE)),0)*VLOOKUP(V$7,'RC Lookup'!$D$3:$E$18,2,FALSE)</f>
        <v>0</v>
      </c>
      <c r="Y69" s="26">
        <f>_xlfn.IFNA(IF(LEFT('Rock Climbing Log'!Y69)="C",_xlfn.IFNA(VLOOKUP('Rock Climbing Log'!Y69,'RC Lookup'!$A$3:$B$9,2,FALSE),0.5),VLOOKUP('Rock Climbing Log'!Y69,'RC Lookup'!$G$3:$H$5,2,FALSE)),0)*VLOOKUP(Y$7,'RC Lookup'!$D$3:$E$18,2,FALSE)</f>
        <v>0</v>
      </c>
      <c r="Z69" s="26">
        <f>_xlfn.IFNA(IF(LEFT('Rock Climbing Log'!Z69)="C",_xlfn.IFNA(VLOOKUP('Rock Climbing Log'!Z69,'RC Lookup'!$A$3:$B$9,2,FALSE),0.5),VLOOKUP('Rock Climbing Log'!Z69,'RC Lookup'!$G$3:$H$5,2,FALSE)),0)*VLOOKUP(Y$7,'RC Lookup'!$D$3:$E$18,2,FALSE)</f>
        <v>0</v>
      </c>
      <c r="AA69" s="26">
        <f>_xlfn.IFNA(IF(LEFT('Rock Climbing Log'!AA69)="C",_xlfn.IFNA(VLOOKUP('Rock Climbing Log'!AA69,'RC Lookup'!$A$3:$B$9,2,FALSE),0.5),VLOOKUP('Rock Climbing Log'!AA69,'RC Lookup'!$G$3:$H$5,2,FALSE)),0)*VLOOKUP(Y$7,'RC Lookup'!$D$3:$E$18,2,FALSE)</f>
        <v>0</v>
      </c>
      <c r="AB69" s="26">
        <f>_xlfn.IFNA(IF(LEFT('Rock Climbing Log'!AB69)="C",_xlfn.IFNA(VLOOKUP('Rock Climbing Log'!AB69,'RC Lookup'!$A$3:$B$9,2,FALSE),0.5),VLOOKUP('Rock Climbing Log'!AB69,'RC Lookup'!$G$3:$H$5,2,FALSE)),0)*VLOOKUP(AB$7,'RC Lookup'!$D$3:$E$18,2,FALSE)</f>
        <v>0</v>
      </c>
      <c r="AC69" s="26">
        <f>_xlfn.IFNA(IF(LEFT('Rock Climbing Log'!AC69)="C",_xlfn.IFNA(VLOOKUP('Rock Climbing Log'!AC69,'RC Lookup'!$A$3:$B$9,2,FALSE),0.5),VLOOKUP('Rock Climbing Log'!AC69,'RC Lookup'!$G$3:$H$5,2,FALSE)),0)*VLOOKUP(AB$7,'RC Lookup'!$D$3:$E$18,2,FALSE)</f>
        <v>0</v>
      </c>
      <c r="AD69" s="26">
        <f>_xlfn.IFNA(IF(LEFT('Rock Climbing Log'!AD69)="C",_xlfn.IFNA(VLOOKUP('Rock Climbing Log'!AD69,'RC Lookup'!$A$3:$B$9,2,FALSE),0.5),VLOOKUP('Rock Climbing Log'!AD69,'RC Lookup'!$G$3:$H$5,2,FALSE)),0)*VLOOKUP(AB$7,'RC Lookup'!$D$3:$E$18,2,FALSE)</f>
        <v>0</v>
      </c>
      <c r="AE69" s="26">
        <f>_xlfn.IFNA(IF(LEFT('Rock Climbing Log'!AE69)="C",_xlfn.IFNA(VLOOKUP('Rock Climbing Log'!AE69,'RC Lookup'!$A$3:$B$9,2,FALSE),0.5),VLOOKUP('Rock Climbing Log'!AE69,'RC Lookup'!$G$3:$H$5,2,FALSE)),0)*VLOOKUP(AE$7,'RC Lookup'!$D$3:$E$18,2,FALSE)</f>
        <v>0</v>
      </c>
      <c r="AF69" s="26">
        <f>_xlfn.IFNA(IF(LEFT('Rock Climbing Log'!AF69)="C",_xlfn.IFNA(VLOOKUP('Rock Climbing Log'!AF69,'RC Lookup'!$A$3:$B$9,2,FALSE),0.5),VLOOKUP('Rock Climbing Log'!AF69,'RC Lookup'!$G$3:$H$5,2,FALSE)),0)*VLOOKUP(AE$7,'RC Lookup'!$D$3:$E$18,2,FALSE)</f>
        <v>0</v>
      </c>
      <c r="AG69" s="26">
        <f>_xlfn.IFNA(IF(LEFT('Rock Climbing Log'!AG69)="C",_xlfn.IFNA(VLOOKUP('Rock Climbing Log'!AG69,'RC Lookup'!$A$3:$B$9,2,FALSE),0.5),VLOOKUP('Rock Climbing Log'!AG69,'RC Lookup'!$G$3:$H$5,2,FALSE)),0)*VLOOKUP(AE$7,'RC Lookup'!$D$3:$E$18,2,FALSE)</f>
        <v>0</v>
      </c>
      <c r="AH69" s="26">
        <f>_xlfn.IFNA(IF(LEFT('Rock Climbing Log'!AH69)="C",_xlfn.IFNA(VLOOKUP('Rock Climbing Log'!AH69,'RC Lookup'!$A$3:$B$9,2,FALSE),0.5),VLOOKUP('Rock Climbing Log'!AH69,'RC Lookup'!$G$3:$H$5,2,FALSE)),0)*VLOOKUP(AH$7,'RC Lookup'!$D$3:$E$18,2,FALSE)</f>
        <v>0</v>
      </c>
      <c r="AI69" s="26">
        <f>_xlfn.IFNA(IF(LEFT('Rock Climbing Log'!AI69)="C",_xlfn.IFNA(VLOOKUP('Rock Climbing Log'!AI69,'RC Lookup'!$A$3:$B$9,2,FALSE),0.5),VLOOKUP('Rock Climbing Log'!AI69,'RC Lookup'!$G$3:$H$5,2,FALSE)),0)*VLOOKUP(AH$7,'RC Lookup'!$D$3:$E$18,2,FALSE)</f>
        <v>0</v>
      </c>
      <c r="AJ69" s="26">
        <f>_xlfn.IFNA(IF(LEFT('Rock Climbing Log'!AJ69)="C",_xlfn.IFNA(VLOOKUP('Rock Climbing Log'!AJ69,'RC Lookup'!$A$3:$B$9,2,FALSE),0.5),VLOOKUP('Rock Climbing Log'!AJ69,'RC Lookup'!$G$3:$H$5,2,FALSE)),0)*VLOOKUP(AH$7,'RC Lookup'!$D$3:$E$18,2,FALSE)</f>
        <v>0</v>
      </c>
      <c r="AK69" s="26">
        <f>_xlfn.IFNA(IF(LEFT('Rock Climbing Log'!AK69)="C",_xlfn.IFNA(VLOOKUP('Rock Climbing Log'!AK69,'RC Lookup'!$A$3:$B$9,2,FALSE),0.5),VLOOKUP('Rock Climbing Log'!AK69,'RC Lookup'!$G$3:$H$5,2,FALSE)),0)*VLOOKUP(AK$7,'RC Lookup'!$D$3:$E$18,2,FALSE)</f>
        <v>0</v>
      </c>
      <c r="AL69" s="26">
        <f>_xlfn.IFNA(IF(LEFT('Rock Climbing Log'!AL69)="C",_xlfn.IFNA(VLOOKUP('Rock Climbing Log'!AL69,'RC Lookup'!$A$3:$B$9,2,FALSE),0.5),VLOOKUP('Rock Climbing Log'!AL69,'RC Lookup'!$G$3:$H$5,2,FALSE)),0)*VLOOKUP(AK$7,'RC Lookup'!$D$3:$E$18,2,FALSE)</f>
        <v>0</v>
      </c>
      <c r="AM69" s="26">
        <f>_xlfn.IFNA(IF(LEFT('Rock Climbing Log'!AM69)="C",_xlfn.IFNA(VLOOKUP('Rock Climbing Log'!AM69,'RC Lookup'!$A$3:$B$9,2,FALSE),0.5),VLOOKUP('Rock Climbing Log'!AM69,'RC Lookup'!$G$3:$H$5,2,FALSE)),0)*VLOOKUP(AK$7,'RC Lookup'!$D$3:$E$18,2,FALSE)</f>
        <v>0</v>
      </c>
      <c r="AN69" s="26">
        <f>_xlfn.IFNA(IF(LEFT('Rock Climbing Log'!AN69)="C",_xlfn.IFNA(VLOOKUP('Rock Climbing Log'!AN69,'RC Lookup'!$A$3:$B$9,2,FALSE),0.5),VLOOKUP('Rock Climbing Log'!AN69,'RC Lookup'!$G$3:$H$5,2,FALSE)),0)*VLOOKUP(AN$7,'RC Lookup'!$D$3:$E$18,2,FALSE)</f>
        <v>0</v>
      </c>
      <c r="AO69" s="26">
        <f>_xlfn.IFNA(IF(LEFT('Rock Climbing Log'!AO69)="C",_xlfn.IFNA(VLOOKUP('Rock Climbing Log'!AO69,'RC Lookup'!$A$3:$B$9,2,FALSE),0.5),VLOOKUP('Rock Climbing Log'!AO69,'RC Lookup'!$G$3:$H$5,2,FALSE)),0)*VLOOKUP(AN$7,'RC Lookup'!$D$3:$E$18,2,FALSE)</f>
        <v>0</v>
      </c>
      <c r="AP69" s="26">
        <f>_xlfn.IFNA(IF(LEFT('Rock Climbing Log'!AP69)="C",_xlfn.IFNA(VLOOKUP('Rock Climbing Log'!AP69,'RC Lookup'!$A$3:$B$9,2,FALSE),0.5),VLOOKUP('Rock Climbing Log'!AP69,'RC Lookup'!$G$3:$H$5,2,FALSE)),0)*VLOOKUP(AN$7,'RC Lookup'!$D$3:$E$18,2,FALSE)</f>
        <v>0</v>
      </c>
      <c r="AQ69" s="26">
        <f>_xlfn.IFNA(IF(LEFT('Rock Climbing Log'!AQ69)="C",_xlfn.IFNA(VLOOKUP('Rock Climbing Log'!AQ69,'RC Lookup'!$A$3:$B$9,2,FALSE),0.5),VLOOKUP('Rock Climbing Log'!AQ69,'RC Lookup'!$G$3:$H$5,2,FALSE)),0)*VLOOKUP(AQ$7,'RC Lookup'!$D$3:$E$18,2,FALSE)</f>
        <v>0</v>
      </c>
      <c r="AR69" s="26">
        <f>_xlfn.IFNA(IF(LEFT('Rock Climbing Log'!AR69)="C",_xlfn.IFNA(VLOOKUP('Rock Climbing Log'!AR69,'RC Lookup'!$A$3:$B$9,2,FALSE),0.5),VLOOKUP('Rock Climbing Log'!AR69,'RC Lookup'!$G$3:$H$5,2,FALSE)),0)*VLOOKUP(AQ$7,'RC Lookup'!$D$3:$E$18,2,FALSE)</f>
        <v>0</v>
      </c>
      <c r="AS69" s="26">
        <f>_xlfn.IFNA(IF(LEFT('Rock Climbing Log'!AS69)="C",_xlfn.IFNA(VLOOKUP('Rock Climbing Log'!AS69,'RC Lookup'!$A$3:$B$9,2,FALSE),0.5),VLOOKUP('Rock Climbing Log'!AS69,'RC Lookup'!$G$3:$H$5,2,FALSE)),0)*VLOOKUP(AQ$7,'RC Lookup'!$D$3:$E$18,2,FALSE)</f>
        <v>0</v>
      </c>
      <c r="AT69" s="26">
        <f>_xlfn.IFNA(IF(LEFT('Rock Climbing Log'!AT69)="C",_xlfn.IFNA(VLOOKUP('Rock Climbing Log'!AT69,'RC Lookup'!$A$3:$B$9,2,FALSE),0.5),VLOOKUP('Rock Climbing Log'!AT69,'RC Lookup'!$G$3:$H$5,2,FALSE)),0)*VLOOKUP(AT$7,'RC Lookup'!$D$3:$E$18,2,FALSE)</f>
        <v>0</v>
      </c>
      <c r="AU69" s="26">
        <f>_xlfn.IFNA(IF(LEFT('Rock Climbing Log'!AU69)="C",_xlfn.IFNA(VLOOKUP('Rock Climbing Log'!AU69,'RC Lookup'!$A$3:$B$9,2,FALSE),0.5),VLOOKUP('Rock Climbing Log'!AU69,'RC Lookup'!$G$3:$H$5,2,FALSE)),0)*VLOOKUP(AT$7,'RC Lookup'!$D$3:$E$18,2,FALSE)</f>
        <v>0</v>
      </c>
      <c r="AV69" s="26">
        <f>_xlfn.IFNA(IF(LEFT('Rock Climbing Log'!AV69)="C",_xlfn.IFNA(VLOOKUP('Rock Climbing Log'!AV69,'RC Lookup'!$A$3:$B$9,2,FALSE),0.5),VLOOKUP('Rock Climbing Log'!AV69,'RC Lookup'!$G$3:$H$5,2,FALSE)),0)*VLOOKUP(AT$7,'RC Lookup'!$D$3:$E$18,2,FALSE)</f>
        <v>0</v>
      </c>
      <c r="AW69" s="30">
        <f t="shared" ca="1" si="2"/>
        <v>55.259245742400026</v>
      </c>
      <c r="AX69" s="30">
        <f ca="1">_xlfn.IFNA(VLOOKUP(SUMPRODUCT(LARGE(($C$8:$C69=Table1[[#This Row],[Climber]])*$A$8:$A69,1)),$A$8:$AW69,MATCH($AW$7,$A$7:$AW$7,FALSE),FALSE),0)/LEFT($AX$7,FIND(" ",$AX$7))+_xlfn.IFNA(VLOOKUP(SUMPRODUCT(LARGE(($C$8:$C69=Table1[[#This Row],[Climber]])*$A$8:$A69,MIN(2,COUNTIFS($C$8:$C69,$C69)))),$A$8:$AW69,MATCH($AW$7,$A$7:$AW$7,FALSE),FALSE),0)/LEFT($AX$7,FIND(" ",$AX$7))+_xlfn.IFNA(VLOOKUP(SUMPRODUCT(LARGE(($C$8:$C69=Table1[[#This Row],[Climber]])*$A$8:$A69,MIN(3,COUNTIFS($C$8:$C69,$C69)))),$A$8:$AW69,MATCH($AW$7,$A$7:$AW$7,FALSE),FALSE),0)/LEFT($AX$7,FIND(" ",$AX$7))</f>
        <v>43.919748580800004</v>
      </c>
      <c r="AY69" s="30">
        <f ca="1">_xlfn.IFNA(VLOOKUP(SUMPRODUCT(LARGE(($C$8:$C69=Table1[[#This Row],[Climber]])*$A$8:$A69,1)),$A$8:$AW69,MATCH($AW$7,$A$7:$AW$7,FALSE),FALSE),0)/LEFT($AY$7,FIND(" ",$AY$7))+_xlfn.IFNA(VLOOKUP(SUMPRODUCT(LARGE(($C$8:$C69=Table1[[#This Row],[Climber]])*$A$8:$A69,MIN(2,COUNTIFS($C$8:$C69,$C69)))),$A$8:$AW69,MATCH($AW$7,$A$7:$AW$7,FALSE),FALSE),0)/LEFT($AY$7,FIND(" ",$AY$7))+_xlfn.IFNA(VLOOKUP(SUMPRODUCT(LARGE(($C$8:$C69=Table1[[#This Row],[Climber]])*$A$8:$A69,MIN(3,COUNTIFS($C$8:$C69,$C69)))),$A$8:$AW69,MATCH($AW$7,$A$7:$AW$7,FALSE),FALSE),0)/LEFT($AY$7,FIND(" ",$AY$7))+_xlfn.IFNA(VLOOKUP(SUMPRODUCT(LARGE(($C$8:$C69=Table1[[#This Row],[Climber]])*$A$8:$A69,MIN(4,COUNTIFS($C$8:$C69,$C69)))),$A$8:$AW69,MATCH($AW$7,$A$7:$AW$7,FALSE),FALSE),0)/LEFT($AY$7,FIND(" ",$AY$7))+_xlfn.IFNA(VLOOKUP(SUMPRODUCT(LARGE(($C$8:$C69=Table1[[#This Row],[Climber]])*$A$8:$A69,MIN(5,COUNTIFS($C$8:$C69,$C69)))),$A$8:$AW69,MATCH($AW$7,$A$7:$AW$7,FALSE),FALSE),0)/LEFT($AY$7,FIND(" ",$AY$7))</f>
        <v>41.651849148480004</v>
      </c>
      <c r="AZ69" s="30">
        <f>(_xlfn.IFNA(VLOOKUP(SUMPRODUCT(LARGE(($C$8:$C69=Table1[[#This Row],[Climber]])*$A$8:$A69,4)),$A$8:$AW69,MATCH($AW$7,$A$7:$AW$7,FALSE),FALSE),0)+_xlfn.IFNA(VLOOKUP(SUMPRODUCT(LARGE(($C$8:$C69=Table1[[#This Row],[Climber]])*$A$8:$A69,5)),$A$8:$AW69,MATCH($AW$7,$A$7:$AW$7,FALSE),FALSE),0)+_xlfn.IFNA(VLOOKUP(SUMPRODUCT(LARGE(($C$8:$C69=Table1[[#This Row],[Climber]])*$A$8:$A69,6)),$A$8:$AW69,MATCH($AW$7,$A$7:$AW$7,FALSE),FALSE),0))/3</f>
        <v>0</v>
      </c>
      <c r="BA69" s="46">
        <f ca="1">_xlfn.MAXIFS(INDIRECT("$AW"&amp;IF(SUMPRODUCT(LARGE(($C$8:$C69=$C69)*$A$8:$A69,LEFT($BA$7,FIND(" ",$BA$7)-1)))=0,8,SUMPRODUCT(LARGE(($C$8:$C69=$C69)*$A$8:$A69,LEFT($BA$7,FIND(" ",$BA$7)-1)))+7)&amp;":$AW"&amp;ROW()),INDIRECT("$C"&amp;IF(SUMPRODUCT(LARGE(($C$8:$C69=$C69)*$A$8:$A69,LEFT($BA$7,FIND(" ",$BA$7)-1)))=0,8,SUMPRODUCT(LARGE(($C$8:$C69=$C69)*$A$8:$A69,LEFT($BA$7,FIND(" ",$BA$7)-1)))+7)&amp;":$C"&amp;ROW()),$C69)</f>
        <v>55.259245742400026</v>
      </c>
      <c r="BB69" s="46" t="str">
        <f ca="1">VLOOKUP(MAX(BG69,$AX69),'RC Lookup'!$G$14:$J$20,2,TRUE)</f>
        <v>T1</v>
      </c>
      <c r="BC69" s="46">
        <f ca="1">_xlfn.IFNA(VLOOKUP(VLOOKUP($C69,'RC Lookup'!$O$3:$P$50,2,FALSE),'RC Lookup'!$H$14:$J$23,2,FALSE),0)*AW69</f>
        <v>92.087232000000029</v>
      </c>
      <c r="BD69" s="6">
        <f ca="1">_xlfn.IFNA(VLOOKUP(SUMPRODUCT(LARGE(($C$8:$C69=Table1[[#This Row],[Climber]])*$A$8:$A69,1)),$A$8:$BC69,55,FALSE),0)/LEFT($AX$7,FIND(" ",$AX$7))+_xlfn.IFNA(VLOOKUP(SUMPRODUCT(LARGE(($C$8:$C69=Table1[[#This Row],[Climber]])*$A$8:$A69,MIN(2,COUNTIFS($C$8:$C69,$C69)))),$A$8:$BC69,55,FALSE),0)/LEFT($AX$7,FIND(" ",$AX$7))+_xlfn.IFNA(VLOOKUP(SUMPRODUCT(LARGE(($C$8:$C69=Table1[[#This Row],[Climber]])*$A$8:$A69,MIN(3,COUNTIFS($C$8:$C69,$C69)))),$A$8:$BC69,55,FALSE),0)/LEFT($AX$7,FIND(" ",$AX$7))</f>
        <v>73.190432163979509</v>
      </c>
      <c r="BE69" s="6">
        <f>(_xlfn.IFNA(VLOOKUP(SUMPRODUCT(LARGE(($C$8:$C69=Table1[[#This Row],[Climber]])*$A$8:$A69,4)),$A$8:$BD69,55,FALSE),0)+_xlfn.IFNA(VLOOKUP(SUMPRODUCT(LARGE(($C$8:$C69=Table1[[#This Row],[Climber]])*$A$8:$A69,5)),$A$8:$BD69,55,FALSE),0)+_xlfn.IFNA(VLOOKUP(SUMPRODUCT(LARGE(($C$8:$C69=Table1[[#This Row],[Climber]])*$A$8:$A69,6)),$A$8:$BD69,55,FALSE),0))/3</f>
        <v>0</v>
      </c>
      <c r="BF69" s="46">
        <f ca="1">_xlfn.MAXIFS(INDIRECT("$BC"&amp;IF(SUMPRODUCT(LARGE(($C$8:$C69=$C69)*$A$8:$A69,LEFT($BA$7,FIND(" ",$BA$7)-1)))=0,8,SUMPRODUCT(LARGE(($C$8:$C69=$C69)*$A$8:$A69,LEFT($BA$7,FIND(" ",$BA$7)-1)))+7)&amp;":$BC"&amp;ROW()),INDIRECT("$C"&amp;IF(SUMPRODUCT(LARGE(($C$8:$C69=$C69)*$A$8:$A69,LEFT($BA$7,FIND(" ",$BA$7)-1)))=0,8,SUMPRODUCT(LARGE(($C$8:$C69=$C69)*$A$8:$A69,LEFT($BA$7,FIND(" ",$BA$7)-1)))+7)&amp;":$C"&amp;ROW()),$C69)</f>
        <v>92.087232000000029</v>
      </c>
      <c r="BG69" s="46">
        <f t="array" aca="1" ref="BG69" ca="1">IFERROR(SUMPRODUCT(LARGE(($C$8:$C69=Table1[[#This Row],[Climber]])*$AW$8:$AW69,ROW(INDIRECT("1:5")))),AW69)/MIN(COUNTIFS($C$8:$C69,C69),5)</f>
        <v>43.919748580800011</v>
      </c>
    </row>
    <row r="70" spans="1:59" x14ac:dyDescent="0.3">
      <c r="A70" s="125">
        <f t="shared" si="1"/>
        <v>63</v>
      </c>
      <c r="B70" s="25">
        <f>'Rock Climbing Log'!B70</f>
        <v>43161</v>
      </c>
      <c r="C70" s="126" t="str">
        <f>'Rock Climbing Log'!C70</f>
        <v>Edwin</v>
      </c>
      <c r="D70" s="26">
        <f>_xlfn.IFNA(IF(LEFT('Rock Climbing Log'!D70)="C",_xlfn.IFNA(VLOOKUP('Rock Climbing Log'!D70,'RC Lookup'!$A$3:$B$9,2,FALSE),0.5),VLOOKUP('Rock Climbing Log'!D70,'RC Lookup'!$G$3:$H$5,2,FALSE)),0)*VLOOKUP(D$7,'RC Lookup'!$D$3:$E$18,2,FALSE)</f>
        <v>0</v>
      </c>
      <c r="E70" s="26">
        <f>_xlfn.IFNA(IF(LEFT('Rock Climbing Log'!E70)="C",_xlfn.IFNA(VLOOKUP('Rock Climbing Log'!E70,'RC Lookup'!$A$3:$B$9,2,FALSE),0.5),VLOOKUP('Rock Climbing Log'!E70,'RC Lookup'!$G$3:$H$5,2,FALSE)),0)*VLOOKUP(D$7,'RC Lookup'!$D$3:$E$18,2,FALSE)</f>
        <v>0</v>
      </c>
      <c r="F70" s="26">
        <f>_xlfn.IFNA(IF(LEFT('Rock Climbing Log'!F70)="C",_xlfn.IFNA(VLOOKUP('Rock Climbing Log'!F70,'RC Lookup'!$A$3:$B$9,2,FALSE),0.5),VLOOKUP('Rock Climbing Log'!F70,'RC Lookup'!$G$3:$H$5,2,FALSE)),0)*VLOOKUP(D$7,'RC Lookup'!$D$3:$E$18,2,FALSE)</f>
        <v>0</v>
      </c>
      <c r="G70" s="26">
        <f>_xlfn.IFNA(IF(LEFT('Rock Climbing Log'!G70)="C",_xlfn.IFNA(VLOOKUP('Rock Climbing Log'!G70,'RC Lookup'!$A$3:$B$9,2,FALSE),0.5),VLOOKUP('Rock Climbing Log'!G70,'RC Lookup'!$G$3:$H$5,2,FALSE)),0)*VLOOKUP(G$7,'RC Lookup'!$D$3:$E$18,2,FALSE)</f>
        <v>0</v>
      </c>
      <c r="H70" s="26">
        <f>_xlfn.IFNA(IF(LEFT('Rock Climbing Log'!H70)="C",_xlfn.IFNA(VLOOKUP('Rock Climbing Log'!H70,'RC Lookup'!$A$3:$B$9,2,FALSE),0.5),VLOOKUP('Rock Climbing Log'!H70,'RC Lookup'!$G$3:$H$5,2,FALSE)),0)*VLOOKUP(G$7,'RC Lookup'!$D$3:$E$18,2,FALSE)</f>
        <v>0</v>
      </c>
      <c r="I70" s="26">
        <f>_xlfn.IFNA(IF(LEFT('Rock Climbing Log'!I70)="C",_xlfn.IFNA(VLOOKUP('Rock Climbing Log'!I70,'RC Lookup'!$A$3:$B$9,2,FALSE),0.5),VLOOKUP('Rock Climbing Log'!I70,'RC Lookup'!$G$3:$H$5,2,FALSE)),0)*VLOOKUP(G$7,'RC Lookup'!$D$3:$E$18,2,FALSE)</f>
        <v>0</v>
      </c>
      <c r="J70" s="26">
        <f>_xlfn.IFNA(IF(LEFT('Rock Climbing Log'!J70)="C",_xlfn.IFNA(VLOOKUP('Rock Climbing Log'!J70,'RC Lookup'!$A$3:$B$9,2,FALSE),0.5),VLOOKUP('Rock Climbing Log'!J70,'RC Lookup'!$G$3:$H$5,2,FALSE)),0)*VLOOKUP(J$7,'RC Lookup'!$D$3:$E$18,2,FALSE)</f>
        <v>0</v>
      </c>
      <c r="K70" s="26">
        <f>_xlfn.IFNA(IF(LEFT('Rock Climbing Log'!K70)="C",_xlfn.IFNA(VLOOKUP('Rock Climbing Log'!K70,'RC Lookup'!$A$3:$B$9,2,FALSE),0.5),VLOOKUP('Rock Climbing Log'!K70,'RC Lookup'!$G$3:$H$5,2,FALSE)),0)*VLOOKUP(J$7,'RC Lookup'!$D$3:$E$18,2,FALSE)</f>
        <v>0</v>
      </c>
      <c r="L70" s="26">
        <f>_xlfn.IFNA(IF(LEFT('Rock Climbing Log'!L70)="C",_xlfn.IFNA(VLOOKUP('Rock Climbing Log'!L70,'RC Lookup'!$A$3:$B$9,2,FALSE),0.5),VLOOKUP('Rock Climbing Log'!L70,'RC Lookup'!$G$3:$H$5,2,FALSE)),0)*VLOOKUP(J$7,'RC Lookup'!$D$3:$E$18,2,FALSE)</f>
        <v>0</v>
      </c>
      <c r="M70" s="26">
        <f>_xlfn.IFNA(IF(LEFT('Rock Climbing Log'!M70)="C",_xlfn.IFNA(VLOOKUP('Rock Climbing Log'!M70,'RC Lookup'!$A$3:$B$9,2,FALSE),0.5),VLOOKUP('Rock Climbing Log'!M70,'RC Lookup'!$G$3:$H$5,2,FALSE)),0)*VLOOKUP(M$7,'RC Lookup'!$D$3:$E$18,2,FALSE)</f>
        <v>20.002500000000001</v>
      </c>
      <c r="N70" s="26">
        <f>_xlfn.IFNA(IF(LEFT('Rock Climbing Log'!N70)="C",_xlfn.IFNA(VLOOKUP('Rock Climbing Log'!N70,'RC Lookup'!$A$3:$B$9,2,FALSE),0.5),VLOOKUP('Rock Climbing Log'!N70,'RC Lookup'!$G$3:$H$5,2,FALSE)),0)*VLOOKUP(M$7,'RC Lookup'!$D$3:$E$18,2,FALSE)</f>
        <v>0</v>
      </c>
      <c r="O70" s="26">
        <f>_xlfn.IFNA(IF(LEFT('Rock Climbing Log'!O70)="C",_xlfn.IFNA(VLOOKUP('Rock Climbing Log'!O70,'RC Lookup'!$A$3:$B$9,2,FALSE),0.5),VLOOKUP('Rock Climbing Log'!O70,'RC Lookup'!$G$3:$H$5,2,FALSE)),0)*VLOOKUP(M$7,'RC Lookup'!$D$3:$E$18,2,FALSE)</f>
        <v>0</v>
      </c>
      <c r="P70" s="26">
        <f>_xlfn.IFNA(IF(LEFT('Rock Climbing Log'!P70)="C",_xlfn.IFNA(VLOOKUP('Rock Climbing Log'!P70,'RC Lookup'!$A$3:$B$9,2,FALSE),0.5),VLOOKUP('Rock Climbing Log'!P70,'RC Lookup'!$G$3:$H$5,2,FALSE)),0)*VLOOKUP(P$7,'RC Lookup'!$D$3:$E$18,2,FALSE)</f>
        <v>23.922990000000006</v>
      </c>
      <c r="Q70" s="26">
        <f>_xlfn.IFNA(IF(LEFT('Rock Climbing Log'!Q70)="C",_xlfn.IFNA(VLOOKUP('Rock Climbing Log'!Q70,'RC Lookup'!$A$3:$B$9,2,FALSE),0.5),VLOOKUP('Rock Climbing Log'!Q70,'RC Lookup'!$G$3:$H$5,2,FALSE)),0)*VLOOKUP(P$7,'RC Lookup'!$D$3:$E$18,2,FALSE)</f>
        <v>0</v>
      </c>
      <c r="R70" s="26">
        <f>_xlfn.IFNA(IF(LEFT('Rock Climbing Log'!R70)="C",_xlfn.IFNA(VLOOKUP('Rock Climbing Log'!R70,'RC Lookup'!$A$3:$B$9,2,FALSE),0.5),VLOOKUP('Rock Climbing Log'!R70,'RC Lookup'!$G$3:$H$5,2,FALSE)),0)*VLOOKUP(P$7,'RC Lookup'!$D$3:$E$18,2,FALSE)</f>
        <v>0</v>
      </c>
      <c r="S70" s="26">
        <f>_xlfn.IFNA(IF(LEFT('Rock Climbing Log'!S70)="C",_xlfn.IFNA(VLOOKUP('Rock Climbing Log'!S70,'RC Lookup'!$A$3:$B$9,2,FALSE),0.5),VLOOKUP('Rock Climbing Log'!S70,'RC Lookup'!$G$3:$H$5,2,FALSE)),0)*VLOOKUP(S$7,'RC Lookup'!$D$3:$E$18,2,FALSE)</f>
        <v>0</v>
      </c>
      <c r="T70" s="26">
        <f>_xlfn.IFNA(IF(LEFT('Rock Climbing Log'!T70)="C",_xlfn.IFNA(VLOOKUP('Rock Climbing Log'!T70,'RC Lookup'!$A$3:$B$9,2,FALSE),0.5),VLOOKUP('Rock Climbing Log'!T70,'RC Lookup'!$G$3:$H$5,2,FALSE)),0)*VLOOKUP(S$7,'RC Lookup'!$D$3:$E$18,2,FALSE)</f>
        <v>0</v>
      </c>
      <c r="U70" s="26">
        <f>_xlfn.IFNA(IF(LEFT('Rock Climbing Log'!U70)="C",_xlfn.IFNA(VLOOKUP('Rock Climbing Log'!U70,'RC Lookup'!$A$3:$B$9,2,FALSE),0.5),VLOOKUP('Rock Climbing Log'!U70,'RC Lookup'!$G$3:$H$5,2,FALSE)),0)*VLOOKUP(S$7,'RC Lookup'!$D$3:$E$18,2,FALSE)</f>
        <v>0</v>
      </c>
      <c r="V70" s="26">
        <f>_xlfn.IFNA(IF(LEFT('Rock Climbing Log'!V70)="C",_xlfn.IFNA(VLOOKUP('Rock Climbing Log'!V70,'RC Lookup'!$A$3:$B$9,2,FALSE),0.5),VLOOKUP('Rock Climbing Log'!V70,'RC Lookup'!$G$3:$H$5,2,FALSE)),0)*VLOOKUP(V$7,'RC Lookup'!$D$3:$E$18,2,FALSE)</f>
        <v>35.256745742400021</v>
      </c>
      <c r="W70" s="26">
        <f>_xlfn.IFNA(IF(LEFT('Rock Climbing Log'!W70)="C",_xlfn.IFNA(VLOOKUP('Rock Climbing Log'!W70,'RC Lookup'!$A$3:$B$9,2,FALSE),0.5),VLOOKUP('Rock Climbing Log'!W70,'RC Lookup'!$G$3:$H$5,2,FALSE)),0)*VLOOKUP(V$7,'RC Lookup'!$D$3:$E$18,2,FALSE)</f>
        <v>0</v>
      </c>
      <c r="X70" s="26">
        <f>_xlfn.IFNA(IF(LEFT('Rock Climbing Log'!X70)="C",_xlfn.IFNA(VLOOKUP('Rock Climbing Log'!X70,'RC Lookup'!$A$3:$B$9,2,FALSE),0.5),VLOOKUP('Rock Climbing Log'!X70,'RC Lookup'!$G$3:$H$5,2,FALSE)),0)*VLOOKUP(V$7,'RC Lookup'!$D$3:$E$18,2,FALSE)</f>
        <v>0</v>
      </c>
      <c r="Y70" s="26">
        <f>_xlfn.IFNA(IF(LEFT('Rock Climbing Log'!Y70)="C",_xlfn.IFNA(VLOOKUP('Rock Climbing Log'!Y70,'RC Lookup'!$A$3:$B$9,2,FALSE),0.5),VLOOKUP('Rock Climbing Log'!Y70,'RC Lookup'!$G$3:$H$5,2,FALSE)),0)*VLOOKUP(Y$7,'RC Lookup'!$D$3:$E$18,2,FALSE)</f>
        <v>0</v>
      </c>
      <c r="Z70" s="26">
        <f>_xlfn.IFNA(IF(LEFT('Rock Climbing Log'!Z70)="C",_xlfn.IFNA(VLOOKUP('Rock Climbing Log'!Z70,'RC Lookup'!$A$3:$B$9,2,FALSE),0.5),VLOOKUP('Rock Climbing Log'!Z70,'RC Lookup'!$G$3:$H$5,2,FALSE)),0)*VLOOKUP(Y$7,'RC Lookup'!$D$3:$E$18,2,FALSE)</f>
        <v>0</v>
      </c>
      <c r="AA70" s="26">
        <f>_xlfn.IFNA(IF(LEFT('Rock Climbing Log'!AA70)="C",_xlfn.IFNA(VLOOKUP('Rock Climbing Log'!AA70,'RC Lookup'!$A$3:$B$9,2,FALSE),0.5),VLOOKUP('Rock Climbing Log'!AA70,'RC Lookup'!$G$3:$H$5,2,FALSE)),0)*VLOOKUP(Y$7,'RC Lookup'!$D$3:$E$18,2,FALSE)</f>
        <v>0</v>
      </c>
      <c r="AB70" s="26">
        <f>_xlfn.IFNA(IF(LEFT('Rock Climbing Log'!AB70)="C",_xlfn.IFNA(VLOOKUP('Rock Climbing Log'!AB70,'RC Lookup'!$A$3:$B$9,2,FALSE),0.5),VLOOKUP('Rock Climbing Log'!AB70,'RC Lookup'!$G$3:$H$5,2,FALSE)),0)*VLOOKUP(AB$7,'RC Lookup'!$D$3:$E$18,2,FALSE)</f>
        <v>0</v>
      </c>
      <c r="AC70" s="26">
        <f>_xlfn.IFNA(IF(LEFT('Rock Climbing Log'!AC70)="C",_xlfn.IFNA(VLOOKUP('Rock Climbing Log'!AC70,'RC Lookup'!$A$3:$B$9,2,FALSE),0.5),VLOOKUP('Rock Climbing Log'!AC70,'RC Lookup'!$G$3:$H$5,2,FALSE)),0)*VLOOKUP(AB$7,'RC Lookup'!$D$3:$E$18,2,FALSE)</f>
        <v>0</v>
      </c>
      <c r="AD70" s="26">
        <f>_xlfn.IFNA(IF(LEFT('Rock Climbing Log'!AD70)="C",_xlfn.IFNA(VLOOKUP('Rock Climbing Log'!AD70,'RC Lookup'!$A$3:$B$9,2,FALSE),0.5),VLOOKUP('Rock Climbing Log'!AD70,'RC Lookup'!$G$3:$H$5,2,FALSE)),0)*VLOOKUP(AB$7,'RC Lookup'!$D$3:$E$18,2,FALSE)</f>
        <v>0</v>
      </c>
      <c r="AE70" s="26">
        <f>_xlfn.IFNA(IF(LEFT('Rock Climbing Log'!AE70)="C",_xlfn.IFNA(VLOOKUP('Rock Climbing Log'!AE70,'RC Lookup'!$A$3:$B$9,2,FALSE),0.5),VLOOKUP('Rock Climbing Log'!AE70,'RC Lookup'!$G$3:$H$5,2,FALSE)),0)*VLOOKUP(AE$7,'RC Lookup'!$D$3:$E$18,2,FALSE)</f>
        <v>33.933835923466447</v>
      </c>
      <c r="AF70" s="26">
        <f>_xlfn.IFNA(IF(LEFT('Rock Climbing Log'!AF70)="C",_xlfn.IFNA(VLOOKUP('Rock Climbing Log'!AF70,'RC Lookup'!$A$3:$B$9,2,FALSE),0.5),VLOOKUP('Rock Climbing Log'!AF70,'RC Lookup'!$G$3:$H$5,2,FALSE)),0)*VLOOKUP(AE$7,'RC Lookup'!$D$3:$E$18,2,FALSE)</f>
        <v>33.933835923466447</v>
      </c>
      <c r="AG70" s="26">
        <f>_xlfn.IFNA(IF(LEFT('Rock Climbing Log'!AG70)="C",_xlfn.IFNA(VLOOKUP('Rock Climbing Log'!AG70,'RC Lookup'!$A$3:$B$9,2,FALSE),0.5),VLOOKUP('Rock Climbing Log'!AG70,'RC Lookup'!$G$3:$H$5,2,FALSE)),0)*VLOOKUP(AE$7,'RC Lookup'!$D$3:$E$18,2,FALSE)</f>
        <v>0</v>
      </c>
      <c r="AH70" s="26">
        <f>_xlfn.IFNA(IF(LEFT('Rock Climbing Log'!AH70)="C",_xlfn.IFNA(VLOOKUP('Rock Climbing Log'!AH70,'RC Lookup'!$A$3:$B$9,2,FALSE),0.5),VLOOKUP('Rock Climbing Log'!AH70,'RC Lookup'!$G$3:$H$5,2,FALSE)),0)*VLOOKUP(AH$7,'RC Lookup'!$D$3:$E$18,2,FALSE)</f>
        <v>0</v>
      </c>
      <c r="AI70" s="26">
        <f>_xlfn.IFNA(IF(LEFT('Rock Climbing Log'!AI70)="C",_xlfn.IFNA(VLOOKUP('Rock Climbing Log'!AI70,'RC Lookup'!$A$3:$B$9,2,FALSE),0.5),VLOOKUP('Rock Climbing Log'!AI70,'RC Lookup'!$G$3:$H$5,2,FALSE)),0)*VLOOKUP(AH$7,'RC Lookup'!$D$3:$E$18,2,FALSE)</f>
        <v>0</v>
      </c>
      <c r="AJ70" s="26">
        <f>_xlfn.IFNA(IF(LEFT('Rock Climbing Log'!AJ70)="C",_xlfn.IFNA(VLOOKUP('Rock Climbing Log'!AJ70,'RC Lookup'!$A$3:$B$9,2,FALSE),0.5),VLOOKUP('Rock Climbing Log'!AJ70,'RC Lookup'!$G$3:$H$5,2,FALSE)),0)*VLOOKUP(AH$7,'RC Lookup'!$D$3:$E$18,2,FALSE)</f>
        <v>0</v>
      </c>
      <c r="AK70" s="26">
        <f>_xlfn.IFNA(IF(LEFT('Rock Climbing Log'!AK70)="C",_xlfn.IFNA(VLOOKUP('Rock Climbing Log'!AK70,'RC Lookup'!$A$3:$B$9,2,FALSE),0.5),VLOOKUP('Rock Climbing Log'!AK70,'RC Lookup'!$G$3:$H$5,2,FALSE)),0)*VLOOKUP(AK$7,'RC Lookup'!$D$3:$E$18,2,FALSE)</f>
        <v>0</v>
      </c>
      <c r="AL70" s="26">
        <f>_xlfn.IFNA(IF(LEFT('Rock Climbing Log'!AL70)="C",_xlfn.IFNA(VLOOKUP('Rock Climbing Log'!AL70,'RC Lookup'!$A$3:$B$9,2,FALSE),0.5),VLOOKUP('Rock Climbing Log'!AL70,'RC Lookup'!$G$3:$H$5,2,FALSE)),0)*VLOOKUP(AK$7,'RC Lookup'!$D$3:$E$18,2,FALSE)</f>
        <v>0</v>
      </c>
      <c r="AM70" s="26">
        <f>_xlfn.IFNA(IF(LEFT('Rock Climbing Log'!AM70)="C",_xlfn.IFNA(VLOOKUP('Rock Climbing Log'!AM70,'RC Lookup'!$A$3:$B$9,2,FALSE),0.5),VLOOKUP('Rock Climbing Log'!AM70,'RC Lookup'!$G$3:$H$5,2,FALSE)),0)*VLOOKUP(AK$7,'RC Lookup'!$D$3:$E$18,2,FALSE)</f>
        <v>0</v>
      </c>
      <c r="AN70" s="26">
        <f>_xlfn.IFNA(IF(LEFT('Rock Climbing Log'!AN70)="C",_xlfn.IFNA(VLOOKUP('Rock Climbing Log'!AN70,'RC Lookup'!$A$3:$B$9,2,FALSE),0.5),VLOOKUP('Rock Climbing Log'!AN70,'RC Lookup'!$G$3:$H$5,2,FALSE)),0)*VLOOKUP(AN$7,'RC Lookup'!$D$3:$E$18,2,FALSE)</f>
        <v>0</v>
      </c>
      <c r="AO70" s="26">
        <f>_xlfn.IFNA(IF(LEFT('Rock Climbing Log'!AO70)="C",_xlfn.IFNA(VLOOKUP('Rock Climbing Log'!AO70,'RC Lookup'!$A$3:$B$9,2,FALSE),0.5),VLOOKUP('Rock Climbing Log'!AO70,'RC Lookup'!$G$3:$H$5,2,FALSE)),0)*VLOOKUP(AN$7,'RC Lookup'!$D$3:$E$18,2,FALSE)</f>
        <v>0</v>
      </c>
      <c r="AP70" s="26">
        <f>_xlfn.IFNA(IF(LEFT('Rock Climbing Log'!AP70)="C",_xlfn.IFNA(VLOOKUP('Rock Climbing Log'!AP70,'RC Lookup'!$A$3:$B$9,2,FALSE),0.5),VLOOKUP('Rock Climbing Log'!AP70,'RC Lookup'!$G$3:$H$5,2,FALSE)),0)*VLOOKUP(AN$7,'RC Lookup'!$D$3:$E$18,2,FALSE)</f>
        <v>0</v>
      </c>
      <c r="AQ70" s="26">
        <f>_xlfn.IFNA(IF(LEFT('Rock Climbing Log'!AQ70)="C",_xlfn.IFNA(VLOOKUP('Rock Climbing Log'!AQ70,'RC Lookup'!$A$3:$B$9,2,FALSE),0.5),VLOOKUP('Rock Climbing Log'!AQ70,'RC Lookup'!$G$3:$H$5,2,FALSE)),0)*VLOOKUP(AQ$7,'RC Lookup'!$D$3:$E$18,2,FALSE)</f>
        <v>0</v>
      </c>
      <c r="AR70" s="26">
        <f>_xlfn.IFNA(IF(LEFT('Rock Climbing Log'!AR70)="C",_xlfn.IFNA(VLOOKUP('Rock Climbing Log'!AR70,'RC Lookup'!$A$3:$B$9,2,FALSE),0.5),VLOOKUP('Rock Climbing Log'!AR70,'RC Lookup'!$G$3:$H$5,2,FALSE)),0)*VLOOKUP(AQ$7,'RC Lookup'!$D$3:$E$18,2,FALSE)</f>
        <v>0</v>
      </c>
      <c r="AS70" s="26">
        <f>_xlfn.IFNA(IF(LEFT('Rock Climbing Log'!AS70)="C",_xlfn.IFNA(VLOOKUP('Rock Climbing Log'!AS70,'RC Lookup'!$A$3:$B$9,2,FALSE),0.5),VLOOKUP('Rock Climbing Log'!AS70,'RC Lookup'!$G$3:$H$5,2,FALSE)),0)*VLOOKUP(AQ$7,'RC Lookup'!$D$3:$E$18,2,FALSE)</f>
        <v>0</v>
      </c>
      <c r="AT70" s="26">
        <f>_xlfn.IFNA(IF(LEFT('Rock Climbing Log'!AT70)="C",_xlfn.IFNA(VLOOKUP('Rock Climbing Log'!AT70,'RC Lookup'!$A$3:$B$9,2,FALSE),0.5),VLOOKUP('Rock Climbing Log'!AT70,'RC Lookup'!$G$3:$H$5,2,FALSE)),0)*VLOOKUP(AT$7,'RC Lookup'!$D$3:$E$18,2,FALSE)</f>
        <v>0</v>
      </c>
      <c r="AU70" s="26">
        <f>_xlfn.IFNA(IF(LEFT('Rock Climbing Log'!AU70)="C",_xlfn.IFNA(VLOOKUP('Rock Climbing Log'!AU70,'RC Lookup'!$A$3:$B$9,2,FALSE),0.5),VLOOKUP('Rock Climbing Log'!AU70,'RC Lookup'!$G$3:$H$5,2,FALSE)),0)*VLOOKUP(AT$7,'RC Lookup'!$D$3:$E$18,2,FALSE)</f>
        <v>0</v>
      </c>
      <c r="AV70" s="26">
        <f>_xlfn.IFNA(IF(LEFT('Rock Climbing Log'!AV70)="C",_xlfn.IFNA(VLOOKUP('Rock Climbing Log'!AV70,'RC Lookup'!$A$3:$B$9,2,FALSE),0.5),VLOOKUP('Rock Climbing Log'!AV70,'RC Lookup'!$G$3:$H$5,2,FALSE)),0)*VLOOKUP(AT$7,'RC Lookup'!$D$3:$E$18,2,FALSE)</f>
        <v>0</v>
      </c>
      <c r="AW70" s="30">
        <f t="shared" ca="1" si="2"/>
        <v>103.12441758933291</v>
      </c>
      <c r="AX70" s="30">
        <f ca="1">_xlfn.IFNA(VLOOKUP(SUMPRODUCT(LARGE(($C$8:$C70=Table1[[#This Row],[Climber]])*$A$8:$A70,1)),$A$8:$AW70,MATCH($AW$7,$A$7:$AW$7,FALSE),FALSE),0)/LEFT($AX$7,FIND(" ",$AX$7))+_xlfn.IFNA(VLOOKUP(SUMPRODUCT(LARGE(($C$8:$C70=Table1[[#This Row],[Climber]])*$A$8:$A70,MIN(2,COUNTIFS($C$8:$C70,$C70)))),$A$8:$AW70,MATCH($AW$7,$A$7:$AW$7,FALSE),FALSE),0)/LEFT($AX$7,FIND(" ",$AX$7))+_xlfn.IFNA(VLOOKUP(SUMPRODUCT(LARGE(($C$8:$C70=Table1[[#This Row],[Climber]])*$A$8:$A70,MIN(3,COUNTIFS($C$8:$C70,$C70)))),$A$8:$AW70,MATCH($AW$7,$A$7:$AW$7,FALSE),FALSE),0)/LEFT($AX$7,FIND(" ",$AX$7))</f>
        <v>99.362578827466479</v>
      </c>
      <c r="AY70" s="30">
        <f ca="1">_xlfn.IFNA(VLOOKUP(SUMPRODUCT(LARGE(($C$8:$C70=Table1[[#This Row],[Climber]])*$A$8:$A70,1)),$A$8:$AW70,MATCH($AW$7,$A$7:$AW$7,FALSE),FALSE),0)/LEFT($AY$7,FIND(" ",$AY$7))+_xlfn.IFNA(VLOOKUP(SUMPRODUCT(LARGE(($C$8:$C70=Table1[[#This Row],[Climber]])*$A$8:$A70,MIN(2,COUNTIFS($C$8:$C70,$C70)))),$A$8:$AW70,MATCH($AW$7,$A$7:$AW$7,FALSE),FALSE),0)/LEFT($AY$7,FIND(" ",$AY$7))+_xlfn.IFNA(VLOOKUP(SUMPRODUCT(LARGE(($C$8:$C70=Table1[[#This Row],[Climber]])*$A$8:$A70,MIN(3,COUNTIFS($C$8:$C70,$C70)))),$A$8:$AW70,MATCH($AW$7,$A$7:$AW$7,FALSE),FALSE),0)/LEFT($AY$7,FIND(" ",$AY$7))+_xlfn.IFNA(VLOOKUP(SUMPRODUCT(LARGE(($C$8:$C70=Table1[[#This Row],[Climber]])*$A$8:$A70,MIN(4,COUNTIFS($C$8:$C70,$C70)))),$A$8:$AW70,MATCH($AW$7,$A$7:$AW$7,FALSE),FALSE),0)/LEFT($AY$7,FIND(" ",$AY$7))+_xlfn.IFNA(VLOOKUP(SUMPRODUCT(LARGE(($C$8:$C70=Table1[[#This Row],[Climber]])*$A$8:$A70,MIN(5,COUNTIFS($C$8:$C70,$C70)))),$A$8:$AW70,MATCH($AW$7,$A$7:$AW$7,FALSE),FALSE),0)/LEFT($AY$7,FIND(" ",$AY$7))</f>
        <v>97.648013062736766</v>
      </c>
      <c r="AZ70" s="30">
        <f ca="1">(_xlfn.IFNA(VLOOKUP(SUMPRODUCT(LARGE(($C$8:$C70=Table1[[#This Row],[Climber]])*$A$8:$A70,4)),$A$8:$AW70,MATCH($AW$7,$A$7:$AW$7,FALSE),FALSE),0)+_xlfn.IFNA(VLOOKUP(SUMPRODUCT(LARGE(($C$8:$C70=Table1[[#This Row],[Climber]])*$A$8:$A70,5)),$A$8:$AW70,MATCH($AW$7,$A$7:$AW$7,FALSE),FALSE),0)+_xlfn.IFNA(VLOOKUP(SUMPRODUCT(LARGE(($C$8:$C70=Table1[[#This Row],[Climber]])*$A$8:$A70,6)),$A$8:$AW70,MATCH($AW$7,$A$7:$AW$7,FALSE),FALSE),0))/3</f>
        <v>101.12227838415087</v>
      </c>
      <c r="BA70" s="46">
        <f ca="1">_xlfn.MAXIFS(INDIRECT("$AW"&amp;IF(SUMPRODUCT(LARGE(($C$8:$C70=$C70)*$A$8:$A70,LEFT($BA$7,FIND(" ",$BA$7)-1)))=0,8,SUMPRODUCT(LARGE(($C$8:$C70=$C70)*$A$8:$A70,LEFT($BA$7,FIND(" ",$BA$7)-1)))+7)&amp;":$AW"&amp;ROW()),INDIRECT("$C"&amp;IF(SUMPRODUCT(LARGE(($C$8:$C70=$C70)*$A$8:$A70,LEFT($BA$7,FIND(" ",$BA$7)-1)))=0,8,SUMPRODUCT(LARGE(($C$8:$C70=$C70)*$A$8:$A70,LEFT($BA$7,FIND(" ",$BA$7)-1)))+7)&amp;":$C"&amp;ROW()),$C70)</f>
        <v>104.44732740826649</v>
      </c>
      <c r="BB70" s="46" t="str">
        <f ca="1">VLOOKUP(MAX(BG70,$AX70),'RC Lookup'!$G$14:$J$20,2,TRUE)</f>
        <v>T3</v>
      </c>
      <c r="BC70" s="46">
        <f ca="1">_xlfn.IFNA(VLOOKUP(VLOOKUP($C70,'RC Lookup'!$O$3:$P$50,2,FALSE),'RC Lookup'!$H$14:$J$23,2,FALSE),0)*AW70</f>
        <v>79.138410389610385</v>
      </c>
      <c r="BD70" s="6">
        <f ca="1">_xlfn.IFNA(VLOOKUP(SUMPRODUCT(LARGE(($C$8:$C70=Table1[[#This Row],[Climber]])*$A$8:$A70,1)),$A$8:$BC70,55,FALSE),0)/LEFT($AX$7,FIND(" ",$AX$7))+_xlfn.IFNA(VLOOKUP(SUMPRODUCT(LARGE(($C$8:$C70=Table1[[#This Row],[Climber]])*$A$8:$A70,MIN(2,COUNTIFS($C$8:$C70,$C70)))),$A$8:$BC70,55,FALSE),0)/LEFT($AX$7,FIND(" ",$AX$7))+_xlfn.IFNA(VLOOKUP(SUMPRODUCT(LARGE(($C$8:$C70=Table1[[#This Row],[Climber]])*$A$8:$A70,MIN(3,COUNTIFS($C$8:$C70,$C70)))),$A$8:$BC70,55,FALSE),0)/LEFT($AX$7,FIND(" ",$AX$7))</f>
        <v>76.251548609293053</v>
      </c>
      <c r="BE70" s="6">
        <f ca="1">(_xlfn.IFNA(VLOOKUP(SUMPRODUCT(LARGE(($C$8:$C70=Table1[[#This Row],[Climber]])*$A$8:$A70,4)),$A$8:$BD70,55,FALSE),0)+_xlfn.IFNA(VLOOKUP(SUMPRODUCT(LARGE(($C$8:$C70=Table1[[#This Row],[Climber]])*$A$8:$A70,5)),$A$8:$BD70,55,FALSE),0)+_xlfn.IFNA(VLOOKUP(SUMPRODUCT(LARGE(($C$8:$C70=Table1[[#This Row],[Climber]])*$A$8:$A70,6)),$A$8:$BD70,55,FALSE),0))/3</f>
        <v>77.601954545488226</v>
      </c>
      <c r="BF70" s="46">
        <f ca="1">_xlfn.MAXIFS(INDIRECT("$BC"&amp;IF(SUMPRODUCT(LARGE(($C$8:$C70=$C70)*$A$8:$A70,LEFT($BA$7,FIND(" ",$BA$7)-1)))=0,8,SUMPRODUCT(LARGE(($C$8:$C70=$C70)*$A$8:$A70,LEFT($BA$7,FIND(" ",$BA$7)-1)))+7)&amp;":$BC"&amp;ROW()),INDIRECT("$C"&amp;IF(SUMPRODUCT(LARGE(($C$8:$C70=$C70)*$A$8:$A70,LEFT($BA$7,FIND(" ",$BA$7)-1)))=0,8,SUMPRODUCT(LARGE(($C$8:$C70=$C70)*$A$8:$A70,LEFT($BA$7,FIND(" ",$BA$7)-1)))+7)&amp;":$C"&amp;ROW()),$C70)</f>
        <v>80.153620779220773</v>
      </c>
      <c r="BG70" s="46">
        <f t="array" aca="1" ref="BG70" ca="1">IFERROR(SUMPRODUCT(LARGE(($C$8:$C70=Table1[[#This Row],[Climber]])*$AW$8:$AW70,ROW(INDIRECT("1:5")))),AW70)/MIN(COUNTIFS($C$8:$C70,C70),5)</f>
        <v>102.18771603001041</v>
      </c>
    </row>
    <row r="71" spans="1:59" x14ac:dyDescent="0.3">
      <c r="A71" s="125">
        <f t="shared" si="1"/>
        <v>64</v>
      </c>
      <c r="B71" s="25">
        <f>'Rock Climbing Log'!B71</f>
        <v>43161</v>
      </c>
      <c r="C71" s="126" t="str">
        <f>'Rock Climbing Log'!C71</f>
        <v>Michelle</v>
      </c>
      <c r="D71" s="26">
        <f>_xlfn.IFNA(IF(LEFT('Rock Climbing Log'!D71)="C",_xlfn.IFNA(VLOOKUP('Rock Climbing Log'!D71,'RC Lookup'!$A$3:$B$9,2,FALSE),0.5),VLOOKUP('Rock Climbing Log'!D71,'RC Lookup'!$G$3:$H$5,2,FALSE)),0)*VLOOKUP(D$7,'RC Lookup'!$D$3:$E$18,2,FALSE)</f>
        <v>0</v>
      </c>
      <c r="E71" s="26">
        <f>_xlfn.IFNA(IF(LEFT('Rock Climbing Log'!E71)="C",_xlfn.IFNA(VLOOKUP('Rock Climbing Log'!E71,'RC Lookup'!$A$3:$B$9,2,FALSE),0.5),VLOOKUP('Rock Climbing Log'!E71,'RC Lookup'!$G$3:$H$5,2,FALSE)),0)*VLOOKUP(D$7,'RC Lookup'!$D$3:$E$18,2,FALSE)</f>
        <v>0</v>
      </c>
      <c r="F71" s="26">
        <f>_xlfn.IFNA(IF(LEFT('Rock Climbing Log'!F71)="C",_xlfn.IFNA(VLOOKUP('Rock Climbing Log'!F71,'RC Lookup'!$A$3:$B$9,2,FALSE),0.5),VLOOKUP('Rock Climbing Log'!F71,'RC Lookup'!$G$3:$H$5,2,FALSE)),0)*VLOOKUP(D$7,'RC Lookup'!$D$3:$E$18,2,FALSE)</f>
        <v>0</v>
      </c>
      <c r="G71" s="26">
        <f>_xlfn.IFNA(IF(LEFT('Rock Climbing Log'!G71)="C",_xlfn.IFNA(VLOOKUP('Rock Climbing Log'!G71,'RC Lookup'!$A$3:$B$9,2,FALSE),0.5),VLOOKUP('Rock Climbing Log'!G71,'RC Lookup'!$G$3:$H$5,2,FALSE)),0)*VLOOKUP(G$7,'RC Lookup'!$D$3:$E$18,2,FALSE)</f>
        <v>0</v>
      </c>
      <c r="H71" s="26">
        <f>_xlfn.IFNA(IF(LEFT('Rock Climbing Log'!H71)="C",_xlfn.IFNA(VLOOKUP('Rock Climbing Log'!H71,'RC Lookup'!$A$3:$B$9,2,FALSE),0.5),VLOOKUP('Rock Climbing Log'!H71,'RC Lookup'!$G$3:$H$5,2,FALSE)),0)*VLOOKUP(G$7,'RC Lookup'!$D$3:$E$18,2,FALSE)</f>
        <v>0</v>
      </c>
      <c r="I71" s="26">
        <f>_xlfn.IFNA(IF(LEFT('Rock Climbing Log'!I71)="C",_xlfn.IFNA(VLOOKUP('Rock Climbing Log'!I71,'RC Lookup'!$A$3:$B$9,2,FALSE),0.5),VLOOKUP('Rock Climbing Log'!I71,'RC Lookup'!$G$3:$H$5,2,FALSE)),0)*VLOOKUP(G$7,'RC Lookup'!$D$3:$E$18,2,FALSE)</f>
        <v>0</v>
      </c>
      <c r="J71" s="26">
        <f>_xlfn.IFNA(IF(LEFT('Rock Climbing Log'!J71)="C",_xlfn.IFNA(VLOOKUP('Rock Climbing Log'!J71,'RC Lookup'!$A$3:$B$9,2,FALSE),0.5),VLOOKUP('Rock Climbing Log'!J71,'RC Lookup'!$G$3:$H$5,2,FALSE)),0)*VLOOKUP(J$7,'RC Lookup'!$D$3:$E$18,2,FALSE)</f>
        <v>15.75</v>
      </c>
      <c r="K71" s="26">
        <f>_xlfn.IFNA(IF(LEFT('Rock Climbing Log'!K71)="C",_xlfn.IFNA(VLOOKUP('Rock Climbing Log'!K71,'RC Lookup'!$A$3:$B$9,2,FALSE),0.5),VLOOKUP('Rock Climbing Log'!K71,'RC Lookup'!$G$3:$H$5,2,FALSE)),0)*VLOOKUP(J$7,'RC Lookup'!$D$3:$E$18,2,FALSE)</f>
        <v>15.75</v>
      </c>
      <c r="L71" s="26">
        <f>_xlfn.IFNA(IF(LEFT('Rock Climbing Log'!L71)="C",_xlfn.IFNA(VLOOKUP('Rock Climbing Log'!L71,'RC Lookup'!$A$3:$B$9,2,FALSE),0.5),VLOOKUP('Rock Climbing Log'!L71,'RC Lookup'!$G$3:$H$5,2,FALSE)),0)*VLOOKUP(J$7,'RC Lookup'!$D$3:$E$18,2,FALSE)</f>
        <v>0</v>
      </c>
      <c r="M71" s="26">
        <f>_xlfn.IFNA(IF(LEFT('Rock Climbing Log'!M71)="C",_xlfn.IFNA(VLOOKUP('Rock Climbing Log'!M71,'RC Lookup'!$A$3:$B$9,2,FALSE),0.5),VLOOKUP('Rock Climbing Log'!M71,'RC Lookup'!$G$3:$H$5,2,FALSE)),0)*VLOOKUP(M$7,'RC Lookup'!$D$3:$E$18,2,FALSE)</f>
        <v>20.002500000000001</v>
      </c>
      <c r="N71" s="26">
        <f>_xlfn.IFNA(IF(LEFT('Rock Climbing Log'!N71)="C",_xlfn.IFNA(VLOOKUP('Rock Climbing Log'!N71,'RC Lookup'!$A$3:$B$9,2,FALSE),0.5),VLOOKUP('Rock Climbing Log'!N71,'RC Lookup'!$G$3:$H$5,2,FALSE)),0)*VLOOKUP(M$7,'RC Lookup'!$D$3:$E$18,2,FALSE)</f>
        <v>10.001250000000001</v>
      </c>
      <c r="O71" s="26">
        <f>_xlfn.IFNA(IF(LEFT('Rock Climbing Log'!O71)="C",_xlfn.IFNA(VLOOKUP('Rock Climbing Log'!O71,'RC Lookup'!$A$3:$B$9,2,FALSE),0.5),VLOOKUP('Rock Climbing Log'!O71,'RC Lookup'!$G$3:$H$5,2,FALSE)),0)*VLOOKUP(M$7,'RC Lookup'!$D$3:$E$18,2,FALSE)</f>
        <v>0</v>
      </c>
      <c r="P71" s="26">
        <f>_xlfn.IFNA(IF(LEFT('Rock Climbing Log'!P71)="C",_xlfn.IFNA(VLOOKUP('Rock Climbing Log'!P71,'RC Lookup'!$A$3:$B$9,2,FALSE),0.5),VLOOKUP('Rock Climbing Log'!P71,'RC Lookup'!$G$3:$H$5,2,FALSE)),0)*VLOOKUP(P$7,'RC Lookup'!$D$3:$E$18,2,FALSE)</f>
        <v>11.961495000000003</v>
      </c>
      <c r="Q71" s="26">
        <f>_xlfn.IFNA(IF(LEFT('Rock Climbing Log'!Q71)="C",_xlfn.IFNA(VLOOKUP('Rock Climbing Log'!Q71,'RC Lookup'!$A$3:$B$9,2,FALSE),0.5),VLOOKUP('Rock Climbing Log'!Q71,'RC Lookup'!$G$3:$H$5,2,FALSE)),0)*VLOOKUP(P$7,'RC Lookup'!$D$3:$E$18,2,FALSE)</f>
        <v>0</v>
      </c>
      <c r="R71" s="26">
        <f>_xlfn.IFNA(IF(LEFT('Rock Climbing Log'!R71)="C",_xlfn.IFNA(VLOOKUP('Rock Climbing Log'!R71,'RC Lookup'!$A$3:$B$9,2,FALSE),0.5),VLOOKUP('Rock Climbing Log'!R71,'RC Lookup'!$G$3:$H$5,2,FALSE)),0)*VLOOKUP(P$7,'RC Lookup'!$D$3:$E$18,2,FALSE)</f>
        <v>0</v>
      </c>
      <c r="S71" s="26">
        <f>_xlfn.IFNA(IF(LEFT('Rock Climbing Log'!S71)="C",_xlfn.IFNA(VLOOKUP('Rock Climbing Log'!S71,'RC Lookup'!$A$3:$B$9,2,FALSE),0.5),VLOOKUP('Rock Climbing Log'!S71,'RC Lookup'!$G$3:$H$5,2,FALSE)),0)*VLOOKUP(S$7,'RC Lookup'!$D$3:$E$18,2,FALSE)</f>
        <v>0</v>
      </c>
      <c r="T71" s="26">
        <f>_xlfn.IFNA(IF(LEFT('Rock Climbing Log'!T71)="C",_xlfn.IFNA(VLOOKUP('Rock Climbing Log'!T71,'RC Lookup'!$A$3:$B$9,2,FALSE),0.5),VLOOKUP('Rock Climbing Log'!T71,'RC Lookup'!$G$3:$H$5,2,FALSE)),0)*VLOOKUP(S$7,'RC Lookup'!$D$3:$E$18,2,FALSE)</f>
        <v>0</v>
      </c>
      <c r="U71" s="26">
        <f>_xlfn.IFNA(IF(LEFT('Rock Climbing Log'!U71)="C",_xlfn.IFNA(VLOOKUP('Rock Climbing Log'!U71,'RC Lookup'!$A$3:$B$9,2,FALSE),0.5),VLOOKUP('Rock Climbing Log'!U71,'RC Lookup'!$G$3:$H$5,2,FALSE)),0)*VLOOKUP(S$7,'RC Lookup'!$D$3:$E$18,2,FALSE)</f>
        <v>0</v>
      </c>
      <c r="V71" s="26">
        <f>_xlfn.IFNA(IF(LEFT('Rock Climbing Log'!V71)="C",_xlfn.IFNA(VLOOKUP('Rock Climbing Log'!V71,'RC Lookup'!$A$3:$B$9,2,FALSE),0.5),VLOOKUP('Rock Climbing Log'!V71,'RC Lookup'!$G$3:$H$5,2,FALSE)),0)*VLOOKUP(V$7,'RC Lookup'!$D$3:$E$18,2,FALSE)</f>
        <v>17.628372871200011</v>
      </c>
      <c r="W71" s="26">
        <f>_xlfn.IFNA(IF(LEFT('Rock Climbing Log'!W71)="C",_xlfn.IFNA(VLOOKUP('Rock Climbing Log'!W71,'RC Lookup'!$A$3:$B$9,2,FALSE),0.5),VLOOKUP('Rock Climbing Log'!W71,'RC Lookup'!$G$3:$H$5,2,FALSE)),0)*VLOOKUP(V$7,'RC Lookup'!$D$3:$E$18,2,FALSE)</f>
        <v>17.628372871200011</v>
      </c>
      <c r="X71" s="26">
        <f>_xlfn.IFNA(IF(LEFT('Rock Climbing Log'!X71)="C",_xlfn.IFNA(VLOOKUP('Rock Climbing Log'!X71,'RC Lookup'!$A$3:$B$9,2,FALSE),0.5),VLOOKUP('Rock Climbing Log'!X71,'RC Lookup'!$G$3:$H$5,2,FALSE)),0)*VLOOKUP(V$7,'RC Lookup'!$D$3:$E$18,2,FALSE)</f>
        <v>0</v>
      </c>
      <c r="Y71" s="26">
        <f>_xlfn.IFNA(IF(LEFT('Rock Climbing Log'!Y71)="C",_xlfn.IFNA(VLOOKUP('Rock Climbing Log'!Y71,'RC Lookup'!$A$3:$B$9,2,FALSE),0.5),VLOOKUP('Rock Climbing Log'!Y71,'RC Lookup'!$G$3:$H$5,2,FALSE)),0)*VLOOKUP(Y$7,'RC Lookup'!$D$3:$E$18,2,FALSE)</f>
        <v>0</v>
      </c>
      <c r="Z71" s="26">
        <f>_xlfn.IFNA(IF(LEFT('Rock Climbing Log'!Z71)="C",_xlfn.IFNA(VLOOKUP('Rock Climbing Log'!Z71,'RC Lookup'!$A$3:$B$9,2,FALSE),0.5),VLOOKUP('Rock Climbing Log'!Z71,'RC Lookup'!$G$3:$H$5,2,FALSE)),0)*VLOOKUP(Y$7,'RC Lookup'!$D$3:$E$18,2,FALSE)</f>
        <v>0</v>
      </c>
      <c r="AA71" s="26">
        <f>_xlfn.IFNA(IF(LEFT('Rock Climbing Log'!AA71)="C",_xlfn.IFNA(VLOOKUP('Rock Climbing Log'!AA71,'RC Lookup'!$A$3:$B$9,2,FALSE),0.5),VLOOKUP('Rock Climbing Log'!AA71,'RC Lookup'!$G$3:$H$5,2,FALSE)),0)*VLOOKUP(Y$7,'RC Lookup'!$D$3:$E$18,2,FALSE)</f>
        <v>0</v>
      </c>
      <c r="AB71" s="26">
        <f>_xlfn.IFNA(IF(LEFT('Rock Climbing Log'!AB71)="C",_xlfn.IFNA(VLOOKUP('Rock Climbing Log'!AB71,'RC Lookup'!$A$3:$B$9,2,FALSE),0.5),VLOOKUP('Rock Climbing Log'!AB71,'RC Lookup'!$G$3:$H$5,2,FALSE)),0)*VLOOKUP(AB$7,'RC Lookup'!$D$3:$E$18,2,FALSE)</f>
        <v>0</v>
      </c>
      <c r="AC71" s="26">
        <f>_xlfn.IFNA(IF(LEFT('Rock Climbing Log'!AC71)="C",_xlfn.IFNA(VLOOKUP('Rock Climbing Log'!AC71,'RC Lookup'!$A$3:$B$9,2,FALSE),0.5),VLOOKUP('Rock Climbing Log'!AC71,'RC Lookup'!$G$3:$H$5,2,FALSE)),0)*VLOOKUP(AB$7,'RC Lookup'!$D$3:$E$18,2,FALSE)</f>
        <v>0</v>
      </c>
      <c r="AD71" s="26">
        <f>_xlfn.IFNA(IF(LEFT('Rock Climbing Log'!AD71)="C",_xlfn.IFNA(VLOOKUP('Rock Climbing Log'!AD71,'RC Lookup'!$A$3:$B$9,2,FALSE),0.5),VLOOKUP('Rock Climbing Log'!AD71,'RC Lookup'!$G$3:$H$5,2,FALSE)),0)*VLOOKUP(AB$7,'RC Lookup'!$D$3:$E$18,2,FALSE)</f>
        <v>0</v>
      </c>
      <c r="AE71" s="26">
        <f>_xlfn.IFNA(IF(LEFT('Rock Climbing Log'!AE71)="C",_xlfn.IFNA(VLOOKUP('Rock Climbing Log'!AE71,'RC Lookup'!$A$3:$B$9,2,FALSE),0.5),VLOOKUP('Rock Climbing Log'!AE71,'RC Lookup'!$G$3:$H$5,2,FALSE)),0)*VLOOKUP(AE$7,'RC Lookup'!$D$3:$E$18,2,FALSE)</f>
        <v>0</v>
      </c>
      <c r="AF71" s="26">
        <f>_xlfn.IFNA(IF(LEFT('Rock Climbing Log'!AF71)="C",_xlfn.IFNA(VLOOKUP('Rock Climbing Log'!AF71,'RC Lookup'!$A$3:$B$9,2,FALSE),0.5),VLOOKUP('Rock Climbing Log'!AF71,'RC Lookup'!$G$3:$H$5,2,FALSE)),0)*VLOOKUP(AE$7,'RC Lookup'!$D$3:$E$18,2,FALSE)</f>
        <v>0</v>
      </c>
      <c r="AG71" s="26">
        <f>_xlfn.IFNA(IF(LEFT('Rock Climbing Log'!AG71)="C",_xlfn.IFNA(VLOOKUP('Rock Climbing Log'!AG71,'RC Lookup'!$A$3:$B$9,2,FALSE),0.5),VLOOKUP('Rock Climbing Log'!AG71,'RC Lookup'!$G$3:$H$5,2,FALSE)),0)*VLOOKUP(AE$7,'RC Lookup'!$D$3:$E$18,2,FALSE)</f>
        <v>0</v>
      </c>
      <c r="AH71" s="26">
        <f>_xlfn.IFNA(IF(LEFT('Rock Climbing Log'!AH71)="C",_xlfn.IFNA(VLOOKUP('Rock Climbing Log'!AH71,'RC Lookup'!$A$3:$B$9,2,FALSE),0.5),VLOOKUP('Rock Climbing Log'!AH71,'RC Lookup'!$G$3:$H$5,2,FALSE)),0)*VLOOKUP(AH$7,'RC Lookup'!$D$3:$E$18,2,FALSE)</f>
        <v>0</v>
      </c>
      <c r="AI71" s="26">
        <f>_xlfn.IFNA(IF(LEFT('Rock Climbing Log'!AI71)="C",_xlfn.IFNA(VLOOKUP('Rock Climbing Log'!AI71,'RC Lookup'!$A$3:$B$9,2,FALSE),0.5),VLOOKUP('Rock Climbing Log'!AI71,'RC Lookup'!$G$3:$H$5,2,FALSE)),0)*VLOOKUP(AH$7,'RC Lookup'!$D$3:$E$18,2,FALSE)</f>
        <v>0</v>
      </c>
      <c r="AJ71" s="26">
        <f>_xlfn.IFNA(IF(LEFT('Rock Climbing Log'!AJ71)="C",_xlfn.IFNA(VLOOKUP('Rock Climbing Log'!AJ71,'RC Lookup'!$A$3:$B$9,2,FALSE),0.5),VLOOKUP('Rock Climbing Log'!AJ71,'RC Lookup'!$G$3:$H$5,2,FALSE)),0)*VLOOKUP(AH$7,'RC Lookup'!$D$3:$E$18,2,FALSE)</f>
        <v>0</v>
      </c>
      <c r="AK71" s="26">
        <f>_xlfn.IFNA(IF(LEFT('Rock Climbing Log'!AK71)="C",_xlfn.IFNA(VLOOKUP('Rock Climbing Log'!AK71,'RC Lookup'!$A$3:$B$9,2,FALSE),0.5),VLOOKUP('Rock Climbing Log'!AK71,'RC Lookup'!$G$3:$H$5,2,FALSE)),0)*VLOOKUP(AK$7,'RC Lookup'!$D$3:$E$18,2,FALSE)</f>
        <v>0</v>
      </c>
      <c r="AL71" s="26">
        <f>_xlfn.IFNA(IF(LEFT('Rock Climbing Log'!AL71)="C",_xlfn.IFNA(VLOOKUP('Rock Climbing Log'!AL71,'RC Lookup'!$A$3:$B$9,2,FALSE),0.5),VLOOKUP('Rock Climbing Log'!AL71,'RC Lookup'!$G$3:$H$5,2,FALSE)),0)*VLOOKUP(AK$7,'RC Lookup'!$D$3:$E$18,2,FALSE)</f>
        <v>0</v>
      </c>
      <c r="AM71" s="26">
        <f>_xlfn.IFNA(IF(LEFT('Rock Climbing Log'!AM71)="C",_xlfn.IFNA(VLOOKUP('Rock Climbing Log'!AM71,'RC Lookup'!$A$3:$B$9,2,FALSE),0.5),VLOOKUP('Rock Climbing Log'!AM71,'RC Lookup'!$G$3:$H$5,2,FALSE)),0)*VLOOKUP(AK$7,'RC Lookup'!$D$3:$E$18,2,FALSE)</f>
        <v>0</v>
      </c>
      <c r="AN71" s="26">
        <f>_xlfn.IFNA(IF(LEFT('Rock Climbing Log'!AN71)="C",_xlfn.IFNA(VLOOKUP('Rock Climbing Log'!AN71,'RC Lookup'!$A$3:$B$9,2,FALSE),0.5),VLOOKUP('Rock Climbing Log'!AN71,'RC Lookup'!$G$3:$H$5,2,FALSE)),0)*VLOOKUP(AN$7,'RC Lookup'!$D$3:$E$18,2,FALSE)</f>
        <v>0</v>
      </c>
      <c r="AO71" s="26">
        <f>_xlfn.IFNA(IF(LEFT('Rock Climbing Log'!AO71)="C",_xlfn.IFNA(VLOOKUP('Rock Climbing Log'!AO71,'RC Lookup'!$A$3:$B$9,2,FALSE),0.5),VLOOKUP('Rock Climbing Log'!AO71,'RC Lookup'!$G$3:$H$5,2,FALSE)),0)*VLOOKUP(AN$7,'RC Lookup'!$D$3:$E$18,2,FALSE)</f>
        <v>0</v>
      </c>
      <c r="AP71" s="26">
        <f>_xlfn.IFNA(IF(LEFT('Rock Climbing Log'!AP71)="C",_xlfn.IFNA(VLOOKUP('Rock Climbing Log'!AP71,'RC Lookup'!$A$3:$B$9,2,FALSE),0.5),VLOOKUP('Rock Climbing Log'!AP71,'RC Lookup'!$G$3:$H$5,2,FALSE)),0)*VLOOKUP(AN$7,'RC Lookup'!$D$3:$E$18,2,FALSE)</f>
        <v>0</v>
      </c>
      <c r="AQ71" s="26">
        <f>_xlfn.IFNA(IF(LEFT('Rock Climbing Log'!AQ71)="C",_xlfn.IFNA(VLOOKUP('Rock Climbing Log'!AQ71,'RC Lookup'!$A$3:$B$9,2,FALSE),0.5),VLOOKUP('Rock Climbing Log'!AQ71,'RC Lookup'!$G$3:$H$5,2,FALSE)),0)*VLOOKUP(AQ$7,'RC Lookup'!$D$3:$E$18,2,FALSE)</f>
        <v>0</v>
      </c>
      <c r="AR71" s="26">
        <f>_xlfn.IFNA(IF(LEFT('Rock Climbing Log'!AR71)="C",_xlfn.IFNA(VLOOKUP('Rock Climbing Log'!AR71,'RC Lookup'!$A$3:$B$9,2,FALSE),0.5),VLOOKUP('Rock Climbing Log'!AR71,'RC Lookup'!$G$3:$H$5,2,FALSE)),0)*VLOOKUP(AQ$7,'RC Lookup'!$D$3:$E$18,2,FALSE)</f>
        <v>0</v>
      </c>
      <c r="AS71" s="26">
        <f>_xlfn.IFNA(IF(LEFT('Rock Climbing Log'!AS71)="C",_xlfn.IFNA(VLOOKUP('Rock Climbing Log'!AS71,'RC Lookup'!$A$3:$B$9,2,FALSE),0.5),VLOOKUP('Rock Climbing Log'!AS71,'RC Lookup'!$G$3:$H$5,2,FALSE)),0)*VLOOKUP(AQ$7,'RC Lookup'!$D$3:$E$18,2,FALSE)</f>
        <v>0</v>
      </c>
      <c r="AT71" s="26">
        <f>_xlfn.IFNA(IF(LEFT('Rock Climbing Log'!AT71)="C",_xlfn.IFNA(VLOOKUP('Rock Climbing Log'!AT71,'RC Lookup'!$A$3:$B$9,2,FALSE),0.5),VLOOKUP('Rock Climbing Log'!AT71,'RC Lookup'!$G$3:$H$5,2,FALSE)),0)*VLOOKUP(AT$7,'RC Lookup'!$D$3:$E$18,2,FALSE)</f>
        <v>0</v>
      </c>
      <c r="AU71" s="26">
        <f>_xlfn.IFNA(IF(LEFT('Rock Climbing Log'!AU71)="C",_xlfn.IFNA(VLOOKUP('Rock Climbing Log'!AU71,'RC Lookup'!$A$3:$B$9,2,FALSE),0.5),VLOOKUP('Rock Climbing Log'!AU71,'RC Lookup'!$G$3:$H$5,2,FALSE)),0)*VLOOKUP(AT$7,'RC Lookup'!$D$3:$E$18,2,FALSE)</f>
        <v>0</v>
      </c>
      <c r="AV71" s="26">
        <f>_xlfn.IFNA(IF(LEFT('Rock Climbing Log'!AV71)="C",_xlfn.IFNA(VLOOKUP('Rock Climbing Log'!AV71,'RC Lookup'!$A$3:$B$9,2,FALSE),0.5),VLOOKUP('Rock Climbing Log'!AV71,'RC Lookup'!$G$3:$H$5,2,FALSE)),0)*VLOOKUP(AT$7,'RC Lookup'!$D$3:$E$18,2,FALSE)</f>
        <v>0</v>
      </c>
      <c r="AW71" s="30">
        <f t="shared" ca="1" si="2"/>
        <v>55.259245742400026</v>
      </c>
      <c r="AX71" s="30">
        <f ca="1">_xlfn.IFNA(VLOOKUP(SUMPRODUCT(LARGE(($C$8:$C71=Table1[[#This Row],[Climber]])*$A$8:$A71,1)),$A$8:$AW71,MATCH($AW$7,$A$7:$AW$7,FALSE),FALSE),0)/LEFT($AX$7,FIND(" ",$AX$7))+_xlfn.IFNA(VLOOKUP(SUMPRODUCT(LARGE(($C$8:$C71=Table1[[#This Row],[Climber]])*$A$8:$A71,MIN(2,COUNTIFS($C$8:$C71,$C71)))),$A$8:$AW71,MATCH($AW$7,$A$7:$AW$7,FALSE),FALSE),0)/LEFT($AX$7,FIND(" ",$AX$7))+_xlfn.IFNA(VLOOKUP(SUMPRODUCT(LARGE(($C$8:$C71=Table1[[#This Row],[Climber]])*$A$8:$A71,MIN(3,COUNTIFS($C$8:$C71,$C71)))),$A$8:$AW71,MATCH($AW$7,$A$7:$AW$7,FALSE),FALSE),0)/LEFT($AX$7,FIND(" ",$AX$7))</f>
        <v>67.176745742400016</v>
      </c>
      <c r="AY71" s="30">
        <f ca="1">_xlfn.IFNA(VLOOKUP(SUMPRODUCT(LARGE(($C$8:$C71=Table1[[#This Row],[Climber]])*$A$8:$A71,1)),$A$8:$AW71,MATCH($AW$7,$A$7:$AW$7,FALSE),FALSE),0)/LEFT($AY$7,FIND(" ",$AY$7))+_xlfn.IFNA(VLOOKUP(SUMPRODUCT(LARGE(($C$8:$C71=Table1[[#This Row],[Climber]])*$A$8:$A71,MIN(2,COUNTIFS($C$8:$C71,$C71)))),$A$8:$AW71,MATCH($AW$7,$A$7:$AW$7,FALSE),FALSE),0)/LEFT($AY$7,FIND(" ",$AY$7))+_xlfn.IFNA(VLOOKUP(SUMPRODUCT(LARGE(($C$8:$C71=Table1[[#This Row],[Climber]])*$A$8:$A71,MIN(3,COUNTIFS($C$8:$C71,$C71)))),$A$8:$AW71,MATCH($AW$7,$A$7:$AW$7,FALSE),FALSE),0)/LEFT($AY$7,FIND(" ",$AY$7))+_xlfn.IFNA(VLOOKUP(SUMPRODUCT(LARGE(($C$8:$C71=Table1[[#This Row],[Climber]])*$A$8:$A71,MIN(4,COUNTIFS($C$8:$C71,$C71)))),$A$8:$AW71,MATCH($AW$7,$A$7:$AW$7,FALSE),FALSE),0)/LEFT($AY$7,FIND(" ",$AY$7))+_xlfn.IFNA(VLOOKUP(SUMPRODUCT(LARGE(($C$8:$C71=Table1[[#This Row],[Climber]])*$A$8:$A71,MIN(5,COUNTIFS($C$8:$C71,$C71)))),$A$8:$AW71,MATCH($AW$7,$A$7:$AW$7,FALSE),FALSE),0)/LEFT($AY$7,FIND(" ",$AY$7))</f>
        <v>66.034571168160028</v>
      </c>
      <c r="AZ71" s="30">
        <f ca="1">(_xlfn.IFNA(VLOOKUP(SUMPRODUCT(LARGE(($C$8:$C71=Table1[[#This Row],[Climber]])*$A$8:$A71,4)),$A$8:$AW71,MATCH($AW$7,$A$7:$AW$7,FALSE),FALSE),0)+_xlfn.IFNA(VLOOKUP(SUMPRODUCT(LARGE(($C$8:$C71=Table1[[#This Row],[Climber]])*$A$8:$A71,5)),$A$8:$AW71,MATCH($AW$7,$A$7:$AW$7,FALSE),FALSE),0)+_xlfn.IFNA(VLOOKUP(SUMPRODUCT(LARGE(($C$8:$C71=Table1[[#This Row],[Climber]])*$A$8:$A71,6)),$A$8:$AW71,MATCH($AW$7,$A$7:$AW$7,FALSE),FALSE),0))/3</f>
        <v>61.842273165062899</v>
      </c>
      <c r="BA71" s="46">
        <f ca="1">_xlfn.MAXIFS(INDIRECT("$AW"&amp;IF(SUMPRODUCT(LARGE(($C$8:$C71=$C71)*$A$8:$A71,LEFT($BA$7,FIND(" ",$BA$7)-1)))=0,8,SUMPRODUCT(LARGE(($C$8:$C71=$C71)*$A$8:$A71,LEFT($BA$7,FIND(" ",$BA$7)-1)))+7)&amp;":$AW"&amp;ROW()),INDIRECT("$C"&amp;IF(SUMPRODUCT(LARGE(($C$8:$C71=$C71)*$A$8:$A71,LEFT($BA$7,FIND(" ",$BA$7)-1)))=0,8,SUMPRODUCT(LARGE(($C$8:$C71=$C71)*$A$8:$A71,LEFT($BA$7,FIND(" ",$BA$7)-1)))+7)&amp;":$C"&amp;ROW()),$C71)</f>
        <v>75.261745742400024</v>
      </c>
      <c r="BB71" s="46" t="str">
        <f ca="1">VLOOKUP(MAX(BG71,$AX71),'RC Lookup'!$G$14:$J$20,2,TRUE)</f>
        <v>T2</v>
      </c>
      <c r="BC71" s="46">
        <f ca="1">_xlfn.IFNA(VLOOKUP(VLOOKUP($C71,'RC Lookup'!$O$3:$P$50,2,FALSE),'RC Lookup'!$H$14:$J$23,2,FALSE),0)*AW71</f>
        <v>63.738421670468888</v>
      </c>
      <c r="BD71" s="6">
        <f ca="1">_xlfn.IFNA(VLOOKUP(SUMPRODUCT(LARGE(($C$8:$C71=Table1[[#This Row],[Climber]])*$A$8:$A71,1)),$A$8:$BC71,55,FALSE),0)/LEFT($AX$7,FIND(" ",$AX$7))+_xlfn.IFNA(VLOOKUP(SUMPRODUCT(LARGE(($C$8:$C71=Table1[[#This Row],[Climber]])*$A$8:$A71,MIN(2,COUNTIFS($C$8:$C71,$C71)))),$A$8:$BC71,55,FALSE),0)/LEFT($AX$7,FIND(" ",$AX$7))+_xlfn.IFNA(VLOOKUP(SUMPRODUCT(LARGE(($C$8:$C71=Table1[[#This Row],[Climber]])*$A$8:$A71,MIN(3,COUNTIFS($C$8:$C71,$C71)))),$A$8:$BC71,55,FALSE),0)/LEFT($AX$7,FIND(" ",$AX$7))</f>
        <v>77.484585412891732</v>
      </c>
      <c r="BE71" s="6">
        <f ca="1">(_xlfn.IFNA(VLOOKUP(SUMPRODUCT(LARGE(($C$8:$C71=Table1[[#This Row],[Climber]])*$A$8:$A71,4)),$A$8:$BD71,55,FALSE),0)+_xlfn.IFNA(VLOOKUP(SUMPRODUCT(LARGE(($C$8:$C71=Table1[[#This Row],[Climber]])*$A$8:$A71,5)),$A$8:$BD71,55,FALSE),0)+_xlfn.IFNA(VLOOKUP(SUMPRODUCT(LARGE(($C$8:$C71=Table1[[#This Row],[Climber]])*$A$8:$A71,6)),$A$8:$BD71,55,FALSE),0))/3</f>
        <v>71.3315723205871</v>
      </c>
      <c r="BF71" s="46">
        <f ca="1">_xlfn.MAXIFS(INDIRECT("$BC"&amp;IF(SUMPRODUCT(LARGE(($C$8:$C71=$C71)*$A$8:$A71,LEFT($BA$7,FIND(" ",$BA$7)-1)))=0,8,SUMPRODUCT(LARGE(($C$8:$C71=$C71)*$A$8:$A71,LEFT($BA$7,FIND(" ",$BA$7)-1)))+7)&amp;":$BC"&amp;ROW()),INDIRECT("$C"&amp;IF(SUMPRODUCT(LARGE(($C$8:$C71=$C71)*$A$8:$A71,LEFT($BA$7,FIND(" ",$BA$7)-1)))=0,8,SUMPRODUCT(LARGE(($C$8:$C71=$C71)*$A$8:$A71,LEFT($BA$7,FIND(" ",$BA$7)-1)))+7)&amp;":$C"&amp;ROW()),$C71)</f>
        <v>86.810176674271105</v>
      </c>
      <c r="BG71" s="46">
        <f t="array" aca="1" ref="BG71" ca="1">IFERROR(SUMPRODUCT(LARGE(($C$8:$C71=Table1[[#This Row],[Climber]])*$AW$8:$AW71,ROW(INDIRECT("1:5")))),AW71)/MIN(COUNTIFS($C$8:$C71,C71),5)</f>
        <v>66.735236770237748</v>
      </c>
    </row>
    <row r="72" spans="1:59" x14ac:dyDescent="0.3">
      <c r="A72" s="125">
        <f t="shared" si="1"/>
        <v>65</v>
      </c>
      <c r="B72" s="25">
        <f>'Rock Climbing Log'!B72</f>
        <v>43163</v>
      </c>
      <c r="C72" s="126" t="str">
        <f>'Rock Climbing Log'!C72</f>
        <v>Angel</v>
      </c>
      <c r="D72" s="26">
        <f>_xlfn.IFNA(IF(LEFT('Rock Climbing Log'!D72)="C",_xlfn.IFNA(VLOOKUP('Rock Climbing Log'!D72,'RC Lookup'!$A$3:$B$9,2,FALSE),0.5),VLOOKUP('Rock Climbing Log'!D72,'RC Lookup'!$G$3:$H$5,2,FALSE)),0)*VLOOKUP(D$7,'RC Lookup'!$D$3:$E$18,2,FALSE)</f>
        <v>0</v>
      </c>
      <c r="E72" s="26">
        <f>_xlfn.IFNA(IF(LEFT('Rock Climbing Log'!E72)="C",_xlfn.IFNA(VLOOKUP('Rock Climbing Log'!E72,'RC Lookup'!$A$3:$B$9,2,FALSE),0.5),VLOOKUP('Rock Climbing Log'!E72,'RC Lookup'!$G$3:$H$5,2,FALSE)),0)*VLOOKUP(D$7,'RC Lookup'!$D$3:$E$18,2,FALSE)</f>
        <v>0</v>
      </c>
      <c r="F72" s="26">
        <f>_xlfn.IFNA(IF(LEFT('Rock Climbing Log'!F72)="C",_xlfn.IFNA(VLOOKUP('Rock Climbing Log'!F72,'RC Lookup'!$A$3:$B$9,2,FALSE),0.5),VLOOKUP('Rock Climbing Log'!F72,'RC Lookup'!$G$3:$H$5,2,FALSE)),0)*VLOOKUP(D$7,'RC Lookup'!$D$3:$E$18,2,FALSE)</f>
        <v>0</v>
      </c>
      <c r="G72" s="26">
        <f>_xlfn.IFNA(IF(LEFT('Rock Climbing Log'!G72)="C",_xlfn.IFNA(VLOOKUP('Rock Climbing Log'!G72,'RC Lookup'!$A$3:$B$9,2,FALSE),0.5),VLOOKUP('Rock Climbing Log'!G72,'RC Lookup'!$G$3:$H$5,2,FALSE)),0)*VLOOKUP(G$7,'RC Lookup'!$D$3:$E$18,2,FALSE)</f>
        <v>0</v>
      </c>
      <c r="H72" s="26">
        <f>_xlfn.IFNA(IF(LEFT('Rock Climbing Log'!H72)="C",_xlfn.IFNA(VLOOKUP('Rock Climbing Log'!H72,'RC Lookup'!$A$3:$B$9,2,FALSE),0.5),VLOOKUP('Rock Climbing Log'!H72,'RC Lookup'!$G$3:$H$5,2,FALSE)),0)*VLOOKUP(G$7,'RC Lookup'!$D$3:$E$18,2,FALSE)</f>
        <v>0</v>
      </c>
      <c r="I72" s="26">
        <f>_xlfn.IFNA(IF(LEFT('Rock Climbing Log'!I72)="C",_xlfn.IFNA(VLOOKUP('Rock Climbing Log'!I72,'RC Lookup'!$A$3:$B$9,2,FALSE),0.5),VLOOKUP('Rock Climbing Log'!I72,'RC Lookup'!$G$3:$H$5,2,FALSE)),0)*VLOOKUP(G$7,'RC Lookup'!$D$3:$E$18,2,FALSE)</f>
        <v>0</v>
      </c>
      <c r="J72" s="26">
        <f>_xlfn.IFNA(IF(LEFT('Rock Climbing Log'!J72)="C",_xlfn.IFNA(VLOOKUP('Rock Climbing Log'!J72,'RC Lookup'!$A$3:$B$9,2,FALSE),0.5),VLOOKUP('Rock Climbing Log'!J72,'RC Lookup'!$G$3:$H$5,2,FALSE)),0)*VLOOKUP(J$7,'RC Lookup'!$D$3:$E$18,2,FALSE)</f>
        <v>0</v>
      </c>
      <c r="K72" s="26">
        <f>_xlfn.IFNA(IF(LEFT('Rock Climbing Log'!K72)="C",_xlfn.IFNA(VLOOKUP('Rock Climbing Log'!K72,'RC Lookup'!$A$3:$B$9,2,FALSE),0.5),VLOOKUP('Rock Climbing Log'!K72,'RC Lookup'!$G$3:$H$5,2,FALSE)),0)*VLOOKUP(J$7,'RC Lookup'!$D$3:$E$18,2,FALSE)</f>
        <v>0</v>
      </c>
      <c r="L72" s="26">
        <f>_xlfn.IFNA(IF(LEFT('Rock Climbing Log'!L72)="C",_xlfn.IFNA(VLOOKUP('Rock Climbing Log'!L72,'RC Lookup'!$A$3:$B$9,2,FALSE),0.5),VLOOKUP('Rock Climbing Log'!L72,'RC Lookup'!$G$3:$H$5,2,FALSE)),0)*VLOOKUP(J$7,'RC Lookup'!$D$3:$E$18,2,FALSE)</f>
        <v>0</v>
      </c>
      <c r="M72" s="26">
        <f>_xlfn.IFNA(IF(LEFT('Rock Climbing Log'!M72)="C",_xlfn.IFNA(VLOOKUP('Rock Climbing Log'!M72,'RC Lookup'!$A$3:$B$9,2,FALSE),0.5),VLOOKUP('Rock Climbing Log'!M72,'RC Lookup'!$G$3:$H$5,2,FALSE)),0)*VLOOKUP(M$7,'RC Lookup'!$D$3:$E$18,2,FALSE)</f>
        <v>20.002500000000001</v>
      </c>
      <c r="N72" s="26">
        <f>_xlfn.IFNA(IF(LEFT('Rock Climbing Log'!N72)="C",_xlfn.IFNA(VLOOKUP('Rock Climbing Log'!N72,'RC Lookup'!$A$3:$B$9,2,FALSE),0.5),VLOOKUP('Rock Climbing Log'!N72,'RC Lookup'!$G$3:$H$5,2,FALSE)),0)*VLOOKUP(M$7,'RC Lookup'!$D$3:$E$18,2,FALSE)</f>
        <v>20.002500000000001</v>
      </c>
      <c r="O72" s="26">
        <f>_xlfn.IFNA(IF(LEFT('Rock Climbing Log'!O72)="C",_xlfn.IFNA(VLOOKUP('Rock Climbing Log'!O72,'RC Lookup'!$A$3:$B$9,2,FALSE),0.5),VLOOKUP('Rock Climbing Log'!O72,'RC Lookup'!$G$3:$H$5,2,FALSE)),0)*VLOOKUP(M$7,'RC Lookup'!$D$3:$E$18,2,FALSE)</f>
        <v>0</v>
      </c>
      <c r="P72" s="26">
        <f>_xlfn.IFNA(IF(LEFT('Rock Climbing Log'!P72)="C",_xlfn.IFNA(VLOOKUP('Rock Climbing Log'!P72,'RC Lookup'!$A$3:$B$9,2,FALSE),0.5),VLOOKUP('Rock Climbing Log'!P72,'RC Lookup'!$G$3:$H$5,2,FALSE)),0)*VLOOKUP(P$7,'RC Lookup'!$D$3:$E$18,2,FALSE)</f>
        <v>0</v>
      </c>
      <c r="Q72" s="26">
        <f>_xlfn.IFNA(IF(LEFT('Rock Climbing Log'!Q72)="C",_xlfn.IFNA(VLOOKUP('Rock Climbing Log'!Q72,'RC Lookup'!$A$3:$B$9,2,FALSE),0.5),VLOOKUP('Rock Climbing Log'!Q72,'RC Lookup'!$G$3:$H$5,2,FALSE)),0)*VLOOKUP(P$7,'RC Lookup'!$D$3:$E$18,2,FALSE)</f>
        <v>0</v>
      </c>
      <c r="R72" s="26">
        <f>_xlfn.IFNA(IF(LEFT('Rock Climbing Log'!R72)="C",_xlfn.IFNA(VLOOKUP('Rock Climbing Log'!R72,'RC Lookup'!$A$3:$B$9,2,FALSE),0.5),VLOOKUP('Rock Climbing Log'!R72,'RC Lookup'!$G$3:$H$5,2,FALSE)),0)*VLOOKUP(P$7,'RC Lookup'!$D$3:$E$18,2,FALSE)</f>
        <v>0</v>
      </c>
      <c r="S72" s="26">
        <f>_xlfn.IFNA(IF(LEFT('Rock Climbing Log'!S72)="C",_xlfn.IFNA(VLOOKUP('Rock Climbing Log'!S72,'RC Lookup'!$A$3:$B$9,2,FALSE),0.5),VLOOKUP('Rock Climbing Log'!S72,'RC Lookup'!$G$3:$H$5,2,FALSE)),0)*VLOOKUP(S$7,'RC Lookup'!$D$3:$E$18,2,FALSE)</f>
        <v>0</v>
      </c>
      <c r="T72" s="26">
        <f>_xlfn.IFNA(IF(LEFT('Rock Climbing Log'!T72)="C",_xlfn.IFNA(VLOOKUP('Rock Climbing Log'!T72,'RC Lookup'!$A$3:$B$9,2,FALSE),0.5),VLOOKUP('Rock Climbing Log'!T72,'RC Lookup'!$G$3:$H$5,2,FALSE)),0)*VLOOKUP(S$7,'RC Lookup'!$D$3:$E$18,2,FALSE)</f>
        <v>0</v>
      </c>
      <c r="U72" s="26">
        <f>_xlfn.IFNA(IF(LEFT('Rock Climbing Log'!U72)="C",_xlfn.IFNA(VLOOKUP('Rock Climbing Log'!U72,'RC Lookup'!$A$3:$B$9,2,FALSE),0.5),VLOOKUP('Rock Climbing Log'!U72,'RC Lookup'!$G$3:$H$5,2,FALSE)),0)*VLOOKUP(S$7,'RC Lookup'!$D$3:$E$18,2,FALSE)</f>
        <v>0</v>
      </c>
      <c r="V72" s="26">
        <f>_xlfn.IFNA(IF(LEFT('Rock Climbing Log'!V72)="C",_xlfn.IFNA(VLOOKUP('Rock Climbing Log'!V72,'RC Lookup'!$A$3:$B$9,2,FALSE),0.5),VLOOKUP('Rock Climbing Log'!V72,'RC Lookup'!$G$3:$H$5,2,FALSE)),0)*VLOOKUP(V$7,'RC Lookup'!$D$3:$E$18,2,FALSE)</f>
        <v>25.70216764620962</v>
      </c>
      <c r="W72" s="26">
        <f>_xlfn.IFNA(IF(LEFT('Rock Climbing Log'!W72)="C",_xlfn.IFNA(VLOOKUP('Rock Climbing Log'!W72,'RC Lookup'!$A$3:$B$9,2,FALSE),0.5),VLOOKUP('Rock Climbing Log'!W72,'RC Lookup'!$G$3:$H$5,2,FALSE)),0)*VLOOKUP(V$7,'RC Lookup'!$D$3:$E$18,2,FALSE)</f>
        <v>25.70216764620962</v>
      </c>
      <c r="X72" s="26">
        <f>_xlfn.IFNA(IF(LEFT('Rock Climbing Log'!X72)="C",_xlfn.IFNA(VLOOKUP('Rock Climbing Log'!X72,'RC Lookup'!$A$3:$B$9,2,FALSE),0.5),VLOOKUP('Rock Climbing Log'!X72,'RC Lookup'!$G$3:$H$5,2,FALSE)),0)*VLOOKUP(V$7,'RC Lookup'!$D$3:$E$18,2,FALSE)</f>
        <v>25.70216764620962</v>
      </c>
      <c r="Y72" s="26">
        <f>_xlfn.IFNA(IF(LEFT('Rock Climbing Log'!Y72)="C",_xlfn.IFNA(VLOOKUP('Rock Climbing Log'!Y72,'RC Lookup'!$A$3:$B$9,2,FALSE),0.5),VLOOKUP('Rock Climbing Log'!Y72,'RC Lookup'!$G$3:$H$5,2,FALSE)),0)*VLOOKUP(Y$7,'RC Lookup'!$D$3:$E$18,2,FALSE)</f>
        <v>0</v>
      </c>
      <c r="Z72" s="26">
        <f>_xlfn.IFNA(IF(LEFT('Rock Climbing Log'!Z72)="C",_xlfn.IFNA(VLOOKUP('Rock Climbing Log'!Z72,'RC Lookup'!$A$3:$B$9,2,FALSE),0.5),VLOOKUP('Rock Climbing Log'!Z72,'RC Lookup'!$G$3:$H$5,2,FALSE)),0)*VLOOKUP(Y$7,'RC Lookup'!$D$3:$E$18,2,FALSE)</f>
        <v>0</v>
      </c>
      <c r="AA72" s="26">
        <f>_xlfn.IFNA(IF(LEFT('Rock Climbing Log'!AA72)="C",_xlfn.IFNA(VLOOKUP('Rock Climbing Log'!AA72,'RC Lookup'!$A$3:$B$9,2,FALSE),0.5),VLOOKUP('Rock Climbing Log'!AA72,'RC Lookup'!$G$3:$H$5,2,FALSE)),0)*VLOOKUP(Y$7,'RC Lookup'!$D$3:$E$18,2,FALSE)</f>
        <v>0</v>
      </c>
      <c r="AB72" s="26">
        <f>_xlfn.IFNA(IF(LEFT('Rock Climbing Log'!AB72)="C",_xlfn.IFNA(VLOOKUP('Rock Climbing Log'!AB72,'RC Lookup'!$A$3:$B$9,2,FALSE),0.5),VLOOKUP('Rock Climbing Log'!AB72,'RC Lookup'!$G$3:$H$5,2,FALSE)),0)*VLOOKUP(AB$7,'RC Lookup'!$D$3:$E$18,2,FALSE)</f>
        <v>0</v>
      </c>
      <c r="AC72" s="26">
        <f>_xlfn.IFNA(IF(LEFT('Rock Climbing Log'!AC72)="C",_xlfn.IFNA(VLOOKUP('Rock Climbing Log'!AC72,'RC Lookup'!$A$3:$B$9,2,FALSE),0.5),VLOOKUP('Rock Climbing Log'!AC72,'RC Lookup'!$G$3:$H$5,2,FALSE)),0)*VLOOKUP(AB$7,'RC Lookup'!$D$3:$E$18,2,FALSE)</f>
        <v>0</v>
      </c>
      <c r="AD72" s="26">
        <f>_xlfn.IFNA(IF(LEFT('Rock Climbing Log'!AD72)="C",_xlfn.IFNA(VLOOKUP('Rock Climbing Log'!AD72,'RC Lookup'!$A$3:$B$9,2,FALSE),0.5),VLOOKUP('Rock Climbing Log'!AD72,'RC Lookup'!$G$3:$H$5,2,FALSE)),0)*VLOOKUP(AB$7,'RC Lookup'!$D$3:$E$18,2,FALSE)</f>
        <v>0</v>
      </c>
      <c r="AE72" s="26">
        <f>_xlfn.IFNA(IF(LEFT('Rock Climbing Log'!AE72)="C",_xlfn.IFNA(VLOOKUP('Rock Climbing Log'!AE72,'RC Lookup'!$A$3:$B$9,2,FALSE),0.5),VLOOKUP('Rock Climbing Log'!AE72,'RC Lookup'!$G$3:$H$5,2,FALSE)),0)*VLOOKUP(AE$7,'RC Lookup'!$D$3:$E$18,2,FALSE)</f>
        <v>0</v>
      </c>
      <c r="AF72" s="26">
        <f>_xlfn.IFNA(IF(LEFT('Rock Climbing Log'!AF72)="C",_xlfn.IFNA(VLOOKUP('Rock Climbing Log'!AF72,'RC Lookup'!$A$3:$B$9,2,FALSE),0.5),VLOOKUP('Rock Climbing Log'!AF72,'RC Lookup'!$G$3:$H$5,2,FALSE)),0)*VLOOKUP(AE$7,'RC Lookup'!$D$3:$E$18,2,FALSE)</f>
        <v>0</v>
      </c>
      <c r="AG72" s="26">
        <f>_xlfn.IFNA(IF(LEFT('Rock Climbing Log'!AG72)="C",_xlfn.IFNA(VLOOKUP('Rock Climbing Log'!AG72,'RC Lookup'!$A$3:$B$9,2,FALSE),0.5),VLOOKUP('Rock Climbing Log'!AG72,'RC Lookup'!$G$3:$H$5,2,FALSE)),0)*VLOOKUP(AE$7,'RC Lookup'!$D$3:$E$18,2,FALSE)</f>
        <v>0</v>
      </c>
      <c r="AH72" s="26">
        <f>_xlfn.IFNA(IF(LEFT('Rock Climbing Log'!AH72)="C",_xlfn.IFNA(VLOOKUP('Rock Climbing Log'!AH72,'RC Lookup'!$A$3:$B$9,2,FALSE),0.5),VLOOKUP('Rock Climbing Log'!AH72,'RC Lookup'!$G$3:$H$5,2,FALSE)),0)*VLOOKUP(AH$7,'RC Lookup'!$D$3:$E$18,2,FALSE)</f>
        <v>0</v>
      </c>
      <c r="AI72" s="26">
        <f>_xlfn.IFNA(IF(LEFT('Rock Climbing Log'!AI72)="C",_xlfn.IFNA(VLOOKUP('Rock Climbing Log'!AI72,'RC Lookup'!$A$3:$B$9,2,FALSE),0.5),VLOOKUP('Rock Climbing Log'!AI72,'RC Lookup'!$G$3:$H$5,2,FALSE)),0)*VLOOKUP(AH$7,'RC Lookup'!$D$3:$E$18,2,FALSE)</f>
        <v>0</v>
      </c>
      <c r="AJ72" s="26">
        <f>_xlfn.IFNA(IF(LEFT('Rock Climbing Log'!AJ72)="C",_xlfn.IFNA(VLOOKUP('Rock Climbing Log'!AJ72,'RC Lookup'!$A$3:$B$9,2,FALSE),0.5),VLOOKUP('Rock Climbing Log'!AJ72,'RC Lookup'!$G$3:$H$5,2,FALSE)),0)*VLOOKUP(AH$7,'RC Lookup'!$D$3:$E$18,2,FALSE)</f>
        <v>0</v>
      </c>
      <c r="AK72" s="26">
        <f>_xlfn.IFNA(IF(LEFT('Rock Climbing Log'!AK72)="C",_xlfn.IFNA(VLOOKUP('Rock Climbing Log'!AK72,'RC Lookup'!$A$3:$B$9,2,FALSE),0.5),VLOOKUP('Rock Climbing Log'!AK72,'RC Lookup'!$G$3:$H$5,2,FALSE)),0)*VLOOKUP(AK$7,'RC Lookup'!$D$3:$E$18,2,FALSE)</f>
        <v>0</v>
      </c>
      <c r="AL72" s="26">
        <f>_xlfn.IFNA(IF(LEFT('Rock Climbing Log'!AL72)="C",_xlfn.IFNA(VLOOKUP('Rock Climbing Log'!AL72,'RC Lookup'!$A$3:$B$9,2,FALSE),0.5),VLOOKUP('Rock Climbing Log'!AL72,'RC Lookup'!$G$3:$H$5,2,FALSE)),0)*VLOOKUP(AK$7,'RC Lookup'!$D$3:$E$18,2,FALSE)</f>
        <v>0</v>
      </c>
      <c r="AM72" s="26">
        <f>_xlfn.IFNA(IF(LEFT('Rock Climbing Log'!AM72)="C",_xlfn.IFNA(VLOOKUP('Rock Climbing Log'!AM72,'RC Lookup'!$A$3:$B$9,2,FALSE),0.5),VLOOKUP('Rock Climbing Log'!AM72,'RC Lookup'!$G$3:$H$5,2,FALSE)),0)*VLOOKUP(AK$7,'RC Lookup'!$D$3:$E$18,2,FALSE)</f>
        <v>0</v>
      </c>
      <c r="AN72" s="26">
        <f>_xlfn.IFNA(IF(LEFT('Rock Climbing Log'!AN72)="C",_xlfn.IFNA(VLOOKUP('Rock Climbing Log'!AN72,'RC Lookup'!$A$3:$B$9,2,FALSE),0.5),VLOOKUP('Rock Climbing Log'!AN72,'RC Lookup'!$G$3:$H$5,2,FALSE)),0)*VLOOKUP(AN$7,'RC Lookup'!$D$3:$E$18,2,FALSE)</f>
        <v>0</v>
      </c>
      <c r="AO72" s="26">
        <f>_xlfn.IFNA(IF(LEFT('Rock Climbing Log'!AO72)="C",_xlfn.IFNA(VLOOKUP('Rock Climbing Log'!AO72,'RC Lookup'!$A$3:$B$9,2,FALSE),0.5),VLOOKUP('Rock Climbing Log'!AO72,'RC Lookup'!$G$3:$H$5,2,FALSE)),0)*VLOOKUP(AN$7,'RC Lookup'!$D$3:$E$18,2,FALSE)</f>
        <v>0</v>
      </c>
      <c r="AP72" s="26">
        <f>_xlfn.IFNA(IF(LEFT('Rock Climbing Log'!AP72)="C",_xlfn.IFNA(VLOOKUP('Rock Climbing Log'!AP72,'RC Lookup'!$A$3:$B$9,2,FALSE),0.5),VLOOKUP('Rock Climbing Log'!AP72,'RC Lookup'!$G$3:$H$5,2,FALSE)),0)*VLOOKUP(AN$7,'RC Lookup'!$D$3:$E$18,2,FALSE)</f>
        <v>0</v>
      </c>
      <c r="AQ72" s="26">
        <f>_xlfn.IFNA(IF(LEFT('Rock Climbing Log'!AQ72)="C",_xlfn.IFNA(VLOOKUP('Rock Climbing Log'!AQ72,'RC Lookup'!$A$3:$B$9,2,FALSE),0.5),VLOOKUP('Rock Climbing Log'!AQ72,'RC Lookup'!$G$3:$H$5,2,FALSE)),0)*VLOOKUP(AQ$7,'RC Lookup'!$D$3:$E$18,2,FALSE)</f>
        <v>0</v>
      </c>
      <c r="AR72" s="26">
        <f>_xlfn.IFNA(IF(LEFT('Rock Climbing Log'!AR72)="C",_xlfn.IFNA(VLOOKUP('Rock Climbing Log'!AR72,'RC Lookup'!$A$3:$B$9,2,FALSE),0.5),VLOOKUP('Rock Climbing Log'!AR72,'RC Lookup'!$G$3:$H$5,2,FALSE)),0)*VLOOKUP(AQ$7,'RC Lookup'!$D$3:$E$18,2,FALSE)</f>
        <v>0</v>
      </c>
      <c r="AS72" s="26">
        <f>_xlfn.IFNA(IF(LEFT('Rock Climbing Log'!AS72)="C",_xlfn.IFNA(VLOOKUP('Rock Climbing Log'!AS72,'RC Lookup'!$A$3:$B$9,2,FALSE),0.5),VLOOKUP('Rock Climbing Log'!AS72,'RC Lookup'!$G$3:$H$5,2,FALSE)),0)*VLOOKUP(AQ$7,'RC Lookup'!$D$3:$E$18,2,FALSE)</f>
        <v>0</v>
      </c>
      <c r="AT72" s="26">
        <f>_xlfn.IFNA(IF(LEFT('Rock Climbing Log'!AT72)="C",_xlfn.IFNA(VLOOKUP('Rock Climbing Log'!AT72,'RC Lookup'!$A$3:$B$9,2,FALSE),0.5),VLOOKUP('Rock Climbing Log'!AT72,'RC Lookup'!$G$3:$H$5,2,FALSE)),0)*VLOOKUP(AT$7,'RC Lookup'!$D$3:$E$18,2,FALSE)</f>
        <v>0</v>
      </c>
      <c r="AU72" s="26">
        <f>_xlfn.IFNA(IF(LEFT('Rock Climbing Log'!AU72)="C",_xlfn.IFNA(VLOOKUP('Rock Climbing Log'!AU72,'RC Lookup'!$A$3:$B$9,2,FALSE),0.5),VLOOKUP('Rock Climbing Log'!AU72,'RC Lookup'!$G$3:$H$5,2,FALSE)),0)*VLOOKUP(AT$7,'RC Lookup'!$D$3:$E$18,2,FALSE)</f>
        <v>0</v>
      </c>
      <c r="AV72" s="26">
        <f>_xlfn.IFNA(IF(LEFT('Rock Climbing Log'!AV72)="C",_xlfn.IFNA(VLOOKUP('Rock Climbing Log'!AV72,'RC Lookup'!$A$3:$B$9,2,FALSE),0.5),VLOOKUP('Rock Climbing Log'!AV72,'RC Lookup'!$G$3:$H$5,2,FALSE)),0)*VLOOKUP(AT$7,'RC Lookup'!$D$3:$E$18,2,FALSE)</f>
        <v>0</v>
      </c>
      <c r="AW72" s="30">
        <f t="shared" ref="AW72:AW103" ca="1" si="3">SUMPRODUCT(LARGE($D72:$AV72,ROW(INDIRECT("1:3"))))</f>
        <v>77.106502938628864</v>
      </c>
      <c r="AX72" s="30">
        <f ca="1">_xlfn.IFNA(VLOOKUP(SUMPRODUCT(LARGE(($C$8:$C72=Table1[[#This Row],[Climber]])*$A$8:$A72,1)),$A$8:$AW72,MATCH($AW$7,$A$7:$AW$7,FALSE),FALSE),0)/LEFT($AX$7,FIND(" ",$AX$7))+_xlfn.IFNA(VLOOKUP(SUMPRODUCT(LARGE(($C$8:$C72=Table1[[#This Row],[Climber]])*$A$8:$A72,MIN(2,COUNTIFS($C$8:$C72,$C72)))),$A$8:$AW72,MATCH($AW$7,$A$7:$AW$7,FALSE),FALSE),0)/LEFT($AX$7,FIND(" ",$AX$7))+_xlfn.IFNA(VLOOKUP(SUMPRODUCT(LARGE(($C$8:$C72=Table1[[#This Row],[Climber]])*$A$8:$A72,MIN(3,COUNTIFS($C$8:$C72,$C72)))),$A$8:$AW72,MATCH($AW$7,$A$7:$AW$7,FALSE),FALSE),0)/LEFT($AX$7,FIND(" ",$AX$7))</f>
        <v>56.871916227009628</v>
      </c>
      <c r="AY72" s="30">
        <f ca="1">_xlfn.IFNA(VLOOKUP(SUMPRODUCT(LARGE(($C$8:$C72=Table1[[#This Row],[Climber]])*$A$8:$A72,1)),$A$8:$AW72,MATCH($AW$7,$A$7:$AW$7,FALSE),FALSE),0)/LEFT($AY$7,FIND(" ",$AY$7))+_xlfn.IFNA(VLOOKUP(SUMPRODUCT(LARGE(($C$8:$C72=Table1[[#This Row],[Climber]])*$A$8:$A72,MIN(2,COUNTIFS($C$8:$C72,$C72)))),$A$8:$AW72,MATCH($AW$7,$A$7:$AW$7,FALSE),FALSE),0)/LEFT($AY$7,FIND(" ",$AY$7))+_xlfn.IFNA(VLOOKUP(SUMPRODUCT(LARGE(($C$8:$C72=Table1[[#This Row],[Climber]])*$A$8:$A72,MIN(3,COUNTIFS($C$8:$C72,$C72)))),$A$8:$AW72,MATCH($AW$7,$A$7:$AW$7,FALSE),FALSE),0)/LEFT($AY$7,FIND(" ",$AY$7))+_xlfn.IFNA(VLOOKUP(SUMPRODUCT(LARGE(($C$8:$C72=Table1[[#This Row],[Climber]])*$A$8:$A72,MIN(4,COUNTIFS($C$8:$C72,$C72)))),$A$8:$AW72,MATCH($AW$7,$A$7:$AW$7,FALSE),FALSE),0)/LEFT($AY$7,FIND(" ",$AY$7))+_xlfn.IFNA(VLOOKUP(SUMPRODUCT(LARGE(($C$8:$C72=Table1[[#This Row],[Climber]])*$A$8:$A72,MIN(5,COUNTIFS($C$8:$C72,$C72)))),$A$8:$AW72,MATCH($AW$7,$A$7:$AW$7,FALSE),FALSE),0)/LEFT($AY$7,FIND(" ",$AY$7))</f>
        <v>49.423149736205772</v>
      </c>
      <c r="AZ72" s="30">
        <f ca="1">(_xlfn.IFNA(VLOOKUP(SUMPRODUCT(LARGE(($C$8:$C72=Table1[[#This Row],[Climber]])*$A$8:$A72,4)),$A$8:$AW72,MATCH($AW$7,$A$7:$AW$7,FALSE),FALSE),0)+_xlfn.IFNA(VLOOKUP(SUMPRODUCT(LARGE(($C$8:$C72=Table1[[#This Row],[Climber]])*$A$8:$A72,5)),$A$8:$AW72,MATCH($AW$7,$A$7:$AW$7,FALSE),FALSE),0)+_xlfn.IFNA(VLOOKUP(SUMPRODUCT(LARGE(($C$8:$C72=Table1[[#This Row],[Climber]])*$A$8:$A72,6)),$A$8:$AW72,MATCH($AW$7,$A$7:$AW$7,FALSE),FALSE),0))/3</f>
        <v>12.75</v>
      </c>
      <c r="BA72" s="46">
        <f ca="1">_xlfn.MAXIFS(INDIRECT("$AW"&amp;IF(SUMPRODUCT(LARGE(($C$8:$C72=$C72)*$A$8:$A72,LEFT($BA$7,FIND(" ",$BA$7)-1)))=0,8,SUMPRODUCT(LARGE(($C$8:$C72=$C72)*$A$8:$A72,LEFT($BA$7,FIND(" ",$BA$7)-1)))+7)&amp;":$AW"&amp;ROW()),INDIRECT("$C"&amp;IF(SUMPRODUCT(LARGE(($C$8:$C72=$C72)*$A$8:$A72,LEFT($BA$7,FIND(" ",$BA$7)-1)))=0,8,SUMPRODUCT(LARGE(($C$8:$C72=$C72)*$A$8:$A72,LEFT($BA$7,FIND(" ",$BA$7)-1)))+7)&amp;":$C"&amp;ROW()),$C72)</f>
        <v>77.106502938628864</v>
      </c>
      <c r="BB72" s="46" t="str">
        <f ca="1">VLOOKUP(MAX(BG72,$AX72),'RC Lookup'!$G$14:$J$20,2,TRUE)</f>
        <v>T1</v>
      </c>
      <c r="BC72" s="46">
        <f ca="1">_xlfn.IFNA(VLOOKUP(VLOOKUP($C72,'RC Lookup'!$O$3:$P$50,2,FALSE),'RC Lookup'!$H$14:$J$23,2,FALSE),0)*AW72</f>
        <v>128.49477638400009</v>
      </c>
      <c r="BD72" s="6">
        <f ca="1">_xlfn.IFNA(VLOOKUP(SUMPRODUCT(LARGE(($C$8:$C72=Table1[[#This Row],[Climber]])*$A$8:$A72,1)),$A$8:$BC72,55,FALSE),0)/LEFT($AX$7,FIND(" ",$AX$7))+_xlfn.IFNA(VLOOKUP(SUMPRODUCT(LARGE(($C$8:$C72=Table1[[#This Row],[Climber]])*$A$8:$A72,MIN(2,COUNTIFS($C$8:$C72,$C72)))),$A$8:$BC72,55,FALSE),0)/LEFT($AX$7,FIND(" ",$AX$7))+_xlfn.IFNA(VLOOKUP(SUMPRODUCT(LARGE(($C$8:$C72=Table1[[#This Row],[Climber]])*$A$8:$A72,MIN(3,COUNTIFS($C$8:$C72,$C72)))),$A$8:$BC72,55,FALSE),0)/LEFT($AX$7,FIND(" ",$AX$7))</f>
        <v>94.774680209989796</v>
      </c>
      <c r="BE72" s="6">
        <f ca="1">(_xlfn.IFNA(VLOOKUP(SUMPRODUCT(LARGE(($C$8:$C72=Table1[[#This Row],[Climber]])*$A$8:$A72,4)),$A$8:$BD72,55,FALSE),0)+_xlfn.IFNA(VLOOKUP(SUMPRODUCT(LARGE(($C$8:$C72=Table1[[#This Row],[Climber]])*$A$8:$A72,5)),$A$8:$BD72,55,FALSE),0)+_xlfn.IFNA(VLOOKUP(SUMPRODUCT(LARGE(($C$8:$C72=Table1[[#This Row],[Climber]])*$A$8:$A72,6)),$A$8:$BD72,55,FALSE),0))/3</f>
        <v>21.247344081989748</v>
      </c>
      <c r="BF72" s="46">
        <f ca="1">_xlfn.MAXIFS(INDIRECT("$BC"&amp;IF(SUMPRODUCT(LARGE(($C$8:$C72=$C72)*$A$8:$A72,LEFT($BA$7,FIND(" ",$BA$7)-1)))=0,8,SUMPRODUCT(LARGE(($C$8:$C72=$C72)*$A$8:$A72,LEFT($BA$7,FIND(" ",$BA$7)-1)))+7)&amp;":$BC"&amp;ROW()),INDIRECT("$C"&amp;IF(SUMPRODUCT(LARGE(($C$8:$C72=$C72)*$A$8:$A72,LEFT($BA$7,FIND(" ",$BA$7)-1)))=0,8,SUMPRODUCT(LARGE(($C$8:$C72=$C72)*$A$8:$A72,LEFT($BA$7,FIND(" ",$BA$7)-1)))+7)&amp;":$C"&amp;ROW()),$C72)</f>
        <v>128.49477638400009</v>
      </c>
      <c r="BG72" s="46">
        <f t="array" aca="1" ref="BG72" ca="1">IFERROR(SUMPRODUCT(LARGE(($C$8:$C72=Table1[[#This Row],[Climber]])*$AW$8:$AW72,ROW(INDIRECT("1:5")))),AW72)/MIN(COUNTIFS($C$8:$C72,C72),5)</f>
        <v>52.216437170257223</v>
      </c>
    </row>
    <row r="73" spans="1:59" x14ac:dyDescent="0.3">
      <c r="A73" s="125">
        <f t="shared" si="1"/>
        <v>66</v>
      </c>
      <c r="B73" s="25">
        <f>'Rock Climbing Log'!B73</f>
        <v>43163</v>
      </c>
      <c r="C73" s="126" t="str">
        <f>'Rock Climbing Log'!C73</f>
        <v>Michelle</v>
      </c>
      <c r="D73" s="26">
        <f>_xlfn.IFNA(IF(LEFT('Rock Climbing Log'!D73)="C",_xlfn.IFNA(VLOOKUP('Rock Climbing Log'!D73,'RC Lookup'!$A$3:$B$9,2,FALSE),0.5),VLOOKUP('Rock Climbing Log'!D73,'RC Lookup'!$G$3:$H$5,2,FALSE)),0)*VLOOKUP(D$7,'RC Lookup'!$D$3:$E$18,2,FALSE)</f>
        <v>0</v>
      </c>
      <c r="E73" s="26">
        <f>_xlfn.IFNA(IF(LEFT('Rock Climbing Log'!E73)="C",_xlfn.IFNA(VLOOKUP('Rock Climbing Log'!E73,'RC Lookup'!$A$3:$B$9,2,FALSE),0.5),VLOOKUP('Rock Climbing Log'!E73,'RC Lookup'!$G$3:$H$5,2,FALSE)),0)*VLOOKUP(D$7,'RC Lookup'!$D$3:$E$18,2,FALSE)</f>
        <v>0</v>
      </c>
      <c r="F73" s="26">
        <f>_xlfn.IFNA(IF(LEFT('Rock Climbing Log'!F73)="C",_xlfn.IFNA(VLOOKUP('Rock Climbing Log'!F73,'RC Lookup'!$A$3:$B$9,2,FALSE),0.5),VLOOKUP('Rock Climbing Log'!F73,'RC Lookup'!$G$3:$H$5,2,FALSE)),0)*VLOOKUP(D$7,'RC Lookup'!$D$3:$E$18,2,FALSE)</f>
        <v>0</v>
      </c>
      <c r="G73" s="26">
        <f>_xlfn.IFNA(IF(LEFT('Rock Climbing Log'!G73)="C",_xlfn.IFNA(VLOOKUP('Rock Climbing Log'!G73,'RC Lookup'!$A$3:$B$9,2,FALSE),0.5),VLOOKUP('Rock Climbing Log'!G73,'RC Lookup'!$G$3:$H$5,2,FALSE)),0)*VLOOKUP(G$7,'RC Lookup'!$D$3:$E$18,2,FALSE)</f>
        <v>0</v>
      </c>
      <c r="H73" s="26">
        <f>_xlfn.IFNA(IF(LEFT('Rock Climbing Log'!H73)="C",_xlfn.IFNA(VLOOKUP('Rock Climbing Log'!H73,'RC Lookup'!$A$3:$B$9,2,FALSE),0.5),VLOOKUP('Rock Climbing Log'!H73,'RC Lookup'!$G$3:$H$5,2,FALSE)),0)*VLOOKUP(G$7,'RC Lookup'!$D$3:$E$18,2,FALSE)</f>
        <v>0</v>
      </c>
      <c r="I73" s="26">
        <f>_xlfn.IFNA(IF(LEFT('Rock Climbing Log'!I73)="C",_xlfn.IFNA(VLOOKUP('Rock Climbing Log'!I73,'RC Lookup'!$A$3:$B$9,2,FALSE),0.5),VLOOKUP('Rock Climbing Log'!I73,'RC Lookup'!$G$3:$H$5,2,FALSE)),0)*VLOOKUP(G$7,'RC Lookup'!$D$3:$E$18,2,FALSE)</f>
        <v>0</v>
      </c>
      <c r="J73" s="26">
        <f>_xlfn.IFNA(IF(LEFT('Rock Climbing Log'!J73)="C",_xlfn.IFNA(VLOOKUP('Rock Climbing Log'!J73,'RC Lookup'!$A$3:$B$9,2,FALSE),0.5),VLOOKUP('Rock Climbing Log'!J73,'RC Lookup'!$G$3:$H$5,2,FALSE)),0)*VLOOKUP(J$7,'RC Lookup'!$D$3:$E$18,2,FALSE)</f>
        <v>15.75</v>
      </c>
      <c r="K73" s="26">
        <f>_xlfn.IFNA(IF(LEFT('Rock Climbing Log'!K73)="C",_xlfn.IFNA(VLOOKUP('Rock Climbing Log'!K73,'RC Lookup'!$A$3:$B$9,2,FALSE),0.5),VLOOKUP('Rock Climbing Log'!K73,'RC Lookup'!$G$3:$H$5,2,FALSE)),0)*VLOOKUP(J$7,'RC Lookup'!$D$3:$E$18,2,FALSE)</f>
        <v>0</v>
      </c>
      <c r="L73" s="26">
        <f>_xlfn.IFNA(IF(LEFT('Rock Climbing Log'!L73)="C",_xlfn.IFNA(VLOOKUP('Rock Climbing Log'!L73,'RC Lookup'!$A$3:$B$9,2,FALSE),0.5),VLOOKUP('Rock Climbing Log'!L73,'RC Lookup'!$G$3:$H$5,2,FALSE)),0)*VLOOKUP(J$7,'RC Lookup'!$D$3:$E$18,2,FALSE)</f>
        <v>0</v>
      </c>
      <c r="M73" s="26">
        <f>_xlfn.IFNA(IF(LEFT('Rock Climbing Log'!M73)="C",_xlfn.IFNA(VLOOKUP('Rock Climbing Log'!M73,'RC Lookup'!$A$3:$B$9,2,FALSE),0.5),VLOOKUP('Rock Climbing Log'!M73,'RC Lookup'!$G$3:$H$5,2,FALSE)),0)*VLOOKUP(M$7,'RC Lookup'!$D$3:$E$18,2,FALSE)</f>
        <v>10.001250000000001</v>
      </c>
      <c r="N73" s="26">
        <f>_xlfn.IFNA(IF(LEFT('Rock Climbing Log'!N73)="C",_xlfn.IFNA(VLOOKUP('Rock Climbing Log'!N73,'RC Lookup'!$A$3:$B$9,2,FALSE),0.5),VLOOKUP('Rock Climbing Log'!N73,'RC Lookup'!$G$3:$H$5,2,FALSE)),0)*VLOOKUP(M$7,'RC Lookup'!$D$3:$E$18,2,FALSE)</f>
        <v>10.001250000000001</v>
      </c>
      <c r="O73" s="26">
        <f>_xlfn.IFNA(IF(LEFT('Rock Climbing Log'!O73)="C",_xlfn.IFNA(VLOOKUP('Rock Climbing Log'!O73,'RC Lookup'!$A$3:$B$9,2,FALSE),0.5),VLOOKUP('Rock Climbing Log'!O73,'RC Lookup'!$G$3:$H$5,2,FALSE)),0)*VLOOKUP(M$7,'RC Lookup'!$D$3:$E$18,2,FALSE)</f>
        <v>0</v>
      </c>
      <c r="P73" s="26">
        <f>_xlfn.IFNA(IF(LEFT('Rock Climbing Log'!P73)="C",_xlfn.IFNA(VLOOKUP('Rock Climbing Log'!P73,'RC Lookup'!$A$3:$B$9,2,FALSE),0.5),VLOOKUP('Rock Climbing Log'!P73,'RC Lookup'!$G$3:$H$5,2,FALSE)),0)*VLOOKUP(P$7,'RC Lookup'!$D$3:$E$18,2,FALSE)</f>
        <v>23.922990000000006</v>
      </c>
      <c r="Q73" s="26">
        <f>_xlfn.IFNA(IF(LEFT('Rock Climbing Log'!Q73)="C",_xlfn.IFNA(VLOOKUP('Rock Climbing Log'!Q73,'RC Lookup'!$A$3:$B$9,2,FALSE),0.5),VLOOKUP('Rock Climbing Log'!Q73,'RC Lookup'!$G$3:$H$5,2,FALSE)),0)*VLOOKUP(P$7,'RC Lookup'!$D$3:$E$18,2,FALSE)</f>
        <v>0</v>
      </c>
      <c r="R73" s="26">
        <f>_xlfn.IFNA(IF(LEFT('Rock Climbing Log'!R73)="C",_xlfn.IFNA(VLOOKUP('Rock Climbing Log'!R73,'RC Lookup'!$A$3:$B$9,2,FALSE),0.5),VLOOKUP('Rock Climbing Log'!R73,'RC Lookup'!$G$3:$H$5,2,FALSE)),0)*VLOOKUP(P$7,'RC Lookup'!$D$3:$E$18,2,FALSE)</f>
        <v>0</v>
      </c>
      <c r="S73" s="26">
        <f>_xlfn.IFNA(IF(LEFT('Rock Climbing Log'!S73)="C",_xlfn.IFNA(VLOOKUP('Rock Climbing Log'!S73,'RC Lookup'!$A$3:$B$9,2,FALSE),0.5),VLOOKUP('Rock Climbing Log'!S73,'RC Lookup'!$G$3:$H$5,2,FALSE)),0)*VLOOKUP(S$7,'RC Lookup'!$D$3:$E$18,2,FALSE)</f>
        <v>0</v>
      </c>
      <c r="T73" s="26">
        <f>_xlfn.IFNA(IF(LEFT('Rock Climbing Log'!T73)="C",_xlfn.IFNA(VLOOKUP('Rock Climbing Log'!T73,'RC Lookup'!$A$3:$B$9,2,FALSE),0.5),VLOOKUP('Rock Climbing Log'!T73,'RC Lookup'!$G$3:$H$5,2,FALSE)),0)*VLOOKUP(S$7,'RC Lookup'!$D$3:$E$18,2,FALSE)</f>
        <v>0</v>
      </c>
      <c r="U73" s="26">
        <f>_xlfn.IFNA(IF(LEFT('Rock Climbing Log'!U73)="C",_xlfn.IFNA(VLOOKUP('Rock Climbing Log'!U73,'RC Lookup'!$A$3:$B$9,2,FALSE),0.5),VLOOKUP('Rock Climbing Log'!U73,'RC Lookup'!$G$3:$H$5,2,FALSE)),0)*VLOOKUP(S$7,'RC Lookup'!$D$3:$E$18,2,FALSE)</f>
        <v>0</v>
      </c>
      <c r="V73" s="26">
        <f>_xlfn.IFNA(IF(LEFT('Rock Climbing Log'!V73)="C",_xlfn.IFNA(VLOOKUP('Rock Climbing Log'!V73,'RC Lookup'!$A$3:$B$9,2,FALSE),0.5),VLOOKUP('Rock Climbing Log'!V73,'RC Lookup'!$G$3:$H$5,2,FALSE)),0)*VLOOKUP(V$7,'RC Lookup'!$D$3:$E$18,2,FALSE)</f>
        <v>35.256745742400021</v>
      </c>
      <c r="W73" s="26">
        <f>_xlfn.IFNA(IF(LEFT('Rock Climbing Log'!W73)="C",_xlfn.IFNA(VLOOKUP('Rock Climbing Log'!W73,'RC Lookup'!$A$3:$B$9,2,FALSE),0.5),VLOOKUP('Rock Climbing Log'!W73,'RC Lookup'!$G$3:$H$5,2,FALSE)),0)*VLOOKUP(V$7,'RC Lookup'!$D$3:$E$18,2,FALSE)</f>
        <v>0</v>
      </c>
      <c r="X73" s="26">
        <f>_xlfn.IFNA(IF(LEFT('Rock Climbing Log'!X73)="C",_xlfn.IFNA(VLOOKUP('Rock Climbing Log'!X73,'RC Lookup'!$A$3:$B$9,2,FALSE),0.5),VLOOKUP('Rock Climbing Log'!X73,'RC Lookup'!$G$3:$H$5,2,FALSE)),0)*VLOOKUP(V$7,'RC Lookup'!$D$3:$E$18,2,FALSE)</f>
        <v>0</v>
      </c>
      <c r="Y73" s="26">
        <f>_xlfn.IFNA(IF(LEFT('Rock Climbing Log'!Y73)="C",_xlfn.IFNA(VLOOKUP('Rock Climbing Log'!Y73,'RC Lookup'!$A$3:$B$9,2,FALSE),0.5),VLOOKUP('Rock Climbing Log'!Y73,'RC Lookup'!$G$3:$H$5,2,FALSE)),0)*VLOOKUP(Y$7,'RC Lookup'!$D$3:$E$18,2,FALSE)</f>
        <v>0</v>
      </c>
      <c r="Z73" s="26">
        <f>_xlfn.IFNA(IF(LEFT('Rock Climbing Log'!Z73)="C",_xlfn.IFNA(VLOOKUP('Rock Climbing Log'!Z73,'RC Lookup'!$A$3:$B$9,2,FALSE),0.5),VLOOKUP('Rock Climbing Log'!Z73,'RC Lookup'!$G$3:$H$5,2,FALSE)),0)*VLOOKUP(Y$7,'RC Lookup'!$D$3:$E$18,2,FALSE)</f>
        <v>0</v>
      </c>
      <c r="AA73" s="26">
        <f>_xlfn.IFNA(IF(LEFT('Rock Climbing Log'!AA73)="C",_xlfn.IFNA(VLOOKUP('Rock Climbing Log'!AA73,'RC Lookup'!$A$3:$B$9,2,FALSE),0.5),VLOOKUP('Rock Climbing Log'!AA73,'RC Lookup'!$G$3:$H$5,2,FALSE)),0)*VLOOKUP(Y$7,'RC Lookup'!$D$3:$E$18,2,FALSE)</f>
        <v>0</v>
      </c>
      <c r="AB73" s="26">
        <f>_xlfn.IFNA(IF(LEFT('Rock Climbing Log'!AB73)="C",_xlfn.IFNA(VLOOKUP('Rock Climbing Log'!AB73,'RC Lookup'!$A$3:$B$9,2,FALSE),0.5),VLOOKUP('Rock Climbing Log'!AB73,'RC Lookup'!$G$3:$H$5,2,FALSE)),0)*VLOOKUP(AB$7,'RC Lookup'!$D$3:$E$18,2,FALSE)</f>
        <v>27.017385289384112</v>
      </c>
      <c r="AC73" s="26">
        <f>_xlfn.IFNA(IF(LEFT('Rock Climbing Log'!AC73)="C",_xlfn.IFNA(VLOOKUP('Rock Climbing Log'!AC73,'RC Lookup'!$A$3:$B$9,2,FALSE),0.5),VLOOKUP('Rock Climbing Log'!AC73,'RC Lookup'!$G$3:$H$5,2,FALSE)),0)*VLOOKUP(AB$7,'RC Lookup'!$D$3:$E$18,2,FALSE)</f>
        <v>27.017385289384112</v>
      </c>
      <c r="AD73" s="26">
        <f>_xlfn.IFNA(IF(LEFT('Rock Climbing Log'!AD73)="C",_xlfn.IFNA(VLOOKUP('Rock Climbing Log'!AD73,'RC Lookup'!$A$3:$B$9,2,FALSE),0.5),VLOOKUP('Rock Climbing Log'!AD73,'RC Lookup'!$G$3:$H$5,2,FALSE)),0)*VLOOKUP(AB$7,'RC Lookup'!$D$3:$E$18,2,FALSE)</f>
        <v>0</v>
      </c>
      <c r="AE73" s="26">
        <f>_xlfn.IFNA(IF(LEFT('Rock Climbing Log'!AE73)="C",_xlfn.IFNA(VLOOKUP('Rock Climbing Log'!AE73,'RC Lookup'!$A$3:$B$9,2,FALSE),0.5),VLOOKUP('Rock Climbing Log'!AE73,'RC Lookup'!$G$3:$H$5,2,FALSE)),0)*VLOOKUP(AE$7,'RC Lookup'!$D$3:$E$18,2,FALSE)</f>
        <v>0</v>
      </c>
      <c r="AF73" s="26">
        <f>_xlfn.IFNA(IF(LEFT('Rock Climbing Log'!AF73)="C",_xlfn.IFNA(VLOOKUP('Rock Climbing Log'!AF73,'RC Lookup'!$A$3:$B$9,2,FALSE),0.5),VLOOKUP('Rock Climbing Log'!AF73,'RC Lookup'!$G$3:$H$5,2,FALSE)),0)*VLOOKUP(AE$7,'RC Lookup'!$D$3:$E$18,2,FALSE)</f>
        <v>0</v>
      </c>
      <c r="AG73" s="26">
        <f>_xlfn.IFNA(IF(LEFT('Rock Climbing Log'!AG73)="C",_xlfn.IFNA(VLOOKUP('Rock Climbing Log'!AG73,'RC Lookup'!$A$3:$B$9,2,FALSE),0.5),VLOOKUP('Rock Climbing Log'!AG73,'RC Lookup'!$G$3:$H$5,2,FALSE)),0)*VLOOKUP(AE$7,'RC Lookup'!$D$3:$E$18,2,FALSE)</f>
        <v>0</v>
      </c>
      <c r="AH73" s="26">
        <f>_xlfn.IFNA(IF(LEFT('Rock Climbing Log'!AH73)="C",_xlfn.IFNA(VLOOKUP('Rock Climbing Log'!AH73,'RC Lookup'!$A$3:$B$9,2,FALSE),0.5),VLOOKUP('Rock Climbing Log'!AH73,'RC Lookup'!$G$3:$H$5,2,FALSE)),0)*VLOOKUP(AH$7,'RC Lookup'!$D$3:$E$18,2,FALSE)</f>
        <v>0</v>
      </c>
      <c r="AI73" s="26">
        <f>_xlfn.IFNA(IF(LEFT('Rock Climbing Log'!AI73)="C",_xlfn.IFNA(VLOOKUP('Rock Climbing Log'!AI73,'RC Lookup'!$A$3:$B$9,2,FALSE),0.5),VLOOKUP('Rock Climbing Log'!AI73,'RC Lookup'!$G$3:$H$5,2,FALSE)),0)*VLOOKUP(AH$7,'RC Lookup'!$D$3:$E$18,2,FALSE)</f>
        <v>0</v>
      </c>
      <c r="AJ73" s="26">
        <f>_xlfn.IFNA(IF(LEFT('Rock Climbing Log'!AJ73)="C",_xlfn.IFNA(VLOOKUP('Rock Climbing Log'!AJ73,'RC Lookup'!$A$3:$B$9,2,FALSE),0.5),VLOOKUP('Rock Climbing Log'!AJ73,'RC Lookup'!$G$3:$H$5,2,FALSE)),0)*VLOOKUP(AH$7,'RC Lookup'!$D$3:$E$18,2,FALSE)</f>
        <v>0</v>
      </c>
      <c r="AK73" s="26">
        <f>_xlfn.IFNA(IF(LEFT('Rock Climbing Log'!AK73)="C",_xlfn.IFNA(VLOOKUP('Rock Climbing Log'!AK73,'RC Lookup'!$A$3:$B$9,2,FALSE),0.5),VLOOKUP('Rock Climbing Log'!AK73,'RC Lookup'!$G$3:$H$5,2,FALSE)),0)*VLOOKUP(AK$7,'RC Lookup'!$D$3:$E$18,2,FALSE)</f>
        <v>0</v>
      </c>
      <c r="AL73" s="26">
        <f>_xlfn.IFNA(IF(LEFT('Rock Climbing Log'!AL73)="C",_xlfn.IFNA(VLOOKUP('Rock Climbing Log'!AL73,'RC Lookup'!$A$3:$B$9,2,FALSE),0.5),VLOOKUP('Rock Climbing Log'!AL73,'RC Lookup'!$G$3:$H$5,2,FALSE)),0)*VLOOKUP(AK$7,'RC Lookup'!$D$3:$E$18,2,FALSE)</f>
        <v>0</v>
      </c>
      <c r="AM73" s="26">
        <f>_xlfn.IFNA(IF(LEFT('Rock Climbing Log'!AM73)="C",_xlfn.IFNA(VLOOKUP('Rock Climbing Log'!AM73,'RC Lookup'!$A$3:$B$9,2,FALSE),0.5),VLOOKUP('Rock Climbing Log'!AM73,'RC Lookup'!$G$3:$H$5,2,FALSE)),0)*VLOOKUP(AK$7,'RC Lookup'!$D$3:$E$18,2,FALSE)</f>
        <v>0</v>
      </c>
      <c r="AN73" s="26">
        <f>_xlfn.IFNA(IF(LEFT('Rock Climbing Log'!AN73)="C",_xlfn.IFNA(VLOOKUP('Rock Climbing Log'!AN73,'RC Lookup'!$A$3:$B$9,2,FALSE),0.5),VLOOKUP('Rock Climbing Log'!AN73,'RC Lookup'!$G$3:$H$5,2,FALSE)),0)*VLOOKUP(AN$7,'RC Lookup'!$D$3:$E$18,2,FALSE)</f>
        <v>0</v>
      </c>
      <c r="AO73" s="26">
        <f>_xlfn.IFNA(IF(LEFT('Rock Climbing Log'!AO73)="C",_xlfn.IFNA(VLOOKUP('Rock Climbing Log'!AO73,'RC Lookup'!$A$3:$B$9,2,FALSE),0.5),VLOOKUP('Rock Climbing Log'!AO73,'RC Lookup'!$G$3:$H$5,2,FALSE)),0)*VLOOKUP(AN$7,'RC Lookup'!$D$3:$E$18,2,FALSE)</f>
        <v>0</v>
      </c>
      <c r="AP73" s="26">
        <f>_xlfn.IFNA(IF(LEFT('Rock Climbing Log'!AP73)="C",_xlfn.IFNA(VLOOKUP('Rock Climbing Log'!AP73,'RC Lookup'!$A$3:$B$9,2,FALSE),0.5),VLOOKUP('Rock Climbing Log'!AP73,'RC Lookup'!$G$3:$H$5,2,FALSE)),0)*VLOOKUP(AN$7,'RC Lookup'!$D$3:$E$18,2,FALSE)</f>
        <v>0</v>
      </c>
      <c r="AQ73" s="26">
        <f>_xlfn.IFNA(IF(LEFT('Rock Climbing Log'!AQ73)="C",_xlfn.IFNA(VLOOKUP('Rock Climbing Log'!AQ73,'RC Lookup'!$A$3:$B$9,2,FALSE),0.5),VLOOKUP('Rock Climbing Log'!AQ73,'RC Lookup'!$G$3:$H$5,2,FALSE)),0)*VLOOKUP(AQ$7,'RC Lookup'!$D$3:$E$18,2,FALSE)</f>
        <v>0</v>
      </c>
      <c r="AR73" s="26">
        <f>_xlfn.IFNA(IF(LEFT('Rock Climbing Log'!AR73)="C",_xlfn.IFNA(VLOOKUP('Rock Climbing Log'!AR73,'RC Lookup'!$A$3:$B$9,2,FALSE),0.5),VLOOKUP('Rock Climbing Log'!AR73,'RC Lookup'!$G$3:$H$5,2,FALSE)),0)*VLOOKUP(AQ$7,'RC Lookup'!$D$3:$E$18,2,FALSE)</f>
        <v>0</v>
      </c>
      <c r="AS73" s="26">
        <f>_xlfn.IFNA(IF(LEFT('Rock Climbing Log'!AS73)="C",_xlfn.IFNA(VLOOKUP('Rock Climbing Log'!AS73,'RC Lookup'!$A$3:$B$9,2,FALSE),0.5),VLOOKUP('Rock Climbing Log'!AS73,'RC Lookup'!$G$3:$H$5,2,FALSE)),0)*VLOOKUP(AQ$7,'RC Lookup'!$D$3:$E$18,2,FALSE)</f>
        <v>0</v>
      </c>
      <c r="AT73" s="26">
        <f>_xlfn.IFNA(IF(LEFT('Rock Climbing Log'!AT73)="C",_xlfn.IFNA(VLOOKUP('Rock Climbing Log'!AT73,'RC Lookup'!$A$3:$B$9,2,FALSE),0.5),VLOOKUP('Rock Climbing Log'!AT73,'RC Lookup'!$G$3:$H$5,2,FALSE)),0)*VLOOKUP(AT$7,'RC Lookup'!$D$3:$E$18,2,FALSE)</f>
        <v>0</v>
      </c>
      <c r="AU73" s="26">
        <f>_xlfn.IFNA(IF(LEFT('Rock Climbing Log'!AU73)="C",_xlfn.IFNA(VLOOKUP('Rock Climbing Log'!AU73,'RC Lookup'!$A$3:$B$9,2,FALSE),0.5),VLOOKUP('Rock Climbing Log'!AU73,'RC Lookup'!$G$3:$H$5,2,FALSE)),0)*VLOOKUP(AT$7,'RC Lookup'!$D$3:$E$18,2,FALSE)</f>
        <v>0</v>
      </c>
      <c r="AV73" s="26">
        <f>_xlfn.IFNA(IF(LEFT('Rock Climbing Log'!AV73)="C",_xlfn.IFNA(VLOOKUP('Rock Climbing Log'!AV73,'RC Lookup'!$A$3:$B$9,2,FALSE),0.5),VLOOKUP('Rock Climbing Log'!AV73,'RC Lookup'!$G$3:$H$5,2,FALSE)),0)*VLOOKUP(AT$7,'RC Lookup'!$D$3:$E$18,2,FALSE)</f>
        <v>0</v>
      </c>
      <c r="AW73" s="30">
        <f t="shared" ca="1" si="3"/>
        <v>89.291516321168245</v>
      </c>
      <c r="AX73" s="30">
        <f ca="1">_xlfn.IFNA(VLOOKUP(SUMPRODUCT(LARGE(($C$8:$C73=Table1[[#This Row],[Climber]])*$A$8:$A73,1)),$A$8:$AW73,MATCH($AW$7,$A$7:$AW$7,FALSE),FALSE),0)/LEFT($AX$7,FIND(" ",$AX$7))+_xlfn.IFNA(VLOOKUP(SUMPRODUCT(LARGE(($C$8:$C73=Table1[[#This Row],[Climber]])*$A$8:$A73,MIN(2,COUNTIFS($C$8:$C73,$C73)))),$A$8:$AW73,MATCH($AW$7,$A$7:$AW$7,FALSE),FALSE),0)/LEFT($AX$7,FIND(" ",$AX$7))+_xlfn.IFNA(VLOOKUP(SUMPRODUCT(LARGE(($C$8:$C73=Table1[[#This Row],[Climber]])*$A$8:$A73,MIN(3,COUNTIFS($C$8:$C73,$C73)))),$A$8:$AW73,MATCH($AW$7,$A$7:$AW$7,FALSE),FALSE),0)/LEFT($AX$7,FIND(" ",$AX$7))</f>
        <v>73.270835935322765</v>
      </c>
      <c r="AY73" s="30">
        <f ca="1">_xlfn.IFNA(VLOOKUP(SUMPRODUCT(LARGE(($C$8:$C73=Table1[[#This Row],[Climber]])*$A$8:$A73,1)),$A$8:$AW73,MATCH($AW$7,$A$7:$AW$7,FALSE),FALSE),0)/LEFT($AY$7,FIND(" ",$AY$7))+_xlfn.IFNA(VLOOKUP(SUMPRODUCT(LARGE(($C$8:$C73=Table1[[#This Row],[Climber]])*$A$8:$A73,MIN(2,COUNTIFS($C$8:$C73,$C73)))),$A$8:$AW73,MATCH($AW$7,$A$7:$AW$7,FALSE),FALSE),0)/LEFT($AY$7,FIND(" ",$AY$7))+_xlfn.IFNA(VLOOKUP(SUMPRODUCT(LARGE(($C$8:$C73=Table1[[#This Row],[Climber]])*$A$8:$A73,MIN(3,COUNTIFS($C$8:$C73,$C73)))),$A$8:$AW73,MATCH($AW$7,$A$7:$AW$7,FALSE),FALSE),0)/LEFT($AY$7,FIND(" ",$AY$7))+_xlfn.IFNA(VLOOKUP(SUMPRODUCT(LARGE(($C$8:$C73=Table1[[#This Row],[Climber]])*$A$8:$A73,MIN(4,COUNTIFS($C$8:$C73,$C73)))),$A$8:$AW73,MATCH($AW$7,$A$7:$AW$7,FALSE),FALSE),0)/LEFT($AY$7,FIND(" ",$AY$7))+_xlfn.IFNA(VLOOKUP(SUMPRODUCT(LARGE(($C$8:$C73=Table1[[#This Row],[Climber]])*$A$8:$A73,MIN(5,COUNTIFS($C$8:$C73,$C73)))),$A$8:$AW73,MATCH($AW$7,$A$7:$AW$7,FALSE),FALSE),0)/LEFT($AY$7,FIND(" ",$AY$7))</f>
        <v>73.216699858153675</v>
      </c>
      <c r="AZ73" s="30">
        <f ca="1">(_xlfn.IFNA(VLOOKUP(SUMPRODUCT(LARGE(($C$8:$C73=Table1[[#This Row],[Climber]])*$A$8:$A73,4)),$A$8:$AW73,MATCH($AW$7,$A$7:$AW$7,FALSE),FALSE),0)+_xlfn.IFNA(VLOOKUP(SUMPRODUCT(LARGE(($C$8:$C73=Table1[[#This Row],[Climber]])*$A$8:$A73,5)),$A$8:$AW73,MATCH($AW$7,$A$7:$AW$7,FALSE),FALSE),0)+_xlfn.IFNA(VLOOKUP(SUMPRODUCT(LARGE(($C$8:$C73=Table1[[#This Row],[Climber]])*$A$8:$A73,6)),$A$8:$AW73,MATCH($AW$7,$A$7:$AW$7,FALSE),FALSE),0))/3</f>
        <v>66.550621452000016</v>
      </c>
      <c r="BA73" s="46">
        <f ca="1">_xlfn.MAXIFS(INDIRECT("$AW"&amp;IF(SUMPRODUCT(LARGE(($C$8:$C73=$C73)*$A$8:$A73,LEFT($BA$7,FIND(" ",$BA$7)-1)))=0,8,SUMPRODUCT(LARGE(($C$8:$C73=$C73)*$A$8:$A73,LEFT($BA$7,FIND(" ",$BA$7)-1)))+7)&amp;":$AW"&amp;ROW()),INDIRECT("$C"&amp;IF(SUMPRODUCT(LARGE(($C$8:$C73=$C73)*$A$8:$A73,LEFT($BA$7,FIND(" ",$BA$7)-1)))=0,8,SUMPRODUCT(LARGE(($C$8:$C73=$C73)*$A$8:$A73,LEFT($BA$7,FIND(" ",$BA$7)-1)))+7)&amp;":$C"&amp;ROW()),$C73)</f>
        <v>89.291516321168245</v>
      </c>
      <c r="BB73" s="46" t="str">
        <f ca="1">VLOOKUP(MAX(BG73,$AX73),'RC Lookup'!$G$14:$J$20,2,TRUE)</f>
        <v>T2</v>
      </c>
      <c r="BC73" s="46">
        <f ca="1">_xlfn.IFNA(VLOOKUP(VLOOKUP($C73,'RC Lookup'!$O$3:$P$50,2,FALSE),'RC Lookup'!$H$14:$J$23,2,FALSE),0)*AW73</f>
        <v>102.99272533333335</v>
      </c>
      <c r="BD73" s="6">
        <f ca="1">_xlfn.IFNA(VLOOKUP(SUMPRODUCT(LARGE(($C$8:$C73=Table1[[#This Row],[Climber]])*$A$8:$A73,1)),$A$8:$BC73,55,FALSE),0)/LEFT($AX$7,FIND(" ",$AX$7))+_xlfn.IFNA(VLOOKUP(SUMPRODUCT(LARGE(($C$8:$C73=Table1[[#This Row],[Climber]])*$A$8:$A73,MIN(2,COUNTIFS($C$8:$C73,$C73)))),$A$8:$BC73,55,FALSE),0)/LEFT($AX$7,FIND(" ",$AX$7))+_xlfn.IFNA(VLOOKUP(SUMPRODUCT(LARGE(($C$8:$C73=Table1[[#This Row],[Climber]])*$A$8:$A73,MIN(3,COUNTIFS($C$8:$C73,$C73)))),$A$8:$BC73,55,FALSE),0)/LEFT($AX$7,FIND(" ",$AX$7))</f>
        <v>84.513774559357785</v>
      </c>
      <c r="BE73" s="6">
        <f ca="1">(_xlfn.IFNA(VLOOKUP(SUMPRODUCT(LARGE(($C$8:$C73=Table1[[#This Row],[Climber]])*$A$8:$A73,4)),$A$8:$BD73,55,FALSE),0)+_xlfn.IFNA(VLOOKUP(SUMPRODUCT(LARGE(($C$8:$C73=Table1[[#This Row],[Climber]])*$A$8:$A73,5)),$A$8:$BD73,55,FALSE),0)+_xlfn.IFNA(VLOOKUP(SUMPRODUCT(LARGE(($C$8:$C73=Table1[[#This Row],[Climber]])*$A$8:$A73,6)),$A$8:$BD73,55,FALSE),0))/3</f>
        <v>76.76238637626939</v>
      </c>
      <c r="BF73" s="46">
        <f ca="1">_xlfn.MAXIFS(INDIRECT("$BC"&amp;IF(SUMPRODUCT(LARGE(($C$8:$C73=$C73)*$A$8:$A73,LEFT($BA$7,FIND(" ",$BA$7)-1)))=0,8,SUMPRODUCT(LARGE(($C$8:$C73=$C73)*$A$8:$A73,LEFT($BA$7,FIND(" ",$BA$7)-1)))+7)&amp;":$BC"&amp;ROW()),INDIRECT("$C"&amp;IF(SUMPRODUCT(LARGE(($C$8:$C73=$C73)*$A$8:$A73,LEFT($BA$7,FIND(" ",$BA$7)-1)))=0,8,SUMPRODUCT(LARGE(($C$8:$C73=$C73)*$A$8:$A73,LEFT($BA$7,FIND(" ",$BA$7)-1)))+7)&amp;":$C"&amp;ROW()),$C73)</f>
        <v>102.99272533333335</v>
      </c>
      <c r="BG73" s="46">
        <f t="array" aca="1" ref="BG73" ca="1">IFERROR(SUMPRODUCT(LARGE(($C$8:$C73=Table1[[#This Row],[Climber]])*$AW$8:$AW73,ROW(INDIRECT("1:5")))),AW73)/MIN(COUNTIFS($C$8:$C73,C73),5)</f>
        <v>73.5416908859914</v>
      </c>
    </row>
    <row r="74" spans="1:59" x14ac:dyDescent="0.3">
      <c r="A74" s="125">
        <f t="shared" si="1"/>
        <v>67</v>
      </c>
      <c r="B74" s="25">
        <f>'Rock Climbing Log'!B74</f>
        <v>43165</v>
      </c>
      <c r="C74" s="126" t="str">
        <f>'Rock Climbing Log'!C74</f>
        <v>Angel</v>
      </c>
      <c r="D74" s="26">
        <f>_xlfn.IFNA(IF(LEFT('Rock Climbing Log'!D74)="C",_xlfn.IFNA(VLOOKUP('Rock Climbing Log'!D74,'RC Lookup'!$A$3:$B$9,2,FALSE),0.5),VLOOKUP('Rock Climbing Log'!D74,'RC Lookup'!$G$3:$H$5,2,FALSE)),0)*VLOOKUP(D$7,'RC Lookup'!$D$3:$E$18,2,FALSE)</f>
        <v>0</v>
      </c>
      <c r="E74" s="26">
        <f>_xlfn.IFNA(IF(LEFT('Rock Climbing Log'!E74)="C",_xlfn.IFNA(VLOOKUP('Rock Climbing Log'!E74,'RC Lookup'!$A$3:$B$9,2,FALSE),0.5),VLOOKUP('Rock Climbing Log'!E74,'RC Lookup'!$G$3:$H$5,2,FALSE)),0)*VLOOKUP(D$7,'RC Lookup'!$D$3:$E$18,2,FALSE)</f>
        <v>0</v>
      </c>
      <c r="F74" s="26">
        <f>_xlfn.IFNA(IF(LEFT('Rock Climbing Log'!F74)="C",_xlfn.IFNA(VLOOKUP('Rock Climbing Log'!F74,'RC Lookup'!$A$3:$B$9,2,FALSE),0.5),VLOOKUP('Rock Climbing Log'!F74,'RC Lookup'!$G$3:$H$5,2,FALSE)),0)*VLOOKUP(D$7,'RC Lookup'!$D$3:$E$18,2,FALSE)</f>
        <v>0</v>
      </c>
      <c r="G74" s="26">
        <f>_xlfn.IFNA(IF(LEFT('Rock Climbing Log'!G74)="C",_xlfn.IFNA(VLOOKUP('Rock Climbing Log'!G74,'RC Lookup'!$A$3:$B$9,2,FALSE),0.5),VLOOKUP('Rock Climbing Log'!G74,'RC Lookup'!$G$3:$H$5,2,FALSE)),0)*VLOOKUP(G$7,'RC Lookup'!$D$3:$E$18,2,FALSE)</f>
        <v>0</v>
      </c>
      <c r="H74" s="26">
        <f>_xlfn.IFNA(IF(LEFT('Rock Climbing Log'!H74)="C",_xlfn.IFNA(VLOOKUP('Rock Climbing Log'!H74,'RC Lookup'!$A$3:$B$9,2,FALSE),0.5),VLOOKUP('Rock Climbing Log'!H74,'RC Lookup'!$G$3:$H$5,2,FALSE)),0)*VLOOKUP(G$7,'RC Lookup'!$D$3:$E$18,2,FALSE)</f>
        <v>0</v>
      </c>
      <c r="I74" s="26">
        <f>_xlfn.IFNA(IF(LEFT('Rock Climbing Log'!I74)="C",_xlfn.IFNA(VLOOKUP('Rock Climbing Log'!I74,'RC Lookup'!$A$3:$B$9,2,FALSE),0.5),VLOOKUP('Rock Climbing Log'!I74,'RC Lookup'!$G$3:$H$5,2,FALSE)),0)*VLOOKUP(G$7,'RC Lookup'!$D$3:$E$18,2,FALSE)</f>
        <v>0</v>
      </c>
      <c r="J74" s="26">
        <f>_xlfn.IFNA(IF(LEFT('Rock Climbing Log'!J74)="C",_xlfn.IFNA(VLOOKUP('Rock Climbing Log'!J74,'RC Lookup'!$A$3:$B$9,2,FALSE),0.5),VLOOKUP('Rock Climbing Log'!J74,'RC Lookup'!$G$3:$H$5,2,FALSE)),0)*VLOOKUP(J$7,'RC Lookup'!$D$3:$E$18,2,FALSE)</f>
        <v>0</v>
      </c>
      <c r="K74" s="26">
        <f>_xlfn.IFNA(IF(LEFT('Rock Climbing Log'!K74)="C",_xlfn.IFNA(VLOOKUP('Rock Climbing Log'!K74,'RC Lookup'!$A$3:$B$9,2,FALSE),0.5),VLOOKUP('Rock Climbing Log'!K74,'RC Lookup'!$G$3:$H$5,2,FALSE)),0)*VLOOKUP(J$7,'RC Lookup'!$D$3:$E$18,2,FALSE)</f>
        <v>0</v>
      </c>
      <c r="L74" s="26">
        <f>_xlfn.IFNA(IF(LEFT('Rock Climbing Log'!L74)="C",_xlfn.IFNA(VLOOKUP('Rock Climbing Log'!L74,'RC Lookup'!$A$3:$B$9,2,FALSE),0.5),VLOOKUP('Rock Climbing Log'!L74,'RC Lookup'!$G$3:$H$5,2,FALSE)),0)*VLOOKUP(J$7,'RC Lookup'!$D$3:$E$18,2,FALSE)</f>
        <v>0</v>
      </c>
      <c r="M74" s="26">
        <f>_xlfn.IFNA(IF(LEFT('Rock Climbing Log'!M74)="C",_xlfn.IFNA(VLOOKUP('Rock Climbing Log'!M74,'RC Lookup'!$A$3:$B$9,2,FALSE),0.5),VLOOKUP('Rock Climbing Log'!M74,'RC Lookup'!$G$3:$H$5,2,FALSE)),0)*VLOOKUP(M$7,'RC Lookup'!$D$3:$E$18,2,FALSE)</f>
        <v>20.002500000000001</v>
      </c>
      <c r="N74" s="26">
        <f>_xlfn.IFNA(IF(LEFT('Rock Climbing Log'!N74)="C",_xlfn.IFNA(VLOOKUP('Rock Climbing Log'!N74,'RC Lookup'!$A$3:$B$9,2,FALSE),0.5),VLOOKUP('Rock Climbing Log'!N74,'RC Lookup'!$G$3:$H$5,2,FALSE)),0)*VLOOKUP(M$7,'RC Lookup'!$D$3:$E$18,2,FALSE)</f>
        <v>0</v>
      </c>
      <c r="O74" s="26">
        <f>_xlfn.IFNA(IF(LEFT('Rock Climbing Log'!O74)="C",_xlfn.IFNA(VLOOKUP('Rock Climbing Log'!O74,'RC Lookup'!$A$3:$B$9,2,FALSE),0.5),VLOOKUP('Rock Climbing Log'!O74,'RC Lookup'!$G$3:$H$5,2,FALSE)),0)*VLOOKUP(M$7,'RC Lookup'!$D$3:$E$18,2,FALSE)</f>
        <v>0</v>
      </c>
      <c r="P74" s="26">
        <f>_xlfn.IFNA(IF(LEFT('Rock Climbing Log'!P74)="C",_xlfn.IFNA(VLOOKUP('Rock Climbing Log'!P74,'RC Lookup'!$A$3:$B$9,2,FALSE),0.5),VLOOKUP('Rock Climbing Log'!P74,'RC Lookup'!$G$3:$H$5,2,FALSE)),0)*VLOOKUP(P$7,'RC Lookup'!$D$3:$E$18,2,FALSE)</f>
        <v>0</v>
      </c>
      <c r="Q74" s="26">
        <f>_xlfn.IFNA(IF(LEFT('Rock Climbing Log'!Q74)="C",_xlfn.IFNA(VLOOKUP('Rock Climbing Log'!Q74,'RC Lookup'!$A$3:$B$9,2,FALSE),0.5),VLOOKUP('Rock Climbing Log'!Q74,'RC Lookup'!$G$3:$H$5,2,FALSE)),0)*VLOOKUP(P$7,'RC Lookup'!$D$3:$E$18,2,FALSE)</f>
        <v>0</v>
      </c>
      <c r="R74" s="26">
        <f>_xlfn.IFNA(IF(LEFT('Rock Climbing Log'!R74)="C",_xlfn.IFNA(VLOOKUP('Rock Climbing Log'!R74,'RC Lookup'!$A$3:$B$9,2,FALSE),0.5),VLOOKUP('Rock Climbing Log'!R74,'RC Lookup'!$G$3:$H$5,2,FALSE)),0)*VLOOKUP(P$7,'RC Lookup'!$D$3:$E$18,2,FALSE)</f>
        <v>0</v>
      </c>
      <c r="S74" s="26">
        <f>_xlfn.IFNA(IF(LEFT('Rock Climbing Log'!S74)="C",_xlfn.IFNA(VLOOKUP('Rock Climbing Log'!S74,'RC Lookup'!$A$3:$B$9,2,FALSE),0.5),VLOOKUP('Rock Climbing Log'!S74,'RC Lookup'!$G$3:$H$5,2,FALSE)),0)*VLOOKUP(S$7,'RC Lookup'!$D$3:$E$18,2,FALSE)</f>
        <v>0</v>
      </c>
      <c r="T74" s="26">
        <f>_xlfn.IFNA(IF(LEFT('Rock Climbing Log'!T74)="C",_xlfn.IFNA(VLOOKUP('Rock Climbing Log'!T74,'RC Lookup'!$A$3:$B$9,2,FALSE),0.5),VLOOKUP('Rock Climbing Log'!T74,'RC Lookup'!$G$3:$H$5,2,FALSE)),0)*VLOOKUP(S$7,'RC Lookup'!$D$3:$E$18,2,FALSE)</f>
        <v>0</v>
      </c>
      <c r="U74" s="26">
        <f>_xlfn.IFNA(IF(LEFT('Rock Climbing Log'!U74)="C",_xlfn.IFNA(VLOOKUP('Rock Climbing Log'!U74,'RC Lookup'!$A$3:$B$9,2,FALSE),0.5),VLOOKUP('Rock Climbing Log'!U74,'RC Lookup'!$G$3:$H$5,2,FALSE)),0)*VLOOKUP(S$7,'RC Lookup'!$D$3:$E$18,2,FALSE)</f>
        <v>0</v>
      </c>
      <c r="V74" s="26">
        <f>_xlfn.IFNA(IF(LEFT('Rock Climbing Log'!V74)="C",_xlfn.IFNA(VLOOKUP('Rock Climbing Log'!V74,'RC Lookup'!$A$3:$B$9,2,FALSE),0.5),VLOOKUP('Rock Climbing Log'!V74,'RC Lookup'!$G$3:$H$5,2,FALSE)),0)*VLOOKUP(V$7,'RC Lookup'!$D$3:$E$18,2,FALSE)</f>
        <v>23.131950881588658</v>
      </c>
      <c r="W74" s="26">
        <f>_xlfn.IFNA(IF(LEFT('Rock Climbing Log'!W74)="C",_xlfn.IFNA(VLOOKUP('Rock Climbing Log'!W74,'RC Lookup'!$A$3:$B$9,2,FALSE),0.5),VLOOKUP('Rock Climbing Log'!W74,'RC Lookup'!$G$3:$H$5,2,FALSE)),0)*VLOOKUP(V$7,'RC Lookup'!$D$3:$E$18,2,FALSE)</f>
        <v>31.731071168160021</v>
      </c>
      <c r="X74" s="26">
        <f>_xlfn.IFNA(IF(LEFT('Rock Climbing Log'!X74)="C",_xlfn.IFNA(VLOOKUP('Rock Climbing Log'!X74,'RC Lookup'!$A$3:$B$9,2,FALSE),0.5),VLOOKUP('Rock Climbing Log'!X74,'RC Lookup'!$G$3:$H$5,2,FALSE)),0)*VLOOKUP(V$7,'RC Lookup'!$D$3:$E$18,2,FALSE)</f>
        <v>25.70216764620962</v>
      </c>
      <c r="Y74" s="26">
        <f>_xlfn.IFNA(IF(LEFT('Rock Climbing Log'!Y74)="C",_xlfn.IFNA(VLOOKUP('Rock Climbing Log'!Y74,'RC Lookup'!$A$3:$B$9,2,FALSE),0.5),VLOOKUP('Rock Climbing Log'!Y74,'RC Lookup'!$G$3:$H$5,2,FALSE)),0)*VLOOKUP(Y$7,'RC Lookup'!$D$3:$E$18,2,FALSE)</f>
        <v>0</v>
      </c>
      <c r="Z74" s="26">
        <f>_xlfn.IFNA(IF(LEFT('Rock Climbing Log'!Z74)="C",_xlfn.IFNA(VLOOKUP('Rock Climbing Log'!Z74,'RC Lookup'!$A$3:$B$9,2,FALSE),0.5),VLOOKUP('Rock Climbing Log'!Z74,'RC Lookup'!$G$3:$H$5,2,FALSE)),0)*VLOOKUP(Y$7,'RC Lookup'!$D$3:$E$18,2,FALSE)</f>
        <v>0</v>
      </c>
      <c r="AA74" s="26">
        <f>_xlfn.IFNA(IF(LEFT('Rock Climbing Log'!AA74)="C",_xlfn.IFNA(VLOOKUP('Rock Climbing Log'!AA74,'RC Lookup'!$A$3:$B$9,2,FALSE),0.5),VLOOKUP('Rock Climbing Log'!AA74,'RC Lookup'!$G$3:$H$5,2,FALSE)),0)*VLOOKUP(Y$7,'RC Lookup'!$D$3:$E$18,2,FALSE)</f>
        <v>0</v>
      </c>
      <c r="AB74" s="26">
        <f>_xlfn.IFNA(IF(LEFT('Rock Climbing Log'!AB74)="C",_xlfn.IFNA(VLOOKUP('Rock Climbing Log'!AB74,'RC Lookup'!$A$3:$B$9,2,FALSE),0.5),VLOOKUP('Rock Climbing Log'!AB74,'RC Lookup'!$G$3:$H$5,2,FALSE)),0)*VLOOKUP(AB$7,'RC Lookup'!$D$3:$E$18,2,FALSE)</f>
        <v>0</v>
      </c>
      <c r="AC74" s="26">
        <f>_xlfn.IFNA(IF(LEFT('Rock Climbing Log'!AC74)="C",_xlfn.IFNA(VLOOKUP('Rock Climbing Log'!AC74,'RC Lookup'!$A$3:$B$9,2,FALSE),0.5),VLOOKUP('Rock Climbing Log'!AC74,'RC Lookup'!$G$3:$H$5,2,FALSE)),0)*VLOOKUP(AB$7,'RC Lookup'!$D$3:$E$18,2,FALSE)</f>
        <v>0</v>
      </c>
      <c r="AD74" s="26">
        <f>_xlfn.IFNA(IF(LEFT('Rock Climbing Log'!AD74)="C",_xlfn.IFNA(VLOOKUP('Rock Climbing Log'!AD74,'RC Lookup'!$A$3:$B$9,2,FALSE),0.5),VLOOKUP('Rock Climbing Log'!AD74,'RC Lookup'!$G$3:$H$5,2,FALSE)),0)*VLOOKUP(AB$7,'RC Lookup'!$D$3:$E$18,2,FALSE)</f>
        <v>0</v>
      </c>
      <c r="AE74" s="26">
        <f>_xlfn.IFNA(IF(LEFT('Rock Climbing Log'!AE74)="C",_xlfn.IFNA(VLOOKUP('Rock Climbing Log'!AE74,'RC Lookup'!$A$3:$B$9,2,FALSE),0.5),VLOOKUP('Rock Climbing Log'!AE74,'RC Lookup'!$G$3:$H$5,2,FALSE)),0)*VLOOKUP(AE$7,'RC Lookup'!$D$3:$E$18,2,FALSE)</f>
        <v>0</v>
      </c>
      <c r="AF74" s="26">
        <f>_xlfn.IFNA(IF(LEFT('Rock Climbing Log'!AF74)="C",_xlfn.IFNA(VLOOKUP('Rock Climbing Log'!AF74,'RC Lookup'!$A$3:$B$9,2,FALSE),0.5),VLOOKUP('Rock Climbing Log'!AF74,'RC Lookup'!$G$3:$H$5,2,FALSE)),0)*VLOOKUP(AE$7,'RC Lookup'!$D$3:$E$18,2,FALSE)</f>
        <v>0</v>
      </c>
      <c r="AG74" s="26">
        <f>_xlfn.IFNA(IF(LEFT('Rock Climbing Log'!AG74)="C",_xlfn.IFNA(VLOOKUP('Rock Climbing Log'!AG74,'RC Lookup'!$A$3:$B$9,2,FALSE),0.5),VLOOKUP('Rock Climbing Log'!AG74,'RC Lookup'!$G$3:$H$5,2,FALSE)),0)*VLOOKUP(AE$7,'RC Lookup'!$D$3:$E$18,2,FALSE)</f>
        <v>0</v>
      </c>
      <c r="AH74" s="26">
        <f>_xlfn.IFNA(IF(LEFT('Rock Climbing Log'!AH74)="C",_xlfn.IFNA(VLOOKUP('Rock Climbing Log'!AH74,'RC Lookup'!$A$3:$B$9,2,FALSE),0.5),VLOOKUP('Rock Climbing Log'!AH74,'RC Lookup'!$G$3:$H$5,2,FALSE)),0)*VLOOKUP(AH$7,'RC Lookup'!$D$3:$E$18,2,FALSE)</f>
        <v>0</v>
      </c>
      <c r="AI74" s="26">
        <f>_xlfn.IFNA(IF(LEFT('Rock Climbing Log'!AI74)="C",_xlfn.IFNA(VLOOKUP('Rock Climbing Log'!AI74,'RC Lookup'!$A$3:$B$9,2,FALSE),0.5),VLOOKUP('Rock Climbing Log'!AI74,'RC Lookup'!$G$3:$H$5,2,FALSE)),0)*VLOOKUP(AH$7,'RC Lookup'!$D$3:$E$18,2,FALSE)</f>
        <v>0</v>
      </c>
      <c r="AJ74" s="26">
        <f>_xlfn.IFNA(IF(LEFT('Rock Climbing Log'!AJ74)="C",_xlfn.IFNA(VLOOKUP('Rock Climbing Log'!AJ74,'RC Lookup'!$A$3:$B$9,2,FALSE),0.5),VLOOKUP('Rock Climbing Log'!AJ74,'RC Lookup'!$G$3:$H$5,2,FALSE)),0)*VLOOKUP(AH$7,'RC Lookup'!$D$3:$E$18,2,FALSE)</f>
        <v>0</v>
      </c>
      <c r="AK74" s="26">
        <f>_xlfn.IFNA(IF(LEFT('Rock Climbing Log'!AK74)="C",_xlfn.IFNA(VLOOKUP('Rock Climbing Log'!AK74,'RC Lookup'!$A$3:$B$9,2,FALSE),0.5),VLOOKUP('Rock Climbing Log'!AK74,'RC Lookup'!$G$3:$H$5,2,FALSE)),0)*VLOOKUP(AK$7,'RC Lookup'!$D$3:$E$18,2,FALSE)</f>
        <v>0</v>
      </c>
      <c r="AL74" s="26">
        <f>_xlfn.IFNA(IF(LEFT('Rock Climbing Log'!AL74)="C",_xlfn.IFNA(VLOOKUP('Rock Climbing Log'!AL74,'RC Lookup'!$A$3:$B$9,2,FALSE),0.5),VLOOKUP('Rock Climbing Log'!AL74,'RC Lookup'!$G$3:$H$5,2,FALSE)),0)*VLOOKUP(AK$7,'RC Lookup'!$D$3:$E$18,2,FALSE)</f>
        <v>0</v>
      </c>
      <c r="AM74" s="26">
        <f>_xlfn.IFNA(IF(LEFT('Rock Climbing Log'!AM74)="C",_xlfn.IFNA(VLOOKUP('Rock Climbing Log'!AM74,'RC Lookup'!$A$3:$B$9,2,FALSE),0.5),VLOOKUP('Rock Climbing Log'!AM74,'RC Lookup'!$G$3:$H$5,2,FALSE)),0)*VLOOKUP(AK$7,'RC Lookup'!$D$3:$E$18,2,FALSE)</f>
        <v>0</v>
      </c>
      <c r="AN74" s="26">
        <f>_xlfn.IFNA(IF(LEFT('Rock Climbing Log'!AN74)="C",_xlfn.IFNA(VLOOKUP('Rock Climbing Log'!AN74,'RC Lookup'!$A$3:$B$9,2,FALSE),0.5),VLOOKUP('Rock Climbing Log'!AN74,'RC Lookup'!$G$3:$H$5,2,FALSE)),0)*VLOOKUP(AN$7,'RC Lookup'!$D$3:$E$18,2,FALSE)</f>
        <v>0</v>
      </c>
      <c r="AO74" s="26">
        <f>_xlfn.IFNA(IF(LEFT('Rock Climbing Log'!AO74)="C",_xlfn.IFNA(VLOOKUP('Rock Climbing Log'!AO74,'RC Lookup'!$A$3:$B$9,2,FALSE),0.5),VLOOKUP('Rock Climbing Log'!AO74,'RC Lookup'!$G$3:$H$5,2,FALSE)),0)*VLOOKUP(AN$7,'RC Lookup'!$D$3:$E$18,2,FALSE)</f>
        <v>0</v>
      </c>
      <c r="AP74" s="26">
        <f>_xlfn.IFNA(IF(LEFT('Rock Climbing Log'!AP74)="C",_xlfn.IFNA(VLOOKUP('Rock Climbing Log'!AP74,'RC Lookup'!$A$3:$B$9,2,FALSE),0.5),VLOOKUP('Rock Climbing Log'!AP74,'RC Lookup'!$G$3:$H$5,2,FALSE)),0)*VLOOKUP(AN$7,'RC Lookup'!$D$3:$E$18,2,FALSE)</f>
        <v>0</v>
      </c>
      <c r="AQ74" s="26">
        <f>_xlfn.IFNA(IF(LEFT('Rock Climbing Log'!AQ74)="C",_xlfn.IFNA(VLOOKUP('Rock Climbing Log'!AQ74,'RC Lookup'!$A$3:$B$9,2,FALSE),0.5),VLOOKUP('Rock Climbing Log'!AQ74,'RC Lookup'!$G$3:$H$5,2,FALSE)),0)*VLOOKUP(AQ$7,'RC Lookup'!$D$3:$E$18,2,FALSE)</f>
        <v>0</v>
      </c>
      <c r="AR74" s="26">
        <f>_xlfn.IFNA(IF(LEFT('Rock Climbing Log'!AR74)="C",_xlfn.IFNA(VLOOKUP('Rock Climbing Log'!AR74,'RC Lookup'!$A$3:$B$9,2,FALSE),0.5),VLOOKUP('Rock Climbing Log'!AR74,'RC Lookup'!$G$3:$H$5,2,FALSE)),0)*VLOOKUP(AQ$7,'RC Lookup'!$D$3:$E$18,2,FALSE)</f>
        <v>0</v>
      </c>
      <c r="AS74" s="26">
        <f>_xlfn.IFNA(IF(LEFT('Rock Climbing Log'!AS74)="C",_xlfn.IFNA(VLOOKUP('Rock Climbing Log'!AS74,'RC Lookup'!$A$3:$B$9,2,FALSE),0.5),VLOOKUP('Rock Climbing Log'!AS74,'RC Lookup'!$G$3:$H$5,2,FALSE)),0)*VLOOKUP(AQ$7,'RC Lookup'!$D$3:$E$18,2,FALSE)</f>
        <v>0</v>
      </c>
      <c r="AT74" s="26">
        <f>_xlfn.IFNA(IF(LEFT('Rock Climbing Log'!AT74)="C",_xlfn.IFNA(VLOOKUP('Rock Climbing Log'!AT74,'RC Lookup'!$A$3:$B$9,2,FALSE),0.5),VLOOKUP('Rock Climbing Log'!AT74,'RC Lookup'!$G$3:$H$5,2,FALSE)),0)*VLOOKUP(AT$7,'RC Lookup'!$D$3:$E$18,2,FALSE)</f>
        <v>0</v>
      </c>
      <c r="AU74" s="26">
        <f>_xlfn.IFNA(IF(LEFT('Rock Climbing Log'!AU74)="C",_xlfn.IFNA(VLOOKUP('Rock Climbing Log'!AU74,'RC Lookup'!$A$3:$B$9,2,FALSE),0.5),VLOOKUP('Rock Climbing Log'!AU74,'RC Lookup'!$G$3:$H$5,2,FALSE)),0)*VLOOKUP(AT$7,'RC Lookup'!$D$3:$E$18,2,FALSE)</f>
        <v>0</v>
      </c>
      <c r="AV74" s="26">
        <f>_xlfn.IFNA(IF(LEFT('Rock Climbing Log'!AV74)="C",_xlfn.IFNA(VLOOKUP('Rock Climbing Log'!AV74,'RC Lookup'!$A$3:$B$9,2,FALSE),0.5),VLOOKUP('Rock Climbing Log'!AV74,'RC Lookup'!$G$3:$H$5,2,FALSE)),0)*VLOOKUP(AT$7,'RC Lookup'!$D$3:$E$18,2,FALSE)</f>
        <v>0</v>
      </c>
      <c r="AW74" s="30">
        <f t="shared" ca="1" si="3"/>
        <v>80.56518969595831</v>
      </c>
      <c r="AX74" s="30">
        <f ca="1">_xlfn.IFNA(VLOOKUP(SUMPRODUCT(LARGE(($C$8:$C74=Table1[[#This Row],[Climber]])*$A$8:$A74,1)),$A$8:$AW74,MATCH($AW$7,$A$7:$AW$7,FALSE),FALSE),0)/LEFT($AX$7,FIND(" ",$AX$7))+_xlfn.IFNA(VLOOKUP(SUMPRODUCT(LARGE(($C$8:$C74=Table1[[#This Row],[Climber]])*$A$8:$A74,MIN(2,COUNTIFS($C$8:$C74,$C74)))),$A$8:$AW74,MATCH($AW$7,$A$7:$AW$7,FALSE),FALSE),0)/LEFT($AX$7,FIND(" ",$AX$7))+_xlfn.IFNA(VLOOKUP(SUMPRODUCT(LARGE(($C$8:$C74=Table1[[#This Row],[Climber]])*$A$8:$A74,MIN(3,COUNTIFS($C$8:$C74,$C74)))),$A$8:$AW74,MATCH($AW$7,$A$7:$AW$7,FALSE),FALSE),0)/LEFT($AX$7,FIND(" ",$AX$7))</f>
        <v>70.976979458995729</v>
      </c>
      <c r="AY74" s="30">
        <f ca="1">_xlfn.IFNA(VLOOKUP(SUMPRODUCT(LARGE(($C$8:$C74=Table1[[#This Row],[Climber]])*$A$8:$A74,1)),$A$8:$AW74,MATCH($AW$7,$A$7:$AW$7,FALSE),FALSE),0)/LEFT($AY$7,FIND(" ",$AY$7))+_xlfn.IFNA(VLOOKUP(SUMPRODUCT(LARGE(($C$8:$C74=Table1[[#This Row],[Climber]])*$A$8:$A74,MIN(2,COUNTIFS($C$8:$C74,$C74)))),$A$8:$AW74,MATCH($AW$7,$A$7:$AW$7,FALSE),FALSE),0)/LEFT($AY$7,FIND(" ",$AY$7))+_xlfn.IFNA(VLOOKUP(SUMPRODUCT(LARGE(($C$8:$C74=Table1[[#This Row],[Climber]])*$A$8:$A74,MIN(3,COUNTIFS($C$8:$C74,$C74)))),$A$8:$AW74,MATCH($AW$7,$A$7:$AW$7,FALSE),FALSE),0)/LEFT($AY$7,FIND(" ",$AY$7))+_xlfn.IFNA(VLOOKUP(SUMPRODUCT(LARGE(($C$8:$C74=Table1[[#This Row],[Climber]])*$A$8:$A74,MIN(4,COUNTIFS($C$8:$C74,$C74)))),$A$8:$AW74,MATCH($AW$7,$A$7:$AW$7,FALSE),FALSE),0)/LEFT($AY$7,FIND(" ",$AY$7))+_xlfn.IFNA(VLOOKUP(SUMPRODUCT(LARGE(($C$8:$C74=Table1[[#This Row],[Climber]])*$A$8:$A74,MIN(5,COUNTIFS($C$8:$C74,$C74)))),$A$8:$AW74,MATCH($AW$7,$A$7:$AW$7,FALSE),FALSE),0)/LEFT($AY$7,FIND(" ",$AY$7))</f>
        <v>57.886187675397437</v>
      </c>
      <c r="AZ74" s="30">
        <f ca="1">(_xlfn.IFNA(VLOOKUP(SUMPRODUCT(LARGE(($C$8:$C74=Table1[[#This Row],[Climber]])*$A$8:$A74,4)),$A$8:$AW74,MATCH($AW$7,$A$7:$AW$7,FALSE),FALSE),0)+_xlfn.IFNA(VLOOKUP(SUMPRODUCT(LARGE(($C$8:$C74=Table1[[#This Row],[Climber]])*$A$8:$A74,5)),$A$8:$AW74,MATCH($AW$7,$A$7:$AW$7,FALSE),FALSE),0)+_xlfn.IFNA(VLOOKUP(SUMPRODUCT(LARGE(($C$8:$C74=Table1[[#This Row],[Climber]])*$A$8:$A74,6)),$A$8:$AW74,MATCH($AW$7,$A$7:$AW$7,FALSE),FALSE),0))/3</f>
        <v>25.5</v>
      </c>
      <c r="BA74" s="46">
        <f ca="1">_xlfn.MAXIFS(INDIRECT("$AW"&amp;IF(SUMPRODUCT(LARGE(($C$8:$C74=$C74)*$A$8:$A74,LEFT($BA$7,FIND(" ",$BA$7)-1)))=0,8,SUMPRODUCT(LARGE(($C$8:$C74=$C74)*$A$8:$A74,LEFT($BA$7,FIND(" ",$BA$7)-1)))+7)&amp;":$AW"&amp;ROW()),INDIRECT("$C"&amp;IF(SUMPRODUCT(LARGE(($C$8:$C74=$C74)*$A$8:$A74,LEFT($BA$7,FIND(" ",$BA$7)-1)))=0,8,SUMPRODUCT(LARGE(($C$8:$C74=$C74)*$A$8:$A74,LEFT($BA$7,FIND(" ",$BA$7)-1)))+7)&amp;":$C"&amp;ROW()),$C74)</f>
        <v>80.56518969595831</v>
      </c>
      <c r="BB74" s="46" t="str">
        <f ca="1">VLOOKUP(MAX(BG74,$AX74),'RC Lookup'!$G$14:$J$20,2,TRUE)</f>
        <v>T2</v>
      </c>
      <c r="BC74" s="46">
        <f ca="1">_xlfn.IFNA(VLOOKUP(VLOOKUP($C74,'RC Lookup'!$O$3:$P$50,2,FALSE),'RC Lookup'!$H$14:$J$23,2,FALSE),0)*AW74</f>
        <v>134.2585338432001</v>
      </c>
      <c r="BD74" s="6">
        <f ca="1">_xlfn.IFNA(VLOOKUP(SUMPRODUCT(LARGE(($C$8:$C74=Table1[[#This Row],[Climber]])*$A$8:$A74,1)),$A$8:$BC74,55,FALSE),0)/LEFT($AX$7,FIND(" ",$AX$7))+_xlfn.IFNA(VLOOKUP(SUMPRODUCT(LARGE(($C$8:$C74=Table1[[#This Row],[Climber]])*$A$8:$A74,MIN(2,COUNTIFS($C$8:$C74,$C74)))),$A$8:$BC74,55,FALSE),0)/LEFT($AX$7,FIND(" ",$AX$7))+_xlfn.IFNA(VLOOKUP(SUMPRODUCT(LARGE(($C$8:$C74=Table1[[#This Row],[Climber]])*$A$8:$A74,MIN(3,COUNTIFS($C$8:$C74,$C74)))),$A$8:$BC74,55,FALSE),0)/LEFT($AX$7,FIND(" ",$AX$7))</f>
        <v>118.28018074240008</v>
      </c>
      <c r="BE74" s="6">
        <f ca="1">(_xlfn.IFNA(VLOOKUP(SUMPRODUCT(LARGE(($C$8:$C74=Table1[[#This Row],[Climber]])*$A$8:$A74,4)),$A$8:$BD74,55,FALSE),0)+_xlfn.IFNA(VLOOKUP(SUMPRODUCT(LARGE(($C$8:$C74=Table1[[#This Row],[Climber]])*$A$8:$A74,5)),$A$8:$BD74,55,FALSE),0)+_xlfn.IFNA(VLOOKUP(SUMPRODUCT(LARGE(($C$8:$C74=Table1[[#This Row],[Climber]])*$A$8:$A74,6)),$A$8:$BD74,55,FALSE),0))/3</f>
        <v>42.494688163979497</v>
      </c>
      <c r="BF74" s="46">
        <f ca="1">_xlfn.MAXIFS(INDIRECT("$BC"&amp;IF(SUMPRODUCT(LARGE(($C$8:$C74=$C74)*$A$8:$A74,LEFT($BA$7,FIND(" ",$BA$7)-1)))=0,8,SUMPRODUCT(LARGE(($C$8:$C74=$C74)*$A$8:$A74,LEFT($BA$7,FIND(" ",$BA$7)-1)))+7)&amp;":$BC"&amp;ROW()),INDIRECT("$C"&amp;IF(SUMPRODUCT(LARGE(($C$8:$C74=$C74)*$A$8:$A74,LEFT($BA$7,FIND(" ",$BA$7)-1)))=0,8,SUMPRODUCT(LARGE(($C$8:$C74=$C74)*$A$8:$A74,LEFT($BA$7,FIND(" ",$BA$7)-1)))+7)&amp;":$C"&amp;ROW()),$C74)</f>
        <v>134.2585338432001</v>
      </c>
      <c r="BG74" s="46">
        <f t="array" aca="1" ref="BG74" ca="1">IFERROR(SUMPRODUCT(LARGE(($C$8:$C74=Table1[[#This Row],[Climber]])*$AW$8:$AW74,ROW(INDIRECT("1:5")))),AW74)/MIN(COUNTIFS($C$8:$C74,C74),5)</f>
        <v>57.886187675397444</v>
      </c>
    </row>
    <row r="75" spans="1:59" x14ac:dyDescent="0.3">
      <c r="A75" s="125">
        <f t="shared" si="1"/>
        <v>68</v>
      </c>
      <c r="B75" s="25">
        <f>'Rock Climbing Log'!B75</f>
        <v>43165</v>
      </c>
      <c r="C75" s="126" t="str">
        <f>'Rock Climbing Log'!C75</f>
        <v>Oz</v>
      </c>
      <c r="D75" s="26">
        <f>_xlfn.IFNA(IF(LEFT('Rock Climbing Log'!D75)="C",_xlfn.IFNA(VLOOKUP('Rock Climbing Log'!D75,'RC Lookup'!$A$3:$B$9,2,FALSE),0.5),VLOOKUP('Rock Climbing Log'!D75,'RC Lookup'!$G$3:$H$5,2,FALSE)),0)*VLOOKUP(D$7,'RC Lookup'!$D$3:$E$18,2,FALSE)</f>
        <v>0</v>
      </c>
      <c r="E75" s="26">
        <f>_xlfn.IFNA(IF(LEFT('Rock Climbing Log'!E75)="C",_xlfn.IFNA(VLOOKUP('Rock Climbing Log'!E75,'RC Lookup'!$A$3:$B$9,2,FALSE),0.5),VLOOKUP('Rock Climbing Log'!E75,'RC Lookup'!$G$3:$H$5,2,FALSE)),0)*VLOOKUP(D$7,'RC Lookup'!$D$3:$E$18,2,FALSE)</f>
        <v>0</v>
      </c>
      <c r="F75" s="26">
        <f>_xlfn.IFNA(IF(LEFT('Rock Climbing Log'!F75)="C",_xlfn.IFNA(VLOOKUP('Rock Climbing Log'!F75,'RC Lookup'!$A$3:$B$9,2,FALSE),0.5),VLOOKUP('Rock Climbing Log'!F75,'RC Lookup'!$G$3:$H$5,2,FALSE)),0)*VLOOKUP(D$7,'RC Lookup'!$D$3:$E$18,2,FALSE)</f>
        <v>0</v>
      </c>
      <c r="G75" s="26">
        <f>_xlfn.IFNA(IF(LEFT('Rock Climbing Log'!G75)="C",_xlfn.IFNA(VLOOKUP('Rock Climbing Log'!G75,'RC Lookup'!$A$3:$B$9,2,FALSE),0.5),VLOOKUP('Rock Climbing Log'!G75,'RC Lookup'!$G$3:$H$5,2,FALSE)),0)*VLOOKUP(G$7,'RC Lookup'!$D$3:$E$18,2,FALSE)</f>
        <v>0</v>
      </c>
      <c r="H75" s="26">
        <f>_xlfn.IFNA(IF(LEFT('Rock Climbing Log'!H75)="C",_xlfn.IFNA(VLOOKUP('Rock Climbing Log'!H75,'RC Lookup'!$A$3:$B$9,2,FALSE),0.5),VLOOKUP('Rock Climbing Log'!H75,'RC Lookup'!$G$3:$H$5,2,FALSE)),0)*VLOOKUP(G$7,'RC Lookup'!$D$3:$E$18,2,FALSE)</f>
        <v>0</v>
      </c>
      <c r="I75" s="26">
        <f>_xlfn.IFNA(IF(LEFT('Rock Climbing Log'!I75)="C",_xlfn.IFNA(VLOOKUP('Rock Climbing Log'!I75,'RC Lookup'!$A$3:$B$9,2,FALSE),0.5),VLOOKUP('Rock Climbing Log'!I75,'RC Lookup'!$G$3:$H$5,2,FALSE)),0)*VLOOKUP(G$7,'RC Lookup'!$D$3:$E$18,2,FALSE)</f>
        <v>0</v>
      </c>
      <c r="J75" s="26">
        <f>_xlfn.IFNA(IF(LEFT('Rock Climbing Log'!J75)="C",_xlfn.IFNA(VLOOKUP('Rock Climbing Log'!J75,'RC Lookup'!$A$3:$B$9,2,FALSE),0.5),VLOOKUP('Rock Climbing Log'!J75,'RC Lookup'!$G$3:$H$5,2,FALSE)),0)*VLOOKUP(J$7,'RC Lookup'!$D$3:$E$18,2,FALSE)</f>
        <v>0</v>
      </c>
      <c r="K75" s="26">
        <f>_xlfn.IFNA(IF(LEFT('Rock Climbing Log'!K75)="C",_xlfn.IFNA(VLOOKUP('Rock Climbing Log'!K75,'RC Lookup'!$A$3:$B$9,2,FALSE),0.5),VLOOKUP('Rock Climbing Log'!K75,'RC Lookup'!$G$3:$H$5,2,FALSE)),0)*VLOOKUP(J$7,'RC Lookup'!$D$3:$E$18,2,FALSE)</f>
        <v>0</v>
      </c>
      <c r="L75" s="26">
        <f>_xlfn.IFNA(IF(LEFT('Rock Climbing Log'!L75)="C",_xlfn.IFNA(VLOOKUP('Rock Climbing Log'!L75,'RC Lookup'!$A$3:$B$9,2,FALSE),0.5),VLOOKUP('Rock Climbing Log'!L75,'RC Lookup'!$G$3:$H$5,2,FALSE)),0)*VLOOKUP(J$7,'RC Lookup'!$D$3:$E$18,2,FALSE)</f>
        <v>0</v>
      </c>
      <c r="M75" s="26">
        <f>_xlfn.IFNA(IF(LEFT('Rock Climbing Log'!M75)="C",_xlfn.IFNA(VLOOKUP('Rock Climbing Log'!M75,'RC Lookup'!$A$3:$B$9,2,FALSE),0.5),VLOOKUP('Rock Climbing Log'!M75,'RC Lookup'!$G$3:$H$5,2,FALSE)),0)*VLOOKUP(M$7,'RC Lookup'!$D$3:$E$18,2,FALSE)</f>
        <v>0</v>
      </c>
      <c r="N75" s="26">
        <f>_xlfn.IFNA(IF(LEFT('Rock Climbing Log'!N75)="C",_xlfn.IFNA(VLOOKUP('Rock Climbing Log'!N75,'RC Lookup'!$A$3:$B$9,2,FALSE),0.5),VLOOKUP('Rock Climbing Log'!N75,'RC Lookup'!$G$3:$H$5,2,FALSE)),0)*VLOOKUP(M$7,'RC Lookup'!$D$3:$E$18,2,FALSE)</f>
        <v>0</v>
      </c>
      <c r="O75" s="26">
        <f>_xlfn.IFNA(IF(LEFT('Rock Climbing Log'!O75)="C",_xlfn.IFNA(VLOOKUP('Rock Climbing Log'!O75,'RC Lookup'!$A$3:$B$9,2,FALSE),0.5),VLOOKUP('Rock Climbing Log'!O75,'RC Lookup'!$G$3:$H$5,2,FALSE)),0)*VLOOKUP(M$7,'RC Lookup'!$D$3:$E$18,2,FALSE)</f>
        <v>0</v>
      </c>
      <c r="P75" s="26">
        <f>_xlfn.IFNA(IF(LEFT('Rock Climbing Log'!P75)="C",_xlfn.IFNA(VLOOKUP('Rock Climbing Log'!P75,'RC Lookup'!$A$3:$B$9,2,FALSE),0.5),VLOOKUP('Rock Climbing Log'!P75,'RC Lookup'!$G$3:$H$5,2,FALSE)),0)*VLOOKUP(P$7,'RC Lookup'!$D$3:$E$18,2,FALSE)</f>
        <v>0</v>
      </c>
      <c r="Q75" s="26">
        <f>_xlfn.IFNA(IF(LEFT('Rock Climbing Log'!Q75)="C",_xlfn.IFNA(VLOOKUP('Rock Climbing Log'!Q75,'RC Lookup'!$A$3:$B$9,2,FALSE),0.5),VLOOKUP('Rock Climbing Log'!Q75,'RC Lookup'!$G$3:$H$5,2,FALSE)),0)*VLOOKUP(P$7,'RC Lookup'!$D$3:$E$18,2,FALSE)</f>
        <v>0</v>
      </c>
      <c r="R75" s="26">
        <f>_xlfn.IFNA(IF(LEFT('Rock Climbing Log'!R75)="C",_xlfn.IFNA(VLOOKUP('Rock Climbing Log'!R75,'RC Lookup'!$A$3:$B$9,2,FALSE),0.5),VLOOKUP('Rock Climbing Log'!R75,'RC Lookup'!$G$3:$H$5,2,FALSE)),0)*VLOOKUP(P$7,'RC Lookup'!$D$3:$E$18,2,FALSE)</f>
        <v>0</v>
      </c>
      <c r="S75" s="26">
        <f>_xlfn.IFNA(IF(LEFT('Rock Climbing Log'!S75)="C",_xlfn.IFNA(VLOOKUP('Rock Climbing Log'!S75,'RC Lookup'!$A$3:$B$9,2,FALSE),0.5),VLOOKUP('Rock Climbing Log'!S75,'RC Lookup'!$G$3:$H$5,2,FALSE)),0)*VLOOKUP(S$7,'RC Lookup'!$D$3:$E$18,2,FALSE)</f>
        <v>0</v>
      </c>
      <c r="T75" s="26">
        <f>_xlfn.IFNA(IF(LEFT('Rock Climbing Log'!T75)="C",_xlfn.IFNA(VLOOKUP('Rock Climbing Log'!T75,'RC Lookup'!$A$3:$B$9,2,FALSE),0.5),VLOOKUP('Rock Climbing Log'!T75,'RC Lookup'!$G$3:$H$5,2,FALSE)),0)*VLOOKUP(S$7,'RC Lookup'!$D$3:$E$18,2,FALSE)</f>
        <v>0</v>
      </c>
      <c r="U75" s="26">
        <f>_xlfn.IFNA(IF(LEFT('Rock Climbing Log'!U75)="C",_xlfn.IFNA(VLOOKUP('Rock Climbing Log'!U75,'RC Lookup'!$A$3:$B$9,2,FALSE),0.5),VLOOKUP('Rock Climbing Log'!U75,'RC Lookup'!$G$3:$H$5,2,FALSE)),0)*VLOOKUP(S$7,'RC Lookup'!$D$3:$E$18,2,FALSE)</f>
        <v>0</v>
      </c>
      <c r="V75" s="26">
        <f>_xlfn.IFNA(IF(LEFT('Rock Climbing Log'!V75)="C",_xlfn.IFNA(VLOOKUP('Rock Climbing Log'!V75,'RC Lookup'!$A$3:$B$9,2,FALSE),0.5),VLOOKUP('Rock Climbing Log'!V75,'RC Lookup'!$G$3:$H$5,2,FALSE)),0)*VLOOKUP(V$7,'RC Lookup'!$D$3:$E$18,2,FALSE)</f>
        <v>17.628372871200011</v>
      </c>
      <c r="W75" s="26">
        <f>_xlfn.IFNA(IF(LEFT('Rock Climbing Log'!W75)="C",_xlfn.IFNA(VLOOKUP('Rock Climbing Log'!W75,'RC Lookup'!$A$3:$B$9,2,FALSE),0.5),VLOOKUP('Rock Climbing Log'!W75,'RC Lookup'!$G$3:$H$5,2,FALSE)),0)*VLOOKUP(V$7,'RC Lookup'!$D$3:$E$18,2,FALSE)</f>
        <v>0</v>
      </c>
      <c r="X75" s="26">
        <f>_xlfn.IFNA(IF(LEFT('Rock Climbing Log'!X75)="C",_xlfn.IFNA(VLOOKUP('Rock Climbing Log'!X75,'RC Lookup'!$A$3:$B$9,2,FALSE),0.5),VLOOKUP('Rock Climbing Log'!X75,'RC Lookup'!$G$3:$H$5,2,FALSE)),0)*VLOOKUP(V$7,'RC Lookup'!$D$3:$E$18,2,FALSE)</f>
        <v>0</v>
      </c>
      <c r="Y75" s="26">
        <f>_xlfn.IFNA(IF(LEFT('Rock Climbing Log'!Y75)="C",_xlfn.IFNA(VLOOKUP('Rock Climbing Log'!Y75,'RC Lookup'!$A$3:$B$9,2,FALSE),0.5),VLOOKUP('Rock Climbing Log'!Y75,'RC Lookup'!$G$3:$H$5,2,FALSE)),0)*VLOOKUP(Y$7,'RC Lookup'!$D$3:$E$18,2,FALSE)</f>
        <v>0</v>
      </c>
      <c r="Z75" s="26">
        <f>_xlfn.IFNA(IF(LEFT('Rock Climbing Log'!Z75)="C",_xlfn.IFNA(VLOOKUP('Rock Climbing Log'!Z75,'RC Lookup'!$A$3:$B$9,2,FALSE),0.5),VLOOKUP('Rock Climbing Log'!Z75,'RC Lookup'!$G$3:$H$5,2,FALSE)),0)*VLOOKUP(Y$7,'RC Lookup'!$D$3:$E$18,2,FALSE)</f>
        <v>0</v>
      </c>
      <c r="AA75" s="26">
        <f>_xlfn.IFNA(IF(LEFT('Rock Climbing Log'!AA75)="C",_xlfn.IFNA(VLOOKUP('Rock Climbing Log'!AA75,'RC Lookup'!$A$3:$B$9,2,FALSE),0.5),VLOOKUP('Rock Climbing Log'!AA75,'RC Lookup'!$G$3:$H$5,2,FALSE)),0)*VLOOKUP(Y$7,'RC Lookup'!$D$3:$E$18,2,FALSE)</f>
        <v>0</v>
      </c>
      <c r="AB75" s="26">
        <f>_xlfn.IFNA(IF(LEFT('Rock Climbing Log'!AB75)="C",_xlfn.IFNA(VLOOKUP('Rock Climbing Log'!AB75,'RC Lookup'!$A$3:$B$9,2,FALSE),0.5),VLOOKUP('Rock Climbing Log'!AB75,'RC Lookup'!$G$3:$H$5,2,FALSE)),0)*VLOOKUP(AB$7,'RC Lookup'!$D$3:$E$18,2,FALSE)</f>
        <v>48.631293520891404</v>
      </c>
      <c r="AC75" s="26">
        <f>_xlfn.IFNA(IF(LEFT('Rock Climbing Log'!AC75)="C",_xlfn.IFNA(VLOOKUP('Rock Climbing Log'!AC75,'RC Lookup'!$A$3:$B$9,2,FALSE),0.5),VLOOKUP('Rock Climbing Log'!AC75,'RC Lookup'!$G$3:$H$5,2,FALSE)),0)*VLOOKUP(AB$7,'RC Lookup'!$D$3:$E$18,2,FALSE)</f>
        <v>0</v>
      </c>
      <c r="AD75" s="26">
        <f>_xlfn.IFNA(IF(LEFT('Rock Climbing Log'!AD75)="C",_xlfn.IFNA(VLOOKUP('Rock Climbing Log'!AD75,'RC Lookup'!$A$3:$B$9,2,FALSE),0.5),VLOOKUP('Rock Climbing Log'!AD75,'RC Lookup'!$G$3:$H$5,2,FALSE)),0)*VLOOKUP(AB$7,'RC Lookup'!$D$3:$E$18,2,FALSE)</f>
        <v>0</v>
      </c>
      <c r="AE75" s="26">
        <f>_xlfn.IFNA(IF(LEFT('Rock Climbing Log'!AE75)="C",_xlfn.IFNA(VLOOKUP('Rock Climbing Log'!AE75,'RC Lookup'!$A$3:$B$9,2,FALSE),0.5),VLOOKUP('Rock Climbing Log'!AE75,'RC Lookup'!$G$3:$H$5,2,FALSE)),0)*VLOOKUP(AE$7,'RC Lookup'!$D$3:$E$18,2,FALSE)</f>
        <v>33.933835923466447</v>
      </c>
      <c r="AF75" s="26">
        <f>_xlfn.IFNA(IF(LEFT('Rock Climbing Log'!AF75)="C",_xlfn.IFNA(VLOOKUP('Rock Climbing Log'!AF75,'RC Lookup'!$A$3:$B$9,2,FALSE),0.5),VLOOKUP('Rock Climbing Log'!AF75,'RC Lookup'!$G$3:$H$5,2,FALSE)),0)*VLOOKUP(AE$7,'RC Lookup'!$D$3:$E$18,2,FALSE)</f>
        <v>33.933835923466447</v>
      </c>
      <c r="AG75" s="26">
        <f>_xlfn.IFNA(IF(LEFT('Rock Climbing Log'!AG75)="C",_xlfn.IFNA(VLOOKUP('Rock Climbing Log'!AG75,'RC Lookup'!$A$3:$B$9,2,FALSE),0.5),VLOOKUP('Rock Climbing Log'!AG75,'RC Lookup'!$G$3:$H$5,2,FALSE)),0)*VLOOKUP(AE$7,'RC Lookup'!$D$3:$E$18,2,FALSE)</f>
        <v>0</v>
      </c>
      <c r="AH75" s="26">
        <f>_xlfn.IFNA(IF(LEFT('Rock Climbing Log'!AH75)="C",_xlfn.IFNA(VLOOKUP('Rock Climbing Log'!AH75,'RC Lookup'!$A$3:$B$9,2,FALSE),0.5),VLOOKUP('Rock Climbing Log'!AH75,'RC Lookup'!$G$3:$H$5,2,FALSE)),0)*VLOOKUP(AH$7,'RC Lookup'!$D$3:$E$18,2,FALSE)</f>
        <v>0</v>
      </c>
      <c r="AI75" s="26">
        <f>_xlfn.IFNA(IF(LEFT('Rock Climbing Log'!AI75)="C",_xlfn.IFNA(VLOOKUP('Rock Climbing Log'!AI75,'RC Lookup'!$A$3:$B$9,2,FALSE),0.5),VLOOKUP('Rock Climbing Log'!AI75,'RC Lookup'!$G$3:$H$5,2,FALSE)),0)*VLOOKUP(AH$7,'RC Lookup'!$D$3:$E$18,2,FALSE)</f>
        <v>0</v>
      </c>
      <c r="AJ75" s="26">
        <f>_xlfn.IFNA(IF(LEFT('Rock Climbing Log'!AJ75)="C",_xlfn.IFNA(VLOOKUP('Rock Climbing Log'!AJ75,'RC Lookup'!$A$3:$B$9,2,FALSE),0.5),VLOOKUP('Rock Climbing Log'!AJ75,'RC Lookup'!$G$3:$H$5,2,FALSE)),0)*VLOOKUP(AH$7,'RC Lookup'!$D$3:$E$18,2,FALSE)</f>
        <v>0</v>
      </c>
      <c r="AK75" s="26">
        <f>_xlfn.IFNA(IF(LEFT('Rock Climbing Log'!AK75)="C",_xlfn.IFNA(VLOOKUP('Rock Climbing Log'!AK75,'RC Lookup'!$A$3:$B$9,2,FALSE),0.5),VLOOKUP('Rock Climbing Log'!AK75,'RC Lookup'!$G$3:$H$5,2,FALSE)),0)*VLOOKUP(AK$7,'RC Lookup'!$D$3:$E$18,2,FALSE)</f>
        <v>55.075973057222981</v>
      </c>
      <c r="AL75" s="26">
        <f>_xlfn.IFNA(IF(LEFT('Rock Climbing Log'!AL75)="C",_xlfn.IFNA(VLOOKUP('Rock Climbing Log'!AL75,'RC Lookup'!$A$3:$B$9,2,FALSE),0.5),VLOOKUP('Rock Climbing Log'!AL75,'RC Lookup'!$G$3:$H$5,2,FALSE)),0)*VLOOKUP(AK$7,'RC Lookup'!$D$3:$E$18,2,FALSE)</f>
        <v>0</v>
      </c>
      <c r="AM75" s="26">
        <f>_xlfn.IFNA(IF(LEFT('Rock Climbing Log'!AM75)="C",_xlfn.IFNA(VLOOKUP('Rock Climbing Log'!AM75,'RC Lookup'!$A$3:$B$9,2,FALSE),0.5),VLOOKUP('Rock Climbing Log'!AM75,'RC Lookup'!$G$3:$H$5,2,FALSE)),0)*VLOOKUP(AK$7,'RC Lookup'!$D$3:$E$18,2,FALSE)</f>
        <v>0</v>
      </c>
      <c r="AN75" s="26">
        <f>_xlfn.IFNA(IF(LEFT('Rock Climbing Log'!AN75)="C",_xlfn.IFNA(VLOOKUP('Rock Climbing Log'!AN75,'RC Lookup'!$A$3:$B$9,2,FALSE),0.5),VLOOKUP('Rock Climbing Log'!AN75,'RC Lookup'!$G$3:$H$5,2,FALSE)),0)*VLOOKUP(AN$7,'RC Lookup'!$D$3:$E$18,2,FALSE)</f>
        <v>0</v>
      </c>
      <c r="AO75" s="26">
        <f>_xlfn.IFNA(IF(LEFT('Rock Climbing Log'!AO75)="C",_xlfn.IFNA(VLOOKUP('Rock Climbing Log'!AO75,'RC Lookup'!$A$3:$B$9,2,FALSE),0.5),VLOOKUP('Rock Climbing Log'!AO75,'RC Lookup'!$G$3:$H$5,2,FALSE)),0)*VLOOKUP(AN$7,'RC Lookup'!$D$3:$E$18,2,FALSE)</f>
        <v>0</v>
      </c>
      <c r="AP75" s="26">
        <f>_xlfn.IFNA(IF(LEFT('Rock Climbing Log'!AP75)="C",_xlfn.IFNA(VLOOKUP('Rock Climbing Log'!AP75,'RC Lookup'!$A$3:$B$9,2,FALSE),0.5),VLOOKUP('Rock Climbing Log'!AP75,'RC Lookup'!$G$3:$H$5,2,FALSE)),0)*VLOOKUP(AN$7,'RC Lookup'!$D$3:$E$18,2,FALSE)</f>
        <v>0</v>
      </c>
      <c r="AQ75" s="26">
        <f>_xlfn.IFNA(IF(LEFT('Rock Climbing Log'!AQ75)="C",_xlfn.IFNA(VLOOKUP('Rock Climbing Log'!AQ75,'RC Lookup'!$A$3:$B$9,2,FALSE),0.5),VLOOKUP('Rock Climbing Log'!AQ75,'RC Lookup'!$G$3:$H$5,2,FALSE)),0)*VLOOKUP(AQ$7,'RC Lookup'!$D$3:$E$18,2,FALSE)</f>
        <v>0</v>
      </c>
      <c r="AR75" s="26">
        <f>_xlfn.IFNA(IF(LEFT('Rock Climbing Log'!AR75)="C",_xlfn.IFNA(VLOOKUP('Rock Climbing Log'!AR75,'RC Lookup'!$A$3:$B$9,2,FALSE),0.5),VLOOKUP('Rock Climbing Log'!AR75,'RC Lookup'!$G$3:$H$5,2,FALSE)),0)*VLOOKUP(AQ$7,'RC Lookup'!$D$3:$E$18,2,FALSE)</f>
        <v>0</v>
      </c>
      <c r="AS75" s="26">
        <f>_xlfn.IFNA(IF(LEFT('Rock Climbing Log'!AS75)="C",_xlfn.IFNA(VLOOKUP('Rock Climbing Log'!AS75,'RC Lookup'!$A$3:$B$9,2,FALSE),0.5),VLOOKUP('Rock Climbing Log'!AS75,'RC Lookup'!$G$3:$H$5,2,FALSE)),0)*VLOOKUP(AQ$7,'RC Lookup'!$D$3:$E$18,2,FALSE)</f>
        <v>0</v>
      </c>
      <c r="AT75" s="26">
        <f>_xlfn.IFNA(IF(LEFT('Rock Climbing Log'!AT75)="C",_xlfn.IFNA(VLOOKUP('Rock Climbing Log'!AT75,'RC Lookup'!$A$3:$B$9,2,FALSE),0.5),VLOOKUP('Rock Climbing Log'!AT75,'RC Lookup'!$G$3:$H$5,2,FALSE)),0)*VLOOKUP(AT$7,'RC Lookup'!$D$3:$E$18,2,FALSE)</f>
        <v>0</v>
      </c>
      <c r="AU75" s="26">
        <f>_xlfn.IFNA(IF(LEFT('Rock Climbing Log'!AU75)="C",_xlfn.IFNA(VLOOKUP('Rock Climbing Log'!AU75,'RC Lookup'!$A$3:$B$9,2,FALSE),0.5),VLOOKUP('Rock Climbing Log'!AU75,'RC Lookup'!$G$3:$H$5,2,FALSE)),0)*VLOOKUP(AT$7,'RC Lookup'!$D$3:$E$18,2,FALSE)</f>
        <v>0</v>
      </c>
      <c r="AV75" s="26">
        <f>_xlfn.IFNA(IF(LEFT('Rock Climbing Log'!AV75)="C",_xlfn.IFNA(VLOOKUP('Rock Climbing Log'!AV75,'RC Lookup'!$A$3:$B$9,2,FALSE),0.5),VLOOKUP('Rock Climbing Log'!AV75,'RC Lookup'!$G$3:$H$5,2,FALSE)),0)*VLOOKUP(AT$7,'RC Lookup'!$D$3:$E$18,2,FALSE)</f>
        <v>0</v>
      </c>
      <c r="AW75" s="30">
        <f t="shared" ca="1" si="3"/>
        <v>137.64110250158083</v>
      </c>
      <c r="AX75" s="30">
        <f ca="1">_xlfn.IFNA(VLOOKUP(SUMPRODUCT(LARGE(($C$8:$C75=Table1[[#This Row],[Climber]])*$A$8:$A75,1)),$A$8:$AW75,MATCH($AW$7,$A$7:$AW$7,FALSE),FALSE),0)/LEFT($AX$7,FIND(" ",$AX$7))+_xlfn.IFNA(VLOOKUP(SUMPRODUCT(LARGE(($C$8:$C75=Table1[[#This Row],[Climber]])*$A$8:$A75,MIN(2,COUNTIFS($C$8:$C75,$C75)))),$A$8:$AW75,MATCH($AW$7,$A$7:$AW$7,FALSE),FALSE),0)/LEFT($AX$7,FIND(" ",$AX$7))+_xlfn.IFNA(VLOOKUP(SUMPRODUCT(LARGE(($C$8:$C75=Table1[[#This Row],[Climber]])*$A$8:$A75,MIN(3,COUNTIFS($C$8:$C75,$C75)))),$A$8:$AW75,MATCH($AW$7,$A$7:$AW$7,FALSE),FALSE),0)/LEFT($AX$7,FIND(" ",$AX$7))</f>
        <v>128.78425347567708</v>
      </c>
      <c r="AY75" s="30">
        <f ca="1">_xlfn.IFNA(VLOOKUP(SUMPRODUCT(LARGE(($C$8:$C75=Table1[[#This Row],[Climber]])*$A$8:$A75,1)),$A$8:$AW75,MATCH($AW$7,$A$7:$AW$7,FALSE),FALSE),0)/LEFT($AY$7,FIND(" ",$AY$7))+_xlfn.IFNA(VLOOKUP(SUMPRODUCT(LARGE(($C$8:$C75=Table1[[#This Row],[Climber]])*$A$8:$A75,MIN(2,COUNTIFS($C$8:$C75,$C75)))),$A$8:$AW75,MATCH($AW$7,$A$7:$AW$7,FALSE),FALSE),0)/LEFT($AY$7,FIND(" ",$AY$7))+_xlfn.IFNA(VLOOKUP(SUMPRODUCT(LARGE(($C$8:$C75=Table1[[#This Row],[Climber]])*$A$8:$A75,MIN(3,COUNTIFS($C$8:$C75,$C75)))),$A$8:$AW75,MATCH($AW$7,$A$7:$AW$7,FALSE),FALSE),0)/LEFT($AY$7,FIND(" ",$AY$7))+_xlfn.IFNA(VLOOKUP(SUMPRODUCT(LARGE(($C$8:$C75=Table1[[#This Row],[Climber]])*$A$8:$A75,MIN(4,COUNTIFS($C$8:$C75,$C75)))),$A$8:$AW75,MATCH($AW$7,$A$7:$AW$7,FALSE),FALSE),0)/LEFT($AY$7,FIND(" ",$AY$7))+_xlfn.IFNA(VLOOKUP(SUMPRODUCT(LARGE(($C$8:$C75=Table1[[#This Row],[Climber]])*$A$8:$A75,MIN(5,COUNTIFS($C$8:$C75,$C75)))),$A$8:$AW75,MATCH($AW$7,$A$7:$AW$7,FALSE),FALSE),0)/LEFT($AY$7,FIND(" ",$AY$7))</f>
        <v>127.08985691083356</v>
      </c>
      <c r="AZ75" s="30">
        <f>(_xlfn.IFNA(VLOOKUP(SUMPRODUCT(LARGE(($C$8:$C75=Table1[[#This Row],[Climber]])*$A$8:$A75,4)),$A$8:$AW75,MATCH($AW$7,$A$7:$AW$7,FALSE),FALSE),0)+_xlfn.IFNA(VLOOKUP(SUMPRODUCT(LARGE(($C$8:$C75=Table1[[#This Row],[Climber]])*$A$8:$A75,5)),$A$8:$AW75,MATCH($AW$7,$A$7:$AW$7,FALSE),FALSE),0)+_xlfn.IFNA(VLOOKUP(SUMPRODUCT(LARGE(($C$8:$C75=Table1[[#This Row],[Climber]])*$A$8:$A75,6)),$A$8:$AW75,MATCH($AW$7,$A$7:$AW$7,FALSE),FALSE),0))/3</f>
        <v>0</v>
      </c>
      <c r="BA75" s="46">
        <f ca="1">_xlfn.MAXIFS(INDIRECT("$AW"&amp;IF(SUMPRODUCT(LARGE(($C$8:$C75=$C75)*$A$8:$A75,LEFT($BA$7,FIND(" ",$BA$7)-1)))=0,8,SUMPRODUCT(LARGE(($C$8:$C75=$C75)*$A$8:$A75,LEFT($BA$7,FIND(" ",$BA$7)-1)))+7)&amp;":$AW"&amp;ROW()),INDIRECT("$C"&amp;IF(SUMPRODUCT(LARGE(($C$8:$C75=$C75)*$A$8:$A75,LEFT($BA$7,FIND(" ",$BA$7)-1)))=0,8,SUMPRODUCT(LARGE(($C$8:$C75=$C75)*$A$8:$A75,LEFT($BA$7,FIND(" ",$BA$7)-1)))+7)&amp;":$C"&amp;ROW()),$C75)</f>
        <v>137.64110250158083</v>
      </c>
      <c r="BB75" s="46" t="str">
        <f ca="1">VLOOKUP(MAX(BG75,$AX75),'RC Lookup'!$G$14:$J$20,2,TRUE)</f>
        <v>T3</v>
      </c>
      <c r="BC75" s="46">
        <f ca="1">_xlfn.IFNA(VLOOKUP(VLOOKUP($C75,'RC Lookup'!$O$3:$P$50,2,FALSE),'RC Lookup'!$H$14:$J$23,2,FALSE),0)*AW75</f>
        <v>67.602683651804668</v>
      </c>
      <c r="BD75" s="6">
        <f ca="1">_xlfn.IFNA(VLOOKUP(SUMPRODUCT(LARGE(($C$8:$C75=Table1[[#This Row],[Climber]])*$A$8:$A75,1)),$A$8:$BC75,55,FALSE),0)/LEFT($AX$7,FIND(" ",$AX$7))+_xlfn.IFNA(VLOOKUP(SUMPRODUCT(LARGE(($C$8:$C75=Table1[[#This Row],[Climber]])*$A$8:$A75,MIN(2,COUNTIFS($C$8:$C75,$C75)))),$A$8:$BC75,55,FALSE),0)/LEFT($AX$7,FIND(" ",$AX$7))+_xlfn.IFNA(VLOOKUP(SUMPRODUCT(LARGE(($C$8:$C75=Table1[[#This Row],[Climber]])*$A$8:$A75,MIN(3,COUNTIFS($C$8:$C75,$C75)))),$A$8:$BC75,55,FALSE),0)/LEFT($AX$7,FIND(" ",$AX$7))</f>
        <v>63.252625769617268</v>
      </c>
      <c r="BE75" s="6">
        <f>(_xlfn.IFNA(VLOOKUP(SUMPRODUCT(LARGE(($C$8:$C75=Table1[[#This Row],[Climber]])*$A$8:$A75,4)),$A$8:$BD75,55,FALSE),0)+_xlfn.IFNA(VLOOKUP(SUMPRODUCT(LARGE(($C$8:$C75=Table1[[#This Row],[Climber]])*$A$8:$A75,5)),$A$8:$BD75,55,FALSE),0)+_xlfn.IFNA(VLOOKUP(SUMPRODUCT(LARGE(($C$8:$C75=Table1[[#This Row],[Climber]])*$A$8:$A75,6)),$A$8:$BD75,55,FALSE),0))/3</f>
        <v>0</v>
      </c>
      <c r="BF75" s="46">
        <f ca="1">_xlfn.MAXIFS(INDIRECT("$BC"&amp;IF(SUMPRODUCT(LARGE(($C$8:$C75=$C75)*$A$8:$A75,LEFT($BA$7,FIND(" ",$BA$7)-1)))=0,8,SUMPRODUCT(LARGE(($C$8:$C75=$C75)*$A$8:$A75,LEFT($BA$7,FIND(" ",$BA$7)-1)))+7)&amp;":$BC"&amp;ROW()),INDIRECT("$C"&amp;IF(SUMPRODUCT(LARGE(($C$8:$C75=$C75)*$A$8:$A75,LEFT($BA$7,FIND(" ",$BA$7)-1)))=0,8,SUMPRODUCT(LARGE(($C$8:$C75=$C75)*$A$8:$A75,LEFT($BA$7,FIND(" ",$BA$7)-1)))+7)&amp;":$C"&amp;ROW()),$C75)</f>
        <v>67.602683651804668</v>
      </c>
      <c r="BG75" s="46">
        <f t="array" aca="1" ref="BG75" ca="1">IFERROR(SUMPRODUCT(LARGE(($C$8:$C75=Table1[[#This Row],[Climber]])*$AW$8:$AW75,ROW(INDIRECT("1:5")))),AW75)/MIN(COUNTIFS($C$8:$C75,C75),5)</f>
        <v>128.78425347567708</v>
      </c>
    </row>
    <row r="76" spans="1:59" x14ac:dyDescent="0.3">
      <c r="A76" s="125">
        <f t="shared" si="1"/>
        <v>69</v>
      </c>
      <c r="B76" s="25">
        <f>'Rock Climbing Log'!B76</f>
        <v>43165</v>
      </c>
      <c r="C76" s="126" t="str">
        <f>'Rock Climbing Log'!C76</f>
        <v>Edwin</v>
      </c>
      <c r="D76" s="26">
        <f>_xlfn.IFNA(IF(LEFT('Rock Climbing Log'!D76)="C",_xlfn.IFNA(VLOOKUP('Rock Climbing Log'!D76,'RC Lookup'!$A$3:$B$9,2,FALSE),0.5),VLOOKUP('Rock Climbing Log'!D76,'RC Lookup'!$G$3:$H$5,2,FALSE)),0)*VLOOKUP(D$7,'RC Lookup'!$D$3:$E$18,2,FALSE)</f>
        <v>0</v>
      </c>
      <c r="E76" s="26">
        <f>_xlfn.IFNA(IF(LEFT('Rock Climbing Log'!E76)="C",_xlfn.IFNA(VLOOKUP('Rock Climbing Log'!E76,'RC Lookup'!$A$3:$B$9,2,FALSE),0.5),VLOOKUP('Rock Climbing Log'!E76,'RC Lookup'!$G$3:$H$5,2,FALSE)),0)*VLOOKUP(D$7,'RC Lookup'!$D$3:$E$18,2,FALSE)</f>
        <v>0</v>
      </c>
      <c r="F76" s="26">
        <f>_xlfn.IFNA(IF(LEFT('Rock Climbing Log'!F76)="C",_xlfn.IFNA(VLOOKUP('Rock Climbing Log'!F76,'RC Lookup'!$A$3:$B$9,2,FALSE),0.5),VLOOKUP('Rock Climbing Log'!F76,'RC Lookup'!$G$3:$H$5,2,FALSE)),0)*VLOOKUP(D$7,'RC Lookup'!$D$3:$E$18,2,FALSE)</f>
        <v>0</v>
      </c>
      <c r="G76" s="26">
        <f>_xlfn.IFNA(IF(LEFT('Rock Climbing Log'!G76)="C",_xlfn.IFNA(VLOOKUP('Rock Climbing Log'!G76,'RC Lookup'!$A$3:$B$9,2,FALSE),0.5),VLOOKUP('Rock Climbing Log'!G76,'RC Lookup'!$G$3:$H$5,2,FALSE)),0)*VLOOKUP(G$7,'RC Lookup'!$D$3:$E$18,2,FALSE)</f>
        <v>0</v>
      </c>
      <c r="H76" s="26">
        <f>_xlfn.IFNA(IF(LEFT('Rock Climbing Log'!H76)="C",_xlfn.IFNA(VLOOKUP('Rock Climbing Log'!H76,'RC Lookup'!$A$3:$B$9,2,FALSE),0.5),VLOOKUP('Rock Climbing Log'!H76,'RC Lookup'!$G$3:$H$5,2,FALSE)),0)*VLOOKUP(G$7,'RC Lookup'!$D$3:$E$18,2,FALSE)</f>
        <v>0</v>
      </c>
      <c r="I76" s="26">
        <f>_xlfn.IFNA(IF(LEFT('Rock Climbing Log'!I76)="C",_xlfn.IFNA(VLOOKUP('Rock Climbing Log'!I76,'RC Lookup'!$A$3:$B$9,2,FALSE),0.5),VLOOKUP('Rock Climbing Log'!I76,'RC Lookup'!$G$3:$H$5,2,FALSE)),0)*VLOOKUP(G$7,'RC Lookup'!$D$3:$E$18,2,FALSE)</f>
        <v>0</v>
      </c>
      <c r="J76" s="26">
        <f>_xlfn.IFNA(IF(LEFT('Rock Climbing Log'!J76)="C",_xlfn.IFNA(VLOOKUP('Rock Climbing Log'!J76,'RC Lookup'!$A$3:$B$9,2,FALSE),0.5),VLOOKUP('Rock Climbing Log'!J76,'RC Lookup'!$G$3:$H$5,2,FALSE)),0)*VLOOKUP(J$7,'RC Lookup'!$D$3:$E$18,2,FALSE)</f>
        <v>0</v>
      </c>
      <c r="K76" s="26">
        <f>_xlfn.IFNA(IF(LEFT('Rock Climbing Log'!K76)="C",_xlfn.IFNA(VLOOKUP('Rock Climbing Log'!K76,'RC Lookup'!$A$3:$B$9,2,FALSE),0.5),VLOOKUP('Rock Climbing Log'!K76,'RC Lookup'!$G$3:$H$5,2,FALSE)),0)*VLOOKUP(J$7,'RC Lookup'!$D$3:$E$18,2,FALSE)</f>
        <v>0</v>
      </c>
      <c r="L76" s="26">
        <f>_xlfn.IFNA(IF(LEFT('Rock Climbing Log'!L76)="C",_xlfn.IFNA(VLOOKUP('Rock Climbing Log'!L76,'RC Lookup'!$A$3:$B$9,2,FALSE),0.5),VLOOKUP('Rock Climbing Log'!L76,'RC Lookup'!$G$3:$H$5,2,FALSE)),0)*VLOOKUP(J$7,'RC Lookup'!$D$3:$E$18,2,FALSE)</f>
        <v>0</v>
      </c>
      <c r="M76" s="26">
        <f>_xlfn.IFNA(IF(LEFT('Rock Climbing Log'!M76)="C",_xlfn.IFNA(VLOOKUP('Rock Climbing Log'!M76,'RC Lookup'!$A$3:$B$9,2,FALSE),0.5),VLOOKUP('Rock Climbing Log'!M76,'RC Lookup'!$G$3:$H$5,2,FALSE)),0)*VLOOKUP(M$7,'RC Lookup'!$D$3:$E$18,2,FALSE)</f>
        <v>0</v>
      </c>
      <c r="N76" s="26">
        <f>_xlfn.IFNA(IF(LEFT('Rock Climbing Log'!N76)="C",_xlfn.IFNA(VLOOKUP('Rock Climbing Log'!N76,'RC Lookup'!$A$3:$B$9,2,FALSE),0.5),VLOOKUP('Rock Climbing Log'!N76,'RC Lookup'!$G$3:$H$5,2,FALSE)),0)*VLOOKUP(M$7,'RC Lookup'!$D$3:$E$18,2,FALSE)</f>
        <v>0</v>
      </c>
      <c r="O76" s="26">
        <f>_xlfn.IFNA(IF(LEFT('Rock Climbing Log'!O76)="C",_xlfn.IFNA(VLOOKUP('Rock Climbing Log'!O76,'RC Lookup'!$A$3:$B$9,2,FALSE),0.5),VLOOKUP('Rock Climbing Log'!O76,'RC Lookup'!$G$3:$H$5,2,FALSE)),0)*VLOOKUP(M$7,'RC Lookup'!$D$3:$E$18,2,FALSE)</f>
        <v>0</v>
      </c>
      <c r="P76" s="26">
        <f>_xlfn.IFNA(IF(LEFT('Rock Climbing Log'!P76)="C",_xlfn.IFNA(VLOOKUP('Rock Climbing Log'!P76,'RC Lookup'!$A$3:$B$9,2,FALSE),0.5),VLOOKUP('Rock Climbing Log'!P76,'RC Lookup'!$G$3:$H$5,2,FALSE)),0)*VLOOKUP(P$7,'RC Lookup'!$D$3:$E$18,2,FALSE)</f>
        <v>0</v>
      </c>
      <c r="Q76" s="26">
        <f>_xlfn.IFNA(IF(LEFT('Rock Climbing Log'!Q76)="C",_xlfn.IFNA(VLOOKUP('Rock Climbing Log'!Q76,'RC Lookup'!$A$3:$B$9,2,FALSE),0.5),VLOOKUP('Rock Climbing Log'!Q76,'RC Lookup'!$G$3:$H$5,2,FALSE)),0)*VLOOKUP(P$7,'RC Lookup'!$D$3:$E$18,2,FALSE)</f>
        <v>0</v>
      </c>
      <c r="R76" s="26">
        <f>_xlfn.IFNA(IF(LEFT('Rock Climbing Log'!R76)="C",_xlfn.IFNA(VLOOKUP('Rock Climbing Log'!R76,'RC Lookup'!$A$3:$B$9,2,FALSE),0.5),VLOOKUP('Rock Climbing Log'!R76,'RC Lookup'!$G$3:$H$5,2,FALSE)),0)*VLOOKUP(P$7,'RC Lookup'!$D$3:$E$18,2,FALSE)</f>
        <v>0</v>
      </c>
      <c r="S76" s="26">
        <f>_xlfn.IFNA(IF(LEFT('Rock Climbing Log'!S76)="C",_xlfn.IFNA(VLOOKUP('Rock Climbing Log'!S76,'RC Lookup'!$A$3:$B$9,2,FALSE),0.5),VLOOKUP('Rock Climbing Log'!S76,'RC Lookup'!$G$3:$H$5,2,FALSE)),0)*VLOOKUP(S$7,'RC Lookup'!$D$3:$E$18,2,FALSE)</f>
        <v>0</v>
      </c>
      <c r="T76" s="26">
        <f>_xlfn.IFNA(IF(LEFT('Rock Climbing Log'!T76)="C",_xlfn.IFNA(VLOOKUP('Rock Climbing Log'!T76,'RC Lookup'!$A$3:$B$9,2,FALSE),0.5),VLOOKUP('Rock Climbing Log'!T76,'RC Lookup'!$G$3:$H$5,2,FALSE)),0)*VLOOKUP(S$7,'RC Lookup'!$D$3:$E$18,2,FALSE)</f>
        <v>0</v>
      </c>
      <c r="U76" s="26">
        <f>_xlfn.IFNA(IF(LEFT('Rock Climbing Log'!U76)="C",_xlfn.IFNA(VLOOKUP('Rock Climbing Log'!U76,'RC Lookup'!$A$3:$B$9,2,FALSE),0.5),VLOOKUP('Rock Climbing Log'!U76,'RC Lookup'!$G$3:$H$5,2,FALSE)),0)*VLOOKUP(S$7,'RC Lookup'!$D$3:$E$18,2,FALSE)</f>
        <v>0</v>
      </c>
      <c r="V76" s="26">
        <f>_xlfn.IFNA(IF(LEFT('Rock Climbing Log'!V76)="C",_xlfn.IFNA(VLOOKUP('Rock Climbing Log'!V76,'RC Lookup'!$A$3:$B$9,2,FALSE),0.5),VLOOKUP('Rock Climbing Log'!V76,'RC Lookup'!$G$3:$H$5,2,FALSE)),0)*VLOOKUP(V$7,'RC Lookup'!$D$3:$E$18,2,FALSE)</f>
        <v>35.256745742400021</v>
      </c>
      <c r="W76" s="26">
        <f>_xlfn.IFNA(IF(LEFT('Rock Climbing Log'!W76)="C",_xlfn.IFNA(VLOOKUP('Rock Climbing Log'!W76,'RC Lookup'!$A$3:$B$9,2,FALSE),0.5),VLOOKUP('Rock Climbing Log'!W76,'RC Lookup'!$G$3:$H$5,2,FALSE)),0)*VLOOKUP(V$7,'RC Lookup'!$D$3:$E$18,2,FALSE)</f>
        <v>0</v>
      </c>
      <c r="X76" s="26">
        <f>_xlfn.IFNA(IF(LEFT('Rock Climbing Log'!X76)="C",_xlfn.IFNA(VLOOKUP('Rock Climbing Log'!X76,'RC Lookup'!$A$3:$B$9,2,FALSE),0.5),VLOOKUP('Rock Climbing Log'!X76,'RC Lookup'!$G$3:$H$5,2,FALSE)),0)*VLOOKUP(V$7,'RC Lookup'!$D$3:$E$18,2,FALSE)</f>
        <v>0</v>
      </c>
      <c r="Y76" s="26">
        <f>_xlfn.IFNA(IF(LEFT('Rock Climbing Log'!Y76)="C",_xlfn.IFNA(VLOOKUP('Rock Climbing Log'!Y76,'RC Lookup'!$A$3:$B$9,2,FALSE),0.5),VLOOKUP('Rock Climbing Log'!Y76,'RC Lookup'!$G$3:$H$5,2,FALSE)),0)*VLOOKUP(Y$7,'RC Lookup'!$D$3:$E$18,2,FALSE)</f>
        <v>0</v>
      </c>
      <c r="Z76" s="26">
        <f>_xlfn.IFNA(IF(LEFT('Rock Climbing Log'!Z76)="C",_xlfn.IFNA(VLOOKUP('Rock Climbing Log'!Z76,'RC Lookup'!$A$3:$B$9,2,FALSE),0.5),VLOOKUP('Rock Climbing Log'!Z76,'RC Lookup'!$G$3:$H$5,2,FALSE)),0)*VLOOKUP(Y$7,'RC Lookup'!$D$3:$E$18,2,FALSE)</f>
        <v>0</v>
      </c>
      <c r="AA76" s="26">
        <f>_xlfn.IFNA(IF(LEFT('Rock Climbing Log'!AA76)="C",_xlfn.IFNA(VLOOKUP('Rock Climbing Log'!AA76,'RC Lookup'!$A$3:$B$9,2,FALSE),0.5),VLOOKUP('Rock Climbing Log'!AA76,'RC Lookup'!$G$3:$H$5,2,FALSE)),0)*VLOOKUP(Y$7,'RC Lookup'!$D$3:$E$18,2,FALSE)</f>
        <v>0</v>
      </c>
      <c r="AB76" s="26">
        <f>_xlfn.IFNA(IF(LEFT('Rock Climbing Log'!AB76)="C",_xlfn.IFNA(VLOOKUP('Rock Climbing Log'!AB76,'RC Lookup'!$A$3:$B$9,2,FALSE),0.5),VLOOKUP('Rock Climbing Log'!AB76,'RC Lookup'!$G$3:$H$5,2,FALSE)),0)*VLOOKUP(AB$7,'RC Lookup'!$D$3:$E$18,2,FALSE)</f>
        <v>0</v>
      </c>
      <c r="AC76" s="26">
        <f>_xlfn.IFNA(IF(LEFT('Rock Climbing Log'!AC76)="C",_xlfn.IFNA(VLOOKUP('Rock Climbing Log'!AC76,'RC Lookup'!$A$3:$B$9,2,FALSE),0.5),VLOOKUP('Rock Climbing Log'!AC76,'RC Lookup'!$G$3:$H$5,2,FALSE)),0)*VLOOKUP(AB$7,'RC Lookup'!$D$3:$E$18,2,FALSE)</f>
        <v>0</v>
      </c>
      <c r="AD76" s="26">
        <f>_xlfn.IFNA(IF(LEFT('Rock Climbing Log'!AD76)="C",_xlfn.IFNA(VLOOKUP('Rock Climbing Log'!AD76,'RC Lookup'!$A$3:$B$9,2,FALSE),0.5),VLOOKUP('Rock Climbing Log'!AD76,'RC Lookup'!$G$3:$H$5,2,FALSE)),0)*VLOOKUP(AB$7,'RC Lookup'!$D$3:$E$18,2,FALSE)</f>
        <v>0</v>
      </c>
      <c r="AE76" s="26">
        <f>_xlfn.IFNA(IF(LEFT('Rock Climbing Log'!AE76)="C",_xlfn.IFNA(VLOOKUP('Rock Climbing Log'!AE76,'RC Lookup'!$A$3:$B$9,2,FALSE),0.5),VLOOKUP('Rock Climbing Log'!AE76,'RC Lookup'!$G$3:$H$5,2,FALSE)),0)*VLOOKUP(AE$7,'RC Lookup'!$D$3:$E$18,2,FALSE)</f>
        <v>33.933835923466447</v>
      </c>
      <c r="AF76" s="26">
        <f>_xlfn.IFNA(IF(LEFT('Rock Climbing Log'!AF76)="C",_xlfn.IFNA(VLOOKUP('Rock Climbing Log'!AF76,'RC Lookup'!$A$3:$B$9,2,FALSE),0.5),VLOOKUP('Rock Climbing Log'!AF76,'RC Lookup'!$G$3:$H$5,2,FALSE)),0)*VLOOKUP(AE$7,'RC Lookup'!$D$3:$E$18,2,FALSE)</f>
        <v>33.933835923466447</v>
      </c>
      <c r="AG76" s="26">
        <f>_xlfn.IFNA(IF(LEFT('Rock Climbing Log'!AG76)="C",_xlfn.IFNA(VLOOKUP('Rock Climbing Log'!AG76,'RC Lookup'!$A$3:$B$9,2,FALSE),0.5),VLOOKUP('Rock Climbing Log'!AG76,'RC Lookup'!$G$3:$H$5,2,FALSE)),0)*VLOOKUP(AE$7,'RC Lookup'!$D$3:$E$18,2,FALSE)</f>
        <v>0</v>
      </c>
      <c r="AH76" s="26">
        <f>_xlfn.IFNA(IF(LEFT('Rock Climbing Log'!AH76)="C",_xlfn.IFNA(VLOOKUP('Rock Climbing Log'!AH76,'RC Lookup'!$A$3:$B$9,2,FALSE),0.5),VLOOKUP('Rock Climbing Log'!AH76,'RC Lookup'!$G$3:$H$5,2,FALSE)),0)*VLOOKUP(AH$7,'RC Lookup'!$D$3:$E$18,2,FALSE)</f>
        <v>0</v>
      </c>
      <c r="AI76" s="26">
        <f>_xlfn.IFNA(IF(LEFT('Rock Climbing Log'!AI76)="C",_xlfn.IFNA(VLOOKUP('Rock Climbing Log'!AI76,'RC Lookup'!$A$3:$B$9,2,FALSE),0.5),VLOOKUP('Rock Climbing Log'!AI76,'RC Lookup'!$G$3:$H$5,2,FALSE)),0)*VLOOKUP(AH$7,'RC Lookup'!$D$3:$E$18,2,FALSE)</f>
        <v>0</v>
      </c>
      <c r="AJ76" s="26">
        <f>_xlfn.IFNA(IF(LEFT('Rock Climbing Log'!AJ76)="C",_xlfn.IFNA(VLOOKUP('Rock Climbing Log'!AJ76,'RC Lookup'!$A$3:$B$9,2,FALSE),0.5),VLOOKUP('Rock Climbing Log'!AJ76,'RC Lookup'!$G$3:$H$5,2,FALSE)),0)*VLOOKUP(AH$7,'RC Lookup'!$D$3:$E$18,2,FALSE)</f>
        <v>0</v>
      </c>
      <c r="AK76" s="26">
        <f>_xlfn.IFNA(IF(LEFT('Rock Climbing Log'!AK76)="C",_xlfn.IFNA(VLOOKUP('Rock Climbing Log'!AK76,'RC Lookup'!$A$3:$B$9,2,FALSE),0.5),VLOOKUP('Rock Climbing Log'!AK76,'RC Lookup'!$G$3:$H$5,2,FALSE)),0)*VLOOKUP(AK$7,'RC Lookup'!$D$3:$E$18,2,FALSE)</f>
        <v>0</v>
      </c>
      <c r="AL76" s="26">
        <f>_xlfn.IFNA(IF(LEFT('Rock Climbing Log'!AL76)="C",_xlfn.IFNA(VLOOKUP('Rock Climbing Log'!AL76,'RC Lookup'!$A$3:$B$9,2,FALSE),0.5),VLOOKUP('Rock Climbing Log'!AL76,'RC Lookup'!$G$3:$H$5,2,FALSE)),0)*VLOOKUP(AK$7,'RC Lookup'!$D$3:$E$18,2,FALSE)</f>
        <v>0</v>
      </c>
      <c r="AM76" s="26">
        <f>_xlfn.IFNA(IF(LEFT('Rock Climbing Log'!AM76)="C",_xlfn.IFNA(VLOOKUP('Rock Climbing Log'!AM76,'RC Lookup'!$A$3:$B$9,2,FALSE),0.5),VLOOKUP('Rock Climbing Log'!AM76,'RC Lookup'!$G$3:$H$5,2,FALSE)),0)*VLOOKUP(AK$7,'RC Lookup'!$D$3:$E$18,2,FALSE)</f>
        <v>0</v>
      </c>
      <c r="AN76" s="26">
        <f>_xlfn.IFNA(IF(LEFT('Rock Climbing Log'!AN76)="C",_xlfn.IFNA(VLOOKUP('Rock Climbing Log'!AN76,'RC Lookup'!$A$3:$B$9,2,FALSE),0.5),VLOOKUP('Rock Climbing Log'!AN76,'RC Lookup'!$G$3:$H$5,2,FALSE)),0)*VLOOKUP(AN$7,'RC Lookup'!$D$3:$E$18,2,FALSE)</f>
        <v>0</v>
      </c>
      <c r="AO76" s="26">
        <f>_xlfn.IFNA(IF(LEFT('Rock Climbing Log'!AO76)="C",_xlfn.IFNA(VLOOKUP('Rock Climbing Log'!AO76,'RC Lookup'!$A$3:$B$9,2,FALSE),0.5),VLOOKUP('Rock Climbing Log'!AO76,'RC Lookup'!$G$3:$H$5,2,FALSE)),0)*VLOOKUP(AN$7,'RC Lookup'!$D$3:$E$18,2,FALSE)</f>
        <v>0</v>
      </c>
      <c r="AP76" s="26">
        <f>_xlfn.IFNA(IF(LEFT('Rock Climbing Log'!AP76)="C",_xlfn.IFNA(VLOOKUP('Rock Climbing Log'!AP76,'RC Lookup'!$A$3:$B$9,2,FALSE),0.5),VLOOKUP('Rock Climbing Log'!AP76,'RC Lookup'!$G$3:$H$5,2,FALSE)),0)*VLOOKUP(AN$7,'RC Lookup'!$D$3:$E$18,2,FALSE)</f>
        <v>0</v>
      </c>
      <c r="AQ76" s="26">
        <f>_xlfn.IFNA(IF(LEFT('Rock Climbing Log'!AQ76)="C",_xlfn.IFNA(VLOOKUP('Rock Climbing Log'!AQ76,'RC Lookup'!$A$3:$B$9,2,FALSE),0.5),VLOOKUP('Rock Climbing Log'!AQ76,'RC Lookup'!$G$3:$H$5,2,FALSE)),0)*VLOOKUP(AQ$7,'RC Lookup'!$D$3:$E$18,2,FALSE)</f>
        <v>0</v>
      </c>
      <c r="AR76" s="26">
        <f>_xlfn.IFNA(IF(LEFT('Rock Climbing Log'!AR76)="C",_xlfn.IFNA(VLOOKUP('Rock Climbing Log'!AR76,'RC Lookup'!$A$3:$B$9,2,FALSE),0.5),VLOOKUP('Rock Climbing Log'!AR76,'RC Lookup'!$G$3:$H$5,2,FALSE)),0)*VLOOKUP(AQ$7,'RC Lookup'!$D$3:$E$18,2,FALSE)</f>
        <v>0</v>
      </c>
      <c r="AS76" s="26">
        <f>_xlfn.IFNA(IF(LEFT('Rock Climbing Log'!AS76)="C",_xlfn.IFNA(VLOOKUP('Rock Climbing Log'!AS76,'RC Lookup'!$A$3:$B$9,2,FALSE),0.5),VLOOKUP('Rock Climbing Log'!AS76,'RC Lookup'!$G$3:$H$5,2,FALSE)),0)*VLOOKUP(AQ$7,'RC Lookup'!$D$3:$E$18,2,FALSE)</f>
        <v>0</v>
      </c>
      <c r="AT76" s="26">
        <f>_xlfn.IFNA(IF(LEFT('Rock Climbing Log'!AT76)="C",_xlfn.IFNA(VLOOKUP('Rock Climbing Log'!AT76,'RC Lookup'!$A$3:$B$9,2,FALSE),0.5),VLOOKUP('Rock Climbing Log'!AT76,'RC Lookup'!$G$3:$H$5,2,FALSE)),0)*VLOOKUP(AT$7,'RC Lookup'!$D$3:$E$18,2,FALSE)</f>
        <v>0</v>
      </c>
      <c r="AU76" s="26">
        <f>_xlfn.IFNA(IF(LEFT('Rock Climbing Log'!AU76)="C",_xlfn.IFNA(VLOOKUP('Rock Climbing Log'!AU76,'RC Lookup'!$A$3:$B$9,2,FALSE),0.5),VLOOKUP('Rock Climbing Log'!AU76,'RC Lookup'!$G$3:$H$5,2,FALSE)),0)*VLOOKUP(AT$7,'RC Lookup'!$D$3:$E$18,2,FALSE)</f>
        <v>0</v>
      </c>
      <c r="AV76" s="26">
        <f>_xlfn.IFNA(IF(LEFT('Rock Climbing Log'!AV76)="C",_xlfn.IFNA(VLOOKUP('Rock Climbing Log'!AV76,'RC Lookup'!$A$3:$B$9,2,FALSE),0.5),VLOOKUP('Rock Climbing Log'!AV76,'RC Lookup'!$G$3:$H$5,2,FALSE)),0)*VLOOKUP(AT$7,'RC Lookup'!$D$3:$E$18,2,FALSE)</f>
        <v>0</v>
      </c>
      <c r="AW76" s="30">
        <f t="shared" ca="1" si="3"/>
        <v>103.12441758933291</v>
      </c>
      <c r="AX76" s="30">
        <f ca="1">_xlfn.IFNA(VLOOKUP(SUMPRODUCT(LARGE(($C$8:$C76=Table1[[#This Row],[Climber]])*$A$8:$A76,1)),$A$8:$AW76,MATCH($AW$7,$A$7:$AW$7,FALSE),FALSE),0)/LEFT($AX$7,FIND(" ",$AX$7))+_xlfn.IFNA(VLOOKUP(SUMPRODUCT(LARGE(($C$8:$C76=Table1[[#This Row],[Climber]])*$A$8:$A76,MIN(2,COUNTIFS($C$8:$C76,$C76)))),$A$8:$AW76,MATCH($AW$7,$A$7:$AW$7,FALSE),FALSE),0)/LEFT($AX$7,FIND(" ",$AX$7))+_xlfn.IFNA(VLOOKUP(SUMPRODUCT(LARGE(($C$8:$C76=Table1[[#This Row],[Climber]])*$A$8:$A76,MIN(3,COUNTIFS($C$8:$C76,$C76)))),$A$8:$AW76,MATCH($AW$7,$A$7:$AW$7,FALSE),FALSE),0)/LEFT($AX$7,FIND(" ",$AX$7))</f>
        <v>103.56538752897744</v>
      </c>
      <c r="AY76" s="30">
        <f ca="1">_xlfn.IFNA(VLOOKUP(SUMPRODUCT(LARGE(($C$8:$C76=Table1[[#This Row],[Climber]])*$A$8:$A76,1)),$A$8:$AW76,MATCH($AW$7,$A$7:$AW$7,FALSE),FALSE),0)/LEFT($AY$7,FIND(" ",$AY$7))+_xlfn.IFNA(VLOOKUP(SUMPRODUCT(LARGE(($C$8:$C76=Table1[[#This Row],[Climber]])*$A$8:$A76,MIN(2,COUNTIFS($C$8:$C76,$C76)))),$A$8:$AW76,MATCH($AW$7,$A$7:$AW$7,FALSE),FALSE),0)/LEFT($AY$7,FIND(" ",$AY$7))+_xlfn.IFNA(VLOOKUP(SUMPRODUCT(LARGE(($C$8:$C76=Table1[[#This Row],[Climber]])*$A$8:$A76,MIN(3,COUNTIFS($C$8:$C76,$C76)))),$A$8:$AW76,MATCH($AW$7,$A$7:$AW$7,FALSE),FALSE),0)/LEFT($AY$7,FIND(" ",$AY$7))+_xlfn.IFNA(VLOOKUP(SUMPRODUCT(LARGE(($C$8:$C76=Table1[[#This Row],[Climber]])*$A$8:$A76,MIN(4,COUNTIFS($C$8:$C76,$C76)))),$A$8:$AW76,MATCH($AW$7,$A$7:$AW$7,FALSE),FALSE),0)/LEFT($AY$7,FIND(" ",$AY$7))+_xlfn.IFNA(VLOOKUP(SUMPRODUCT(LARGE(($C$8:$C76=Table1[[#This Row],[Climber]])*$A$8:$A76,MIN(5,COUNTIFS($C$8:$C76,$C76)))),$A$8:$AW76,MATCH($AW$7,$A$7:$AW$7,FALSE),FALSE),0)/LEFT($AY$7,FIND(" ",$AY$7))</f>
        <v>100.04791279658693</v>
      </c>
      <c r="AZ76" s="30">
        <f ca="1">(_xlfn.IFNA(VLOOKUP(SUMPRODUCT(LARGE(($C$8:$C76=Table1[[#This Row],[Climber]])*$A$8:$A76,4)),$A$8:$AW76,MATCH($AW$7,$A$7:$AW$7,FALSE),FALSE),0)+_xlfn.IFNA(VLOOKUP(SUMPRODUCT(LARGE(($C$8:$C76=Table1[[#This Row],[Climber]])*$A$8:$A76,5)),$A$8:$AW76,MATCH($AW$7,$A$7:$AW$7,FALSE),FALSE),0)+_xlfn.IFNA(VLOOKUP(SUMPRODUCT(LARGE(($C$8:$C76=Table1[[#This Row],[Climber]])*$A$8:$A76,6)),$A$8:$AW76,MATCH($AW$7,$A$7:$AW$7,FALSE),FALSE),0))/3</f>
        <v>93.556106772028116</v>
      </c>
      <c r="BA76" s="46">
        <f ca="1">_xlfn.MAXIFS(INDIRECT("$AW"&amp;IF(SUMPRODUCT(LARGE(($C$8:$C76=$C76)*$A$8:$A76,LEFT($BA$7,FIND(" ",$BA$7)-1)))=0,8,SUMPRODUCT(LARGE(($C$8:$C76=$C76)*$A$8:$A76,LEFT($BA$7,FIND(" ",$BA$7)-1)))+7)&amp;":$AW"&amp;ROW()),INDIRECT("$C"&amp;IF(SUMPRODUCT(LARGE(($C$8:$C76=$C76)*$A$8:$A76,LEFT($BA$7,FIND(" ",$BA$7)-1)))=0,8,SUMPRODUCT(LARGE(($C$8:$C76=$C76)*$A$8:$A76,LEFT($BA$7,FIND(" ",$BA$7)-1)))+7)&amp;":$C"&amp;ROW()),$C76)</f>
        <v>104.44732740826649</v>
      </c>
      <c r="BB76" s="46" t="str">
        <f ca="1">VLOOKUP(MAX(BG76,$AX76),'RC Lookup'!$G$14:$J$20,2,TRUE)</f>
        <v>T3</v>
      </c>
      <c r="BC76" s="46">
        <f ca="1">_xlfn.IFNA(VLOOKUP(VLOOKUP($C76,'RC Lookup'!$O$3:$P$50,2,FALSE),'RC Lookup'!$H$14:$J$23,2,FALSE),0)*AW76</f>
        <v>79.138410389610385</v>
      </c>
      <c r="BD76" s="6">
        <f ca="1">_xlfn.IFNA(VLOOKUP(SUMPRODUCT(LARGE(($C$8:$C76=Table1[[#This Row],[Climber]])*$A$8:$A76,1)),$A$8:$BC76,55,FALSE),0)/LEFT($AX$7,FIND(" ",$AX$7))+_xlfn.IFNA(VLOOKUP(SUMPRODUCT(LARGE(($C$8:$C76=Table1[[#This Row],[Climber]])*$A$8:$A76,MIN(2,COUNTIFS($C$8:$C76,$C76)))),$A$8:$BC76,55,FALSE),0)/LEFT($AX$7,FIND(" ",$AX$7))+_xlfn.IFNA(VLOOKUP(SUMPRODUCT(LARGE(($C$8:$C76=Table1[[#This Row],[Climber]])*$A$8:$A76,MIN(3,COUNTIFS($C$8:$C76,$C76)))),$A$8:$BC76,55,FALSE),0)/LEFT($AX$7,FIND(" ",$AX$7))</f>
        <v>79.476813852813848</v>
      </c>
      <c r="BE76" s="6">
        <f ca="1">(_xlfn.IFNA(VLOOKUP(SUMPRODUCT(LARGE(($C$8:$C76=Table1[[#This Row],[Climber]])*$A$8:$A76,4)),$A$8:$BD76,55,FALSE),0)+_xlfn.IFNA(VLOOKUP(SUMPRODUCT(LARGE(($C$8:$C76=Table1[[#This Row],[Climber]])*$A$8:$A76,5)),$A$8:$BD76,55,FALSE),0)+_xlfn.IFNA(VLOOKUP(SUMPRODUCT(LARGE(($C$8:$C76=Table1[[#This Row],[Climber]])*$A$8:$A76,6)),$A$8:$BD76,55,FALSE),0))/3</f>
        <v>71.795620719654082</v>
      </c>
      <c r="BF76" s="46">
        <f ca="1">_xlfn.MAXIFS(INDIRECT("$BC"&amp;IF(SUMPRODUCT(LARGE(($C$8:$C76=$C76)*$A$8:$A76,LEFT($BA$7,FIND(" ",$BA$7)-1)))=0,8,SUMPRODUCT(LARGE(($C$8:$C76=$C76)*$A$8:$A76,LEFT($BA$7,FIND(" ",$BA$7)-1)))+7)&amp;":$BC"&amp;ROW()),INDIRECT("$C"&amp;IF(SUMPRODUCT(LARGE(($C$8:$C76=$C76)*$A$8:$A76,LEFT($BA$7,FIND(" ",$BA$7)-1)))=0,8,SUMPRODUCT(LARGE(($C$8:$C76=$C76)*$A$8:$A76,LEFT($BA$7,FIND(" ",$BA$7)-1)))+7)&amp;":$C"&amp;ROW()),$C76)</f>
        <v>80.153620779220773</v>
      </c>
      <c r="BG76" s="46">
        <f t="array" aca="1" ref="BG76" ca="1">IFERROR(SUMPRODUCT(LARGE(($C$8:$C76=Table1[[#This Row],[Climber]])*$AW$8:$AW76,ROW(INDIRECT("1:5")))),AW76)/MIN(COUNTIFS($C$8:$C76,C76),5)</f>
        <v>104.58761576386057</v>
      </c>
    </row>
    <row r="77" spans="1:59" x14ac:dyDescent="0.3">
      <c r="A77" s="125">
        <f t="shared" si="1"/>
        <v>70</v>
      </c>
      <c r="B77" s="25">
        <f>'Rock Climbing Log'!B77</f>
        <v>43166</v>
      </c>
      <c r="C77" s="126" t="str">
        <f>'Rock Climbing Log'!C77</f>
        <v>Lester</v>
      </c>
      <c r="D77" s="26">
        <f>_xlfn.IFNA(IF(LEFT('Rock Climbing Log'!D77)="C",_xlfn.IFNA(VLOOKUP('Rock Climbing Log'!D77,'RC Lookup'!$A$3:$B$9,2,FALSE),0.5),VLOOKUP('Rock Climbing Log'!D77,'RC Lookup'!$G$3:$H$5,2,FALSE)),0)*VLOOKUP(D$7,'RC Lookup'!$D$3:$E$18,2,FALSE)</f>
        <v>0</v>
      </c>
      <c r="E77" s="26">
        <f>_xlfn.IFNA(IF(LEFT('Rock Climbing Log'!E77)="C",_xlfn.IFNA(VLOOKUP('Rock Climbing Log'!E77,'RC Lookup'!$A$3:$B$9,2,FALSE),0.5),VLOOKUP('Rock Climbing Log'!E77,'RC Lookup'!$G$3:$H$5,2,FALSE)),0)*VLOOKUP(D$7,'RC Lookup'!$D$3:$E$18,2,FALSE)</f>
        <v>0</v>
      </c>
      <c r="F77" s="26">
        <f>_xlfn.IFNA(IF(LEFT('Rock Climbing Log'!F77)="C",_xlfn.IFNA(VLOOKUP('Rock Climbing Log'!F77,'RC Lookup'!$A$3:$B$9,2,FALSE),0.5),VLOOKUP('Rock Climbing Log'!F77,'RC Lookup'!$G$3:$H$5,2,FALSE)),0)*VLOOKUP(D$7,'RC Lookup'!$D$3:$E$18,2,FALSE)</f>
        <v>0</v>
      </c>
      <c r="G77" s="26">
        <f>_xlfn.IFNA(IF(LEFT('Rock Climbing Log'!G77)="C",_xlfn.IFNA(VLOOKUP('Rock Climbing Log'!G77,'RC Lookup'!$A$3:$B$9,2,FALSE),0.5),VLOOKUP('Rock Climbing Log'!G77,'RC Lookup'!$G$3:$H$5,2,FALSE)),0)*VLOOKUP(G$7,'RC Lookup'!$D$3:$E$18,2,FALSE)</f>
        <v>0</v>
      </c>
      <c r="H77" s="26">
        <f>_xlfn.IFNA(IF(LEFT('Rock Climbing Log'!H77)="C",_xlfn.IFNA(VLOOKUP('Rock Climbing Log'!H77,'RC Lookup'!$A$3:$B$9,2,FALSE),0.5),VLOOKUP('Rock Climbing Log'!H77,'RC Lookup'!$G$3:$H$5,2,FALSE)),0)*VLOOKUP(G$7,'RC Lookup'!$D$3:$E$18,2,FALSE)</f>
        <v>0</v>
      </c>
      <c r="I77" s="26">
        <f>_xlfn.IFNA(IF(LEFT('Rock Climbing Log'!I77)="C",_xlfn.IFNA(VLOOKUP('Rock Climbing Log'!I77,'RC Lookup'!$A$3:$B$9,2,FALSE),0.5),VLOOKUP('Rock Climbing Log'!I77,'RC Lookup'!$G$3:$H$5,2,FALSE)),0)*VLOOKUP(G$7,'RC Lookup'!$D$3:$E$18,2,FALSE)</f>
        <v>0</v>
      </c>
      <c r="J77" s="26">
        <f>_xlfn.IFNA(IF(LEFT('Rock Climbing Log'!J77)="C",_xlfn.IFNA(VLOOKUP('Rock Climbing Log'!J77,'RC Lookup'!$A$3:$B$9,2,FALSE),0.5),VLOOKUP('Rock Climbing Log'!J77,'RC Lookup'!$G$3:$H$5,2,FALSE)),0)*VLOOKUP(J$7,'RC Lookup'!$D$3:$E$18,2,FALSE)</f>
        <v>0</v>
      </c>
      <c r="K77" s="26">
        <f>_xlfn.IFNA(IF(LEFT('Rock Climbing Log'!K77)="C",_xlfn.IFNA(VLOOKUP('Rock Climbing Log'!K77,'RC Lookup'!$A$3:$B$9,2,FALSE),0.5),VLOOKUP('Rock Climbing Log'!K77,'RC Lookup'!$G$3:$H$5,2,FALSE)),0)*VLOOKUP(J$7,'RC Lookup'!$D$3:$E$18,2,FALSE)</f>
        <v>0</v>
      </c>
      <c r="L77" s="26">
        <f>_xlfn.IFNA(IF(LEFT('Rock Climbing Log'!L77)="C",_xlfn.IFNA(VLOOKUP('Rock Climbing Log'!L77,'RC Lookup'!$A$3:$B$9,2,FALSE),0.5),VLOOKUP('Rock Climbing Log'!L77,'RC Lookup'!$G$3:$H$5,2,FALSE)),0)*VLOOKUP(J$7,'RC Lookup'!$D$3:$E$18,2,FALSE)</f>
        <v>0</v>
      </c>
      <c r="M77" s="26">
        <f>_xlfn.IFNA(IF(LEFT('Rock Climbing Log'!M77)="C",_xlfn.IFNA(VLOOKUP('Rock Climbing Log'!M77,'RC Lookup'!$A$3:$B$9,2,FALSE),0.5),VLOOKUP('Rock Climbing Log'!M77,'RC Lookup'!$G$3:$H$5,2,FALSE)),0)*VLOOKUP(M$7,'RC Lookup'!$D$3:$E$18,2,FALSE)</f>
        <v>0</v>
      </c>
      <c r="N77" s="26">
        <f>_xlfn.IFNA(IF(LEFT('Rock Climbing Log'!N77)="C",_xlfn.IFNA(VLOOKUP('Rock Climbing Log'!N77,'RC Lookup'!$A$3:$B$9,2,FALSE),0.5),VLOOKUP('Rock Climbing Log'!N77,'RC Lookup'!$G$3:$H$5,2,FALSE)),0)*VLOOKUP(M$7,'RC Lookup'!$D$3:$E$18,2,FALSE)</f>
        <v>0</v>
      </c>
      <c r="O77" s="26">
        <f>_xlfn.IFNA(IF(LEFT('Rock Climbing Log'!O77)="C",_xlfn.IFNA(VLOOKUP('Rock Climbing Log'!O77,'RC Lookup'!$A$3:$B$9,2,FALSE),0.5),VLOOKUP('Rock Climbing Log'!O77,'RC Lookup'!$G$3:$H$5,2,FALSE)),0)*VLOOKUP(M$7,'RC Lookup'!$D$3:$E$18,2,FALSE)</f>
        <v>0</v>
      </c>
      <c r="P77" s="26">
        <f>_xlfn.IFNA(IF(LEFT('Rock Climbing Log'!P77)="C",_xlfn.IFNA(VLOOKUP('Rock Climbing Log'!P77,'RC Lookup'!$A$3:$B$9,2,FALSE),0.5),VLOOKUP('Rock Climbing Log'!P77,'RC Lookup'!$G$3:$H$5,2,FALSE)),0)*VLOOKUP(P$7,'RC Lookup'!$D$3:$E$18,2,FALSE)</f>
        <v>0</v>
      </c>
      <c r="Q77" s="26">
        <f>_xlfn.IFNA(IF(LEFT('Rock Climbing Log'!Q77)="C",_xlfn.IFNA(VLOOKUP('Rock Climbing Log'!Q77,'RC Lookup'!$A$3:$B$9,2,FALSE),0.5),VLOOKUP('Rock Climbing Log'!Q77,'RC Lookup'!$G$3:$H$5,2,FALSE)),0)*VLOOKUP(P$7,'RC Lookup'!$D$3:$E$18,2,FALSE)</f>
        <v>0</v>
      </c>
      <c r="R77" s="26">
        <f>_xlfn.IFNA(IF(LEFT('Rock Climbing Log'!R77)="C",_xlfn.IFNA(VLOOKUP('Rock Climbing Log'!R77,'RC Lookup'!$A$3:$B$9,2,FALSE),0.5),VLOOKUP('Rock Climbing Log'!R77,'RC Lookup'!$G$3:$H$5,2,FALSE)),0)*VLOOKUP(P$7,'RC Lookup'!$D$3:$E$18,2,FALSE)</f>
        <v>0</v>
      </c>
      <c r="S77" s="26">
        <f>_xlfn.IFNA(IF(LEFT('Rock Climbing Log'!S77)="C",_xlfn.IFNA(VLOOKUP('Rock Climbing Log'!S77,'RC Lookup'!$A$3:$B$9,2,FALSE),0.5),VLOOKUP('Rock Climbing Log'!S77,'RC Lookup'!$G$3:$H$5,2,FALSE)),0)*VLOOKUP(S$7,'RC Lookup'!$D$3:$E$18,2,FALSE)</f>
        <v>0</v>
      </c>
      <c r="T77" s="26">
        <f>_xlfn.IFNA(IF(LEFT('Rock Climbing Log'!T77)="C",_xlfn.IFNA(VLOOKUP('Rock Climbing Log'!T77,'RC Lookup'!$A$3:$B$9,2,FALSE),0.5),VLOOKUP('Rock Climbing Log'!T77,'RC Lookup'!$G$3:$H$5,2,FALSE)),0)*VLOOKUP(S$7,'RC Lookup'!$D$3:$E$18,2,FALSE)</f>
        <v>0</v>
      </c>
      <c r="U77" s="26">
        <f>_xlfn.IFNA(IF(LEFT('Rock Climbing Log'!U77)="C",_xlfn.IFNA(VLOOKUP('Rock Climbing Log'!U77,'RC Lookup'!$A$3:$B$9,2,FALSE),0.5),VLOOKUP('Rock Climbing Log'!U77,'RC Lookup'!$G$3:$H$5,2,FALSE)),0)*VLOOKUP(S$7,'RC Lookup'!$D$3:$E$18,2,FALSE)</f>
        <v>0</v>
      </c>
      <c r="V77" s="26">
        <f>_xlfn.IFNA(IF(LEFT('Rock Climbing Log'!V77)="C",_xlfn.IFNA(VLOOKUP('Rock Climbing Log'!V77,'RC Lookup'!$A$3:$B$9,2,FALSE),0.5),VLOOKUP('Rock Climbing Log'!V77,'RC Lookup'!$G$3:$H$5,2,FALSE)),0)*VLOOKUP(V$7,'RC Lookup'!$D$3:$E$18,2,FALSE)</f>
        <v>35.256745742400021</v>
      </c>
      <c r="W77" s="26">
        <f>_xlfn.IFNA(IF(LEFT('Rock Climbing Log'!W77)="C",_xlfn.IFNA(VLOOKUP('Rock Climbing Log'!W77,'RC Lookup'!$A$3:$B$9,2,FALSE),0.5),VLOOKUP('Rock Climbing Log'!W77,'RC Lookup'!$G$3:$H$5,2,FALSE)),0)*VLOOKUP(V$7,'RC Lookup'!$D$3:$E$18,2,FALSE)</f>
        <v>0</v>
      </c>
      <c r="X77" s="26">
        <f>_xlfn.IFNA(IF(LEFT('Rock Climbing Log'!X77)="C",_xlfn.IFNA(VLOOKUP('Rock Climbing Log'!X77,'RC Lookup'!$A$3:$B$9,2,FALSE),0.5),VLOOKUP('Rock Climbing Log'!X77,'RC Lookup'!$G$3:$H$5,2,FALSE)),0)*VLOOKUP(V$7,'RC Lookup'!$D$3:$E$18,2,FALSE)</f>
        <v>0</v>
      </c>
      <c r="Y77" s="26">
        <f>_xlfn.IFNA(IF(LEFT('Rock Climbing Log'!Y77)="C",_xlfn.IFNA(VLOOKUP('Rock Climbing Log'!Y77,'RC Lookup'!$A$3:$B$9,2,FALSE),0.5),VLOOKUP('Rock Climbing Log'!Y77,'RC Lookup'!$G$3:$H$5,2,FALSE)),0)*VLOOKUP(Y$7,'RC Lookup'!$D$3:$E$18,2,FALSE)</f>
        <v>0</v>
      </c>
      <c r="Z77" s="26">
        <f>_xlfn.IFNA(IF(LEFT('Rock Climbing Log'!Z77)="C",_xlfn.IFNA(VLOOKUP('Rock Climbing Log'!Z77,'RC Lookup'!$A$3:$B$9,2,FALSE),0.5),VLOOKUP('Rock Climbing Log'!Z77,'RC Lookup'!$G$3:$H$5,2,FALSE)),0)*VLOOKUP(Y$7,'RC Lookup'!$D$3:$E$18,2,FALSE)</f>
        <v>0</v>
      </c>
      <c r="AA77" s="26">
        <f>_xlfn.IFNA(IF(LEFT('Rock Climbing Log'!AA77)="C",_xlfn.IFNA(VLOOKUP('Rock Climbing Log'!AA77,'RC Lookup'!$A$3:$B$9,2,FALSE),0.5),VLOOKUP('Rock Climbing Log'!AA77,'RC Lookup'!$G$3:$H$5,2,FALSE)),0)*VLOOKUP(Y$7,'RC Lookup'!$D$3:$E$18,2,FALSE)</f>
        <v>0</v>
      </c>
      <c r="AB77" s="26">
        <f>_xlfn.IFNA(IF(LEFT('Rock Climbing Log'!AB77)="C",_xlfn.IFNA(VLOOKUP('Rock Climbing Log'!AB77,'RC Lookup'!$A$3:$B$9,2,FALSE),0.5),VLOOKUP('Rock Climbing Log'!AB77,'RC Lookup'!$G$3:$H$5,2,FALSE)),0)*VLOOKUP(AB$7,'RC Lookup'!$D$3:$E$18,2,FALSE)</f>
        <v>54.034770578768224</v>
      </c>
      <c r="AC77" s="26">
        <f>_xlfn.IFNA(IF(LEFT('Rock Climbing Log'!AC77)="C",_xlfn.IFNA(VLOOKUP('Rock Climbing Log'!AC77,'RC Lookup'!$A$3:$B$9,2,FALSE),0.5),VLOOKUP('Rock Climbing Log'!AC77,'RC Lookup'!$G$3:$H$5,2,FALSE)),0)*VLOOKUP(AB$7,'RC Lookup'!$D$3:$E$18,2,FALSE)</f>
        <v>0</v>
      </c>
      <c r="AD77" s="26">
        <f>_xlfn.IFNA(IF(LEFT('Rock Climbing Log'!AD77)="C",_xlfn.IFNA(VLOOKUP('Rock Climbing Log'!AD77,'RC Lookup'!$A$3:$B$9,2,FALSE),0.5),VLOOKUP('Rock Climbing Log'!AD77,'RC Lookup'!$G$3:$H$5,2,FALSE)),0)*VLOOKUP(AB$7,'RC Lookup'!$D$3:$E$18,2,FALSE)</f>
        <v>0</v>
      </c>
      <c r="AE77" s="26">
        <f>_xlfn.IFNA(IF(LEFT('Rock Climbing Log'!AE77)="C",_xlfn.IFNA(VLOOKUP('Rock Climbing Log'!AE77,'RC Lookup'!$A$3:$B$9,2,FALSE),0.5),VLOOKUP('Rock Climbing Log'!AE77,'RC Lookup'!$G$3:$H$5,2,FALSE)),0)*VLOOKUP(AE$7,'RC Lookup'!$D$3:$E$18,2,FALSE)</f>
        <v>0</v>
      </c>
      <c r="AF77" s="26">
        <f>_xlfn.IFNA(IF(LEFT('Rock Climbing Log'!AF77)="C",_xlfn.IFNA(VLOOKUP('Rock Climbing Log'!AF77,'RC Lookup'!$A$3:$B$9,2,FALSE),0.5),VLOOKUP('Rock Climbing Log'!AF77,'RC Lookup'!$G$3:$H$5,2,FALSE)),0)*VLOOKUP(AE$7,'RC Lookup'!$D$3:$E$18,2,FALSE)</f>
        <v>0</v>
      </c>
      <c r="AG77" s="26">
        <f>_xlfn.IFNA(IF(LEFT('Rock Climbing Log'!AG77)="C",_xlfn.IFNA(VLOOKUP('Rock Climbing Log'!AG77,'RC Lookup'!$A$3:$B$9,2,FALSE),0.5),VLOOKUP('Rock Climbing Log'!AG77,'RC Lookup'!$G$3:$H$5,2,FALSE)),0)*VLOOKUP(AE$7,'RC Lookup'!$D$3:$E$18,2,FALSE)</f>
        <v>0</v>
      </c>
      <c r="AH77" s="26">
        <f>_xlfn.IFNA(IF(LEFT('Rock Climbing Log'!AH77)="C",_xlfn.IFNA(VLOOKUP('Rock Climbing Log'!AH77,'RC Lookup'!$A$3:$B$9,2,FALSE),0.5),VLOOKUP('Rock Climbing Log'!AH77,'RC Lookup'!$G$3:$H$5,2,FALSE)),0)*VLOOKUP(AH$7,'RC Lookup'!$D$3:$E$18,2,FALSE)</f>
        <v>86.056207901910909</v>
      </c>
      <c r="AI77" s="26">
        <f>_xlfn.IFNA(IF(LEFT('Rock Climbing Log'!AI77)="C",_xlfn.IFNA(VLOOKUP('Rock Climbing Log'!AI77,'RC Lookup'!$A$3:$B$9,2,FALSE),0.5),VLOOKUP('Rock Climbing Log'!AI77,'RC Lookup'!$G$3:$H$5,2,FALSE)),0)*VLOOKUP(AH$7,'RC Lookup'!$D$3:$E$18,2,FALSE)</f>
        <v>86.056207901910909</v>
      </c>
      <c r="AJ77" s="26">
        <f>_xlfn.IFNA(IF(LEFT('Rock Climbing Log'!AJ77)="C",_xlfn.IFNA(VLOOKUP('Rock Climbing Log'!AJ77,'RC Lookup'!$A$3:$B$9,2,FALSE),0.5),VLOOKUP('Rock Climbing Log'!AJ77,'RC Lookup'!$G$3:$H$5,2,FALSE)),0)*VLOOKUP(AH$7,'RC Lookup'!$D$3:$E$18,2,FALSE)</f>
        <v>0</v>
      </c>
      <c r="AK77" s="26">
        <f>_xlfn.IFNA(IF(LEFT('Rock Climbing Log'!AK77)="C",_xlfn.IFNA(VLOOKUP('Rock Climbing Log'!AK77,'RC Lookup'!$A$3:$B$9,2,FALSE),0.5),VLOOKUP('Rock Climbing Log'!AK77,'RC Lookup'!$G$3:$H$5,2,FALSE)),0)*VLOOKUP(AK$7,'RC Lookup'!$D$3:$E$18,2,FALSE)</f>
        <v>55.075973057222981</v>
      </c>
      <c r="AL77" s="26">
        <f>_xlfn.IFNA(IF(LEFT('Rock Climbing Log'!AL77)="C",_xlfn.IFNA(VLOOKUP('Rock Climbing Log'!AL77,'RC Lookup'!$A$3:$B$9,2,FALSE),0.5),VLOOKUP('Rock Climbing Log'!AL77,'RC Lookup'!$G$3:$H$5,2,FALSE)),0)*VLOOKUP(AK$7,'RC Lookup'!$D$3:$E$18,2,FALSE)</f>
        <v>0</v>
      </c>
      <c r="AM77" s="26">
        <f>_xlfn.IFNA(IF(LEFT('Rock Climbing Log'!AM77)="C",_xlfn.IFNA(VLOOKUP('Rock Climbing Log'!AM77,'RC Lookup'!$A$3:$B$9,2,FALSE),0.5),VLOOKUP('Rock Climbing Log'!AM77,'RC Lookup'!$G$3:$H$5,2,FALSE)),0)*VLOOKUP(AK$7,'RC Lookup'!$D$3:$E$18,2,FALSE)</f>
        <v>0</v>
      </c>
      <c r="AN77" s="26">
        <f>_xlfn.IFNA(IF(LEFT('Rock Climbing Log'!AN77)="C",_xlfn.IFNA(VLOOKUP('Rock Climbing Log'!AN77,'RC Lookup'!$A$3:$B$9,2,FALSE),0.5),VLOOKUP('Rock Climbing Log'!AN77,'RC Lookup'!$G$3:$H$5,2,FALSE)),0)*VLOOKUP(AN$7,'RC Lookup'!$D$3:$E$18,2,FALSE)</f>
        <v>71.158157189932098</v>
      </c>
      <c r="AO77" s="26">
        <f>_xlfn.IFNA(IF(LEFT('Rock Climbing Log'!AO77)="C",_xlfn.IFNA(VLOOKUP('Rock Climbing Log'!AO77,'RC Lookup'!$A$3:$B$9,2,FALSE),0.5),VLOOKUP('Rock Climbing Log'!AO77,'RC Lookup'!$G$3:$H$5,2,FALSE)),0)*VLOOKUP(AN$7,'RC Lookup'!$D$3:$E$18,2,FALSE)</f>
        <v>71.158157189932098</v>
      </c>
      <c r="AP77" s="26">
        <f>_xlfn.IFNA(IF(LEFT('Rock Climbing Log'!AP77)="C",_xlfn.IFNA(VLOOKUP('Rock Climbing Log'!AP77,'RC Lookup'!$A$3:$B$9,2,FALSE),0.5),VLOOKUP('Rock Climbing Log'!AP77,'RC Lookup'!$G$3:$H$5,2,FALSE)),0)*VLOOKUP(AN$7,'RC Lookup'!$D$3:$E$18,2,FALSE)</f>
        <v>0</v>
      </c>
      <c r="AQ77" s="26">
        <f>_xlfn.IFNA(IF(LEFT('Rock Climbing Log'!AQ77)="C",_xlfn.IFNA(VLOOKUP('Rock Climbing Log'!AQ77,'RC Lookup'!$A$3:$B$9,2,FALSE),0.5),VLOOKUP('Rock Climbing Log'!AQ77,'RC Lookup'!$G$3:$H$5,2,FALSE)),0)*VLOOKUP(AQ$7,'RC Lookup'!$D$3:$E$18,2,FALSE)</f>
        <v>0</v>
      </c>
      <c r="AR77" s="26">
        <f>_xlfn.IFNA(IF(LEFT('Rock Climbing Log'!AR77)="C",_xlfn.IFNA(VLOOKUP('Rock Climbing Log'!AR77,'RC Lookup'!$A$3:$B$9,2,FALSE),0.5),VLOOKUP('Rock Climbing Log'!AR77,'RC Lookup'!$G$3:$H$5,2,FALSE)),0)*VLOOKUP(AQ$7,'RC Lookup'!$D$3:$E$18,2,FALSE)</f>
        <v>0</v>
      </c>
      <c r="AS77" s="26">
        <f>_xlfn.IFNA(IF(LEFT('Rock Climbing Log'!AS77)="C",_xlfn.IFNA(VLOOKUP('Rock Climbing Log'!AS77,'RC Lookup'!$A$3:$B$9,2,FALSE),0.5),VLOOKUP('Rock Climbing Log'!AS77,'RC Lookup'!$G$3:$H$5,2,FALSE)),0)*VLOOKUP(AQ$7,'RC Lookup'!$D$3:$E$18,2,FALSE)</f>
        <v>0</v>
      </c>
      <c r="AT77" s="26">
        <f>_xlfn.IFNA(IF(LEFT('Rock Climbing Log'!AT77)="C",_xlfn.IFNA(VLOOKUP('Rock Climbing Log'!AT77,'RC Lookup'!$A$3:$B$9,2,FALSE),0.5),VLOOKUP('Rock Climbing Log'!AT77,'RC Lookup'!$G$3:$H$5,2,FALSE)),0)*VLOOKUP(AT$7,'RC Lookup'!$D$3:$E$18,2,FALSE)</f>
        <v>0</v>
      </c>
      <c r="AU77" s="26">
        <f>_xlfn.IFNA(IF(LEFT('Rock Climbing Log'!AU77)="C",_xlfn.IFNA(VLOOKUP('Rock Climbing Log'!AU77,'RC Lookup'!$A$3:$B$9,2,FALSE),0.5),VLOOKUP('Rock Climbing Log'!AU77,'RC Lookup'!$G$3:$H$5,2,FALSE)),0)*VLOOKUP(AT$7,'RC Lookup'!$D$3:$E$18,2,FALSE)</f>
        <v>0</v>
      </c>
      <c r="AV77" s="26">
        <f>_xlfn.IFNA(IF(LEFT('Rock Climbing Log'!AV77)="C",_xlfn.IFNA(VLOOKUP('Rock Climbing Log'!AV77,'RC Lookup'!$A$3:$B$9,2,FALSE),0.5),VLOOKUP('Rock Climbing Log'!AV77,'RC Lookup'!$G$3:$H$5,2,FALSE)),0)*VLOOKUP(AT$7,'RC Lookup'!$D$3:$E$18,2,FALSE)</f>
        <v>0</v>
      </c>
      <c r="AW77" s="30">
        <f t="shared" ca="1" si="3"/>
        <v>243.27057299375392</v>
      </c>
      <c r="AX77" s="30">
        <f ca="1">_xlfn.IFNA(VLOOKUP(SUMPRODUCT(LARGE(($C$8:$C77=Table1[[#This Row],[Climber]])*$A$8:$A77,1)),$A$8:$AW77,MATCH($AW$7,$A$7:$AW$7,FALSE),FALSE),0)/LEFT($AX$7,FIND(" ",$AX$7))+_xlfn.IFNA(VLOOKUP(SUMPRODUCT(LARGE(($C$8:$C77=Table1[[#This Row],[Climber]])*$A$8:$A77,MIN(2,COUNTIFS($C$8:$C77,$C77)))),$A$8:$AW77,MATCH($AW$7,$A$7:$AW$7,FALSE),FALSE),0)/LEFT($AX$7,FIND(" ",$AX$7))+_xlfn.IFNA(VLOOKUP(SUMPRODUCT(LARGE(($C$8:$C77=Table1[[#This Row],[Climber]])*$A$8:$A77,MIN(3,COUNTIFS($C$8:$C77,$C77)))),$A$8:$AW77,MATCH($AW$7,$A$7:$AW$7,FALSE),FALSE),0)/LEFT($AX$7,FIND(" ",$AX$7))</f>
        <v>255.22516105377247</v>
      </c>
      <c r="AY77" s="30">
        <f ca="1">_xlfn.IFNA(VLOOKUP(SUMPRODUCT(LARGE(($C$8:$C77=Table1[[#This Row],[Climber]])*$A$8:$A77,1)),$A$8:$AW77,MATCH($AW$7,$A$7:$AW$7,FALSE),FALSE),0)/LEFT($AY$7,FIND(" ",$AY$7))+_xlfn.IFNA(VLOOKUP(SUMPRODUCT(LARGE(($C$8:$C77=Table1[[#This Row],[Climber]])*$A$8:$A77,MIN(2,COUNTIFS($C$8:$C77,$C77)))),$A$8:$AW77,MATCH($AW$7,$A$7:$AW$7,FALSE),FALSE),0)/LEFT($AY$7,FIND(" ",$AY$7))+_xlfn.IFNA(VLOOKUP(SUMPRODUCT(LARGE(($C$8:$C77=Table1[[#This Row],[Climber]])*$A$8:$A77,MIN(3,COUNTIFS($C$8:$C77,$C77)))),$A$8:$AW77,MATCH($AW$7,$A$7:$AW$7,FALSE),FALSE),0)/LEFT($AY$7,FIND(" ",$AY$7))+_xlfn.IFNA(VLOOKUP(SUMPRODUCT(LARGE(($C$8:$C77=Table1[[#This Row],[Climber]])*$A$8:$A77,MIN(4,COUNTIFS($C$8:$C77,$C77)))),$A$8:$AW77,MATCH($AW$7,$A$7:$AW$7,FALSE),FALSE),0)/LEFT($AY$7,FIND(" ",$AY$7))+_xlfn.IFNA(VLOOKUP(SUMPRODUCT(LARGE(($C$8:$C77=Table1[[#This Row],[Climber]])*$A$8:$A77,MIN(5,COUNTIFS($C$8:$C77,$C77)))),$A$8:$AW77,MATCH($AW$7,$A$7:$AW$7,FALSE),FALSE),0)/LEFT($AY$7,FIND(" ",$AY$7))</f>
        <v>238.21401005957853</v>
      </c>
      <c r="AZ77" s="30">
        <f ca="1">(_xlfn.IFNA(VLOOKUP(SUMPRODUCT(LARGE(($C$8:$C77=Table1[[#This Row],[Climber]])*$A$8:$A77,4)),$A$8:$AW77,MATCH($AW$7,$A$7:$AW$7,FALSE),FALSE),0)+_xlfn.IFNA(VLOOKUP(SUMPRODUCT(LARGE(($C$8:$C77=Table1[[#This Row],[Climber]])*$A$8:$A77,5)),$A$8:$AW77,MATCH($AW$7,$A$7:$AW$7,FALSE),FALSE),0)+_xlfn.IFNA(VLOOKUP(SUMPRODUCT(LARGE(($C$8:$C77=Table1[[#This Row],[Climber]])*$A$8:$A77,6)),$A$8:$AW77,MATCH($AW$7,$A$7:$AW$7,FALSE),FALSE),0))/3</f>
        <v>177.05493478792513</v>
      </c>
      <c r="BA77" s="46">
        <f ca="1">_xlfn.MAXIFS(INDIRECT("$AW"&amp;IF(SUMPRODUCT(LARGE(($C$8:$C77=$C77)*$A$8:$A77,LEFT($BA$7,FIND(" ",$BA$7)-1)))=0,8,SUMPRODUCT(LARGE(($C$8:$C77=$C77)*$A$8:$A77,LEFT($BA$7,FIND(" ",$BA$7)-1)))+7)&amp;":$AW"&amp;ROW()),INDIRECT("$C"&amp;IF(SUMPRODUCT(LARGE(($C$8:$C77=$C77)*$A$8:$A77,LEFT($BA$7,FIND(" ",$BA$7)-1)))=0,8,SUMPRODUCT(LARGE(($C$8:$C77=$C77)*$A$8:$A77,LEFT($BA$7,FIND(" ",$BA$7)-1)))+7)&amp;":$C"&amp;ROW()),$C77)</f>
        <v>293.29583260906884</v>
      </c>
      <c r="BB77" s="46" t="str">
        <f ca="1">VLOOKUP(MAX(BG77,$AX77),'RC Lookup'!$G$14:$J$20,2,TRUE)</f>
        <v>T5</v>
      </c>
      <c r="BC77" s="46">
        <f ca="1">_xlfn.IFNA(VLOOKUP(VLOOKUP($C77,'RC Lookup'!$O$3:$P$50,2,FALSE),'RC Lookup'!$H$14:$J$23,2,FALSE),0)*AW77</f>
        <v>73.616666666666674</v>
      </c>
      <c r="BD77" s="6">
        <f ca="1">_xlfn.IFNA(VLOOKUP(SUMPRODUCT(LARGE(($C$8:$C77=Table1[[#This Row],[Climber]])*$A$8:$A77,1)),$A$8:$BC77,55,FALSE),0)/LEFT($AX$7,FIND(" ",$AX$7))+_xlfn.IFNA(VLOOKUP(SUMPRODUCT(LARGE(($C$8:$C77=Table1[[#This Row],[Climber]])*$A$8:$A77,MIN(2,COUNTIFS($C$8:$C77,$C77)))),$A$8:$BC77,55,FALSE),0)/LEFT($AX$7,FIND(" ",$AX$7))+_xlfn.IFNA(VLOOKUP(SUMPRODUCT(LARGE(($C$8:$C77=Table1[[#This Row],[Climber]])*$A$8:$A77,MIN(3,COUNTIFS($C$8:$C77,$C77)))),$A$8:$BC77,55,FALSE),0)/LEFT($AX$7,FIND(" ",$AX$7))</f>
        <v>77.234272008412205</v>
      </c>
      <c r="BE77" s="6">
        <f ca="1">(_xlfn.IFNA(VLOOKUP(SUMPRODUCT(LARGE(($C$8:$C77=Table1[[#This Row],[Climber]])*$A$8:$A77,4)),$A$8:$BD77,55,FALSE),0)+_xlfn.IFNA(VLOOKUP(SUMPRODUCT(LARGE(($C$8:$C77=Table1[[#This Row],[Climber]])*$A$8:$A77,5)),$A$8:$BD77,55,FALSE),0)+_xlfn.IFNA(VLOOKUP(SUMPRODUCT(LARGE(($C$8:$C77=Table1[[#This Row],[Climber]])*$A$8:$A77,6)),$A$8:$BD77,55,FALSE),0))/3</f>
        <v>53.57900035161979</v>
      </c>
      <c r="BF77" s="46">
        <f ca="1">_xlfn.MAXIFS(INDIRECT("$BC"&amp;IF(SUMPRODUCT(LARGE(($C$8:$C77=$C77)*$A$8:$A77,LEFT($BA$7,FIND(" ",$BA$7)-1)))=0,8,SUMPRODUCT(LARGE(($C$8:$C77=$C77)*$A$8:$A77,LEFT($BA$7,FIND(" ",$BA$7)-1)))+7)&amp;":$BC"&amp;ROW()),INDIRECT("$C"&amp;IF(SUMPRODUCT(LARGE(($C$8:$C77=$C77)*$A$8:$A77,LEFT($BA$7,FIND(" ",$BA$7)-1)))=0,8,SUMPRODUCT(LARGE(($C$8:$C77=$C77)*$A$8:$A77,LEFT($BA$7,FIND(" ",$BA$7)-1)))+7)&amp;":$C"&amp;ROW()),$C77)</f>
        <v>88.754925341745547</v>
      </c>
      <c r="BG77" s="46">
        <f t="array" aca="1" ref="BG77" ca="1">IFERROR(SUMPRODUCT(LARGE(($C$8:$C77=Table1[[#This Row],[Climber]])*$AW$8:$AW77,ROW(INDIRECT("1:5")))),AW77)/MIN(COUNTIFS($C$8:$C77,C77),5)</f>
        <v>288.25557827583015</v>
      </c>
    </row>
    <row r="78" spans="1:59" x14ac:dyDescent="0.3">
      <c r="A78" s="125">
        <f t="shared" si="1"/>
        <v>71</v>
      </c>
      <c r="B78" s="25">
        <f>'Rock Climbing Log'!B78</f>
        <v>43166</v>
      </c>
      <c r="C78" s="126" t="str">
        <f>'Rock Climbing Log'!C78</f>
        <v>Benjie</v>
      </c>
      <c r="D78" s="26">
        <f>_xlfn.IFNA(IF(LEFT('Rock Climbing Log'!D78)="C",_xlfn.IFNA(VLOOKUP('Rock Climbing Log'!D78,'RC Lookup'!$A$3:$B$9,2,FALSE),0.5),VLOOKUP('Rock Climbing Log'!D78,'RC Lookup'!$G$3:$H$5,2,FALSE)),0)*VLOOKUP(D$7,'RC Lookup'!$D$3:$E$18,2,FALSE)</f>
        <v>0</v>
      </c>
      <c r="E78" s="26">
        <f>_xlfn.IFNA(IF(LEFT('Rock Climbing Log'!E78)="C",_xlfn.IFNA(VLOOKUP('Rock Climbing Log'!E78,'RC Lookup'!$A$3:$B$9,2,FALSE),0.5),VLOOKUP('Rock Climbing Log'!E78,'RC Lookup'!$G$3:$H$5,2,FALSE)),0)*VLOOKUP(D$7,'RC Lookup'!$D$3:$E$18,2,FALSE)</f>
        <v>0</v>
      </c>
      <c r="F78" s="26">
        <f>_xlfn.IFNA(IF(LEFT('Rock Climbing Log'!F78)="C",_xlfn.IFNA(VLOOKUP('Rock Climbing Log'!F78,'RC Lookup'!$A$3:$B$9,2,FALSE),0.5),VLOOKUP('Rock Climbing Log'!F78,'RC Lookup'!$G$3:$H$5,2,FALSE)),0)*VLOOKUP(D$7,'RC Lookup'!$D$3:$E$18,2,FALSE)</f>
        <v>0</v>
      </c>
      <c r="G78" s="26">
        <f>_xlfn.IFNA(IF(LEFT('Rock Climbing Log'!G78)="C",_xlfn.IFNA(VLOOKUP('Rock Climbing Log'!G78,'RC Lookup'!$A$3:$B$9,2,FALSE),0.5),VLOOKUP('Rock Climbing Log'!G78,'RC Lookup'!$G$3:$H$5,2,FALSE)),0)*VLOOKUP(G$7,'RC Lookup'!$D$3:$E$18,2,FALSE)</f>
        <v>12.5</v>
      </c>
      <c r="H78" s="26">
        <f>_xlfn.IFNA(IF(LEFT('Rock Climbing Log'!H78)="C",_xlfn.IFNA(VLOOKUP('Rock Climbing Log'!H78,'RC Lookup'!$A$3:$B$9,2,FALSE),0.5),VLOOKUP('Rock Climbing Log'!H78,'RC Lookup'!$G$3:$H$5,2,FALSE)),0)*VLOOKUP(G$7,'RC Lookup'!$D$3:$E$18,2,FALSE)</f>
        <v>0</v>
      </c>
      <c r="I78" s="26">
        <f>_xlfn.IFNA(IF(LEFT('Rock Climbing Log'!I78)="C",_xlfn.IFNA(VLOOKUP('Rock Climbing Log'!I78,'RC Lookup'!$A$3:$B$9,2,FALSE),0.5),VLOOKUP('Rock Climbing Log'!I78,'RC Lookup'!$G$3:$H$5,2,FALSE)),0)*VLOOKUP(G$7,'RC Lookup'!$D$3:$E$18,2,FALSE)</f>
        <v>0</v>
      </c>
      <c r="J78" s="26">
        <f>_xlfn.IFNA(IF(LEFT('Rock Climbing Log'!J78)="C",_xlfn.IFNA(VLOOKUP('Rock Climbing Log'!J78,'RC Lookup'!$A$3:$B$9,2,FALSE),0.5),VLOOKUP('Rock Climbing Log'!J78,'RC Lookup'!$G$3:$H$5,2,FALSE)),0)*VLOOKUP(J$7,'RC Lookup'!$D$3:$E$18,2,FALSE)</f>
        <v>0</v>
      </c>
      <c r="K78" s="26">
        <f>_xlfn.IFNA(IF(LEFT('Rock Climbing Log'!K78)="C",_xlfn.IFNA(VLOOKUP('Rock Climbing Log'!K78,'RC Lookup'!$A$3:$B$9,2,FALSE),0.5),VLOOKUP('Rock Climbing Log'!K78,'RC Lookup'!$G$3:$H$5,2,FALSE)),0)*VLOOKUP(J$7,'RC Lookup'!$D$3:$E$18,2,FALSE)</f>
        <v>0</v>
      </c>
      <c r="L78" s="26">
        <f>_xlfn.IFNA(IF(LEFT('Rock Climbing Log'!L78)="C",_xlfn.IFNA(VLOOKUP('Rock Climbing Log'!L78,'RC Lookup'!$A$3:$B$9,2,FALSE),0.5),VLOOKUP('Rock Climbing Log'!L78,'RC Lookup'!$G$3:$H$5,2,FALSE)),0)*VLOOKUP(J$7,'RC Lookup'!$D$3:$E$18,2,FALSE)</f>
        <v>0</v>
      </c>
      <c r="M78" s="26">
        <f>_xlfn.IFNA(IF(LEFT('Rock Climbing Log'!M78)="C",_xlfn.IFNA(VLOOKUP('Rock Climbing Log'!M78,'RC Lookup'!$A$3:$B$9,2,FALSE),0.5),VLOOKUP('Rock Climbing Log'!M78,'RC Lookup'!$G$3:$H$5,2,FALSE)),0)*VLOOKUP(M$7,'RC Lookup'!$D$3:$E$18,2,FALSE)</f>
        <v>0</v>
      </c>
      <c r="N78" s="26">
        <f>_xlfn.IFNA(IF(LEFT('Rock Climbing Log'!N78)="C",_xlfn.IFNA(VLOOKUP('Rock Climbing Log'!N78,'RC Lookup'!$A$3:$B$9,2,FALSE),0.5),VLOOKUP('Rock Climbing Log'!N78,'RC Lookup'!$G$3:$H$5,2,FALSE)),0)*VLOOKUP(M$7,'RC Lookup'!$D$3:$E$18,2,FALSE)</f>
        <v>0</v>
      </c>
      <c r="O78" s="26">
        <f>_xlfn.IFNA(IF(LEFT('Rock Climbing Log'!O78)="C",_xlfn.IFNA(VLOOKUP('Rock Climbing Log'!O78,'RC Lookup'!$A$3:$B$9,2,FALSE),0.5),VLOOKUP('Rock Climbing Log'!O78,'RC Lookup'!$G$3:$H$5,2,FALSE)),0)*VLOOKUP(M$7,'RC Lookup'!$D$3:$E$18,2,FALSE)</f>
        <v>0</v>
      </c>
      <c r="P78" s="26">
        <f>_xlfn.IFNA(IF(LEFT('Rock Climbing Log'!P78)="C",_xlfn.IFNA(VLOOKUP('Rock Climbing Log'!P78,'RC Lookup'!$A$3:$B$9,2,FALSE),0.5),VLOOKUP('Rock Climbing Log'!P78,'RC Lookup'!$G$3:$H$5,2,FALSE)),0)*VLOOKUP(P$7,'RC Lookup'!$D$3:$E$18,2,FALSE)</f>
        <v>11.961495000000003</v>
      </c>
      <c r="Q78" s="26">
        <f>_xlfn.IFNA(IF(LEFT('Rock Climbing Log'!Q78)="C",_xlfn.IFNA(VLOOKUP('Rock Climbing Log'!Q78,'RC Lookup'!$A$3:$B$9,2,FALSE),0.5),VLOOKUP('Rock Climbing Log'!Q78,'RC Lookup'!$G$3:$H$5,2,FALSE)),0)*VLOOKUP(P$7,'RC Lookup'!$D$3:$E$18,2,FALSE)</f>
        <v>11.961495000000003</v>
      </c>
      <c r="R78" s="26">
        <f>_xlfn.IFNA(IF(LEFT('Rock Climbing Log'!R78)="C",_xlfn.IFNA(VLOOKUP('Rock Climbing Log'!R78,'RC Lookup'!$A$3:$B$9,2,FALSE),0.5),VLOOKUP('Rock Climbing Log'!R78,'RC Lookup'!$G$3:$H$5,2,FALSE)),0)*VLOOKUP(P$7,'RC Lookup'!$D$3:$E$18,2,FALSE)</f>
        <v>11.961495000000003</v>
      </c>
      <c r="S78" s="26">
        <f>_xlfn.IFNA(IF(LEFT('Rock Climbing Log'!S78)="C",_xlfn.IFNA(VLOOKUP('Rock Climbing Log'!S78,'RC Lookup'!$A$3:$B$9,2,FALSE),0.5),VLOOKUP('Rock Climbing Log'!S78,'RC Lookup'!$G$3:$H$5,2,FALSE)),0)*VLOOKUP(S$7,'RC Lookup'!$D$3:$E$18,2,FALSE)</f>
        <v>0</v>
      </c>
      <c r="T78" s="26">
        <f>_xlfn.IFNA(IF(LEFT('Rock Climbing Log'!T78)="C",_xlfn.IFNA(VLOOKUP('Rock Climbing Log'!T78,'RC Lookup'!$A$3:$B$9,2,FALSE),0.5),VLOOKUP('Rock Climbing Log'!T78,'RC Lookup'!$G$3:$H$5,2,FALSE)),0)*VLOOKUP(S$7,'RC Lookup'!$D$3:$E$18,2,FALSE)</f>
        <v>0</v>
      </c>
      <c r="U78" s="26">
        <f>_xlfn.IFNA(IF(LEFT('Rock Climbing Log'!U78)="C",_xlfn.IFNA(VLOOKUP('Rock Climbing Log'!U78,'RC Lookup'!$A$3:$B$9,2,FALSE),0.5),VLOOKUP('Rock Climbing Log'!U78,'RC Lookup'!$G$3:$H$5,2,FALSE)),0)*VLOOKUP(S$7,'RC Lookup'!$D$3:$E$18,2,FALSE)</f>
        <v>0</v>
      </c>
      <c r="V78" s="26">
        <f>_xlfn.IFNA(IF(LEFT('Rock Climbing Log'!V78)="C",_xlfn.IFNA(VLOOKUP('Rock Climbing Log'!V78,'RC Lookup'!$A$3:$B$9,2,FALSE),0.5),VLOOKUP('Rock Climbing Log'!V78,'RC Lookup'!$G$3:$H$5,2,FALSE)),0)*VLOOKUP(V$7,'RC Lookup'!$D$3:$E$18,2,FALSE)</f>
        <v>0</v>
      </c>
      <c r="W78" s="26">
        <f>_xlfn.IFNA(IF(LEFT('Rock Climbing Log'!W78)="C",_xlfn.IFNA(VLOOKUP('Rock Climbing Log'!W78,'RC Lookup'!$A$3:$B$9,2,FALSE),0.5),VLOOKUP('Rock Climbing Log'!W78,'RC Lookup'!$G$3:$H$5,2,FALSE)),0)*VLOOKUP(V$7,'RC Lookup'!$D$3:$E$18,2,FALSE)</f>
        <v>0</v>
      </c>
      <c r="X78" s="26">
        <f>_xlfn.IFNA(IF(LEFT('Rock Climbing Log'!X78)="C",_xlfn.IFNA(VLOOKUP('Rock Climbing Log'!X78,'RC Lookup'!$A$3:$B$9,2,FALSE),0.5),VLOOKUP('Rock Climbing Log'!X78,'RC Lookup'!$G$3:$H$5,2,FALSE)),0)*VLOOKUP(V$7,'RC Lookup'!$D$3:$E$18,2,FALSE)</f>
        <v>0</v>
      </c>
      <c r="Y78" s="26">
        <f>_xlfn.IFNA(IF(LEFT('Rock Climbing Log'!Y78)="C",_xlfn.IFNA(VLOOKUP('Rock Climbing Log'!Y78,'RC Lookup'!$A$3:$B$9,2,FALSE),0.5),VLOOKUP('Rock Climbing Log'!Y78,'RC Lookup'!$G$3:$H$5,2,FALSE)),0)*VLOOKUP(Y$7,'RC Lookup'!$D$3:$E$18,2,FALSE)</f>
        <v>0</v>
      </c>
      <c r="Z78" s="26">
        <f>_xlfn.IFNA(IF(LEFT('Rock Climbing Log'!Z78)="C",_xlfn.IFNA(VLOOKUP('Rock Climbing Log'!Z78,'RC Lookup'!$A$3:$B$9,2,FALSE),0.5),VLOOKUP('Rock Climbing Log'!Z78,'RC Lookup'!$G$3:$H$5,2,FALSE)),0)*VLOOKUP(Y$7,'RC Lookup'!$D$3:$E$18,2,FALSE)</f>
        <v>0</v>
      </c>
      <c r="AA78" s="26">
        <f>_xlfn.IFNA(IF(LEFT('Rock Climbing Log'!AA78)="C",_xlfn.IFNA(VLOOKUP('Rock Climbing Log'!AA78,'RC Lookup'!$A$3:$B$9,2,FALSE),0.5),VLOOKUP('Rock Climbing Log'!AA78,'RC Lookup'!$G$3:$H$5,2,FALSE)),0)*VLOOKUP(Y$7,'RC Lookup'!$D$3:$E$18,2,FALSE)</f>
        <v>0</v>
      </c>
      <c r="AB78" s="26">
        <f>_xlfn.IFNA(IF(LEFT('Rock Climbing Log'!AB78)="C",_xlfn.IFNA(VLOOKUP('Rock Climbing Log'!AB78,'RC Lookup'!$A$3:$B$9,2,FALSE),0.5),VLOOKUP('Rock Climbing Log'!AB78,'RC Lookup'!$G$3:$H$5,2,FALSE)),0)*VLOOKUP(AB$7,'RC Lookup'!$D$3:$E$18,2,FALSE)</f>
        <v>0</v>
      </c>
      <c r="AC78" s="26">
        <f>_xlfn.IFNA(IF(LEFT('Rock Climbing Log'!AC78)="C",_xlfn.IFNA(VLOOKUP('Rock Climbing Log'!AC78,'RC Lookup'!$A$3:$B$9,2,FALSE),0.5),VLOOKUP('Rock Climbing Log'!AC78,'RC Lookup'!$G$3:$H$5,2,FALSE)),0)*VLOOKUP(AB$7,'RC Lookup'!$D$3:$E$18,2,FALSE)</f>
        <v>0</v>
      </c>
      <c r="AD78" s="26">
        <f>_xlfn.IFNA(IF(LEFT('Rock Climbing Log'!AD78)="C",_xlfn.IFNA(VLOOKUP('Rock Climbing Log'!AD78,'RC Lookup'!$A$3:$B$9,2,FALSE),0.5),VLOOKUP('Rock Climbing Log'!AD78,'RC Lookup'!$G$3:$H$5,2,FALSE)),0)*VLOOKUP(AB$7,'RC Lookup'!$D$3:$E$18,2,FALSE)</f>
        <v>0</v>
      </c>
      <c r="AE78" s="26">
        <f>_xlfn.IFNA(IF(LEFT('Rock Climbing Log'!AE78)="C",_xlfn.IFNA(VLOOKUP('Rock Climbing Log'!AE78,'RC Lookup'!$A$3:$B$9,2,FALSE),0.5),VLOOKUP('Rock Climbing Log'!AE78,'RC Lookup'!$G$3:$H$5,2,FALSE)),0)*VLOOKUP(AE$7,'RC Lookup'!$D$3:$E$18,2,FALSE)</f>
        <v>0</v>
      </c>
      <c r="AF78" s="26">
        <f>_xlfn.IFNA(IF(LEFT('Rock Climbing Log'!AF78)="C",_xlfn.IFNA(VLOOKUP('Rock Climbing Log'!AF78,'RC Lookup'!$A$3:$B$9,2,FALSE),0.5),VLOOKUP('Rock Climbing Log'!AF78,'RC Lookup'!$G$3:$H$5,2,FALSE)),0)*VLOOKUP(AE$7,'RC Lookup'!$D$3:$E$18,2,FALSE)</f>
        <v>0</v>
      </c>
      <c r="AG78" s="26">
        <f>_xlfn.IFNA(IF(LEFT('Rock Climbing Log'!AG78)="C",_xlfn.IFNA(VLOOKUP('Rock Climbing Log'!AG78,'RC Lookup'!$A$3:$B$9,2,FALSE),0.5),VLOOKUP('Rock Climbing Log'!AG78,'RC Lookup'!$G$3:$H$5,2,FALSE)),0)*VLOOKUP(AE$7,'RC Lookup'!$D$3:$E$18,2,FALSE)</f>
        <v>0</v>
      </c>
      <c r="AH78" s="26">
        <f>_xlfn.IFNA(IF(LEFT('Rock Climbing Log'!AH78)="C",_xlfn.IFNA(VLOOKUP('Rock Climbing Log'!AH78,'RC Lookup'!$A$3:$B$9,2,FALSE),0.5),VLOOKUP('Rock Climbing Log'!AH78,'RC Lookup'!$G$3:$H$5,2,FALSE)),0)*VLOOKUP(AH$7,'RC Lookup'!$D$3:$E$18,2,FALSE)</f>
        <v>0</v>
      </c>
      <c r="AI78" s="26">
        <f>_xlfn.IFNA(IF(LEFT('Rock Climbing Log'!AI78)="C",_xlfn.IFNA(VLOOKUP('Rock Climbing Log'!AI78,'RC Lookup'!$A$3:$B$9,2,FALSE),0.5),VLOOKUP('Rock Climbing Log'!AI78,'RC Lookup'!$G$3:$H$5,2,FALSE)),0)*VLOOKUP(AH$7,'RC Lookup'!$D$3:$E$18,2,FALSE)</f>
        <v>0</v>
      </c>
      <c r="AJ78" s="26">
        <f>_xlfn.IFNA(IF(LEFT('Rock Climbing Log'!AJ78)="C",_xlfn.IFNA(VLOOKUP('Rock Climbing Log'!AJ78,'RC Lookup'!$A$3:$B$9,2,FALSE),0.5),VLOOKUP('Rock Climbing Log'!AJ78,'RC Lookup'!$G$3:$H$5,2,FALSE)),0)*VLOOKUP(AH$7,'RC Lookup'!$D$3:$E$18,2,FALSE)</f>
        <v>0</v>
      </c>
      <c r="AK78" s="26">
        <f>_xlfn.IFNA(IF(LEFT('Rock Climbing Log'!AK78)="C",_xlfn.IFNA(VLOOKUP('Rock Climbing Log'!AK78,'RC Lookup'!$A$3:$B$9,2,FALSE),0.5),VLOOKUP('Rock Climbing Log'!AK78,'RC Lookup'!$G$3:$H$5,2,FALSE)),0)*VLOOKUP(AK$7,'RC Lookup'!$D$3:$E$18,2,FALSE)</f>
        <v>0</v>
      </c>
      <c r="AL78" s="26">
        <f>_xlfn.IFNA(IF(LEFT('Rock Climbing Log'!AL78)="C",_xlfn.IFNA(VLOOKUP('Rock Climbing Log'!AL78,'RC Lookup'!$A$3:$B$9,2,FALSE),0.5),VLOOKUP('Rock Climbing Log'!AL78,'RC Lookup'!$G$3:$H$5,2,FALSE)),0)*VLOOKUP(AK$7,'RC Lookup'!$D$3:$E$18,2,FALSE)</f>
        <v>0</v>
      </c>
      <c r="AM78" s="26">
        <f>_xlfn.IFNA(IF(LEFT('Rock Climbing Log'!AM78)="C",_xlfn.IFNA(VLOOKUP('Rock Climbing Log'!AM78,'RC Lookup'!$A$3:$B$9,2,FALSE),0.5),VLOOKUP('Rock Climbing Log'!AM78,'RC Lookup'!$G$3:$H$5,2,FALSE)),0)*VLOOKUP(AK$7,'RC Lookup'!$D$3:$E$18,2,FALSE)</f>
        <v>0</v>
      </c>
      <c r="AN78" s="26">
        <f>_xlfn.IFNA(IF(LEFT('Rock Climbing Log'!AN78)="C",_xlfn.IFNA(VLOOKUP('Rock Climbing Log'!AN78,'RC Lookup'!$A$3:$B$9,2,FALSE),0.5),VLOOKUP('Rock Climbing Log'!AN78,'RC Lookup'!$G$3:$H$5,2,FALSE)),0)*VLOOKUP(AN$7,'RC Lookup'!$D$3:$E$18,2,FALSE)</f>
        <v>0</v>
      </c>
      <c r="AO78" s="26">
        <f>_xlfn.IFNA(IF(LEFT('Rock Climbing Log'!AO78)="C",_xlfn.IFNA(VLOOKUP('Rock Climbing Log'!AO78,'RC Lookup'!$A$3:$B$9,2,FALSE),0.5),VLOOKUP('Rock Climbing Log'!AO78,'RC Lookup'!$G$3:$H$5,2,FALSE)),0)*VLOOKUP(AN$7,'RC Lookup'!$D$3:$E$18,2,FALSE)</f>
        <v>0</v>
      </c>
      <c r="AP78" s="26">
        <f>_xlfn.IFNA(IF(LEFT('Rock Climbing Log'!AP78)="C",_xlfn.IFNA(VLOOKUP('Rock Climbing Log'!AP78,'RC Lookup'!$A$3:$B$9,2,FALSE),0.5),VLOOKUP('Rock Climbing Log'!AP78,'RC Lookup'!$G$3:$H$5,2,FALSE)),0)*VLOOKUP(AN$7,'RC Lookup'!$D$3:$E$18,2,FALSE)</f>
        <v>0</v>
      </c>
      <c r="AQ78" s="26">
        <f>_xlfn.IFNA(IF(LEFT('Rock Climbing Log'!AQ78)="C",_xlfn.IFNA(VLOOKUP('Rock Climbing Log'!AQ78,'RC Lookup'!$A$3:$B$9,2,FALSE),0.5),VLOOKUP('Rock Climbing Log'!AQ78,'RC Lookup'!$G$3:$H$5,2,FALSE)),0)*VLOOKUP(AQ$7,'RC Lookup'!$D$3:$E$18,2,FALSE)</f>
        <v>0</v>
      </c>
      <c r="AR78" s="26">
        <f>_xlfn.IFNA(IF(LEFT('Rock Climbing Log'!AR78)="C",_xlfn.IFNA(VLOOKUP('Rock Climbing Log'!AR78,'RC Lookup'!$A$3:$B$9,2,FALSE),0.5),VLOOKUP('Rock Climbing Log'!AR78,'RC Lookup'!$G$3:$H$5,2,FALSE)),0)*VLOOKUP(AQ$7,'RC Lookup'!$D$3:$E$18,2,FALSE)</f>
        <v>0</v>
      </c>
      <c r="AS78" s="26">
        <f>_xlfn.IFNA(IF(LEFT('Rock Climbing Log'!AS78)="C",_xlfn.IFNA(VLOOKUP('Rock Climbing Log'!AS78,'RC Lookup'!$A$3:$B$9,2,FALSE),0.5),VLOOKUP('Rock Climbing Log'!AS78,'RC Lookup'!$G$3:$H$5,2,FALSE)),0)*VLOOKUP(AQ$7,'RC Lookup'!$D$3:$E$18,2,FALSE)</f>
        <v>0</v>
      </c>
      <c r="AT78" s="26">
        <f>_xlfn.IFNA(IF(LEFT('Rock Climbing Log'!AT78)="C",_xlfn.IFNA(VLOOKUP('Rock Climbing Log'!AT78,'RC Lookup'!$A$3:$B$9,2,FALSE),0.5),VLOOKUP('Rock Climbing Log'!AT78,'RC Lookup'!$G$3:$H$5,2,FALSE)),0)*VLOOKUP(AT$7,'RC Lookup'!$D$3:$E$18,2,FALSE)</f>
        <v>0</v>
      </c>
      <c r="AU78" s="26">
        <f>_xlfn.IFNA(IF(LEFT('Rock Climbing Log'!AU78)="C",_xlfn.IFNA(VLOOKUP('Rock Climbing Log'!AU78,'RC Lookup'!$A$3:$B$9,2,FALSE),0.5),VLOOKUP('Rock Climbing Log'!AU78,'RC Lookup'!$G$3:$H$5,2,FALSE)),0)*VLOOKUP(AT$7,'RC Lookup'!$D$3:$E$18,2,FALSE)</f>
        <v>0</v>
      </c>
      <c r="AV78" s="26">
        <f>_xlfn.IFNA(IF(LEFT('Rock Climbing Log'!AV78)="C",_xlfn.IFNA(VLOOKUP('Rock Climbing Log'!AV78,'RC Lookup'!$A$3:$B$9,2,FALSE),0.5),VLOOKUP('Rock Climbing Log'!AV78,'RC Lookup'!$G$3:$H$5,2,FALSE)),0)*VLOOKUP(AT$7,'RC Lookup'!$D$3:$E$18,2,FALSE)</f>
        <v>0</v>
      </c>
      <c r="AW78" s="30">
        <f t="shared" ca="1" si="3"/>
        <v>36.422990000000006</v>
      </c>
      <c r="AX78" s="30">
        <f ca="1">_xlfn.IFNA(VLOOKUP(SUMPRODUCT(LARGE(($C$8:$C78=Table1[[#This Row],[Climber]])*$A$8:$A78,1)),$A$8:$AW78,MATCH($AW$7,$A$7:$AW$7,FALSE),FALSE),0)/LEFT($AX$7,FIND(" ",$AX$7))+_xlfn.IFNA(VLOOKUP(SUMPRODUCT(LARGE(($C$8:$C78=Table1[[#This Row],[Climber]])*$A$8:$A78,MIN(2,COUNTIFS($C$8:$C78,$C78)))),$A$8:$AW78,MATCH($AW$7,$A$7:$AW$7,FALSE),FALSE),0)/LEFT($AX$7,FIND(" ",$AX$7))+_xlfn.IFNA(VLOOKUP(SUMPRODUCT(LARGE(($C$8:$C78=Table1[[#This Row],[Climber]])*$A$8:$A78,MIN(3,COUNTIFS($C$8:$C78,$C78)))),$A$8:$AW78,MATCH($AW$7,$A$7:$AW$7,FALSE),FALSE),0)/LEFT($AX$7,FIND(" ",$AX$7))</f>
        <v>36.422990000000006</v>
      </c>
      <c r="AY78" s="30">
        <f ca="1">_xlfn.IFNA(VLOOKUP(SUMPRODUCT(LARGE(($C$8:$C78=Table1[[#This Row],[Climber]])*$A$8:$A78,1)),$A$8:$AW78,MATCH($AW$7,$A$7:$AW$7,FALSE),FALSE),0)/LEFT($AY$7,FIND(" ",$AY$7))+_xlfn.IFNA(VLOOKUP(SUMPRODUCT(LARGE(($C$8:$C78=Table1[[#This Row],[Climber]])*$A$8:$A78,MIN(2,COUNTIFS($C$8:$C78,$C78)))),$A$8:$AW78,MATCH($AW$7,$A$7:$AW$7,FALSE),FALSE),0)/LEFT($AY$7,FIND(" ",$AY$7))+_xlfn.IFNA(VLOOKUP(SUMPRODUCT(LARGE(($C$8:$C78=Table1[[#This Row],[Climber]])*$A$8:$A78,MIN(3,COUNTIFS($C$8:$C78,$C78)))),$A$8:$AW78,MATCH($AW$7,$A$7:$AW$7,FALSE),FALSE),0)/LEFT($AY$7,FIND(" ",$AY$7))+_xlfn.IFNA(VLOOKUP(SUMPRODUCT(LARGE(($C$8:$C78=Table1[[#This Row],[Climber]])*$A$8:$A78,MIN(4,COUNTIFS($C$8:$C78,$C78)))),$A$8:$AW78,MATCH($AW$7,$A$7:$AW$7,FALSE),FALSE),0)/LEFT($AY$7,FIND(" ",$AY$7))+_xlfn.IFNA(VLOOKUP(SUMPRODUCT(LARGE(($C$8:$C78=Table1[[#This Row],[Climber]])*$A$8:$A78,MIN(5,COUNTIFS($C$8:$C78,$C78)))),$A$8:$AW78,MATCH($AW$7,$A$7:$AW$7,FALSE),FALSE),0)/LEFT($AY$7,FIND(" ",$AY$7))</f>
        <v>36.422990000000006</v>
      </c>
      <c r="AZ78" s="30">
        <f>(_xlfn.IFNA(VLOOKUP(SUMPRODUCT(LARGE(($C$8:$C78=Table1[[#This Row],[Climber]])*$A$8:$A78,4)),$A$8:$AW78,MATCH($AW$7,$A$7:$AW$7,FALSE),FALSE),0)+_xlfn.IFNA(VLOOKUP(SUMPRODUCT(LARGE(($C$8:$C78=Table1[[#This Row],[Climber]])*$A$8:$A78,5)),$A$8:$AW78,MATCH($AW$7,$A$7:$AW$7,FALSE),FALSE),0)+_xlfn.IFNA(VLOOKUP(SUMPRODUCT(LARGE(($C$8:$C78=Table1[[#This Row],[Climber]])*$A$8:$A78,6)),$A$8:$AW78,MATCH($AW$7,$A$7:$AW$7,FALSE),FALSE),0))/3</f>
        <v>0</v>
      </c>
      <c r="BA78" s="46">
        <f ca="1">_xlfn.MAXIFS(INDIRECT("$AW"&amp;IF(SUMPRODUCT(LARGE(($C$8:$C78=$C78)*$A$8:$A78,LEFT($BA$7,FIND(" ",$BA$7)-1)))=0,8,SUMPRODUCT(LARGE(($C$8:$C78=$C78)*$A$8:$A78,LEFT($BA$7,FIND(" ",$BA$7)-1)))+7)&amp;":$AW"&amp;ROW()),INDIRECT("$C"&amp;IF(SUMPRODUCT(LARGE(($C$8:$C78=$C78)*$A$8:$A78,LEFT($BA$7,FIND(" ",$BA$7)-1)))=0,8,SUMPRODUCT(LARGE(($C$8:$C78=$C78)*$A$8:$A78,LEFT($BA$7,FIND(" ",$BA$7)-1)))+7)&amp;":$C"&amp;ROW()),$C78)</f>
        <v>36.422990000000006</v>
      </c>
      <c r="BB78" s="46" t="str">
        <f ca="1">VLOOKUP(MAX(BG78,$AX78),'RC Lookup'!$G$14:$J$20,2,TRUE)</f>
        <v>T1</v>
      </c>
      <c r="BC78" s="46">
        <f ca="1">_xlfn.IFNA(VLOOKUP(VLOOKUP($C78,'RC Lookup'!$O$3:$P$50,2,FALSE),'RC Lookup'!$H$14:$J$23,2,FALSE),0)*AW78</f>
        <v>42.011863606346111</v>
      </c>
      <c r="BD78" s="6">
        <f ca="1">_xlfn.IFNA(VLOOKUP(SUMPRODUCT(LARGE(($C$8:$C78=Table1[[#This Row],[Climber]])*$A$8:$A78,1)),$A$8:$BC78,55,FALSE),0)/LEFT($AX$7,FIND(" ",$AX$7))+_xlfn.IFNA(VLOOKUP(SUMPRODUCT(LARGE(($C$8:$C78=Table1[[#This Row],[Climber]])*$A$8:$A78,MIN(2,COUNTIFS($C$8:$C78,$C78)))),$A$8:$BC78,55,FALSE),0)/LEFT($AX$7,FIND(" ",$AX$7))+_xlfn.IFNA(VLOOKUP(SUMPRODUCT(LARGE(($C$8:$C78=Table1[[#This Row],[Climber]])*$A$8:$A78,MIN(3,COUNTIFS($C$8:$C78,$C78)))),$A$8:$BC78,55,FALSE),0)/LEFT($AX$7,FIND(" ",$AX$7))</f>
        <v>42.011863606346111</v>
      </c>
      <c r="BE78" s="6">
        <f>(_xlfn.IFNA(VLOOKUP(SUMPRODUCT(LARGE(($C$8:$C78=Table1[[#This Row],[Climber]])*$A$8:$A78,4)),$A$8:$BD78,55,FALSE),0)+_xlfn.IFNA(VLOOKUP(SUMPRODUCT(LARGE(($C$8:$C78=Table1[[#This Row],[Climber]])*$A$8:$A78,5)),$A$8:$BD78,55,FALSE),0)+_xlfn.IFNA(VLOOKUP(SUMPRODUCT(LARGE(($C$8:$C78=Table1[[#This Row],[Climber]])*$A$8:$A78,6)),$A$8:$BD78,55,FALSE),0))/3</f>
        <v>0</v>
      </c>
      <c r="BF78" s="46">
        <f ca="1">_xlfn.MAXIFS(INDIRECT("$BC"&amp;IF(SUMPRODUCT(LARGE(($C$8:$C78=$C78)*$A$8:$A78,LEFT($BA$7,FIND(" ",$BA$7)-1)))=0,8,SUMPRODUCT(LARGE(($C$8:$C78=$C78)*$A$8:$A78,LEFT($BA$7,FIND(" ",$BA$7)-1)))+7)&amp;":$BC"&amp;ROW()),INDIRECT("$C"&amp;IF(SUMPRODUCT(LARGE(($C$8:$C78=$C78)*$A$8:$A78,LEFT($BA$7,FIND(" ",$BA$7)-1)))=0,8,SUMPRODUCT(LARGE(($C$8:$C78=$C78)*$A$8:$A78,LEFT($BA$7,FIND(" ",$BA$7)-1)))+7)&amp;":$C"&amp;ROW()),$C78)</f>
        <v>42.011863606346111</v>
      </c>
      <c r="BG78" s="46">
        <f t="array" aca="1" ref="BG78" ca="1">IFERROR(SUMPRODUCT(LARGE(($C$8:$C78=Table1[[#This Row],[Climber]])*$AW$8:$AW78,ROW(INDIRECT("1:5")))),AW78)/MIN(COUNTIFS($C$8:$C78,C78),5)</f>
        <v>36.422990000000006</v>
      </c>
    </row>
    <row r="79" spans="1:59" x14ac:dyDescent="0.3">
      <c r="A79" s="125">
        <f t="shared" si="1"/>
        <v>72</v>
      </c>
      <c r="B79" s="25">
        <f>'Rock Climbing Log'!B79</f>
        <v>43168</v>
      </c>
      <c r="C79" s="126" t="str">
        <f>'Rock Climbing Log'!C79</f>
        <v>Edwin</v>
      </c>
      <c r="D79" s="26">
        <f>_xlfn.IFNA(IF(LEFT('Rock Climbing Log'!D79)="C",_xlfn.IFNA(VLOOKUP('Rock Climbing Log'!D79,'RC Lookup'!$A$3:$B$9,2,FALSE),0.5),VLOOKUP('Rock Climbing Log'!D79,'RC Lookup'!$G$3:$H$5,2,FALSE)),0)*VLOOKUP(D$7,'RC Lookup'!$D$3:$E$18,2,FALSE)</f>
        <v>0</v>
      </c>
      <c r="E79" s="26">
        <f>_xlfn.IFNA(IF(LEFT('Rock Climbing Log'!E79)="C",_xlfn.IFNA(VLOOKUP('Rock Climbing Log'!E79,'RC Lookup'!$A$3:$B$9,2,FALSE),0.5),VLOOKUP('Rock Climbing Log'!E79,'RC Lookup'!$G$3:$H$5,2,FALSE)),0)*VLOOKUP(D$7,'RC Lookup'!$D$3:$E$18,2,FALSE)</f>
        <v>0</v>
      </c>
      <c r="F79" s="26">
        <f>_xlfn.IFNA(IF(LEFT('Rock Climbing Log'!F79)="C",_xlfn.IFNA(VLOOKUP('Rock Climbing Log'!F79,'RC Lookup'!$A$3:$B$9,2,FALSE),0.5),VLOOKUP('Rock Climbing Log'!F79,'RC Lookup'!$G$3:$H$5,2,FALSE)),0)*VLOOKUP(D$7,'RC Lookup'!$D$3:$E$18,2,FALSE)</f>
        <v>0</v>
      </c>
      <c r="G79" s="26">
        <f>_xlfn.IFNA(IF(LEFT('Rock Climbing Log'!G79)="C",_xlfn.IFNA(VLOOKUP('Rock Climbing Log'!G79,'RC Lookup'!$A$3:$B$9,2,FALSE),0.5),VLOOKUP('Rock Climbing Log'!G79,'RC Lookup'!$G$3:$H$5,2,FALSE)),0)*VLOOKUP(G$7,'RC Lookup'!$D$3:$E$18,2,FALSE)</f>
        <v>0</v>
      </c>
      <c r="H79" s="26">
        <f>_xlfn.IFNA(IF(LEFT('Rock Climbing Log'!H79)="C",_xlfn.IFNA(VLOOKUP('Rock Climbing Log'!H79,'RC Lookup'!$A$3:$B$9,2,FALSE),0.5),VLOOKUP('Rock Climbing Log'!H79,'RC Lookup'!$G$3:$H$5,2,FALSE)),0)*VLOOKUP(G$7,'RC Lookup'!$D$3:$E$18,2,FALSE)</f>
        <v>0</v>
      </c>
      <c r="I79" s="26">
        <f>_xlfn.IFNA(IF(LEFT('Rock Climbing Log'!I79)="C",_xlfn.IFNA(VLOOKUP('Rock Climbing Log'!I79,'RC Lookup'!$A$3:$B$9,2,FALSE),0.5),VLOOKUP('Rock Climbing Log'!I79,'RC Lookup'!$G$3:$H$5,2,FALSE)),0)*VLOOKUP(G$7,'RC Lookup'!$D$3:$E$18,2,FALSE)</f>
        <v>0</v>
      </c>
      <c r="J79" s="26">
        <f>_xlfn.IFNA(IF(LEFT('Rock Climbing Log'!J79)="C",_xlfn.IFNA(VLOOKUP('Rock Climbing Log'!J79,'RC Lookup'!$A$3:$B$9,2,FALSE),0.5),VLOOKUP('Rock Climbing Log'!J79,'RC Lookup'!$G$3:$H$5,2,FALSE)),0)*VLOOKUP(J$7,'RC Lookup'!$D$3:$E$18,2,FALSE)</f>
        <v>0</v>
      </c>
      <c r="K79" s="26">
        <f>_xlfn.IFNA(IF(LEFT('Rock Climbing Log'!K79)="C",_xlfn.IFNA(VLOOKUP('Rock Climbing Log'!K79,'RC Lookup'!$A$3:$B$9,2,FALSE),0.5),VLOOKUP('Rock Climbing Log'!K79,'RC Lookup'!$G$3:$H$5,2,FALSE)),0)*VLOOKUP(J$7,'RC Lookup'!$D$3:$E$18,2,FALSE)</f>
        <v>0</v>
      </c>
      <c r="L79" s="26">
        <f>_xlfn.IFNA(IF(LEFT('Rock Climbing Log'!L79)="C",_xlfn.IFNA(VLOOKUP('Rock Climbing Log'!L79,'RC Lookup'!$A$3:$B$9,2,FALSE),0.5),VLOOKUP('Rock Climbing Log'!L79,'RC Lookup'!$G$3:$H$5,2,FALSE)),0)*VLOOKUP(J$7,'RC Lookup'!$D$3:$E$18,2,FALSE)</f>
        <v>0</v>
      </c>
      <c r="M79" s="26">
        <f>_xlfn.IFNA(IF(LEFT('Rock Climbing Log'!M79)="C",_xlfn.IFNA(VLOOKUP('Rock Climbing Log'!M79,'RC Lookup'!$A$3:$B$9,2,FALSE),0.5),VLOOKUP('Rock Climbing Log'!M79,'RC Lookup'!$G$3:$H$5,2,FALSE)),0)*VLOOKUP(M$7,'RC Lookup'!$D$3:$E$18,2,FALSE)</f>
        <v>20.002500000000001</v>
      </c>
      <c r="N79" s="26">
        <f>_xlfn.IFNA(IF(LEFT('Rock Climbing Log'!N79)="C",_xlfn.IFNA(VLOOKUP('Rock Climbing Log'!N79,'RC Lookup'!$A$3:$B$9,2,FALSE),0.5),VLOOKUP('Rock Climbing Log'!N79,'RC Lookup'!$G$3:$H$5,2,FALSE)),0)*VLOOKUP(M$7,'RC Lookup'!$D$3:$E$18,2,FALSE)</f>
        <v>0</v>
      </c>
      <c r="O79" s="26">
        <f>_xlfn.IFNA(IF(LEFT('Rock Climbing Log'!O79)="C",_xlfn.IFNA(VLOOKUP('Rock Climbing Log'!O79,'RC Lookup'!$A$3:$B$9,2,FALSE),0.5),VLOOKUP('Rock Climbing Log'!O79,'RC Lookup'!$G$3:$H$5,2,FALSE)),0)*VLOOKUP(M$7,'RC Lookup'!$D$3:$E$18,2,FALSE)</f>
        <v>0</v>
      </c>
      <c r="P79" s="26">
        <f>_xlfn.IFNA(IF(LEFT('Rock Climbing Log'!P79)="C",_xlfn.IFNA(VLOOKUP('Rock Climbing Log'!P79,'RC Lookup'!$A$3:$B$9,2,FALSE),0.5),VLOOKUP('Rock Climbing Log'!P79,'RC Lookup'!$G$3:$H$5,2,FALSE)),0)*VLOOKUP(P$7,'RC Lookup'!$D$3:$E$18,2,FALSE)</f>
        <v>0</v>
      </c>
      <c r="Q79" s="26">
        <f>_xlfn.IFNA(IF(LEFT('Rock Climbing Log'!Q79)="C",_xlfn.IFNA(VLOOKUP('Rock Climbing Log'!Q79,'RC Lookup'!$A$3:$B$9,2,FALSE),0.5),VLOOKUP('Rock Climbing Log'!Q79,'RC Lookup'!$G$3:$H$5,2,FALSE)),0)*VLOOKUP(P$7,'RC Lookup'!$D$3:$E$18,2,FALSE)</f>
        <v>0</v>
      </c>
      <c r="R79" s="26">
        <f>_xlfn.IFNA(IF(LEFT('Rock Climbing Log'!R79)="C",_xlfn.IFNA(VLOOKUP('Rock Climbing Log'!R79,'RC Lookup'!$A$3:$B$9,2,FALSE),0.5),VLOOKUP('Rock Climbing Log'!R79,'RC Lookup'!$G$3:$H$5,2,FALSE)),0)*VLOOKUP(P$7,'RC Lookup'!$D$3:$E$18,2,FALSE)</f>
        <v>0</v>
      </c>
      <c r="S79" s="26">
        <f>_xlfn.IFNA(IF(LEFT('Rock Climbing Log'!S79)="C",_xlfn.IFNA(VLOOKUP('Rock Climbing Log'!S79,'RC Lookup'!$A$3:$B$9,2,FALSE),0.5),VLOOKUP('Rock Climbing Log'!S79,'RC Lookup'!$G$3:$H$5,2,FALSE)),0)*VLOOKUP(S$7,'RC Lookup'!$D$3:$E$18,2,FALSE)</f>
        <v>0</v>
      </c>
      <c r="T79" s="26">
        <f>_xlfn.IFNA(IF(LEFT('Rock Climbing Log'!T79)="C",_xlfn.IFNA(VLOOKUP('Rock Climbing Log'!T79,'RC Lookup'!$A$3:$B$9,2,FALSE),0.5),VLOOKUP('Rock Climbing Log'!T79,'RC Lookup'!$G$3:$H$5,2,FALSE)),0)*VLOOKUP(S$7,'RC Lookup'!$D$3:$E$18,2,FALSE)</f>
        <v>0</v>
      </c>
      <c r="U79" s="26">
        <f>_xlfn.IFNA(IF(LEFT('Rock Climbing Log'!U79)="C",_xlfn.IFNA(VLOOKUP('Rock Climbing Log'!U79,'RC Lookup'!$A$3:$B$9,2,FALSE),0.5),VLOOKUP('Rock Climbing Log'!U79,'RC Lookup'!$G$3:$H$5,2,FALSE)),0)*VLOOKUP(S$7,'RC Lookup'!$D$3:$E$18,2,FALSE)</f>
        <v>0</v>
      </c>
      <c r="V79" s="26">
        <f>_xlfn.IFNA(IF(LEFT('Rock Climbing Log'!V79)="C",_xlfn.IFNA(VLOOKUP('Rock Climbing Log'!V79,'RC Lookup'!$A$3:$B$9,2,FALSE),0.5),VLOOKUP('Rock Climbing Log'!V79,'RC Lookup'!$G$3:$H$5,2,FALSE)),0)*VLOOKUP(V$7,'RC Lookup'!$D$3:$E$18,2,FALSE)</f>
        <v>35.256745742400021</v>
      </c>
      <c r="W79" s="26">
        <f>_xlfn.IFNA(IF(LEFT('Rock Climbing Log'!W79)="C",_xlfn.IFNA(VLOOKUP('Rock Climbing Log'!W79,'RC Lookup'!$A$3:$B$9,2,FALSE),0.5),VLOOKUP('Rock Climbing Log'!W79,'RC Lookup'!$G$3:$H$5,2,FALSE)),0)*VLOOKUP(V$7,'RC Lookup'!$D$3:$E$18,2,FALSE)</f>
        <v>35.256745742400021</v>
      </c>
      <c r="X79" s="26">
        <f>_xlfn.IFNA(IF(LEFT('Rock Climbing Log'!X79)="C",_xlfn.IFNA(VLOOKUP('Rock Climbing Log'!X79,'RC Lookup'!$A$3:$B$9,2,FALSE),0.5),VLOOKUP('Rock Climbing Log'!X79,'RC Lookup'!$G$3:$H$5,2,FALSE)),0)*VLOOKUP(V$7,'RC Lookup'!$D$3:$E$18,2,FALSE)</f>
        <v>0</v>
      </c>
      <c r="Y79" s="26">
        <f>_xlfn.IFNA(IF(LEFT('Rock Climbing Log'!Y79)="C",_xlfn.IFNA(VLOOKUP('Rock Climbing Log'!Y79,'RC Lookup'!$A$3:$B$9,2,FALSE),0.5),VLOOKUP('Rock Climbing Log'!Y79,'RC Lookup'!$G$3:$H$5,2,FALSE)),0)*VLOOKUP(Y$7,'RC Lookup'!$D$3:$E$18,2,FALSE)</f>
        <v>0</v>
      </c>
      <c r="Z79" s="26">
        <f>_xlfn.IFNA(IF(LEFT('Rock Climbing Log'!Z79)="C",_xlfn.IFNA(VLOOKUP('Rock Climbing Log'!Z79,'RC Lookup'!$A$3:$B$9,2,FALSE),0.5),VLOOKUP('Rock Climbing Log'!Z79,'RC Lookup'!$G$3:$H$5,2,FALSE)),0)*VLOOKUP(Y$7,'RC Lookup'!$D$3:$E$18,2,FALSE)</f>
        <v>0</v>
      </c>
      <c r="AA79" s="26">
        <f>_xlfn.IFNA(IF(LEFT('Rock Climbing Log'!AA79)="C",_xlfn.IFNA(VLOOKUP('Rock Climbing Log'!AA79,'RC Lookup'!$A$3:$B$9,2,FALSE),0.5),VLOOKUP('Rock Climbing Log'!AA79,'RC Lookup'!$G$3:$H$5,2,FALSE)),0)*VLOOKUP(Y$7,'RC Lookup'!$D$3:$E$18,2,FALSE)</f>
        <v>0</v>
      </c>
      <c r="AB79" s="26">
        <f>_xlfn.IFNA(IF(LEFT('Rock Climbing Log'!AB79)="C",_xlfn.IFNA(VLOOKUP('Rock Climbing Log'!AB79,'RC Lookup'!$A$3:$B$9,2,FALSE),0.5),VLOOKUP('Rock Climbing Log'!AB79,'RC Lookup'!$G$3:$H$5,2,FALSE)),0)*VLOOKUP(AB$7,'RC Lookup'!$D$3:$E$18,2,FALSE)</f>
        <v>0</v>
      </c>
      <c r="AC79" s="26">
        <f>_xlfn.IFNA(IF(LEFT('Rock Climbing Log'!AC79)="C",_xlfn.IFNA(VLOOKUP('Rock Climbing Log'!AC79,'RC Lookup'!$A$3:$B$9,2,FALSE),0.5),VLOOKUP('Rock Climbing Log'!AC79,'RC Lookup'!$G$3:$H$5,2,FALSE)),0)*VLOOKUP(AB$7,'RC Lookup'!$D$3:$E$18,2,FALSE)</f>
        <v>0</v>
      </c>
      <c r="AD79" s="26">
        <f>_xlfn.IFNA(IF(LEFT('Rock Climbing Log'!AD79)="C",_xlfn.IFNA(VLOOKUP('Rock Climbing Log'!AD79,'RC Lookup'!$A$3:$B$9,2,FALSE),0.5),VLOOKUP('Rock Climbing Log'!AD79,'RC Lookup'!$G$3:$H$5,2,FALSE)),0)*VLOOKUP(AB$7,'RC Lookup'!$D$3:$E$18,2,FALSE)</f>
        <v>0</v>
      </c>
      <c r="AE79" s="26">
        <f>_xlfn.IFNA(IF(LEFT('Rock Climbing Log'!AE79)="C",_xlfn.IFNA(VLOOKUP('Rock Climbing Log'!AE79,'RC Lookup'!$A$3:$B$9,2,FALSE),0.5),VLOOKUP('Rock Climbing Log'!AE79,'RC Lookup'!$G$3:$H$5,2,FALSE)),0)*VLOOKUP(AE$7,'RC Lookup'!$D$3:$E$18,2,FALSE)</f>
        <v>0</v>
      </c>
      <c r="AF79" s="26">
        <f>_xlfn.IFNA(IF(LEFT('Rock Climbing Log'!AF79)="C",_xlfn.IFNA(VLOOKUP('Rock Climbing Log'!AF79,'RC Lookup'!$A$3:$B$9,2,FALSE),0.5),VLOOKUP('Rock Climbing Log'!AF79,'RC Lookup'!$G$3:$H$5,2,FALSE)),0)*VLOOKUP(AE$7,'RC Lookup'!$D$3:$E$18,2,FALSE)</f>
        <v>0</v>
      </c>
      <c r="AG79" s="26">
        <f>_xlfn.IFNA(IF(LEFT('Rock Climbing Log'!AG79)="C",_xlfn.IFNA(VLOOKUP('Rock Climbing Log'!AG79,'RC Lookup'!$A$3:$B$9,2,FALSE),0.5),VLOOKUP('Rock Climbing Log'!AG79,'RC Lookup'!$G$3:$H$5,2,FALSE)),0)*VLOOKUP(AE$7,'RC Lookup'!$D$3:$E$18,2,FALSE)</f>
        <v>0</v>
      </c>
      <c r="AH79" s="26">
        <f>_xlfn.IFNA(IF(LEFT('Rock Climbing Log'!AH79)="C",_xlfn.IFNA(VLOOKUP('Rock Climbing Log'!AH79,'RC Lookup'!$A$3:$B$9,2,FALSE),0.5),VLOOKUP('Rock Climbing Log'!AH79,'RC Lookup'!$G$3:$H$5,2,FALSE)),0)*VLOOKUP(AH$7,'RC Lookup'!$D$3:$E$18,2,FALSE)</f>
        <v>0</v>
      </c>
      <c r="AI79" s="26">
        <f>_xlfn.IFNA(IF(LEFT('Rock Climbing Log'!AI79)="C",_xlfn.IFNA(VLOOKUP('Rock Climbing Log'!AI79,'RC Lookup'!$A$3:$B$9,2,FALSE),0.5),VLOOKUP('Rock Climbing Log'!AI79,'RC Lookup'!$G$3:$H$5,2,FALSE)),0)*VLOOKUP(AH$7,'RC Lookup'!$D$3:$E$18,2,FALSE)</f>
        <v>0</v>
      </c>
      <c r="AJ79" s="26">
        <f>_xlfn.IFNA(IF(LEFT('Rock Climbing Log'!AJ79)="C",_xlfn.IFNA(VLOOKUP('Rock Climbing Log'!AJ79,'RC Lookup'!$A$3:$B$9,2,FALSE),0.5),VLOOKUP('Rock Climbing Log'!AJ79,'RC Lookup'!$G$3:$H$5,2,FALSE)),0)*VLOOKUP(AH$7,'RC Lookup'!$D$3:$E$18,2,FALSE)</f>
        <v>0</v>
      </c>
      <c r="AK79" s="26">
        <f>_xlfn.IFNA(IF(LEFT('Rock Climbing Log'!AK79)="C",_xlfn.IFNA(VLOOKUP('Rock Climbing Log'!AK79,'RC Lookup'!$A$3:$B$9,2,FALSE),0.5),VLOOKUP('Rock Climbing Log'!AK79,'RC Lookup'!$G$3:$H$5,2,FALSE)),0)*VLOOKUP(AK$7,'RC Lookup'!$D$3:$E$18,2,FALSE)</f>
        <v>0</v>
      </c>
      <c r="AL79" s="26">
        <f>_xlfn.IFNA(IF(LEFT('Rock Climbing Log'!AL79)="C",_xlfn.IFNA(VLOOKUP('Rock Climbing Log'!AL79,'RC Lookup'!$A$3:$B$9,2,FALSE),0.5),VLOOKUP('Rock Climbing Log'!AL79,'RC Lookup'!$G$3:$H$5,2,FALSE)),0)*VLOOKUP(AK$7,'RC Lookup'!$D$3:$E$18,2,FALSE)</f>
        <v>0</v>
      </c>
      <c r="AM79" s="26">
        <f>_xlfn.IFNA(IF(LEFT('Rock Climbing Log'!AM79)="C",_xlfn.IFNA(VLOOKUP('Rock Climbing Log'!AM79,'RC Lookup'!$A$3:$B$9,2,FALSE),0.5),VLOOKUP('Rock Climbing Log'!AM79,'RC Lookup'!$G$3:$H$5,2,FALSE)),0)*VLOOKUP(AK$7,'RC Lookup'!$D$3:$E$18,2,FALSE)</f>
        <v>0</v>
      </c>
      <c r="AN79" s="26">
        <f>_xlfn.IFNA(IF(LEFT('Rock Climbing Log'!AN79)="C",_xlfn.IFNA(VLOOKUP('Rock Climbing Log'!AN79,'RC Lookup'!$A$3:$B$9,2,FALSE),0.5),VLOOKUP('Rock Climbing Log'!AN79,'RC Lookup'!$G$3:$H$5,2,FALSE)),0)*VLOOKUP(AN$7,'RC Lookup'!$D$3:$E$18,2,FALSE)</f>
        <v>0</v>
      </c>
      <c r="AO79" s="26">
        <f>_xlfn.IFNA(IF(LEFT('Rock Climbing Log'!AO79)="C",_xlfn.IFNA(VLOOKUP('Rock Climbing Log'!AO79,'RC Lookup'!$A$3:$B$9,2,FALSE),0.5),VLOOKUP('Rock Climbing Log'!AO79,'RC Lookup'!$G$3:$H$5,2,FALSE)),0)*VLOOKUP(AN$7,'RC Lookup'!$D$3:$E$18,2,FALSE)</f>
        <v>0</v>
      </c>
      <c r="AP79" s="26">
        <f>_xlfn.IFNA(IF(LEFT('Rock Climbing Log'!AP79)="C",_xlfn.IFNA(VLOOKUP('Rock Climbing Log'!AP79,'RC Lookup'!$A$3:$B$9,2,FALSE),0.5),VLOOKUP('Rock Climbing Log'!AP79,'RC Lookup'!$G$3:$H$5,2,FALSE)),0)*VLOOKUP(AN$7,'RC Lookup'!$D$3:$E$18,2,FALSE)</f>
        <v>0</v>
      </c>
      <c r="AQ79" s="26">
        <f>_xlfn.IFNA(IF(LEFT('Rock Climbing Log'!AQ79)="C",_xlfn.IFNA(VLOOKUP('Rock Climbing Log'!AQ79,'RC Lookup'!$A$3:$B$9,2,FALSE),0.5),VLOOKUP('Rock Climbing Log'!AQ79,'RC Lookup'!$G$3:$H$5,2,FALSE)),0)*VLOOKUP(AQ$7,'RC Lookup'!$D$3:$E$18,2,FALSE)</f>
        <v>0</v>
      </c>
      <c r="AR79" s="26">
        <f>_xlfn.IFNA(IF(LEFT('Rock Climbing Log'!AR79)="C",_xlfn.IFNA(VLOOKUP('Rock Climbing Log'!AR79,'RC Lookup'!$A$3:$B$9,2,FALSE),0.5),VLOOKUP('Rock Climbing Log'!AR79,'RC Lookup'!$G$3:$H$5,2,FALSE)),0)*VLOOKUP(AQ$7,'RC Lookup'!$D$3:$E$18,2,FALSE)</f>
        <v>0</v>
      </c>
      <c r="AS79" s="26">
        <f>_xlfn.IFNA(IF(LEFT('Rock Climbing Log'!AS79)="C",_xlfn.IFNA(VLOOKUP('Rock Climbing Log'!AS79,'RC Lookup'!$A$3:$B$9,2,FALSE),0.5),VLOOKUP('Rock Climbing Log'!AS79,'RC Lookup'!$G$3:$H$5,2,FALSE)),0)*VLOOKUP(AQ$7,'RC Lookup'!$D$3:$E$18,2,FALSE)</f>
        <v>0</v>
      </c>
      <c r="AT79" s="26">
        <f>_xlfn.IFNA(IF(LEFT('Rock Climbing Log'!AT79)="C",_xlfn.IFNA(VLOOKUP('Rock Climbing Log'!AT79,'RC Lookup'!$A$3:$B$9,2,FALSE),0.5),VLOOKUP('Rock Climbing Log'!AT79,'RC Lookup'!$G$3:$H$5,2,FALSE)),0)*VLOOKUP(AT$7,'RC Lookup'!$D$3:$E$18,2,FALSE)</f>
        <v>0</v>
      </c>
      <c r="AU79" s="26">
        <f>_xlfn.IFNA(IF(LEFT('Rock Climbing Log'!AU79)="C",_xlfn.IFNA(VLOOKUP('Rock Climbing Log'!AU79,'RC Lookup'!$A$3:$B$9,2,FALSE),0.5),VLOOKUP('Rock Climbing Log'!AU79,'RC Lookup'!$G$3:$H$5,2,FALSE)),0)*VLOOKUP(AT$7,'RC Lookup'!$D$3:$E$18,2,FALSE)</f>
        <v>0</v>
      </c>
      <c r="AV79" s="26">
        <f>_xlfn.IFNA(IF(LEFT('Rock Climbing Log'!AV79)="C",_xlfn.IFNA(VLOOKUP('Rock Climbing Log'!AV79,'RC Lookup'!$A$3:$B$9,2,FALSE),0.5),VLOOKUP('Rock Climbing Log'!AV79,'RC Lookup'!$G$3:$H$5,2,FALSE)),0)*VLOOKUP(AT$7,'RC Lookup'!$D$3:$E$18,2,FALSE)</f>
        <v>0</v>
      </c>
      <c r="AW79" s="30">
        <f t="shared" ca="1" si="3"/>
        <v>90.51599148480004</v>
      </c>
      <c r="AX79" s="30">
        <f ca="1">_xlfn.IFNA(VLOOKUP(SUMPRODUCT(LARGE(($C$8:$C79=Table1[[#This Row],[Climber]])*$A$8:$A79,1)),$A$8:$AW79,MATCH($AW$7,$A$7:$AW$7,FALSE),FALSE),0)/LEFT($AX$7,FIND(" ",$AX$7))+_xlfn.IFNA(VLOOKUP(SUMPRODUCT(LARGE(($C$8:$C79=Table1[[#This Row],[Climber]])*$A$8:$A79,MIN(2,COUNTIFS($C$8:$C79,$C79)))),$A$8:$AW79,MATCH($AW$7,$A$7:$AW$7,FALSE),FALSE),0)/LEFT($AX$7,FIND(" ",$AX$7))+_xlfn.IFNA(VLOOKUP(SUMPRODUCT(LARGE(($C$8:$C79=Table1[[#This Row],[Climber]])*$A$8:$A79,MIN(3,COUNTIFS($C$8:$C79,$C79)))),$A$8:$AW79,MATCH($AW$7,$A$7:$AW$7,FALSE),FALSE),0)/LEFT($AX$7,FIND(" ",$AX$7))</f>
        <v>98.921608887821947</v>
      </c>
      <c r="AY79" s="30">
        <f ca="1">_xlfn.IFNA(VLOOKUP(SUMPRODUCT(LARGE(($C$8:$C79=Table1[[#This Row],[Climber]])*$A$8:$A79,1)),$A$8:$AW79,MATCH($AW$7,$A$7:$AW$7,FALSE),FALSE),0)/LEFT($AY$7,FIND(" ",$AY$7))+_xlfn.IFNA(VLOOKUP(SUMPRODUCT(LARGE(($C$8:$C79=Table1[[#This Row],[Climber]])*$A$8:$A79,MIN(2,COUNTIFS($C$8:$C79,$C79)))),$A$8:$AW79,MATCH($AW$7,$A$7:$AW$7,FALSE),FALSE),0)/LEFT($AY$7,FIND(" ",$AY$7))+_xlfn.IFNA(VLOOKUP(SUMPRODUCT(LARGE(($C$8:$C79=Table1[[#This Row],[Climber]])*$A$8:$A79,MIN(3,COUNTIFS($C$8:$C79,$C79)))),$A$8:$AW79,MATCH($AW$7,$A$7:$AW$7,FALSE),FALSE),0)/LEFT($AY$7,FIND(" ",$AY$7))+_xlfn.IFNA(VLOOKUP(SUMPRODUCT(LARGE(($C$8:$C79=Table1[[#This Row],[Climber]])*$A$8:$A79,MIN(4,COUNTIFS($C$8:$C79,$C79)))),$A$8:$AW79,MATCH($AW$7,$A$7:$AW$7,FALSE),FALSE),0)/LEFT($AY$7,FIND(" ",$AY$7))+_xlfn.IFNA(VLOOKUP(SUMPRODUCT(LARGE(($C$8:$C79=Table1[[#This Row],[Climber]])*$A$8:$A79,MIN(5,COUNTIFS($C$8:$C79,$C79)))),$A$8:$AW79,MATCH($AW$7,$A$7:$AW$7,FALSE),FALSE),0)/LEFT($AY$7,FIND(" ",$AY$7))</f>
        <v>98.345629111306494</v>
      </c>
      <c r="AZ79" s="30">
        <f ca="1">(_xlfn.IFNA(VLOOKUP(SUMPRODUCT(LARGE(($C$8:$C79=Table1[[#This Row],[Climber]])*$A$8:$A79,4)),$A$8:$AW79,MATCH($AW$7,$A$7:$AW$7,FALSE),FALSE),0)+_xlfn.IFNA(VLOOKUP(SUMPRODUCT(LARGE(($C$8:$C79=Table1[[#This Row],[Climber]])*$A$8:$A79,5)),$A$8:$AW79,MATCH($AW$7,$A$7:$AW$7,FALSE),FALSE),0)+_xlfn.IFNA(VLOOKUP(SUMPRODUCT(LARGE(($C$8:$C79=Table1[[#This Row],[Climber]])*$A$8:$A79,6)),$A$8:$AW79,MATCH($AW$7,$A$7:$AW$7,FALSE),FALSE),0))/3</f>
        <v>97.996909601422928</v>
      </c>
      <c r="BA79" s="46">
        <f ca="1">_xlfn.MAXIFS(INDIRECT("$AW"&amp;IF(SUMPRODUCT(LARGE(($C$8:$C79=$C79)*$A$8:$A79,LEFT($BA$7,FIND(" ",$BA$7)-1)))=0,8,SUMPRODUCT(LARGE(($C$8:$C79=$C79)*$A$8:$A79,LEFT($BA$7,FIND(" ",$BA$7)-1)))+7)&amp;":$AW"&amp;ROW()),INDIRECT("$C"&amp;IF(SUMPRODUCT(LARGE(($C$8:$C79=$C79)*$A$8:$A79,LEFT($BA$7,FIND(" ",$BA$7)-1)))=0,8,SUMPRODUCT(LARGE(($C$8:$C79=$C79)*$A$8:$A79,LEFT($BA$7,FIND(" ",$BA$7)-1)))+7)&amp;":$C"&amp;ROW()),$C79)</f>
        <v>103.12441758933291</v>
      </c>
      <c r="BB79" s="46" t="str">
        <f ca="1">VLOOKUP(MAX(BG79,$AX79),'RC Lookup'!$G$14:$J$20,2,TRUE)</f>
        <v>T3</v>
      </c>
      <c r="BC79" s="46">
        <f ca="1">_xlfn.IFNA(VLOOKUP(VLOOKUP($C79,'RC Lookup'!$O$3:$P$50,2,FALSE),'RC Lookup'!$H$14:$J$23,2,FALSE),0)*AW79</f>
        <v>69.462614659048015</v>
      </c>
      <c r="BD79" s="6">
        <f ca="1">_xlfn.IFNA(VLOOKUP(SUMPRODUCT(LARGE(($C$8:$C79=Table1[[#This Row],[Climber]])*$A$8:$A79,1)),$A$8:$BC79,55,FALSE),0)/LEFT($AX$7,FIND(" ",$AX$7))+_xlfn.IFNA(VLOOKUP(SUMPRODUCT(LARGE(($C$8:$C79=Table1[[#This Row],[Climber]])*$A$8:$A79,MIN(2,COUNTIFS($C$8:$C79,$C79)))),$A$8:$BC79,55,FALSE),0)/LEFT($AX$7,FIND(" ",$AX$7))+_xlfn.IFNA(VLOOKUP(SUMPRODUCT(LARGE(($C$8:$C79=Table1[[#This Row],[Climber]])*$A$8:$A79,MIN(3,COUNTIFS($C$8:$C79,$C79)))),$A$8:$BC79,55,FALSE),0)/LEFT($AX$7,FIND(" ",$AX$7))</f>
        <v>75.91314514608959</v>
      </c>
      <c r="BE79" s="6">
        <f ca="1">(_xlfn.IFNA(VLOOKUP(SUMPRODUCT(LARGE(($C$8:$C79=Table1[[#This Row],[Climber]])*$A$8:$A79,4)),$A$8:$BD79,55,FALSE),0)+_xlfn.IFNA(VLOOKUP(SUMPRODUCT(LARGE(($C$8:$C79=Table1[[#This Row],[Climber]])*$A$8:$A79,5)),$A$8:$BD79,55,FALSE),0)+_xlfn.IFNA(VLOOKUP(SUMPRODUCT(LARGE(($C$8:$C79=Table1[[#This Row],[Climber]])*$A$8:$A79,6)),$A$8:$BD79,55,FALSE),0))/3</f>
        <v>75.203524347013257</v>
      </c>
      <c r="BF79" s="46">
        <f ca="1">_xlfn.MAXIFS(INDIRECT("$BC"&amp;IF(SUMPRODUCT(LARGE(($C$8:$C79=$C79)*$A$8:$A79,LEFT($BA$7,FIND(" ",$BA$7)-1)))=0,8,SUMPRODUCT(LARGE(($C$8:$C79=$C79)*$A$8:$A79,LEFT($BA$7,FIND(" ",$BA$7)-1)))+7)&amp;":$BC"&amp;ROW()),INDIRECT("$C"&amp;IF(SUMPRODUCT(LARGE(($C$8:$C79=$C79)*$A$8:$A79,LEFT($BA$7,FIND(" ",$BA$7)-1)))=0,8,SUMPRODUCT(LARGE(($C$8:$C79=$C79)*$A$8:$A79,LEFT($BA$7,FIND(" ",$BA$7)-1)))+7)&amp;":$C"&amp;ROW()),$C79)</f>
        <v>79.138410389610385</v>
      </c>
      <c r="BG79" s="46">
        <f t="array" aca="1" ref="BG79" ca="1">IFERROR(SUMPRODUCT(LARGE(($C$8:$C79=Table1[[#This Row],[Climber]])*$AW$8:$AW79,ROW(INDIRECT("1:5")))),AW79)/MIN(COUNTIFS($C$8:$C79,C79),5)</f>
        <v>104.58761576386057</v>
      </c>
    </row>
    <row r="80" spans="1:59" x14ac:dyDescent="0.3">
      <c r="A80" s="125">
        <f t="shared" si="1"/>
        <v>73</v>
      </c>
      <c r="B80" s="25">
        <f>'Rock Climbing Log'!B80</f>
        <v>43168</v>
      </c>
      <c r="C80" s="126" t="str">
        <f>'Rock Climbing Log'!C80</f>
        <v>Oz</v>
      </c>
      <c r="D80" s="26">
        <f>_xlfn.IFNA(IF(LEFT('Rock Climbing Log'!D80)="C",_xlfn.IFNA(VLOOKUP('Rock Climbing Log'!D80,'RC Lookup'!$A$3:$B$9,2,FALSE),0.5),VLOOKUP('Rock Climbing Log'!D80,'RC Lookup'!$G$3:$H$5,2,FALSE)),0)*VLOOKUP(D$7,'RC Lookup'!$D$3:$E$18,2,FALSE)</f>
        <v>0</v>
      </c>
      <c r="E80" s="26">
        <f>_xlfn.IFNA(IF(LEFT('Rock Climbing Log'!E80)="C",_xlfn.IFNA(VLOOKUP('Rock Climbing Log'!E80,'RC Lookup'!$A$3:$B$9,2,FALSE),0.5),VLOOKUP('Rock Climbing Log'!E80,'RC Lookup'!$G$3:$H$5,2,FALSE)),0)*VLOOKUP(D$7,'RC Lookup'!$D$3:$E$18,2,FALSE)</f>
        <v>0</v>
      </c>
      <c r="F80" s="26">
        <f>_xlfn.IFNA(IF(LEFT('Rock Climbing Log'!F80)="C",_xlfn.IFNA(VLOOKUP('Rock Climbing Log'!F80,'RC Lookup'!$A$3:$B$9,2,FALSE),0.5),VLOOKUP('Rock Climbing Log'!F80,'RC Lookup'!$G$3:$H$5,2,FALSE)),0)*VLOOKUP(D$7,'RC Lookup'!$D$3:$E$18,2,FALSE)</f>
        <v>0</v>
      </c>
      <c r="G80" s="26">
        <f>_xlfn.IFNA(IF(LEFT('Rock Climbing Log'!G80)="C",_xlfn.IFNA(VLOOKUP('Rock Climbing Log'!G80,'RC Lookup'!$A$3:$B$9,2,FALSE),0.5),VLOOKUP('Rock Climbing Log'!G80,'RC Lookup'!$G$3:$H$5,2,FALSE)),0)*VLOOKUP(G$7,'RC Lookup'!$D$3:$E$18,2,FALSE)</f>
        <v>0</v>
      </c>
      <c r="H80" s="26">
        <f>_xlfn.IFNA(IF(LEFT('Rock Climbing Log'!H80)="C",_xlfn.IFNA(VLOOKUP('Rock Climbing Log'!H80,'RC Lookup'!$A$3:$B$9,2,FALSE),0.5),VLOOKUP('Rock Climbing Log'!H80,'RC Lookup'!$G$3:$H$5,2,FALSE)),0)*VLOOKUP(G$7,'RC Lookup'!$D$3:$E$18,2,FALSE)</f>
        <v>0</v>
      </c>
      <c r="I80" s="26">
        <f>_xlfn.IFNA(IF(LEFT('Rock Climbing Log'!I80)="C",_xlfn.IFNA(VLOOKUP('Rock Climbing Log'!I80,'RC Lookup'!$A$3:$B$9,2,FALSE),0.5),VLOOKUP('Rock Climbing Log'!I80,'RC Lookup'!$G$3:$H$5,2,FALSE)),0)*VLOOKUP(G$7,'RC Lookup'!$D$3:$E$18,2,FALSE)</f>
        <v>0</v>
      </c>
      <c r="J80" s="26">
        <f>_xlfn.IFNA(IF(LEFT('Rock Climbing Log'!J80)="C",_xlfn.IFNA(VLOOKUP('Rock Climbing Log'!J80,'RC Lookup'!$A$3:$B$9,2,FALSE),0.5),VLOOKUP('Rock Climbing Log'!J80,'RC Lookup'!$G$3:$H$5,2,FALSE)),0)*VLOOKUP(J$7,'RC Lookup'!$D$3:$E$18,2,FALSE)</f>
        <v>0</v>
      </c>
      <c r="K80" s="26">
        <f>_xlfn.IFNA(IF(LEFT('Rock Climbing Log'!K80)="C",_xlfn.IFNA(VLOOKUP('Rock Climbing Log'!K80,'RC Lookup'!$A$3:$B$9,2,FALSE),0.5),VLOOKUP('Rock Climbing Log'!K80,'RC Lookup'!$G$3:$H$5,2,FALSE)),0)*VLOOKUP(J$7,'RC Lookup'!$D$3:$E$18,2,FALSE)</f>
        <v>0</v>
      </c>
      <c r="L80" s="26">
        <f>_xlfn.IFNA(IF(LEFT('Rock Climbing Log'!L80)="C",_xlfn.IFNA(VLOOKUP('Rock Climbing Log'!L80,'RC Lookup'!$A$3:$B$9,2,FALSE),0.5),VLOOKUP('Rock Climbing Log'!L80,'RC Lookup'!$G$3:$H$5,2,FALSE)),0)*VLOOKUP(J$7,'RC Lookup'!$D$3:$E$18,2,FALSE)</f>
        <v>0</v>
      </c>
      <c r="M80" s="26">
        <f>_xlfn.IFNA(IF(LEFT('Rock Climbing Log'!M80)="C",_xlfn.IFNA(VLOOKUP('Rock Climbing Log'!M80,'RC Lookup'!$A$3:$B$9,2,FALSE),0.5),VLOOKUP('Rock Climbing Log'!M80,'RC Lookup'!$G$3:$H$5,2,FALSE)),0)*VLOOKUP(M$7,'RC Lookup'!$D$3:$E$18,2,FALSE)</f>
        <v>0</v>
      </c>
      <c r="N80" s="26">
        <f>_xlfn.IFNA(IF(LEFT('Rock Climbing Log'!N80)="C",_xlfn.IFNA(VLOOKUP('Rock Climbing Log'!N80,'RC Lookup'!$A$3:$B$9,2,FALSE),0.5),VLOOKUP('Rock Climbing Log'!N80,'RC Lookup'!$G$3:$H$5,2,FALSE)),0)*VLOOKUP(M$7,'RC Lookup'!$D$3:$E$18,2,FALSE)</f>
        <v>0</v>
      </c>
      <c r="O80" s="26">
        <f>_xlfn.IFNA(IF(LEFT('Rock Climbing Log'!O80)="C",_xlfn.IFNA(VLOOKUP('Rock Climbing Log'!O80,'RC Lookup'!$A$3:$B$9,2,FALSE),0.5),VLOOKUP('Rock Climbing Log'!O80,'RC Lookup'!$G$3:$H$5,2,FALSE)),0)*VLOOKUP(M$7,'RC Lookup'!$D$3:$E$18,2,FALSE)</f>
        <v>0</v>
      </c>
      <c r="P80" s="26">
        <f>_xlfn.IFNA(IF(LEFT('Rock Climbing Log'!P80)="C",_xlfn.IFNA(VLOOKUP('Rock Climbing Log'!P80,'RC Lookup'!$A$3:$B$9,2,FALSE),0.5),VLOOKUP('Rock Climbing Log'!P80,'RC Lookup'!$G$3:$H$5,2,FALSE)),0)*VLOOKUP(P$7,'RC Lookup'!$D$3:$E$18,2,FALSE)</f>
        <v>0</v>
      </c>
      <c r="Q80" s="26">
        <f>_xlfn.IFNA(IF(LEFT('Rock Climbing Log'!Q80)="C",_xlfn.IFNA(VLOOKUP('Rock Climbing Log'!Q80,'RC Lookup'!$A$3:$B$9,2,FALSE),0.5),VLOOKUP('Rock Climbing Log'!Q80,'RC Lookup'!$G$3:$H$5,2,FALSE)),0)*VLOOKUP(P$7,'RC Lookup'!$D$3:$E$18,2,FALSE)</f>
        <v>0</v>
      </c>
      <c r="R80" s="26">
        <f>_xlfn.IFNA(IF(LEFT('Rock Climbing Log'!R80)="C",_xlfn.IFNA(VLOOKUP('Rock Climbing Log'!R80,'RC Lookup'!$A$3:$B$9,2,FALSE),0.5),VLOOKUP('Rock Climbing Log'!R80,'RC Lookup'!$G$3:$H$5,2,FALSE)),0)*VLOOKUP(P$7,'RC Lookup'!$D$3:$E$18,2,FALSE)</f>
        <v>0</v>
      </c>
      <c r="S80" s="26">
        <f>_xlfn.IFNA(IF(LEFT('Rock Climbing Log'!S80)="C",_xlfn.IFNA(VLOOKUP('Rock Climbing Log'!S80,'RC Lookup'!$A$3:$B$9,2,FALSE),0.5),VLOOKUP('Rock Climbing Log'!S80,'RC Lookup'!$G$3:$H$5,2,FALSE)),0)*VLOOKUP(S$7,'RC Lookup'!$D$3:$E$18,2,FALSE)</f>
        <v>0</v>
      </c>
      <c r="T80" s="26">
        <f>_xlfn.IFNA(IF(LEFT('Rock Climbing Log'!T80)="C",_xlfn.IFNA(VLOOKUP('Rock Climbing Log'!T80,'RC Lookup'!$A$3:$B$9,2,FALSE),0.5),VLOOKUP('Rock Climbing Log'!T80,'RC Lookup'!$G$3:$H$5,2,FALSE)),0)*VLOOKUP(S$7,'RC Lookup'!$D$3:$E$18,2,FALSE)</f>
        <v>0</v>
      </c>
      <c r="U80" s="26">
        <f>_xlfn.IFNA(IF(LEFT('Rock Climbing Log'!U80)="C",_xlfn.IFNA(VLOOKUP('Rock Climbing Log'!U80,'RC Lookup'!$A$3:$B$9,2,FALSE),0.5),VLOOKUP('Rock Climbing Log'!U80,'RC Lookup'!$G$3:$H$5,2,FALSE)),0)*VLOOKUP(S$7,'RC Lookup'!$D$3:$E$18,2,FALSE)</f>
        <v>0</v>
      </c>
      <c r="V80" s="26">
        <f>_xlfn.IFNA(IF(LEFT('Rock Climbing Log'!V80)="C",_xlfn.IFNA(VLOOKUP('Rock Climbing Log'!V80,'RC Lookup'!$A$3:$B$9,2,FALSE),0.5),VLOOKUP('Rock Climbing Log'!V80,'RC Lookup'!$G$3:$H$5,2,FALSE)),0)*VLOOKUP(V$7,'RC Lookup'!$D$3:$E$18,2,FALSE)</f>
        <v>35.256745742400021</v>
      </c>
      <c r="W80" s="26">
        <f>_xlfn.IFNA(IF(LEFT('Rock Climbing Log'!W80)="C",_xlfn.IFNA(VLOOKUP('Rock Climbing Log'!W80,'RC Lookup'!$A$3:$B$9,2,FALSE),0.5),VLOOKUP('Rock Climbing Log'!W80,'RC Lookup'!$G$3:$H$5,2,FALSE)),0)*VLOOKUP(V$7,'RC Lookup'!$D$3:$E$18,2,FALSE)</f>
        <v>35.256745742400021</v>
      </c>
      <c r="X80" s="26">
        <f>_xlfn.IFNA(IF(LEFT('Rock Climbing Log'!X80)="C",_xlfn.IFNA(VLOOKUP('Rock Climbing Log'!X80,'RC Lookup'!$A$3:$B$9,2,FALSE),0.5),VLOOKUP('Rock Climbing Log'!X80,'RC Lookup'!$G$3:$H$5,2,FALSE)),0)*VLOOKUP(V$7,'RC Lookup'!$D$3:$E$18,2,FALSE)</f>
        <v>0</v>
      </c>
      <c r="Y80" s="26">
        <f>_xlfn.IFNA(IF(LEFT('Rock Climbing Log'!Y80)="C",_xlfn.IFNA(VLOOKUP('Rock Climbing Log'!Y80,'RC Lookup'!$A$3:$B$9,2,FALSE),0.5),VLOOKUP('Rock Climbing Log'!Y80,'RC Lookup'!$G$3:$H$5,2,FALSE)),0)*VLOOKUP(Y$7,'RC Lookup'!$D$3:$E$18,2,FALSE)</f>
        <v>0</v>
      </c>
      <c r="Z80" s="26">
        <f>_xlfn.IFNA(IF(LEFT('Rock Climbing Log'!Z80)="C",_xlfn.IFNA(VLOOKUP('Rock Climbing Log'!Z80,'RC Lookup'!$A$3:$B$9,2,FALSE),0.5),VLOOKUP('Rock Climbing Log'!Z80,'RC Lookup'!$G$3:$H$5,2,FALSE)),0)*VLOOKUP(Y$7,'RC Lookup'!$D$3:$E$18,2,FALSE)</f>
        <v>0</v>
      </c>
      <c r="AA80" s="26">
        <f>_xlfn.IFNA(IF(LEFT('Rock Climbing Log'!AA80)="C",_xlfn.IFNA(VLOOKUP('Rock Climbing Log'!AA80,'RC Lookup'!$A$3:$B$9,2,FALSE),0.5),VLOOKUP('Rock Climbing Log'!AA80,'RC Lookup'!$G$3:$H$5,2,FALSE)),0)*VLOOKUP(Y$7,'RC Lookup'!$D$3:$E$18,2,FALSE)</f>
        <v>0</v>
      </c>
      <c r="AB80" s="26">
        <f>_xlfn.IFNA(IF(LEFT('Rock Climbing Log'!AB80)="C",_xlfn.IFNA(VLOOKUP('Rock Climbing Log'!AB80,'RC Lookup'!$A$3:$B$9,2,FALSE),0.5),VLOOKUP('Rock Climbing Log'!AB80,'RC Lookup'!$G$3:$H$5,2,FALSE)),0)*VLOOKUP(AB$7,'RC Lookup'!$D$3:$E$18,2,FALSE)</f>
        <v>0</v>
      </c>
      <c r="AC80" s="26">
        <f>_xlfn.IFNA(IF(LEFT('Rock Climbing Log'!AC80)="C",_xlfn.IFNA(VLOOKUP('Rock Climbing Log'!AC80,'RC Lookup'!$A$3:$B$9,2,FALSE),0.5),VLOOKUP('Rock Climbing Log'!AC80,'RC Lookup'!$G$3:$H$5,2,FALSE)),0)*VLOOKUP(AB$7,'RC Lookup'!$D$3:$E$18,2,FALSE)</f>
        <v>0</v>
      </c>
      <c r="AD80" s="26">
        <f>_xlfn.IFNA(IF(LEFT('Rock Climbing Log'!AD80)="C",_xlfn.IFNA(VLOOKUP('Rock Climbing Log'!AD80,'RC Lookup'!$A$3:$B$9,2,FALSE),0.5),VLOOKUP('Rock Climbing Log'!AD80,'RC Lookup'!$G$3:$H$5,2,FALSE)),0)*VLOOKUP(AB$7,'RC Lookup'!$D$3:$E$18,2,FALSE)</f>
        <v>0</v>
      </c>
      <c r="AE80" s="26">
        <f>_xlfn.IFNA(IF(LEFT('Rock Climbing Log'!AE80)="C",_xlfn.IFNA(VLOOKUP('Rock Climbing Log'!AE80,'RC Lookup'!$A$3:$B$9,2,FALSE),0.5),VLOOKUP('Rock Climbing Log'!AE80,'RC Lookup'!$G$3:$H$5,2,FALSE)),0)*VLOOKUP(AE$7,'RC Lookup'!$D$3:$E$18,2,FALSE)</f>
        <v>67.867671846932893</v>
      </c>
      <c r="AF80" s="26">
        <f>_xlfn.IFNA(IF(LEFT('Rock Climbing Log'!AF80)="C",_xlfn.IFNA(VLOOKUP('Rock Climbing Log'!AF80,'RC Lookup'!$A$3:$B$9,2,FALSE),0.5),VLOOKUP('Rock Climbing Log'!AF80,'RC Lookup'!$G$3:$H$5,2,FALSE)),0)*VLOOKUP(AE$7,'RC Lookup'!$D$3:$E$18,2,FALSE)</f>
        <v>0</v>
      </c>
      <c r="AG80" s="26">
        <f>_xlfn.IFNA(IF(LEFT('Rock Climbing Log'!AG80)="C",_xlfn.IFNA(VLOOKUP('Rock Climbing Log'!AG80,'RC Lookup'!$A$3:$B$9,2,FALSE),0.5),VLOOKUP('Rock Climbing Log'!AG80,'RC Lookup'!$G$3:$H$5,2,FALSE)),0)*VLOOKUP(AE$7,'RC Lookup'!$D$3:$E$18,2,FALSE)</f>
        <v>0</v>
      </c>
      <c r="AH80" s="26">
        <f>_xlfn.IFNA(IF(LEFT('Rock Climbing Log'!AH80)="C",_xlfn.IFNA(VLOOKUP('Rock Climbing Log'!AH80,'RC Lookup'!$A$3:$B$9,2,FALSE),0.5),VLOOKUP('Rock Climbing Log'!AH80,'RC Lookup'!$G$3:$H$5,2,FALSE)),0)*VLOOKUP(AH$7,'RC Lookup'!$D$3:$E$18,2,FALSE)</f>
        <v>0</v>
      </c>
      <c r="AI80" s="26">
        <f>_xlfn.IFNA(IF(LEFT('Rock Climbing Log'!AI80)="C",_xlfn.IFNA(VLOOKUP('Rock Climbing Log'!AI80,'RC Lookup'!$A$3:$B$9,2,FALSE),0.5),VLOOKUP('Rock Climbing Log'!AI80,'RC Lookup'!$G$3:$H$5,2,FALSE)),0)*VLOOKUP(AH$7,'RC Lookup'!$D$3:$E$18,2,FALSE)</f>
        <v>0</v>
      </c>
      <c r="AJ80" s="26">
        <f>_xlfn.IFNA(IF(LEFT('Rock Climbing Log'!AJ80)="C",_xlfn.IFNA(VLOOKUP('Rock Climbing Log'!AJ80,'RC Lookup'!$A$3:$B$9,2,FALSE),0.5),VLOOKUP('Rock Climbing Log'!AJ80,'RC Lookup'!$G$3:$H$5,2,FALSE)),0)*VLOOKUP(AH$7,'RC Lookup'!$D$3:$E$18,2,FALSE)</f>
        <v>0</v>
      </c>
      <c r="AK80" s="26">
        <f>_xlfn.IFNA(IF(LEFT('Rock Climbing Log'!AK80)="C",_xlfn.IFNA(VLOOKUP('Rock Climbing Log'!AK80,'RC Lookup'!$A$3:$B$9,2,FALSE),0.5),VLOOKUP('Rock Climbing Log'!AK80,'RC Lookup'!$G$3:$H$5,2,FALSE)),0)*VLOOKUP(AK$7,'RC Lookup'!$D$3:$E$18,2,FALSE)</f>
        <v>0</v>
      </c>
      <c r="AL80" s="26">
        <f>_xlfn.IFNA(IF(LEFT('Rock Climbing Log'!AL80)="C",_xlfn.IFNA(VLOOKUP('Rock Climbing Log'!AL80,'RC Lookup'!$A$3:$B$9,2,FALSE),0.5),VLOOKUP('Rock Climbing Log'!AL80,'RC Lookup'!$G$3:$H$5,2,FALSE)),0)*VLOOKUP(AK$7,'RC Lookup'!$D$3:$E$18,2,FALSE)</f>
        <v>0</v>
      </c>
      <c r="AM80" s="26">
        <f>_xlfn.IFNA(IF(LEFT('Rock Climbing Log'!AM80)="C",_xlfn.IFNA(VLOOKUP('Rock Climbing Log'!AM80,'RC Lookup'!$A$3:$B$9,2,FALSE),0.5),VLOOKUP('Rock Climbing Log'!AM80,'RC Lookup'!$G$3:$H$5,2,FALSE)),0)*VLOOKUP(AK$7,'RC Lookup'!$D$3:$E$18,2,FALSE)</f>
        <v>0</v>
      </c>
      <c r="AN80" s="26">
        <f>_xlfn.IFNA(IF(LEFT('Rock Climbing Log'!AN80)="C",_xlfn.IFNA(VLOOKUP('Rock Climbing Log'!AN80,'RC Lookup'!$A$3:$B$9,2,FALSE),0.5),VLOOKUP('Rock Climbing Log'!AN80,'RC Lookup'!$G$3:$H$5,2,FALSE)),0)*VLOOKUP(AN$7,'RC Lookup'!$D$3:$E$18,2,FALSE)</f>
        <v>0</v>
      </c>
      <c r="AO80" s="26">
        <f>_xlfn.IFNA(IF(LEFT('Rock Climbing Log'!AO80)="C",_xlfn.IFNA(VLOOKUP('Rock Climbing Log'!AO80,'RC Lookup'!$A$3:$B$9,2,FALSE),0.5),VLOOKUP('Rock Climbing Log'!AO80,'RC Lookup'!$G$3:$H$5,2,FALSE)),0)*VLOOKUP(AN$7,'RC Lookup'!$D$3:$E$18,2,FALSE)</f>
        <v>0</v>
      </c>
      <c r="AP80" s="26">
        <f>_xlfn.IFNA(IF(LEFT('Rock Climbing Log'!AP80)="C",_xlfn.IFNA(VLOOKUP('Rock Climbing Log'!AP80,'RC Lookup'!$A$3:$B$9,2,FALSE),0.5),VLOOKUP('Rock Climbing Log'!AP80,'RC Lookup'!$G$3:$H$5,2,FALSE)),0)*VLOOKUP(AN$7,'RC Lookup'!$D$3:$E$18,2,FALSE)</f>
        <v>0</v>
      </c>
      <c r="AQ80" s="26">
        <f>_xlfn.IFNA(IF(LEFT('Rock Climbing Log'!AQ80)="C",_xlfn.IFNA(VLOOKUP('Rock Climbing Log'!AQ80,'RC Lookup'!$A$3:$B$9,2,FALSE),0.5),VLOOKUP('Rock Climbing Log'!AQ80,'RC Lookup'!$G$3:$H$5,2,FALSE)),0)*VLOOKUP(AQ$7,'RC Lookup'!$D$3:$E$18,2,FALSE)</f>
        <v>0</v>
      </c>
      <c r="AR80" s="26">
        <f>_xlfn.IFNA(IF(LEFT('Rock Climbing Log'!AR80)="C",_xlfn.IFNA(VLOOKUP('Rock Climbing Log'!AR80,'RC Lookup'!$A$3:$B$9,2,FALSE),0.5),VLOOKUP('Rock Climbing Log'!AR80,'RC Lookup'!$G$3:$H$5,2,FALSE)),0)*VLOOKUP(AQ$7,'RC Lookup'!$D$3:$E$18,2,FALSE)</f>
        <v>0</v>
      </c>
      <c r="AS80" s="26">
        <f>_xlfn.IFNA(IF(LEFT('Rock Climbing Log'!AS80)="C",_xlfn.IFNA(VLOOKUP('Rock Climbing Log'!AS80,'RC Lookup'!$A$3:$B$9,2,FALSE),0.5),VLOOKUP('Rock Climbing Log'!AS80,'RC Lookup'!$G$3:$H$5,2,FALSE)),0)*VLOOKUP(AQ$7,'RC Lookup'!$D$3:$E$18,2,FALSE)</f>
        <v>0</v>
      </c>
      <c r="AT80" s="26">
        <f>_xlfn.IFNA(IF(LEFT('Rock Climbing Log'!AT80)="C",_xlfn.IFNA(VLOOKUP('Rock Climbing Log'!AT80,'RC Lookup'!$A$3:$B$9,2,FALSE),0.5),VLOOKUP('Rock Climbing Log'!AT80,'RC Lookup'!$G$3:$H$5,2,FALSE)),0)*VLOOKUP(AT$7,'RC Lookup'!$D$3:$E$18,2,FALSE)</f>
        <v>0</v>
      </c>
      <c r="AU80" s="26">
        <f>_xlfn.IFNA(IF(LEFT('Rock Climbing Log'!AU80)="C",_xlfn.IFNA(VLOOKUP('Rock Climbing Log'!AU80,'RC Lookup'!$A$3:$B$9,2,FALSE),0.5),VLOOKUP('Rock Climbing Log'!AU80,'RC Lookup'!$G$3:$H$5,2,FALSE)),0)*VLOOKUP(AT$7,'RC Lookup'!$D$3:$E$18,2,FALSE)</f>
        <v>0</v>
      </c>
      <c r="AV80" s="26">
        <f>_xlfn.IFNA(IF(LEFT('Rock Climbing Log'!AV80)="C",_xlfn.IFNA(VLOOKUP('Rock Climbing Log'!AV80,'RC Lookup'!$A$3:$B$9,2,FALSE),0.5),VLOOKUP('Rock Climbing Log'!AV80,'RC Lookup'!$G$3:$H$5,2,FALSE)),0)*VLOOKUP(AT$7,'RC Lookup'!$D$3:$E$18,2,FALSE)</f>
        <v>0</v>
      </c>
      <c r="AW80" s="30">
        <f t="shared" ca="1" si="3"/>
        <v>138.38116333173295</v>
      </c>
      <c r="AX80" s="30">
        <f ca="1">_xlfn.IFNA(VLOOKUP(SUMPRODUCT(LARGE(($C$8:$C80=Table1[[#This Row],[Climber]])*$A$8:$A80,1)),$A$8:$AW80,MATCH($AW$7,$A$7:$AW$7,FALSE),FALSE),0)/LEFT($AX$7,FIND(" ",$AX$7))+_xlfn.IFNA(VLOOKUP(SUMPRODUCT(LARGE(($C$8:$C80=Table1[[#This Row],[Climber]])*$A$8:$A80,MIN(2,COUNTIFS($C$8:$C80,$C80)))),$A$8:$AW80,MATCH($AW$7,$A$7:$AW$7,FALSE),FALSE),0)/LEFT($AX$7,FIND(" ",$AX$7))+_xlfn.IFNA(VLOOKUP(SUMPRODUCT(LARGE(($C$8:$C80=Table1[[#This Row],[Climber]])*$A$8:$A80,MIN(3,COUNTIFS($C$8:$C80,$C80)))),$A$8:$AW80,MATCH($AW$7,$A$7:$AW$7,FALSE),FALSE),0)/LEFT($AX$7,FIND(" ",$AX$7))</f>
        <v>133.3952205650653</v>
      </c>
      <c r="AY80" s="30">
        <f ca="1">_xlfn.IFNA(VLOOKUP(SUMPRODUCT(LARGE(($C$8:$C80=Table1[[#This Row],[Climber]])*$A$8:$A80,1)),$A$8:$AW80,MATCH($AW$7,$A$7:$AW$7,FALSE),FALSE),0)/LEFT($AY$7,FIND(" ",$AY$7))+_xlfn.IFNA(VLOOKUP(SUMPRODUCT(LARGE(($C$8:$C80=Table1[[#This Row],[Climber]])*$A$8:$A80,MIN(2,COUNTIFS($C$8:$C80,$C80)))),$A$8:$AW80,MATCH($AW$7,$A$7:$AW$7,FALSE),FALSE),0)/LEFT($AY$7,FIND(" ",$AY$7))+_xlfn.IFNA(VLOOKUP(SUMPRODUCT(LARGE(($C$8:$C80=Table1[[#This Row],[Climber]])*$A$8:$A80,MIN(3,COUNTIFS($C$8:$C80,$C80)))),$A$8:$AW80,MATCH($AW$7,$A$7:$AW$7,FALSE),FALSE),0)/LEFT($AY$7,FIND(" ",$AY$7))+_xlfn.IFNA(VLOOKUP(SUMPRODUCT(LARGE(($C$8:$C80=Table1[[#This Row],[Climber]])*$A$8:$A80,MIN(4,COUNTIFS($C$8:$C80,$C80)))),$A$8:$AW80,MATCH($AW$7,$A$7:$AW$7,FALSE),FALSE),0)/LEFT($AY$7,FIND(" ",$AY$7))+_xlfn.IFNA(VLOOKUP(SUMPRODUCT(LARGE(($C$8:$C80=Table1[[#This Row],[Climber]])*$A$8:$A80,MIN(5,COUNTIFS($C$8:$C80,$C80)))),$A$8:$AW80,MATCH($AW$7,$A$7:$AW$7,FALSE),FALSE),0)/LEFT($AY$7,FIND(" ",$AY$7))</f>
        <v>129.85643716446648</v>
      </c>
      <c r="AZ80" s="30">
        <f ca="1">(_xlfn.IFNA(VLOOKUP(SUMPRODUCT(LARGE(($C$8:$C80=Table1[[#This Row],[Climber]])*$A$8:$A80,4)),$A$8:$AW80,MATCH($AW$7,$A$7:$AW$7,FALSE),FALSE),0)+_xlfn.IFNA(VLOOKUP(SUMPRODUCT(LARGE(($C$8:$C80=Table1[[#This Row],[Climber]])*$A$8:$A80,5)),$A$8:$AW80,MATCH($AW$7,$A$7:$AW$7,FALSE),FALSE),0)+_xlfn.IFNA(VLOOKUP(SUMPRODUCT(LARGE(($C$8:$C80=Table1[[#This Row],[Climber]])*$A$8:$A80,6)),$A$8:$AW80,MATCH($AW$7,$A$7:$AW$7,FALSE),FALSE),0))/3</f>
        <v>41.51608735452276</v>
      </c>
      <c r="BA80" s="46">
        <f ca="1">_xlfn.MAXIFS(INDIRECT("$AW"&amp;IF(SUMPRODUCT(LARGE(($C$8:$C80=$C80)*$A$8:$A80,LEFT($BA$7,FIND(" ",$BA$7)-1)))=0,8,SUMPRODUCT(LARGE(($C$8:$C80=$C80)*$A$8:$A80,LEFT($BA$7,FIND(" ",$BA$7)-1)))+7)&amp;":$AW"&amp;ROW()),INDIRECT("$C"&amp;IF(SUMPRODUCT(LARGE(($C$8:$C80=$C80)*$A$8:$A80,LEFT($BA$7,FIND(" ",$BA$7)-1)))=0,8,SUMPRODUCT(LARGE(($C$8:$C80=$C80)*$A$8:$A80,LEFT($BA$7,FIND(" ",$BA$7)-1)))+7)&amp;":$C"&amp;ROW()),$C80)</f>
        <v>138.38116333173295</v>
      </c>
      <c r="BB80" s="46" t="str">
        <f ca="1">VLOOKUP(MAX(BG80,$AX80),'RC Lookup'!$G$14:$J$20,2,TRUE)</f>
        <v>T4</v>
      </c>
      <c r="BC80" s="46">
        <f ca="1">_xlfn.IFNA(VLOOKUP(VLOOKUP($C80,'RC Lookup'!$O$3:$P$50,2,FALSE),'RC Lookup'!$H$14:$J$23,2,FALSE),0)*AW80</f>
        <v>67.966165905830437</v>
      </c>
      <c r="BD80" s="6">
        <f ca="1">_xlfn.IFNA(VLOOKUP(SUMPRODUCT(LARGE(($C$8:$C80=Table1[[#This Row],[Climber]])*$A$8:$A80,1)),$A$8:$BC80,55,FALSE),0)/LEFT($AX$7,FIND(" ",$AX$7))+_xlfn.IFNA(VLOOKUP(SUMPRODUCT(LARGE(($C$8:$C80=Table1[[#This Row],[Climber]])*$A$8:$A80,MIN(2,COUNTIFS($C$8:$C80,$C80)))),$A$8:$BC80,55,FALSE),0)/LEFT($AX$7,FIND(" ",$AX$7))+_xlfn.IFNA(VLOOKUP(SUMPRODUCT(LARGE(($C$8:$C80=Table1[[#This Row],[Climber]])*$A$8:$A80,MIN(3,COUNTIFS($C$8:$C80,$C80)))),$A$8:$BC80,55,FALSE),0)/LEFT($AX$7,FIND(" ",$AX$7))</f>
        <v>65.5173108368501</v>
      </c>
      <c r="BE80" s="6">
        <f ca="1">(_xlfn.IFNA(VLOOKUP(SUMPRODUCT(LARGE(($C$8:$C80=Table1[[#This Row],[Climber]])*$A$8:$A80,4)),$A$8:$BD80,55,FALSE),0)+_xlfn.IFNA(VLOOKUP(SUMPRODUCT(LARGE(($C$8:$C80=Table1[[#This Row],[Climber]])*$A$8:$A80,5)),$A$8:$BD80,55,FALSE),0)+_xlfn.IFNA(VLOOKUP(SUMPRODUCT(LARGE(($C$8:$C80=Table1[[#This Row],[Climber]])*$A$8:$A80,6)),$A$8:$BD80,55,FALSE),0))/3</f>
        <v>20.390703568043971</v>
      </c>
      <c r="BF80" s="46">
        <f ca="1">_xlfn.MAXIFS(INDIRECT("$BC"&amp;IF(SUMPRODUCT(LARGE(($C$8:$C80=$C80)*$A$8:$A80,LEFT($BA$7,FIND(" ",$BA$7)-1)))=0,8,SUMPRODUCT(LARGE(($C$8:$C80=$C80)*$A$8:$A80,LEFT($BA$7,FIND(" ",$BA$7)-1)))+7)&amp;":$BC"&amp;ROW()),INDIRECT("$C"&amp;IF(SUMPRODUCT(LARGE(($C$8:$C80=$C80)*$A$8:$A80,LEFT($BA$7,FIND(" ",$BA$7)-1)))=0,8,SUMPRODUCT(LARGE(($C$8:$C80=$C80)*$A$8:$A80,LEFT($BA$7,FIND(" ",$BA$7)-1)))+7)&amp;":$C"&amp;ROW()),$C80)</f>
        <v>67.966165905830437</v>
      </c>
      <c r="BG80" s="46">
        <f t="array" aca="1" ref="BG80" ca="1">IFERROR(SUMPRODUCT(LARGE(($C$8:$C80=Table1[[#This Row],[Climber]])*$AW$8:$AW80,ROW(INDIRECT("1:5")))),AW80)/MIN(COUNTIFS($C$8:$C80,C80),5)</f>
        <v>131.18348093969104</v>
      </c>
    </row>
    <row r="81" spans="1:59" x14ac:dyDescent="0.3">
      <c r="A81" s="125">
        <f t="shared" si="1"/>
        <v>74</v>
      </c>
      <c r="B81" s="25">
        <f>'Rock Climbing Log'!B81</f>
        <v>43168</v>
      </c>
      <c r="C81" s="126">
        <f>'Rock Climbing Log'!C81</f>
        <v>0</v>
      </c>
      <c r="D81" s="26">
        <f>_xlfn.IFNA(IF(LEFT('Rock Climbing Log'!D81)="C",_xlfn.IFNA(VLOOKUP('Rock Climbing Log'!D81,'RC Lookup'!$A$3:$B$9,2,FALSE),0.5),VLOOKUP('Rock Climbing Log'!D81,'RC Lookup'!$G$3:$H$5,2,FALSE)),0)*VLOOKUP(D$7,'RC Lookup'!$D$3:$E$18,2,FALSE)</f>
        <v>0</v>
      </c>
      <c r="E81" s="26">
        <f>_xlfn.IFNA(IF(LEFT('Rock Climbing Log'!E81)="C",_xlfn.IFNA(VLOOKUP('Rock Climbing Log'!E81,'RC Lookup'!$A$3:$B$9,2,FALSE),0.5),VLOOKUP('Rock Climbing Log'!E81,'RC Lookup'!$G$3:$H$5,2,FALSE)),0)*VLOOKUP(D$7,'RC Lookup'!$D$3:$E$18,2,FALSE)</f>
        <v>0</v>
      </c>
      <c r="F81" s="26">
        <f>_xlfn.IFNA(IF(LEFT('Rock Climbing Log'!F81)="C",_xlfn.IFNA(VLOOKUP('Rock Climbing Log'!F81,'RC Lookup'!$A$3:$B$9,2,FALSE),0.5),VLOOKUP('Rock Climbing Log'!F81,'RC Lookup'!$G$3:$H$5,2,FALSE)),0)*VLOOKUP(D$7,'RC Lookup'!$D$3:$E$18,2,FALSE)</f>
        <v>0</v>
      </c>
      <c r="G81" s="26">
        <f>_xlfn.IFNA(IF(LEFT('Rock Climbing Log'!G81)="C",_xlfn.IFNA(VLOOKUP('Rock Climbing Log'!G81,'RC Lookup'!$A$3:$B$9,2,FALSE),0.5),VLOOKUP('Rock Climbing Log'!G81,'RC Lookup'!$G$3:$H$5,2,FALSE)),0)*VLOOKUP(G$7,'RC Lookup'!$D$3:$E$18,2,FALSE)</f>
        <v>0</v>
      </c>
      <c r="H81" s="26">
        <f>_xlfn.IFNA(IF(LEFT('Rock Climbing Log'!H81)="C",_xlfn.IFNA(VLOOKUP('Rock Climbing Log'!H81,'RC Lookup'!$A$3:$B$9,2,FALSE),0.5),VLOOKUP('Rock Climbing Log'!H81,'RC Lookup'!$G$3:$H$5,2,FALSE)),0)*VLOOKUP(G$7,'RC Lookup'!$D$3:$E$18,2,FALSE)</f>
        <v>0</v>
      </c>
      <c r="I81" s="26">
        <f>_xlfn.IFNA(IF(LEFT('Rock Climbing Log'!I81)="C",_xlfn.IFNA(VLOOKUP('Rock Climbing Log'!I81,'RC Lookup'!$A$3:$B$9,2,FALSE),0.5),VLOOKUP('Rock Climbing Log'!I81,'RC Lookup'!$G$3:$H$5,2,FALSE)),0)*VLOOKUP(G$7,'RC Lookup'!$D$3:$E$18,2,FALSE)</f>
        <v>0</v>
      </c>
      <c r="J81" s="26">
        <f>_xlfn.IFNA(IF(LEFT('Rock Climbing Log'!J81)="C",_xlfn.IFNA(VLOOKUP('Rock Climbing Log'!J81,'RC Lookup'!$A$3:$B$9,2,FALSE),0.5),VLOOKUP('Rock Climbing Log'!J81,'RC Lookup'!$G$3:$H$5,2,FALSE)),0)*VLOOKUP(J$7,'RC Lookup'!$D$3:$E$18,2,FALSE)</f>
        <v>0</v>
      </c>
      <c r="K81" s="26">
        <f>_xlfn.IFNA(IF(LEFT('Rock Climbing Log'!K81)="C",_xlfn.IFNA(VLOOKUP('Rock Climbing Log'!K81,'RC Lookup'!$A$3:$B$9,2,FALSE),0.5),VLOOKUP('Rock Climbing Log'!K81,'RC Lookup'!$G$3:$H$5,2,FALSE)),0)*VLOOKUP(J$7,'RC Lookup'!$D$3:$E$18,2,FALSE)</f>
        <v>0</v>
      </c>
      <c r="L81" s="26">
        <f>_xlfn.IFNA(IF(LEFT('Rock Climbing Log'!L81)="C",_xlfn.IFNA(VLOOKUP('Rock Climbing Log'!L81,'RC Lookup'!$A$3:$B$9,2,FALSE),0.5),VLOOKUP('Rock Climbing Log'!L81,'RC Lookup'!$G$3:$H$5,2,FALSE)),0)*VLOOKUP(J$7,'RC Lookup'!$D$3:$E$18,2,FALSE)</f>
        <v>0</v>
      </c>
      <c r="M81" s="26">
        <f>_xlfn.IFNA(IF(LEFT('Rock Climbing Log'!M81)="C",_xlfn.IFNA(VLOOKUP('Rock Climbing Log'!M81,'RC Lookup'!$A$3:$B$9,2,FALSE),0.5),VLOOKUP('Rock Climbing Log'!M81,'RC Lookup'!$G$3:$H$5,2,FALSE)),0)*VLOOKUP(M$7,'RC Lookup'!$D$3:$E$18,2,FALSE)</f>
        <v>0</v>
      </c>
      <c r="N81" s="26">
        <f>_xlfn.IFNA(IF(LEFT('Rock Climbing Log'!N81)="C",_xlfn.IFNA(VLOOKUP('Rock Climbing Log'!N81,'RC Lookup'!$A$3:$B$9,2,FALSE),0.5),VLOOKUP('Rock Climbing Log'!N81,'RC Lookup'!$G$3:$H$5,2,FALSE)),0)*VLOOKUP(M$7,'RC Lookup'!$D$3:$E$18,2,FALSE)</f>
        <v>0</v>
      </c>
      <c r="O81" s="26">
        <f>_xlfn.IFNA(IF(LEFT('Rock Climbing Log'!O81)="C",_xlfn.IFNA(VLOOKUP('Rock Climbing Log'!O81,'RC Lookup'!$A$3:$B$9,2,FALSE),0.5),VLOOKUP('Rock Climbing Log'!O81,'RC Lookup'!$G$3:$H$5,2,FALSE)),0)*VLOOKUP(M$7,'RC Lookup'!$D$3:$E$18,2,FALSE)</f>
        <v>0</v>
      </c>
      <c r="P81" s="26">
        <f>_xlfn.IFNA(IF(LEFT('Rock Climbing Log'!P81)="C",_xlfn.IFNA(VLOOKUP('Rock Climbing Log'!P81,'RC Lookup'!$A$3:$B$9,2,FALSE),0.5),VLOOKUP('Rock Climbing Log'!P81,'RC Lookup'!$G$3:$H$5,2,FALSE)),0)*VLOOKUP(P$7,'RC Lookup'!$D$3:$E$18,2,FALSE)</f>
        <v>0</v>
      </c>
      <c r="Q81" s="26">
        <f>_xlfn.IFNA(IF(LEFT('Rock Climbing Log'!Q81)="C",_xlfn.IFNA(VLOOKUP('Rock Climbing Log'!Q81,'RC Lookup'!$A$3:$B$9,2,FALSE),0.5),VLOOKUP('Rock Climbing Log'!Q81,'RC Lookup'!$G$3:$H$5,2,FALSE)),0)*VLOOKUP(P$7,'RC Lookup'!$D$3:$E$18,2,FALSE)</f>
        <v>0</v>
      </c>
      <c r="R81" s="26">
        <f>_xlfn.IFNA(IF(LEFT('Rock Climbing Log'!R81)="C",_xlfn.IFNA(VLOOKUP('Rock Climbing Log'!R81,'RC Lookup'!$A$3:$B$9,2,FALSE),0.5),VLOOKUP('Rock Climbing Log'!R81,'RC Lookup'!$G$3:$H$5,2,FALSE)),0)*VLOOKUP(P$7,'RC Lookup'!$D$3:$E$18,2,FALSE)</f>
        <v>0</v>
      </c>
      <c r="S81" s="26">
        <f>_xlfn.IFNA(IF(LEFT('Rock Climbing Log'!S81)="C",_xlfn.IFNA(VLOOKUP('Rock Climbing Log'!S81,'RC Lookup'!$A$3:$B$9,2,FALSE),0.5),VLOOKUP('Rock Climbing Log'!S81,'RC Lookup'!$G$3:$H$5,2,FALSE)),0)*VLOOKUP(S$7,'RC Lookup'!$D$3:$E$18,2,FALSE)</f>
        <v>0</v>
      </c>
      <c r="T81" s="26">
        <f>_xlfn.IFNA(IF(LEFT('Rock Climbing Log'!T81)="C",_xlfn.IFNA(VLOOKUP('Rock Climbing Log'!T81,'RC Lookup'!$A$3:$B$9,2,FALSE),0.5),VLOOKUP('Rock Climbing Log'!T81,'RC Lookup'!$G$3:$H$5,2,FALSE)),0)*VLOOKUP(S$7,'RC Lookup'!$D$3:$E$18,2,FALSE)</f>
        <v>0</v>
      </c>
      <c r="U81" s="26">
        <f>_xlfn.IFNA(IF(LEFT('Rock Climbing Log'!U81)="C",_xlfn.IFNA(VLOOKUP('Rock Climbing Log'!U81,'RC Lookup'!$A$3:$B$9,2,FALSE),0.5),VLOOKUP('Rock Climbing Log'!U81,'RC Lookup'!$G$3:$H$5,2,FALSE)),0)*VLOOKUP(S$7,'RC Lookup'!$D$3:$E$18,2,FALSE)</f>
        <v>0</v>
      </c>
      <c r="V81" s="26">
        <f>_xlfn.IFNA(IF(LEFT('Rock Climbing Log'!V81)="C",_xlfn.IFNA(VLOOKUP('Rock Climbing Log'!V81,'RC Lookup'!$A$3:$B$9,2,FALSE),0.5),VLOOKUP('Rock Climbing Log'!V81,'RC Lookup'!$G$3:$H$5,2,FALSE)),0)*VLOOKUP(V$7,'RC Lookup'!$D$3:$E$18,2,FALSE)</f>
        <v>0</v>
      </c>
      <c r="W81" s="26">
        <f>_xlfn.IFNA(IF(LEFT('Rock Climbing Log'!W81)="C",_xlfn.IFNA(VLOOKUP('Rock Climbing Log'!W81,'RC Lookup'!$A$3:$B$9,2,FALSE),0.5),VLOOKUP('Rock Climbing Log'!W81,'RC Lookup'!$G$3:$H$5,2,FALSE)),0)*VLOOKUP(V$7,'RC Lookup'!$D$3:$E$18,2,FALSE)</f>
        <v>0</v>
      </c>
      <c r="X81" s="26">
        <f>_xlfn.IFNA(IF(LEFT('Rock Climbing Log'!X81)="C",_xlfn.IFNA(VLOOKUP('Rock Climbing Log'!X81,'RC Lookup'!$A$3:$B$9,2,FALSE),0.5),VLOOKUP('Rock Climbing Log'!X81,'RC Lookup'!$G$3:$H$5,2,FALSE)),0)*VLOOKUP(V$7,'RC Lookup'!$D$3:$E$18,2,FALSE)</f>
        <v>0</v>
      </c>
      <c r="Y81" s="26">
        <f>_xlfn.IFNA(IF(LEFT('Rock Climbing Log'!Y81)="C",_xlfn.IFNA(VLOOKUP('Rock Climbing Log'!Y81,'RC Lookup'!$A$3:$B$9,2,FALSE),0.5),VLOOKUP('Rock Climbing Log'!Y81,'RC Lookup'!$G$3:$H$5,2,FALSE)),0)*VLOOKUP(Y$7,'RC Lookup'!$D$3:$E$18,2,FALSE)</f>
        <v>0</v>
      </c>
      <c r="Z81" s="26">
        <f>_xlfn.IFNA(IF(LEFT('Rock Climbing Log'!Z81)="C",_xlfn.IFNA(VLOOKUP('Rock Climbing Log'!Z81,'RC Lookup'!$A$3:$B$9,2,FALSE),0.5),VLOOKUP('Rock Climbing Log'!Z81,'RC Lookup'!$G$3:$H$5,2,FALSE)),0)*VLOOKUP(Y$7,'RC Lookup'!$D$3:$E$18,2,FALSE)</f>
        <v>0</v>
      </c>
      <c r="AA81" s="26">
        <f>_xlfn.IFNA(IF(LEFT('Rock Climbing Log'!AA81)="C",_xlfn.IFNA(VLOOKUP('Rock Climbing Log'!AA81,'RC Lookup'!$A$3:$B$9,2,FALSE),0.5),VLOOKUP('Rock Climbing Log'!AA81,'RC Lookup'!$G$3:$H$5,2,FALSE)),0)*VLOOKUP(Y$7,'RC Lookup'!$D$3:$E$18,2,FALSE)</f>
        <v>0</v>
      </c>
      <c r="AB81" s="26">
        <f>_xlfn.IFNA(IF(LEFT('Rock Climbing Log'!AB81)="C",_xlfn.IFNA(VLOOKUP('Rock Climbing Log'!AB81,'RC Lookup'!$A$3:$B$9,2,FALSE),0.5),VLOOKUP('Rock Climbing Log'!AB81,'RC Lookup'!$G$3:$H$5,2,FALSE)),0)*VLOOKUP(AB$7,'RC Lookup'!$D$3:$E$18,2,FALSE)</f>
        <v>0</v>
      </c>
      <c r="AC81" s="26">
        <f>_xlfn.IFNA(IF(LEFT('Rock Climbing Log'!AC81)="C",_xlfn.IFNA(VLOOKUP('Rock Climbing Log'!AC81,'RC Lookup'!$A$3:$B$9,2,FALSE),0.5),VLOOKUP('Rock Climbing Log'!AC81,'RC Lookup'!$G$3:$H$5,2,FALSE)),0)*VLOOKUP(AB$7,'RC Lookup'!$D$3:$E$18,2,FALSE)</f>
        <v>0</v>
      </c>
      <c r="AD81" s="26">
        <f>_xlfn.IFNA(IF(LEFT('Rock Climbing Log'!AD81)="C",_xlfn.IFNA(VLOOKUP('Rock Climbing Log'!AD81,'RC Lookup'!$A$3:$B$9,2,FALSE),0.5),VLOOKUP('Rock Climbing Log'!AD81,'RC Lookup'!$G$3:$H$5,2,FALSE)),0)*VLOOKUP(AB$7,'RC Lookup'!$D$3:$E$18,2,FALSE)</f>
        <v>0</v>
      </c>
      <c r="AE81" s="26">
        <f>_xlfn.IFNA(IF(LEFT('Rock Climbing Log'!AE81)="C",_xlfn.IFNA(VLOOKUP('Rock Climbing Log'!AE81,'RC Lookup'!$A$3:$B$9,2,FALSE),0.5),VLOOKUP('Rock Climbing Log'!AE81,'RC Lookup'!$G$3:$H$5,2,FALSE)),0)*VLOOKUP(AE$7,'RC Lookup'!$D$3:$E$18,2,FALSE)</f>
        <v>0</v>
      </c>
      <c r="AF81" s="26">
        <f>_xlfn.IFNA(IF(LEFT('Rock Climbing Log'!AF81)="C",_xlfn.IFNA(VLOOKUP('Rock Climbing Log'!AF81,'RC Lookup'!$A$3:$B$9,2,FALSE),0.5),VLOOKUP('Rock Climbing Log'!AF81,'RC Lookup'!$G$3:$H$5,2,FALSE)),0)*VLOOKUP(AE$7,'RC Lookup'!$D$3:$E$18,2,FALSE)</f>
        <v>0</v>
      </c>
      <c r="AG81" s="26">
        <f>_xlfn.IFNA(IF(LEFT('Rock Climbing Log'!AG81)="C",_xlfn.IFNA(VLOOKUP('Rock Climbing Log'!AG81,'RC Lookup'!$A$3:$B$9,2,FALSE),0.5),VLOOKUP('Rock Climbing Log'!AG81,'RC Lookup'!$G$3:$H$5,2,FALSE)),0)*VLOOKUP(AE$7,'RC Lookup'!$D$3:$E$18,2,FALSE)</f>
        <v>0</v>
      </c>
      <c r="AH81" s="26">
        <f>_xlfn.IFNA(IF(LEFT('Rock Climbing Log'!AH81)="C",_xlfn.IFNA(VLOOKUP('Rock Climbing Log'!AH81,'RC Lookup'!$A$3:$B$9,2,FALSE),0.5),VLOOKUP('Rock Climbing Log'!AH81,'RC Lookup'!$G$3:$H$5,2,FALSE)),0)*VLOOKUP(AH$7,'RC Lookup'!$D$3:$E$18,2,FALSE)</f>
        <v>0</v>
      </c>
      <c r="AI81" s="26">
        <f>_xlfn.IFNA(IF(LEFT('Rock Climbing Log'!AI81)="C",_xlfn.IFNA(VLOOKUP('Rock Climbing Log'!AI81,'RC Lookup'!$A$3:$B$9,2,FALSE),0.5),VLOOKUP('Rock Climbing Log'!AI81,'RC Lookup'!$G$3:$H$5,2,FALSE)),0)*VLOOKUP(AH$7,'RC Lookup'!$D$3:$E$18,2,FALSE)</f>
        <v>0</v>
      </c>
      <c r="AJ81" s="26">
        <f>_xlfn.IFNA(IF(LEFT('Rock Climbing Log'!AJ81)="C",_xlfn.IFNA(VLOOKUP('Rock Climbing Log'!AJ81,'RC Lookup'!$A$3:$B$9,2,FALSE),0.5),VLOOKUP('Rock Climbing Log'!AJ81,'RC Lookup'!$G$3:$H$5,2,FALSE)),0)*VLOOKUP(AH$7,'RC Lookup'!$D$3:$E$18,2,FALSE)</f>
        <v>0</v>
      </c>
      <c r="AK81" s="26">
        <f>_xlfn.IFNA(IF(LEFT('Rock Climbing Log'!AK81)="C",_xlfn.IFNA(VLOOKUP('Rock Climbing Log'!AK81,'RC Lookup'!$A$3:$B$9,2,FALSE),0.5),VLOOKUP('Rock Climbing Log'!AK81,'RC Lookup'!$G$3:$H$5,2,FALSE)),0)*VLOOKUP(AK$7,'RC Lookup'!$D$3:$E$18,2,FALSE)</f>
        <v>0</v>
      </c>
      <c r="AL81" s="26">
        <f>_xlfn.IFNA(IF(LEFT('Rock Climbing Log'!AL81)="C",_xlfn.IFNA(VLOOKUP('Rock Climbing Log'!AL81,'RC Lookup'!$A$3:$B$9,2,FALSE),0.5),VLOOKUP('Rock Climbing Log'!AL81,'RC Lookup'!$G$3:$H$5,2,FALSE)),0)*VLOOKUP(AK$7,'RC Lookup'!$D$3:$E$18,2,FALSE)</f>
        <v>0</v>
      </c>
      <c r="AM81" s="26">
        <f>_xlfn.IFNA(IF(LEFT('Rock Climbing Log'!AM81)="C",_xlfn.IFNA(VLOOKUP('Rock Climbing Log'!AM81,'RC Lookup'!$A$3:$B$9,2,FALSE),0.5),VLOOKUP('Rock Climbing Log'!AM81,'RC Lookup'!$G$3:$H$5,2,FALSE)),0)*VLOOKUP(AK$7,'RC Lookup'!$D$3:$E$18,2,FALSE)</f>
        <v>0</v>
      </c>
      <c r="AN81" s="26">
        <f>_xlfn.IFNA(IF(LEFT('Rock Climbing Log'!AN81)="C",_xlfn.IFNA(VLOOKUP('Rock Climbing Log'!AN81,'RC Lookup'!$A$3:$B$9,2,FALSE),0.5),VLOOKUP('Rock Climbing Log'!AN81,'RC Lookup'!$G$3:$H$5,2,FALSE)),0)*VLOOKUP(AN$7,'RC Lookup'!$D$3:$E$18,2,FALSE)</f>
        <v>0</v>
      </c>
      <c r="AO81" s="26">
        <f>_xlfn.IFNA(IF(LEFT('Rock Climbing Log'!AO81)="C",_xlfn.IFNA(VLOOKUP('Rock Climbing Log'!AO81,'RC Lookup'!$A$3:$B$9,2,FALSE),0.5),VLOOKUP('Rock Climbing Log'!AO81,'RC Lookup'!$G$3:$H$5,2,FALSE)),0)*VLOOKUP(AN$7,'RC Lookup'!$D$3:$E$18,2,FALSE)</f>
        <v>0</v>
      </c>
      <c r="AP81" s="26">
        <f>_xlfn.IFNA(IF(LEFT('Rock Climbing Log'!AP81)="C",_xlfn.IFNA(VLOOKUP('Rock Climbing Log'!AP81,'RC Lookup'!$A$3:$B$9,2,FALSE),0.5),VLOOKUP('Rock Climbing Log'!AP81,'RC Lookup'!$G$3:$H$5,2,FALSE)),0)*VLOOKUP(AN$7,'RC Lookup'!$D$3:$E$18,2,FALSE)</f>
        <v>0</v>
      </c>
      <c r="AQ81" s="26">
        <f>_xlfn.IFNA(IF(LEFT('Rock Climbing Log'!AQ81)="C",_xlfn.IFNA(VLOOKUP('Rock Climbing Log'!AQ81,'RC Lookup'!$A$3:$B$9,2,FALSE),0.5),VLOOKUP('Rock Climbing Log'!AQ81,'RC Lookup'!$G$3:$H$5,2,FALSE)),0)*VLOOKUP(AQ$7,'RC Lookup'!$D$3:$E$18,2,FALSE)</f>
        <v>0</v>
      </c>
      <c r="AR81" s="26">
        <f>_xlfn.IFNA(IF(LEFT('Rock Climbing Log'!AR81)="C",_xlfn.IFNA(VLOOKUP('Rock Climbing Log'!AR81,'RC Lookup'!$A$3:$B$9,2,FALSE),0.5),VLOOKUP('Rock Climbing Log'!AR81,'RC Lookup'!$G$3:$H$5,2,FALSE)),0)*VLOOKUP(AQ$7,'RC Lookup'!$D$3:$E$18,2,FALSE)</f>
        <v>0</v>
      </c>
      <c r="AS81" s="26">
        <f>_xlfn.IFNA(IF(LEFT('Rock Climbing Log'!AS81)="C",_xlfn.IFNA(VLOOKUP('Rock Climbing Log'!AS81,'RC Lookup'!$A$3:$B$9,2,FALSE),0.5),VLOOKUP('Rock Climbing Log'!AS81,'RC Lookup'!$G$3:$H$5,2,FALSE)),0)*VLOOKUP(AQ$7,'RC Lookup'!$D$3:$E$18,2,FALSE)</f>
        <v>0</v>
      </c>
      <c r="AT81" s="26">
        <f>_xlfn.IFNA(IF(LEFT('Rock Climbing Log'!AT81)="C",_xlfn.IFNA(VLOOKUP('Rock Climbing Log'!AT81,'RC Lookup'!$A$3:$B$9,2,FALSE),0.5),VLOOKUP('Rock Climbing Log'!AT81,'RC Lookup'!$G$3:$H$5,2,FALSE)),0)*VLOOKUP(AT$7,'RC Lookup'!$D$3:$E$18,2,FALSE)</f>
        <v>0</v>
      </c>
      <c r="AU81" s="26">
        <f>_xlfn.IFNA(IF(LEFT('Rock Climbing Log'!AU81)="C",_xlfn.IFNA(VLOOKUP('Rock Climbing Log'!AU81,'RC Lookup'!$A$3:$B$9,2,FALSE),0.5),VLOOKUP('Rock Climbing Log'!AU81,'RC Lookup'!$G$3:$H$5,2,FALSE)),0)*VLOOKUP(AT$7,'RC Lookup'!$D$3:$E$18,2,FALSE)</f>
        <v>0</v>
      </c>
      <c r="AV81" s="26">
        <f>_xlfn.IFNA(IF(LEFT('Rock Climbing Log'!AV81)="C",_xlfn.IFNA(VLOOKUP('Rock Climbing Log'!AV81,'RC Lookup'!$A$3:$B$9,2,FALSE),0.5),VLOOKUP('Rock Climbing Log'!AV81,'RC Lookup'!$G$3:$H$5,2,FALSE)),0)*VLOOKUP(AT$7,'RC Lookup'!$D$3:$E$18,2,FALSE)</f>
        <v>0</v>
      </c>
      <c r="AW81" s="30">
        <f t="shared" ca="1" si="3"/>
        <v>0</v>
      </c>
      <c r="AX81" s="30">
        <f ca="1">_xlfn.IFNA(VLOOKUP(SUMPRODUCT(LARGE(($C$8:$C81=Table1[[#This Row],[Climber]])*$A$8:$A81,1)),$A$8:$AW81,MATCH($AW$7,$A$7:$AW$7,FALSE),FALSE),0)/LEFT($AX$7,FIND(" ",$AX$7))+_xlfn.IFNA(VLOOKUP(SUMPRODUCT(LARGE(($C$8:$C81=Table1[[#This Row],[Climber]])*$A$8:$A81,MIN(2,COUNTIFS($C$8:$C81,$C81)))),$A$8:$AW81,MATCH($AW$7,$A$7:$AW$7,FALSE),FALSE),0)/LEFT($AX$7,FIND(" ",$AX$7))+_xlfn.IFNA(VLOOKUP(SUMPRODUCT(LARGE(($C$8:$C81=Table1[[#This Row],[Climber]])*$A$8:$A81,MIN(3,COUNTIFS($C$8:$C81,$C81)))),$A$8:$AW81,MATCH($AW$7,$A$7:$AW$7,FALSE),FALSE),0)/LEFT($AX$7,FIND(" ",$AX$7))</f>
        <v>0</v>
      </c>
      <c r="AY81" s="30">
        <f ca="1">_xlfn.IFNA(VLOOKUP(SUMPRODUCT(LARGE(($C$8:$C81=Table1[[#This Row],[Climber]])*$A$8:$A81,1)),$A$8:$AW81,MATCH($AW$7,$A$7:$AW$7,FALSE),FALSE),0)/LEFT($AY$7,FIND(" ",$AY$7))+_xlfn.IFNA(VLOOKUP(SUMPRODUCT(LARGE(($C$8:$C81=Table1[[#This Row],[Climber]])*$A$8:$A81,MIN(2,COUNTIFS($C$8:$C81,$C81)))),$A$8:$AW81,MATCH($AW$7,$A$7:$AW$7,FALSE),FALSE),0)/LEFT($AY$7,FIND(" ",$AY$7))+_xlfn.IFNA(VLOOKUP(SUMPRODUCT(LARGE(($C$8:$C81=Table1[[#This Row],[Climber]])*$A$8:$A81,MIN(3,COUNTIFS($C$8:$C81,$C81)))),$A$8:$AW81,MATCH($AW$7,$A$7:$AW$7,FALSE),FALSE),0)/LEFT($AY$7,FIND(" ",$AY$7))+_xlfn.IFNA(VLOOKUP(SUMPRODUCT(LARGE(($C$8:$C81=Table1[[#This Row],[Climber]])*$A$8:$A81,MIN(4,COUNTIFS($C$8:$C81,$C81)))),$A$8:$AW81,MATCH($AW$7,$A$7:$AW$7,FALSE),FALSE),0)/LEFT($AY$7,FIND(" ",$AY$7))+_xlfn.IFNA(VLOOKUP(SUMPRODUCT(LARGE(($C$8:$C81=Table1[[#This Row],[Climber]])*$A$8:$A81,MIN(5,COUNTIFS($C$8:$C81,$C81)))),$A$8:$AW81,MATCH($AW$7,$A$7:$AW$7,FALSE),FALSE),0)/LEFT($AY$7,FIND(" ",$AY$7))</f>
        <v>0</v>
      </c>
      <c r="AZ81" s="30">
        <f>(_xlfn.IFNA(VLOOKUP(SUMPRODUCT(LARGE(($C$8:$C81=Table1[[#This Row],[Climber]])*$A$8:$A81,4)),$A$8:$AW81,MATCH($AW$7,$A$7:$AW$7,FALSE),FALSE),0)+_xlfn.IFNA(VLOOKUP(SUMPRODUCT(LARGE(($C$8:$C81=Table1[[#This Row],[Climber]])*$A$8:$A81,5)),$A$8:$AW81,MATCH($AW$7,$A$7:$AW$7,FALSE),FALSE),0)+_xlfn.IFNA(VLOOKUP(SUMPRODUCT(LARGE(($C$8:$C81=Table1[[#This Row],[Climber]])*$A$8:$A81,6)),$A$8:$AW81,MATCH($AW$7,$A$7:$AW$7,FALSE),FALSE),0))/3</f>
        <v>0</v>
      </c>
      <c r="BA81" s="46">
        <f ca="1">_xlfn.MAXIFS(INDIRECT("$AW"&amp;IF(SUMPRODUCT(LARGE(($C$8:$C81=$C81)*$A$8:$A81,LEFT($BA$7,FIND(" ",$BA$7)-1)))=0,8,SUMPRODUCT(LARGE(($C$8:$C81=$C81)*$A$8:$A81,LEFT($BA$7,FIND(" ",$BA$7)-1)))+7)&amp;":$AW"&amp;ROW()),INDIRECT("$C"&amp;IF(SUMPRODUCT(LARGE(($C$8:$C81=$C81)*$A$8:$A81,LEFT($BA$7,FIND(" ",$BA$7)-1)))=0,8,SUMPRODUCT(LARGE(($C$8:$C81=$C81)*$A$8:$A81,LEFT($BA$7,FIND(" ",$BA$7)-1)))+7)&amp;":$C"&amp;ROW()),$C81)</f>
        <v>0</v>
      </c>
      <c r="BB81" s="46" t="str">
        <f ca="1">VLOOKUP(MAX(BG81,$AX81),'RC Lookup'!$G$14:$J$20,2,TRUE)</f>
        <v>T1</v>
      </c>
      <c r="BC81" s="46">
        <f ca="1">_xlfn.IFNA(VLOOKUP(VLOOKUP($C81,'RC Lookup'!$O$3:$P$50,2,FALSE),'RC Lookup'!$H$14:$J$23,2,FALSE),0)*AW81</f>
        <v>0</v>
      </c>
      <c r="BD81" s="6">
        <f ca="1">_xlfn.IFNA(VLOOKUP(SUMPRODUCT(LARGE(($C$8:$C81=Table1[[#This Row],[Climber]])*$A$8:$A81,1)),$A$8:$BC81,55,FALSE),0)/LEFT($AX$7,FIND(" ",$AX$7))+_xlfn.IFNA(VLOOKUP(SUMPRODUCT(LARGE(($C$8:$C81=Table1[[#This Row],[Climber]])*$A$8:$A81,MIN(2,COUNTIFS($C$8:$C81,$C81)))),$A$8:$BC81,55,FALSE),0)/LEFT($AX$7,FIND(" ",$AX$7))+_xlfn.IFNA(VLOOKUP(SUMPRODUCT(LARGE(($C$8:$C81=Table1[[#This Row],[Climber]])*$A$8:$A81,MIN(3,COUNTIFS($C$8:$C81,$C81)))),$A$8:$BC81,55,FALSE),0)/LEFT($AX$7,FIND(" ",$AX$7))</f>
        <v>0</v>
      </c>
      <c r="BE81" s="6">
        <f>(_xlfn.IFNA(VLOOKUP(SUMPRODUCT(LARGE(($C$8:$C81=Table1[[#This Row],[Climber]])*$A$8:$A81,4)),$A$8:$BD81,55,FALSE),0)+_xlfn.IFNA(VLOOKUP(SUMPRODUCT(LARGE(($C$8:$C81=Table1[[#This Row],[Climber]])*$A$8:$A81,5)),$A$8:$BD81,55,FALSE),0)+_xlfn.IFNA(VLOOKUP(SUMPRODUCT(LARGE(($C$8:$C81=Table1[[#This Row],[Climber]])*$A$8:$A81,6)),$A$8:$BD81,55,FALSE),0))/3</f>
        <v>0</v>
      </c>
      <c r="BF81" s="46">
        <f ca="1">_xlfn.MAXIFS(INDIRECT("$BC"&amp;IF(SUMPRODUCT(LARGE(($C$8:$C81=$C81)*$A$8:$A81,LEFT($BA$7,FIND(" ",$BA$7)-1)))=0,8,SUMPRODUCT(LARGE(($C$8:$C81=$C81)*$A$8:$A81,LEFT($BA$7,FIND(" ",$BA$7)-1)))+7)&amp;":$BC"&amp;ROW()),INDIRECT("$C"&amp;IF(SUMPRODUCT(LARGE(($C$8:$C81=$C81)*$A$8:$A81,LEFT($BA$7,FIND(" ",$BA$7)-1)))=0,8,SUMPRODUCT(LARGE(($C$8:$C81=$C81)*$A$8:$A81,LEFT($BA$7,FIND(" ",$BA$7)-1)))+7)&amp;":$C"&amp;ROW()),$C81)</f>
        <v>0</v>
      </c>
      <c r="BG81" s="46">
        <f t="array" aca="1" ref="BG81" ca="1">IFERROR(SUMPRODUCT(LARGE(($C$8:$C81=Table1[[#This Row],[Climber]])*$AW$8:$AW81,ROW(INDIRECT("1:5")))),AW81)/MIN(COUNTIFS($C$8:$C81,C81),5)</f>
        <v>0</v>
      </c>
    </row>
    <row r="82" spans="1:59" x14ac:dyDescent="0.3">
      <c r="A82" s="125">
        <f t="shared" si="1"/>
        <v>75</v>
      </c>
      <c r="B82" s="25">
        <f>'Rock Climbing Log'!B82</f>
        <v>43170</v>
      </c>
      <c r="C82" s="126" t="str">
        <f>'Rock Climbing Log'!C82</f>
        <v>Lester</v>
      </c>
      <c r="D82" s="26">
        <f>_xlfn.IFNA(IF(LEFT('Rock Climbing Log'!D82)="C",_xlfn.IFNA(VLOOKUP('Rock Climbing Log'!D82,'RC Lookup'!$A$3:$B$9,2,FALSE),0.5),VLOOKUP('Rock Climbing Log'!D82,'RC Lookup'!$G$3:$H$5,2,FALSE)),0)*VLOOKUP(D$7,'RC Lookup'!$D$3:$E$18,2,FALSE)</f>
        <v>0</v>
      </c>
      <c r="E82" s="26">
        <f>_xlfn.IFNA(IF(LEFT('Rock Climbing Log'!E82)="C",_xlfn.IFNA(VLOOKUP('Rock Climbing Log'!E82,'RC Lookup'!$A$3:$B$9,2,FALSE),0.5),VLOOKUP('Rock Climbing Log'!E82,'RC Lookup'!$G$3:$H$5,2,FALSE)),0)*VLOOKUP(D$7,'RC Lookup'!$D$3:$E$18,2,FALSE)</f>
        <v>0</v>
      </c>
      <c r="F82" s="26">
        <f>_xlfn.IFNA(IF(LEFT('Rock Climbing Log'!F82)="C",_xlfn.IFNA(VLOOKUP('Rock Climbing Log'!F82,'RC Lookup'!$A$3:$B$9,2,FALSE),0.5),VLOOKUP('Rock Climbing Log'!F82,'RC Lookup'!$G$3:$H$5,2,FALSE)),0)*VLOOKUP(D$7,'RC Lookup'!$D$3:$E$18,2,FALSE)</f>
        <v>0</v>
      </c>
      <c r="G82" s="26">
        <f>_xlfn.IFNA(IF(LEFT('Rock Climbing Log'!G82)="C",_xlfn.IFNA(VLOOKUP('Rock Climbing Log'!G82,'RC Lookup'!$A$3:$B$9,2,FALSE),0.5),VLOOKUP('Rock Climbing Log'!G82,'RC Lookup'!$G$3:$H$5,2,FALSE)),0)*VLOOKUP(G$7,'RC Lookup'!$D$3:$E$18,2,FALSE)</f>
        <v>0</v>
      </c>
      <c r="H82" s="26">
        <f>_xlfn.IFNA(IF(LEFT('Rock Climbing Log'!H82)="C",_xlfn.IFNA(VLOOKUP('Rock Climbing Log'!H82,'RC Lookup'!$A$3:$B$9,2,FALSE),0.5),VLOOKUP('Rock Climbing Log'!H82,'RC Lookup'!$G$3:$H$5,2,FALSE)),0)*VLOOKUP(G$7,'RC Lookup'!$D$3:$E$18,2,FALSE)</f>
        <v>0</v>
      </c>
      <c r="I82" s="26">
        <f>_xlfn.IFNA(IF(LEFT('Rock Climbing Log'!I82)="C",_xlfn.IFNA(VLOOKUP('Rock Climbing Log'!I82,'RC Lookup'!$A$3:$B$9,2,FALSE),0.5),VLOOKUP('Rock Climbing Log'!I82,'RC Lookup'!$G$3:$H$5,2,FALSE)),0)*VLOOKUP(G$7,'RC Lookup'!$D$3:$E$18,2,FALSE)</f>
        <v>0</v>
      </c>
      <c r="J82" s="26">
        <f>_xlfn.IFNA(IF(LEFT('Rock Climbing Log'!J82)="C",_xlfn.IFNA(VLOOKUP('Rock Climbing Log'!J82,'RC Lookup'!$A$3:$B$9,2,FALSE),0.5),VLOOKUP('Rock Climbing Log'!J82,'RC Lookup'!$G$3:$H$5,2,FALSE)),0)*VLOOKUP(J$7,'RC Lookup'!$D$3:$E$18,2,FALSE)</f>
        <v>0</v>
      </c>
      <c r="K82" s="26">
        <f>_xlfn.IFNA(IF(LEFT('Rock Climbing Log'!K82)="C",_xlfn.IFNA(VLOOKUP('Rock Climbing Log'!K82,'RC Lookup'!$A$3:$B$9,2,FALSE),0.5),VLOOKUP('Rock Climbing Log'!K82,'RC Lookup'!$G$3:$H$5,2,FALSE)),0)*VLOOKUP(J$7,'RC Lookup'!$D$3:$E$18,2,FALSE)</f>
        <v>0</v>
      </c>
      <c r="L82" s="26">
        <f>_xlfn.IFNA(IF(LEFT('Rock Climbing Log'!L82)="C",_xlfn.IFNA(VLOOKUP('Rock Climbing Log'!L82,'RC Lookup'!$A$3:$B$9,2,FALSE),0.5),VLOOKUP('Rock Climbing Log'!L82,'RC Lookup'!$G$3:$H$5,2,FALSE)),0)*VLOOKUP(J$7,'RC Lookup'!$D$3:$E$18,2,FALSE)</f>
        <v>0</v>
      </c>
      <c r="M82" s="26">
        <f>_xlfn.IFNA(IF(LEFT('Rock Climbing Log'!M82)="C",_xlfn.IFNA(VLOOKUP('Rock Climbing Log'!M82,'RC Lookup'!$A$3:$B$9,2,FALSE),0.5),VLOOKUP('Rock Climbing Log'!M82,'RC Lookup'!$G$3:$H$5,2,FALSE)),0)*VLOOKUP(M$7,'RC Lookup'!$D$3:$E$18,2,FALSE)</f>
        <v>20.002500000000001</v>
      </c>
      <c r="N82" s="26">
        <f>_xlfn.IFNA(IF(LEFT('Rock Climbing Log'!N82)="C",_xlfn.IFNA(VLOOKUP('Rock Climbing Log'!N82,'RC Lookup'!$A$3:$B$9,2,FALSE),0.5),VLOOKUP('Rock Climbing Log'!N82,'RC Lookup'!$G$3:$H$5,2,FALSE)),0)*VLOOKUP(M$7,'RC Lookup'!$D$3:$E$18,2,FALSE)</f>
        <v>0</v>
      </c>
      <c r="O82" s="26">
        <f>_xlfn.IFNA(IF(LEFT('Rock Climbing Log'!O82)="C",_xlfn.IFNA(VLOOKUP('Rock Climbing Log'!O82,'RC Lookup'!$A$3:$B$9,2,FALSE),0.5),VLOOKUP('Rock Climbing Log'!O82,'RC Lookup'!$G$3:$H$5,2,FALSE)),0)*VLOOKUP(M$7,'RC Lookup'!$D$3:$E$18,2,FALSE)</f>
        <v>0</v>
      </c>
      <c r="P82" s="26">
        <f>_xlfn.IFNA(IF(LEFT('Rock Climbing Log'!P82)="C",_xlfn.IFNA(VLOOKUP('Rock Climbing Log'!P82,'RC Lookup'!$A$3:$B$9,2,FALSE),0.5),VLOOKUP('Rock Climbing Log'!P82,'RC Lookup'!$G$3:$H$5,2,FALSE)),0)*VLOOKUP(P$7,'RC Lookup'!$D$3:$E$18,2,FALSE)</f>
        <v>0</v>
      </c>
      <c r="Q82" s="26">
        <f>_xlfn.IFNA(IF(LEFT('Rock Climbing Log'!Q82)="C",_xlfn.IFNA(VLOOKUP('Rock Climbing Log'!Q82,'RC Lookup'!$A$3:$B$9,2,FALSE),0.5),VLOOKUP('Rock Climbing Log'!Q82,'RC Lookup'!$G$3:$H$5,2,FALSE)),0)*VLOOKUP(P$7,'RC Lookup'!$D$3:$E$18,2,FALSE)</f>
        <v>0</v>
      </c>
      <c r="R82" s="26">
        <f>_xlfn.IFNA(IF(LEFT('Rock Climbing Log'!R82)="C",_xlfn.IFNA(VLOOKUP('Rock Climbing Log'!R82,'RC Lookup'!$A$3:$B$9,2,FALSE),0.5),VLOOKUP('Rock Climbing Log'!R82,'RC Lookup'!$G$3:$H$5,2,FALSE)),0)*VLOOKUP(P$7,'RC Lookup'!$D$3:$E$18,2,FALSE)</f>
        <v>0</v>
      </c>
      <c r="S82" s="26">
        <f>_xlfn.IFNA(IF(LEFT('Rock Climbing Log'!S82)="C",_xlfn.IFNA(VLOOKUP('Rock Climbing Log'!S82,'RC Lookup'!$A$3:$B$9,2,FALSE),0.5),VLOOKUP('Rock Climbing Log'!S82,'RC Lookup'!$G$3:$H$5,2,FALSE)),0)*VLOOKUP(S$7,'RC Lookup'!$D$3:$E$18,2,FALSE)</f>
        <v>0</v>
      </c>
      <c r="T82" s="26">
        <f>_xlfn.IFNA(IF(LEFT('Rock Climbing Log'!T82)="C",_xlfn.IFNA(VLOOKUP('Rock Climbing Log'!T82,'RC Lookup'!$A$3:$B$9,2,FALSE),0.5),VLOOKUP('Rock Climbing Log'!T82,'RC Lookup'!$G$3:$H$5,2,FALSE)),0)*VLOOKUP(S$7,'RC Lookup'!$D$3:$E$18,2,FALSE)</f>
        <v>0</v>
      </c>
      <c r="U82" s="26">
        <f>_xlfn.IFNA(IF(LEFT('Rock Climbing Log'!U82)="C",_xlfn.IFNA(VLOOKUP('Rock Climbing Log'!U82,'RC Lookup'!$A$3:$B$9,2,FALSE),0.5),VLOOKUP('Rock Climbing Log'!U82,'RC Lookup'!$G$3:$H$5,2,FALSE)),0)*VLOOKUP(S$7,'RC Lookup'!$D$3:$E$18,2,FALSE)</f>
        <v>0</v>
      </c>
      <c r="V82" s="26">
        <f>_xlfn.IFNA(IF(LEFT('Rock Climbing Log'!V82)="C",_xlfn.IFNA(VLOOKUP('Rock Climbing Log'!V82,'RC Lookup'!$A$3:$B$9,2,FALSE),0.5),VLOOKUP('Rock Climbing Log'!V82,'RC Lookup'!$G$3:$H$5,2,FALSE)),0)*VLOOKUP(V$7,'RC Lookup'!$D$3:$E$18,2,FALSE)</f>
        <v>0</v>
      </c>
      <c r="W82" s="26">
        <f>_xlfn.IFNA(IF(LEFT('Rock Climbing Log'!W82)="C",_xlfn.IFNA(VLOOKUP('Rock Climbing Log'!W82,'RC Lookup'!$A$3:$B$9,2,FALSE),0.5),VLOOKUP('Rock Climbing Log'!W82,'RC Lookup'!$G$3:$H$5,2,FALSE)),0)*VLOOKUP(V$7,'RC Lookup'!$D$3:$E$18,2,FALSE)</f>
        <v>0</v>
      </c>
      <c r="X82" s="26">
        <f>_xlfn.IFNA(IF(LEFT('Rock Climbing Log'!X82)="C",_xlfn.IFNA(VLOOKUP('Rock Climbing Log'!X82,'RC Lookup'!$A$3:$B$9,2,FALSE),0.5),VLOOKUP('Rock Climbing Log'!X82,'RC Lookup'!$G$3:$H$5,2,FALSE)),0)*VLOOKUP(V$7,'RC Lookup'!$D$3:$E$18,2,FALSE)</f>
        <v>0</v>
      </c>
      <c r="Y82" s="26">
        <f>_xlfn.IFNA(IF(LEFT('Rock Climbing Log'!Y82)="C",_xlfn.IFNA(VLOOKUP('Rock Climbing Log'!Y82,'RC Lookup'!$A$3:$B$9,2,FALSE),0.5),VLOOKUP('Rock Climbing Log'!Y82,'RC Lookup'!$G$3:$H$5,2,FALSE)),0)*VLOOKUP(Y$7,'RC Lookup'!$D$3:$E$18,2,FALSE)</f>
        <v>0</v>
      </c>
      <c r="Z82" s="26">
        <f>_xlfn.IFNA(IF(LEFT('Rock Climbing Log'!Z82)="C",_xlfn.IFNA(VLOOKUP('Rock Climbing Log'!Z82,'RC Lookup'!$A$3:$B$9,2,FALSE),0.5),VLOOKUP('Rock Climbing Log'!Z82,'RC Lookup'!$G$3:$H$5,2,FALSE)),0)*VLOOKUP(Y$7,'RC Lookup'!$D$3:$E$18,2,FALSE)</f>
        <v>0</v>
      </c>
      <c r="AA82" s="26">
        <f>_xlfn.IFNA(IF(LEFT('Rock Climbing Log'!AA82)="C",_xlfn.IFNA(VLOOKUP('Rock Climbing Log'!AA82,'RC Lookup'!$A$3:$B$9,2,FALSE),0.5),VLOOKUP('Rock Climbing Log'!AA82,'RC Lookup'!$G$3:$H$5,2,FALSE)),0)*VLOOKUP(Y$7,'RC Lookup'!$D$3:$E$18,2,FALSE)</f>
        <v>0</v>
      </c>
      <c r="AB82" s="26">
        <f>_xlfn.IFNA(IF(LEFT('Rock Climbing Log'!AB82)="C",_xlfn.IFNA(VLOOKUP('Rock Climbing Log'!AB82,'RC Lookup'!$A$3:$B$9,2,FALSE),0.5),VLOOKUP('Rock Climbing Log'!AB82,'RC Lookup'!$G$3:$H$5,2,FALSE)),0)*VLOOKUP(AB$7,'RC Lookup'!$D$3:$E$18,2,FALSE)</f>
        <v>0</v>
      </c>
      <c r="AC82" s="26">
        <f>_xlfn.IFNA(IF(LEFT('Rock Climbing Log'!AC82)="C",_xlfn.IFNA(VLOOKUP('Rock Climbing Log'!AC82,'RC Lookup'!$A$3:$B$9,2,FALSE),0.5),VLOOKUP('Rock Climbing Log'!AC82,'RC Lookup'!$G$3:$H$5,2,FALSE)),0)*VLOOKUP(AB$7,'RC Lookup'!$D$3:$E$18,2,FALSE)</f>
        <v>0</v>
      </c>
      <c r="AD82" s="26">
        <f>_xlfn.IFNA(IF(LEFT('Rock Climbing Log'!AD82)="C",_xlfn.IFNA(VLOOKUP('Rock Climbing Log'!AD82,'RC Lookup'!$A$3:$B$9,2,FALSE),0.5),VLOOKUP('Rock Climbing Log'!AD82,'RC Lookup'!$G$3:$H$5,2,FALSE)),0)*VLOOKUP(AB$7,'RC Lookup'!$D$3:$E$18,2,FALSE)</f>
        <v>0</v>
      </c>
      <c r="AE82" s="26">
        <f>_xlfn.IFNA(IF(LEFT('Rock Climbing Log'!AE82)="C",_xlfn.IFNA(VLOOKUP('Rock Climbing Log'!AE82,'RC Lookup'!$A$3:$B$9,2,FALSE),0.5),VLOOKUP('Rock Climbing Log'!AE82,'RC Lookup'!$G$3:$H$5,2,FALSE)),0)*VLOOKUP(AE$7,'RC Lookup'!$D$3:$E$18,2,FALSE)</f>
        <v>0</v>
      </c>
      <c r="AF82" s="26">
        <f>_xlfn.IFNA(IF(LEFT('Rock Climbing Log'!AF82)="C",_xlfn.IFNA(VLOOKUP('Rock Climbing Log'!AF82,'RC Lookup'!$A$3:$B$9,2,FALSE),0.5),VLOOKUP('Rock Climbing Log'!AF82,'RC Lookup'!$G$3:$H$5,2,FALSE)),0)*VLOOKUP(AE$7,'RC Lookup'!$D$3:$E$18,2,FALSE)</f>
        <v>0</v>
      </c>
      <c r="AG82" s="26">
        <f>_xlfn.IFNA(IF(LEFT('Rock Climbing Log'!AG82)="C",_xlfn.IFNA(VLOOKUP('Rock Climbing Log'!AG82,'RC Lookup'!$A$3:$B$9,2,FALSE),0.5),VLOOKUP('Rock Climbing Log'!AG82,'RC Lookup'!$G$3:$H$5,2,FALSE)),0)*VLOOKUP(AE$7,'RC Lookup'!$D$3:$E$18,2,FALSE)</f>
        <v>0</v>
      </c>
      <c r="AH82" s="26">
        <f>_xlfn.IFNA(IF(LEFT('Rock Climbing Log'!AH82)="C",_xlfn.IFNA(VLOOKUP('Rock Climbing Log'!AH82,'RC Lookup'!$A$3:$B$9,2,FALSE),0.5),VLOOKUP('Rock Climbing Log'!AH82,'RC Lookup'!$G$3:$H$5,2,FALSE)),0)*VLOOKUP(AH$7,'RC Lookup'!$D$3:$E$18,2,FALSE)</f>
        <v>0</v>
      </c>
      <c r="AI82" s="26">
        <f>_xlfn.IFNA(IF(LEFT('Rock Climbing Log'!AI82)="C",_xlfn.IFNA(VLOOKUP('Rock Climbing Log'!AI82,'RC Lookup'!$A$3:$B$9,2,FALSE),0.5),VLOOKUP('Rock Climbing Log'!AI82,'RC Lookup'!$G$3:$H$5,2,FALSE)),0)*VLOOKUP(AH$7,'RC Lookup'!$D$3:$E$18,2,FALSE)</f>
        <v>0</v>
      </c>
      <c r="AJ82" s="26">
        <f>_xlfn.IFNA(IF(LEFT('Rock Climbing Log'!AJ82)="C",_xlfn.IFNA(VLOOKUP('Rock Climbing Log'!AJ82,'RC Lookup'!$A$3:$B$9,2,FALSE),0.5),VLOOKUP('Rock Climbing Log'!AJ82,'RC Lookup'!$G$3:$H$5,2,FALSE)),0)*VLOOKUP(AH$7,'RC Lookup'!$D$3:$E$18,2,FALSE)</f>
        <v>0</v>
      </c>
      <c r="AK82" s="26">
        <f>_xlfn.IFNA(IF(LEFT('Rock Climbing Log'!AK82)="C",_xlfn.IFNA(VLOOKUP('Rock Climbing Log'!AK82,'RC Lookup'!$A$3:$B$9,2,FALSE),0.5),VLOOKUP('Rock Climbing Log'!AK82,'RC Lookup'!$G$3:$H$5,2,FALSE)),0)*VLOOKUP(AK$7,'RC Lookup'!$D$3:$E$18,2,FALSE)</f>
        <v>110.15194611444596</v>
      </c>
      <c r="AL82" s="26">
        <f>_xlfn.IFNA(IF(LEFT('Rock Climbing Log'!AL82)="C",_xlfn.IFNA(VLOOKUP('Rock Climbing Log'!AL82,'RC Lookup'!$A$3:$B$9,2,FALSE),0.5),VLOOKUP('Rock Climbing Log'!AL82,'RC Lookup'!$G$3:$H$5,2,FALSE)),0)*VLOOKUP(AK$7,'RC Lookup'!$D$3:$E$18,2,FALSE)</f>
        <v>0</v>
      </c>
      <c r="AM82" s="26">
        <f>_xlfn.IFNA(IF(LEFT('Rock Climbing Log'!AM82)="C",_xlfn.IFNA(VLOOKUP('Rock Climbing Log'!AM82,'RC Lookup'!$A$3:$B$9,2,FALSE),0.5),VLOOKUP('Rock Climbing Log'!AM82,'RC Lookup'!$G$3:$H$5,2,FALSE)),0)*VLOOKUP(AK$7,'RC Lookup'!$D$3:$E$18,2,FALSE)</f>
        <v>0</v>
      </c>
      <c r="AN82" s="26">
        <f>_xlfn.IFNA(IF(LEFT('Rock Climbing Log'!AN82)="C",_xlfn.IFNA(VLOOKUP('Rock Climbing Log'!AN82,'RC Lookup'!$A$3:$B$9,2,FALSE),0.5),VLOOKUP('Rock Climbing Log'!AN82,'RC Lookup'!$G$3:$H$5,2,FALSE)),0)*VLOOKUP(AN$7,'RC Lookup'!$D$3:$E$18,2,FALSE)</f>
        <v>93.373733864628917</v>
      </c>
      <c r="AO82" s="26">
        <f>_xlfn.IFNA(IF(LEFT('Rock Climbing Log'!AO82)="C",_xlfn.IFNA(VLOOKUP('Rock Climbing Log'!AO82,'RC Lookup'!$A$3:$B$9,2,FALSE),0.5),VLOOKUP('Rock Climbing Log'!AO82,'RC Lookup'!$G$3:$H$5,2,FALSE)),0)*VLOOKUP(AN$7,'RC Lookup'!$D$3:$E$18,2,FALSE)</f>
        <v>0</v>
      </c>
      <c r="AP82" s="26">
        <f>_xlfn.IFNA(IF(LEFT('Rock Climbing Log'!AP82)="C",_xlfn.IFNA(VLOOKUP('Rock Climbing Log'!AP82,'RC Lookup'!$A$3:$B$9,2,FALSE),0.5),VLOOKUP('Rock Climbing Log'!AP82,'RC Lookup'!$G$3:$H$5,2,FALSE)),0)*VLOOKUP(AN$7,'RC Lookup'!$D$3:$E$18,2,FALSE)</f>
        <v>0</v>
      </c>
      <c r="AQ82" s="26">
        <f>_xlfn.IFNA(IF(LEFT('Rock Climbing Log'!AQ82)="C",_xlfn.IFNA(VLOOKUP('Rock Climbing Log'!AQ82,'RC Lookup'!$A$3:$B$9,2,FALSE),0.5),VLOOKUP('Rock Climbing Log'!AQ82,'RC Lookup'!$G$3:$H$5,2,FALSE)),0)*VLOOKUP(AQ$7,'RC Lookup'!$D$3:$E$18,2,FALSE)</f>
        <v>0</v>
      </c>
      <c r="AR82" s="26">
        <f>_xlfn.IFNA(IF(LEFT('Rock Climbing Log'!AR82)="C",_xlfn.IFNA(VLOOKUP('Rock Climbing Log'!AR82,'RC Lookup'!$A$3:$B$9,2,FALSE),0.5),VLOOKUP('Rock Climbing Log'!AR82,'RC Lookup'!$G$3:$H$5,2,FALSE)),0)*VLOOKUP(AQ$7,'RC Lookup'!$D$3:$E$18,2,FALSE)</f>
        <v>0</v>
      </c>
      <c r="AS82" s="26">
        <f>_xlfn.IFNA(IF(LEFT('Rock Climbing Log'!AS82)="C",_xlfn.IFNA(VLOOKUP('Rock Climbing Log'!AS82,'RC Lookup'!$A$3:$B$9,2,FALSE),0.5),VLOOKUP('Rock Climbing Log'!AS82,'RC Lookup'!$G$3:$H$5,2,FALSE)),0)*VLOOKUP(AQ$7,'RC Lookup'!$D$3:$E$18,2,FALSE)</f>
        <v>0</v>
      </c>
      <c r="AT82" s="26">
        <f>_xlfn.IFNA(IF(LEFT('Rock Climbing Log'!AT82)="C",_xlfn.IFNA(VLOOKUP('Rock Climbing Log'!AT82,'RC Lookup'!$A$3:$B$9,2,FALSE),0.5),VLOOKUP('Rock Climbing Log'!AT82,'RC Lookup'!$G$3:$H$5,2,FALSE)),0)*VLOOKUP(AT$7,'RC Lookup'!$D$3:$E$18,2,FALSE)</f>
        <v>0</v>
      </c>
      <c r="AU82" s="26">
        <f>_xlfn.IFNA(IF(LEFT('Rock Climbing Log'!AU82)="C",_xlfn.IFNA(VLOOKUP('Rock Climbing Log'!AU82,'RC Lookup'!$A$3:$B$9,2,FALSE),0.5),VLOOKUP('Rock Climbing Log'!AU82,'RC Lookup'!$G$3:$H$5,2,FALSE)),0)*VLOOKUP(AT$7,'RC Lookup'!$D$3:$E$18,2,FALSE)</f>
        <v>0</v>
      </c>
      <c r="AV82" s="26">
        <f>_xlfn.IFNA(IF(LEFT('Rock Climbing Log'!AV82)="C",_xlfn.IFNA(VLOOKUP('Rock Climbing Log'!AV82,'RC Lookup'!$A$3:$B$9,2,FALSE),0.5),VLOOKUP('Rock Climbing Log'!AV82,'RC Lookup'!$G$3:$H$5,2,FALSE)),0)*VLOOKUP(AT$7,'RC Lookup'!$D$3:$E$18,2,FALSE)</f>
        <v>0</v>
      </c>
      <c r="AW82" s="30">
        <f t="shared" ca="1" si="3"/>
        <v>223.52817997907488</v>
      </c>
      <c r="AX82" s="30">
        <f ca="1">_xlfn.IFNA(VLOOKUP(SUMPRODUCT(LARGE(($C$8:$C82=Table1[[#This Row],[Climber]])*$A$8:$A82,1)),$A$8:$AW82,MATCH($AW$7,$A$7:$AW$7,FALSE),FALSE),0)/LEFT($AX$7,FIND(" ",$AX$7))+_xlfn.IFNA(VLOOKUP(SUMPRODUCT(LARGE(($C$8:$C82=Table1[[#This Row],[Climber]])*$A$8:$A82,MIN(2,COUNTIFS($C$8:$C82,$C82)))),$A$8:$AW82,MATCH($AW$7,$A$7:$AW$7,FALSE),FALSE),0)/LEFT($AX$7,FIND(" ",$AX$7))+_xlfn.IFNA(VLOOKUP(SUMPRODUCT(LARGE(($C$8:$C82=Table1[[#This Row],[Climber]])*$A$8:$A82,MIN(3,COUNTIFS($C$8:$C82,$C82)))),$A$8:$AW82,MATCH($AW$7,$A$7:$AW$7,FALSE),FALSE),0)/LEFT($AX$7,FIND(" ",$AX$7))</f>
        <v>253.36486186063254</v>
      </c>
      <c r="AY82" s="30">
        <f ca="1">_xlfn.IFNA(VLOOKUP(SUMPRODUCT(LARGE(($C$8:$C82=Table1[[#This Row],[Climber]])*$A$8:$A82,1)),$A$8:$AW82,MATCH($AW$7,$A$7:$AW$7,FALSE),FALSE),0)/LEFT($AY$7,FIND(" ",$AY$7))+_xlfn.IFNA(VLOOKUP(SUMPRODUCT(LARGE(($C$8:$C82=Table1[[#This Row],[Climber]])*$A$8:$A82,MIN(2,COUNTIFS($C$8:$C82,$C82)))),$A$8:$AW82,MATCH($AW$7,$A$7:$AW$7,FALSE),FALSE),0)/LEFT($AY$7,FIND(" ",$AY$7))+_xlfn.IFNA(VLOOKUP(SUMPRODUCT(LARGE(($C$8:$C82=Table1[[#This Row],[Climber]])*$A$8:$A82,MIN(3,COUNTIFS($C$8:$C82,$C82)))),$A$8:$AW82,MATCH($AW$7,$A$7:$AW$7,FALSE),FALSE),0)/LEFT($AY$7,FIND(" ",$AY$7))+_xlfn.IFNA(VLOOKUP(SUMPRODUCT(LARGE(($C$8:$C82=Table1[[#This Row],[Climber]])*$A$8:$A82,MIN(4,COUNTIFS($C$8:$C82,$C82)))),$A$8:$AW82,MATCH($AW$7,$A$7:$AW$7,FALSE),FALSE),0)/LEFT($AY$7,FIND(" ",$AY$7))+_xlfn.IFNA(VLOOKUP(SUMPRODUCT(LARGE(($C$8:$C82=Table1[[#This Row],[Climber]])*$A$8:$A82,MIN(5,COUNTIFS($C$8:$C82,$C82)))),$A$8:$AW82,MATCH($AW$7,$A$7:$AW$7,FALSE),FALSE),0)/LEFT($AY$7,FIND(" ",$AY$7))</f>
        <v>238.56133573623819</v>
      </c>
      <c r="AZ82" s="30">
        <f ca="1">(_xlfn.IFNA(VLOOKUP(SUMPRODUCT(LARGE(($C$8:$C82=Table1[[#This Row],[Climber]])*$A$8:$A82,4)),$A$8:$AW82,MATCH($AW$7,$A$7:$AW$7,FALSE),FALSE),0)+_xlfn.IFNA(VLOOKUP(SUMPRODUCT(LARGE(($C$8:$C82=Table1[[#This Row],[Climber]])*$A$8:$A82,5)),$A$8:$AW82,MATCH($AW$7,$A$7:$AW$7,FALSE),FALSE),0)+_xlfn.IFNA(VLOOKUP(SUMPRODUCT(LARGE(($C$8:$C82=Table1[[#This Row],[Climber]])*$A$8:$A82,6)),$A$8:$AW82,MATCH($AW$7,$A$7:$AW$7,FALSE),FALSE),0))/3</f>
        <v>218.16788156502335</v>
      </c>
      <c r="BA82" s="46">
        <f ca="1">_xlfn.MAXIFS(INDIRECT("$AW"&amp;IF(SUMPRODUCT(LARGE(($C$8:$C82=$C82)*$A$8:$A82,LEFT($BA$7,FIND(" ",$BA$7)-1)))=0,8,SUMPRODUCT(LARGE(($C$8:$C82=$C82)*$A$8:$A82,LEFT($BA$7,FIND(" ",$BA$7)-1)))+7)&amp;":$AW"&amp;ROW()),INDIRECT("$C"&amp;IF(SUMPRODUCT(LARGE(($C$8:$C82=$C82)*$A$8:$A82,LEFT($BA$7,FIND(" ",$BA$7)-1)))=0,8,SUMPRODUCT(LARGE(($C$8:$C82=$C82)*$A$8:$A82,LEFT($BA$7,FIND(" ",$BA$7)-1)))+7)&amp;":$C"&amp;ROW()),$C82)</f>
        <v>293.29583260906884</v>
      </c>
      <c r="BB82" s="46" t="str">
        <f ca="1">VLOOKUP(MAX(BG82,$AX82),'RC Lookup'!$G$14:$J$20,2,TRUE)</f>
        <v>T5</v>
      </c>
      <c r="BC82" s="46">
        <f ca="1">_xlfn.IFNA(VLOOKUP(VLOOKUP($C82,'RC Lookup'!$O$3:$P$50,2,FALSE),'RC Lookup'!$H$14:$J$23,2,FALSE),0)*AW82</f>
        <v>67.642375786029532</v>
      </c>
      <c r="BD82" s="6">
        <f ca="1">_xlfn.IFNA(VLOOKUP(SUMPRODUCT(LARGE(($C$8:$C82=Table1[[#This Row],[Climber]])*$A$8:$A82,1)),$A$8:$BC82,55,FALSE),0)/LEFT($AX$7,FIND(" ",$AX$7))+_xlfn.IFNA(VLOOKUP(SUMPRODUCT(LARGE(($C$8:$C82=Table1[[#This Row],[Climber]])*$A$8:$A82,MIN(2,COUNTIFS($C$8:$C82,$C82)))),$A$8:$BC82,55,FALSE),0)/LEFT($AX$7,FIND(" ",$AX$7))+_xlfn.IFNA(VLOOKUP(SUMPRODUCT(LARGE(($C$8:$C82=Table1[[#This Row],[Climber]])*$A$8:$A82,MIN(3,COUNTIFS($C$8:$C82,$C82)))),$A$8:$BC82,55,FALSE),0)/LEFT($AX$7,FIND(" ",$AX$7))</f>
        <v>76.671322598147242</v>
      </c>
      <c r="BE82" s="6">
        <f ca="1">(_xlfn.IFNA(VLOOKUP(SUMPRODUCT(LARGE(($C$8:$C82=Table1[[#This Row],[Climber]])*$A$8:$A82,4)),$A$8:$BD82,55,FALSE),0)+_xlfn.IFNA(VLOOKUP(SUMPRODUCT(LARGE(($C$8:$C82=Table1[[#This Row],[Climber]])*$A$8:$A82,5)),$A$8:$BD82,55,FALSE),0)+_xlfn.IFNA(VLOOKUP(SUMPRODUCT(LARGE(($C$8:$C82=Table1[[#This Row],[Climber]])*$A$8:$A82,6)),$A$8:$BD82,55,FALSE),0))/3</f>
        <v>66.020283575184024</v>
      </c>
      <c r="BF82" s="46">
        <f ca="1">_xlfn.MAXIFS(INDIRECT("$BC"&amp;IF(SUMPRODUCT(LARGE(($C$8:$C82=$C82)*$A$8:$A82,LEFT($BA$7,FIND(" ",$BA$7)-1)))=0,8,SUMPRODUCT(LARGE(($C$8:$C82=$C82)*$A$8:$A82,LEFT($BA$7,FIND(" ",$BA$7)-1)))+7)&amp;":$BC"&amp;ROW()),INDIRECT("$C"&amp;IF(SUMPRODUCT(LARGE(($C$8:$C82=$C82)*$A$8:$A82,LEFT($BA$7,FIND(" ",$BA$7)-1)))=0,8,SUMPRODUCT(LARGE(($C$8:$C82=$C82)*$A$8:$A82,LEFT($BA$7,FIND(" ",$BA$7)-1)))+7)&amp;":$C"&amp;ROW()),$C82)</f>
        <v>88.754925341745547</v>
      </c>
      <c r="BG82" s="46">
        <f t="array" aca="1" ref="BG82" ca="1">IFERROR(SUMPRODUCT(LARGE(($C$8:$C82=Table1[[#This Row],[Climber]])*$AW$8:$AW82,ROW(INDIRECT("1:5")))),AW82)/MIN(COUNTIFS($C$8:$C82,C82),5)</f>
        <v>288.25557827583015</v>
      </c>
    </row>
    <row r="83" spans="1:59" x14ac:dyDescent="0.3">
      <c r="A83" s="125">
        <f t="shared" si="1"/>
        <v>76</v>
      </c>
      <c r="B83" s="25">
        <f>'Rock Climbing Log'!B83</f>
        <v>43170</v>
      </c>
      <c r="C83" s="126" t="str">
        <f>'Rock Climbing Log'!C83</f>
        <v>Edwin</v>
      </c>
      <c r="D83" s="26">
        <f>_xlfn.IFNA(IF(LEFT('Rock Climbing Log'!D83)="C",_xlfn.IFNA(VLOOKUP('Rock Climbing Log'!D83,'RC Lookup'!$A$3:$B$9,2,FALSE),0.5),VLOOKUP('Rock Climbing Log'!D83,'RC Lookup'!$G$3:$H$5,2,FALSE)),0)*VLOOKUP(D$7,'RC Lookup'!$D$3:$E$18,2,FALSE)</f>
        <v>0</v>
      </c>
      <c r="E83" s="26">
        <f>_xlfn.IFNA(IF(LEFT('Rock Climbing Log'!E83)="C",_xlfn.IFNA(VLOOKUP('Rock Climbing Log'!E83,'RC Lookup'!$A$3:$B$9,2,FALSE),0.5),VLOOKUP('Rock Climbing Log'!E83,'RC Lookup'!$G$3:$H$5,2,FALSE)),0)*VLOOKUP(D$7,'RC Lookup'!$D$3:$E$18,2,FALSE)</f>
        <v>0</v>
      </c>
      <c r="F83" s="26">
        <f>_xlfn.IFNA(IF(LEFT('Rock Climbing Log'!F83)="C",_xlfn.IFNA(VLOOKUP('Rock Climbing Log'!F83,'RC Lookup'!$A$3:$B$9,2,FALSE),0.5),VLOOKUP('Rock Climbing Log'!F83,'RC Lookup'!$G$3:$H$5,2,FALSE)),0)*VLOOKUP(D$7,'RC Lookup'!$D$3:$E$18,2,FALSE)</f>
        <v>0</v>
      </c>
      <c r="G83" s="26">
        <f>_xlfn.IFNA(IF(LEFT('Rock Climbing Log'!G83)="C",_xlfn.IFNA(VLOOKUP('Rock Climbing Log'!G83,'RC Lookup'!$A$3:$B$9,2,FALSE),0.5),VLOOKUP('Rock Climbing Log'!G83,'RC Lookup'!$G$3:$H$5,2,FALSE)),0)*VLOOKUP(G$7,'RC Lookup'!$D$3:$E$18,2,FALSE)</f>
        <v>0</v>
      </c>
      <c r="H83" s="26">
        <f>_xlfn.IFNA(IF(LEFT('Rock Climbing Log'!H83)="C",_xlfn.IFNA(VLOOKUP('Rock Climbing Log'!H83,'RC Lookup'!$A$3:$B$9,2,FALSE),0.5),VLOOKUP('Rock Climbing Log'!H83,'RC Lookup'!$G$3:$H$5,2,FALSE)),0)*VLOOKUP(G$7,'RC Lookup'!$D$3:$E$18,2,FALSE)</f>
        <v>0</v>
      </c>
      <c r="I83" s="26">
        <f>_xlfn.IFNA(IF(LEFT('Rock Climbing Log'!I83)="C",_xlfn.IFNA(VLOOKUP('Rock Climbing Log'!I83,'RC Lookup'!$A$3:$B$9,2,FALSE),0.5),VLOOKUP('Rock Climbing Log'!I83,'RC Lookup'!$G$3:$H$5,2,FALSE)),0)*VLOOKUP(G$7,'RC Lookup'!$D$3:$E$18,2,FALSE)</f>
        <v>0</v>
      </c>
      <c r="J83" s="26">
        <f>_xlfn.IFNA(IF(LEFT('Rock Climbing Log'!J83)="C",_xlfn.IFNA(VLOOKUP('Rock Climbing Log'!J83,'RC Lookup'!$A$3:$B$9,2,FALSE),0.5),VLOOKUP('Rock Climbing Log'!J83,'RC Lookup'!$G$3:$H$5,2,FALSE)),0)*VLOOKUP(J$7,'RC Lookup'!$D$3:$E$18,2,FALSE)</f>
        <v>0</v>
      </c>
      <c r="K83" s="26">
        <f>_xlfn.IFNA(IF(LEFT('Rock Climbing Log'!K83)="C",_xlfn.IFNA(VLOOKUP('Rock Climbing Log'!K83,'RC Lookup'!$A$3:$B$9,2,FALSE),0.5),VLOOKUP('Rock Climbing Log'!K83,'RC Lookup'!$G$3:$H$5,2,FALSE)),0)*VLOOKUP(J$7,'RC Lookup'!$D$3:$E$18,2,FALSE)</f>
        <v>0</v>
      </c>
      <c r="L83" s="26">
        <f>_xlfn.IFNA(IF(LEFT('Rock Climbing Log'!L83)="C",_xlfn.IFNA(VLOOKUP('Rock Climbing Log'!L83,'RC Lookup'!$A$3:$B$9,2,FALSE),0.5),VLOOKUP('Rock Climbing Log'!L83,'RC Lookup'!$G$3:$H$5,2,FALSE)),0)*VLOOKUP(J$7,'RC Lookup'!$D$3:$E$18,2,FALSE)</f>
        <v>0</v>
      </c>
      <c r="M83" s="26">
        <f>_xlfn.IFNA(IF(LEFT('Rock Climbing Log'!M83)="C",_xlfn.IFNA(VLOOKUP('Rock Climbing Log'!M83,'RC Lookup'!$A$3:$B$9,2,FALSE),0.5),VLOOKUP('Rock Climbing Log'!M83,'RC Lookup'!$G$3:$H$5,2,FALSE)),0)*VLOOKUP(M$7,'RC Lookup'!$D$3:$E$18,2,FALSE)</f>
        <v>20.002500000000001</v>
      </c>
      <c r="N83" s="26">
        <f>_xlfn.IFNA(IF(LEFT('Rock Climbing Log'!N83)="C",_xlfn.IFNA(VLOOKUP('Rock Climbing Log'!N83,'RC Lookup'!$A$3:$B$9,2,FALSE),0.5),VLOOKUP('Rock Climbing Log'!N83,'RC Lookup'!$G$3:$H$5,2,FALSE)),0)*VLOOKUP(M$7,'RC Lookup'!$D$3:$E$18,2,FALSE)</f>
        <v>0</v>
      </c>
      <c r="O83" s="26">
        <f>_xlfn.IFNA(IF(LEFT('Rock Climbing Log'!O83)="C",_xlfn.IFNA(VLOOKUP('Rock Climbing Log'!O83,'RC Lookup'!$A$3:$B$9,2,FALSE),0.5),VLOOKUP('Rock Climbing Log'!O83,'RC Lookup'!$G$3:$H$5,2,FALSE)),0)*VLOOKUP(M$7,'RC Lookup'!$D$3:$E$18,2,FALSE)</f>
        <v>0</v>
      </c>
      <c r="P83" s="26">
        <f>_xlfn.IFNA(IF(LEFT('Rock Climbing Log'!P83)="C",_xlfn.IFNA(VLOOKUP('Rock Climbing Log'!P83,'RC Lookup'!$A$3:$B$9,2,FALSE),0.5),VLOOKUP('Rock Climbing Log'!P83,'RC Lookup'!$G$3:$H$5,2,FALSE)),0)*VLOOKUP(P$7,'RC Lookup'!$D$3:$E$18,2,FALSE)</f>
        <v>0</v>
      </c>
      <c r="Q83" s="26">
        <f>_xlfn.IFNA(IF(LEFT('Rock Climbing Log'!Q83)="C",_xlfn.IFNA(VLOOKUP('Rock Climbing Log'!Q83,'RC Lookup'!$A$3:$B$9,2,FALSE),0.5),VLOOKUP('Rock Climbing Log'!Q83,'RC Lookup'!$G$3:$H$5,2,FALSE)),0)*VLOOKUP(P$7,'RC Lookup'!$D$3:$E$18,2,FALSE)</f>
        <v>0</v>
      </c>
      <c r="R83" s="26">
        <f>_xlfn.IFNA(IF(LEFT('Rock Climbing Log'!R83)="C",_xlfn.IFNA(VLOOKUP('Rock Climbing Log'!R83,'RC Lookup'!$A$3:$B$9,2,FALSE),0.5),VLOOKUP('Rock Climbing Log'!R83,'RC Lookup'!$G$3:$H$5,2,FALSE)),0)*VLOOKUP(P$7,'RC Lookup'!$D$3:$E$18,2,FALSE)</f>
        <v>0</v>
      </c>
      <c r="S83" s="26">
        <f>_xlfn.IFNA(IF(LEFT('Rock Climbing Log'!S83)="C",_xlfn.IFNA(VLOOKUP('Rock Climbing Log'!S83,'RC Lookup'!$A$3:$B$9,2,FALSE),0.5),VLOOKUP('Rock Climbing Log'!S83,'RC Lookup'!$G$3:$H$5,2,FALSE)),0)*VLOOKUP(S$7,'RC Lookup'!$D$3:$E$18,2,FALSE)</f>
        <v>0</v>
      </c>
      <c r="T83" s="26">
        <f>_xlfn.IFNA(IF(LEFT('Rock Climbing Log'!T83)="C",_xlfn.IFNA(VLOOKUP('Rock Climbing Log'!T83,'RC Lookup'!$A$3:$B$9,2,FALSE),0.5),VLOOKUP('Rock Climbing Log'!T83,'RC Lookup'!$G$3:$H$5,2,FALSE)),0)*VLOOKUP(S$7,'RC Lookup'!$D$3:$E$18,2,FALSE)</f>
        <v>0</v>
      </c>
      <c r="U83" s="26">
        <f>_xlfn.IFNA(IF(LEFT('Rock Climbing Log'!U83)="C",_xlfn.IFNA(VLOOKUP('Rock Climbing Log'!U83,'RC Lookup'!$A$3:$B$9,2,FALSE),0.5),VLOOKUP('Rock Climbing Log'!U83,'RC Lookup'!$G$3:$H$5,2,FALSE)),0)*VLOOKUP(S$7,'RC Lookup'!$D$3:$E$18,2,FALSE)</f>
        <v>0</v>
      </c>
      <c r="V83" s="26">
        <f>_xlfn.IFNA(IF(LEFT('Rock Climbing Log'!V83)="C",_xlfn.IFNA(VLOOKUP('Rock Climbing Log'!V83,'RC Lookup'!$A$3:$B$9,2,FALSE),0.5),VLOOKUP('Rock Climbing Log'!V83,'RC Lookup'!$G$3:$H$5,2,FALSE)),0)*VLOOKUP(V$7,'RC Lookup'!$D$3:$E$18,2,FALSE)</f>
        <v>31.731071168160021</v>
      </c>
      <c r="W83" s="26">
        <f>_xlfn.IFNA(IF(LEFT('Rock Climbing Log'!W83)="C",_xlfn.IFNA(VLOOKUP('Rock Climbing Log'!W83,'RC Lookup'!$A$3:$B$9,2,FALSE),0.5),VLOOKUP('Rock Climbing Log'!W83,'RC Lookup'!$G$3:$H$5,2,FALSE)),0)*VLOOKUP(V$7,'RC Lookup'!$D$3:$E$18,2,FALSE)</f>
        <v>17.628372871200011</v>
      </c>
      <c r="X83" s="26">
        <f>_xlfn.IFNA(IF(LEFT('Rock Climbing Log'!X83)="C",_xlfn.IFNA(VLOOKUP('Rock Climbing Log'!X83,'RC Lookup'!$A$3:$B$9,2,FALSE),0.5),VLOOKUP('Rock Climbing Log'!X83,'RC Lookup'!$G$3:$H$5,2,FALSE)),0)*VLOOKUP(V$7,'RC Lookup'!$D$3:$E$18,2,FALSE)</f>
        <v>0</v>
      </c>
      <c r="Y83" s="26">
        <f>_xlfn.IFNA(IF(LEFT('Rock Climbing Log'!Y83)="C",_xlfn.IFNA(VLOOKUP('Rock Climbing Log'!Y83,'RC Lookup'!$A$3:$B$9,2,FALSE),0.5),VLOOKUP('Rock Climbing Log'!Y83,'RC Lookup'!$G$3:$H$5,2,FALSE)),0)*VLOOKUP(Y$7,'RC Lookup'!$D$3:$E$18,2,FALSE)</f>
        <v>0</v>
      </c>
      <c r="Z83" s="26">
        <f>_xlfn.IFNA(IF(LEFT('Rock Climbing Log'!Z83)="C",_xlfn.IFNA(VLOOKUP('Rock Climbing Log'!Z83,'RC Lookup'!$A$3:$B$9,2,FALSE),0.5),VLOOKUP('Rock Climbing Log'!Z83,'RC Lookup'!$G$3:$H$5,2,FALSE)),0)*VLOOKUP(Y$7,'RC Lookup'!$D$3:$E$18,2,FALSE)</f>
        <v>0</v>
      </c>
      <c r="AA83" s="26">
        <f>_xlfn.IFNA(IF(LEFT('Rock Climbing Log'!AA83)="C",_xlfn.IFNA(VLOOKUP('Rock Climbing Log'!AA83,'RC Lookup'!$A$3:$B$9,2,FALSE),0.5),VLOOKUP('Rock Climbing Log'!AA83,'RC Lookup'!$G$3:$H$5,2,FALSE)),0)*VLOOKUP(Y$7,'RC Lookup'!$D$3:$E$18,2,FALSE)</f>
        <v>0</v>
      </c>
      <c r="AB83" s="26">
        <f>_xlfn.IFNA(IF(LEFT('Rock Climbing Log'!AB83)="C",_xlfn.IFNA(VLOOKUP('Rock Climbing Log'!AB83,'RC Lookup'!$A$3:$B$9,2,FALSE),0.5),VLOOKUP('Rock Climbing Log'!AB83,'RC Lookup'!$G$3:$H$5,2,FALSE)),0)*VLOOKUP(AB$7,'RC Lookup'!$D$3:$E$18,2,FALSE)</f>
        <v>0</v>
      </c>
      <c r="AC83" s="26">
        <f>_xlfn.IFNA(IF(LEFT('Rock Climbing Log'!AC83)="C",_xlfn.IFNA(VLOOKUP('Rock Climbing Log'!AC83,'RC Lookup'!$A$3:$B$9,2,FALSE),0.5),VLOOKUP('Rock Climbing Log'!AC83,'RC Lookup'!$G$3:$H$5,2,FALSE)),0)*VLOOKUP(AB$7,'RC Lookup'!$D$3:$E$18,2,FALSE)</f>
        <v>0</v>
      </c>
      <c r="AD83" s="26">
        <f>_xlfn.IFNA(IF(LEFT('Rock Climbing Log'!AD83)="C",_xlfn.IFNA(VLOOKUP('Rock Climbing Log'!AD83,'RC Lookup'!$A$3:$B$9,2,FALSE),0.5),VLOOKUP('Rock Climbing Log'!AD83,'RC Lookup'!$G$3:$H$5,2,FALSE)),0)*VLOOKUP(AB$7,'RC Lookup'!$D$3:$E$18,2,FALSE)</f>
        <v>0</v>
      </c>
      <c r="AE83" s="26">
        <f>_xlfn.IFNA(IF(LEFT('Rock Climbing Log'!AE83)="C",_xlfn.IFNA(VLOOKUP('Rock Climbing Log'!AE83,'RC Lookup'!$A$3:$B$9,2,FALSE),0.5),VLOOKUP('Rock Climbing Log'!AE83,'RC Lookup'!$G$3:$H$5,2,FALSE)),0)*VLOOKUP(AE$7,'RC Lookup'!$D$3:$E$18,2,FALSE)</f>
        <v>0</v>
      </c>
      <c r="AF83" s="26">
        <f>_xlfn.IFNA(IF(LEFT('Rock Climbing Log'!AF83)="C",_xlfn.IFNA(VLOOKUP('Rock Climbing Log'!AF83,'RC Lookup'!$A$3:$B$9,2,FALSE),0.5),VLOOKUP('Rock Climbing Log'!AF83,'RC Lookup'!$G$3:$H$5,2,FALSE)),0)*VLOOKUP(AE$7,'RC Lookup'!$D$3:$E$18,2,FALSE)</f>
        <v>0</v>
      </c>
      <c r="AG83" s="26">
        <f>_xlfn.IFNA(IF(LEFT('Rock Climbing Log'!AG83)="C",_xlfn.IFNA(VLOOKUP('Rock Climbing Log'!AG83,'RC Lookup'!$A$3:$B$9,2,FALSE),0.5),VLOOKUP('Rock Climbing Log'!AG83,'RC Lookup'!$G$3:$H$5,2,FALSE)),0)*VLOOKUP(AE$7,'RC Lookup'!$D$3:$E$18,2,FALSE)</f>
        <v>0</v>
      </c>
      <c r="AH83" s="26">
        <f>_xlfn.IFNA(IF(LEFT('Rock Climbing Log'!AH83)="C",_xlfn.IFNA(VLOOKUP('Rock Climbing Log'!AH83,'RC Lookup'!$A$3:$B$9,2,FALSE),0.5),VLOOKUP('Rock Climbing Log'!AH83,'RC Lookup'!$G$3:$H$5,2,FALSE)),0)*VLOOKUP(AH$7,'RC Lookup'!$D$3:$E$18,2,FALSE)</f>
        <v>43.028103950955455</v>
      </c>
      <c r="AI83" s="26">
        <f>_xlfn.IFNA(IF(LEFT('Rock Climbing Log'!AI83)="C",_xlfn.IFNA(VLOOKUP('Rock Climbing Log'!AI83,'RC Lookup'!$A$3:$B$9,2,FALSE),0.5),VLOOKUP('Rock Climbing Log'!AI83,'RC Lookup'!$G$3:$H$5,2,FALSE)),0)*VLOOKUP(AH$7,'RC Lookup'!$D$3:$E$18,2,FALSE)</f>
        <v>0</v>
      </c>
      <c r="AJ83" s="26">
        <f>_xlfn.IFNA(IF(LEFT('Rock Climbing Log'!AJ83)="C",_xlfn.IFNA(VLOOKUP('Rock Climbing Log'!AJ83,'RC Lookup'!$A$3:$B$9,2,FALSE),0.5),VLOOKUP('Rock Climbing Log'!AJ83,'RC Lookup'!$G$3:$H$5,2,FALSE)),0)*VLOOKUP(AH$7,'RC Lookup'!$D$3:$E$18,2,FALSE)</f>
        <v>0</v>
      </c>
      <c r="AK83" s="26">
        <f>_xlfn.IFNA(IF(LEFT('Rock Climbing Log'!AK83)="C",_xlfn.IFNA(VLOOKUP('Rock Climbing Log'!AK83,'RC Lookup'!$A$3:$B$9,2,FALSE),0.5),VLOOKUP('Rock Climbing Log'!AK83,'RC Lookup'!$G$3:$H$5,2,FALSE)),0)*VLOOKUP(AK$7,'RC Lookup'!$D$3:$E$18,2,FALSE)</f>
        <v>0</v>
      </c>
      <c r="AL83" s="26">
        <f>_xlfn.IFNA(IF(LEFT('Rock Climbing Log'!AL83)="C",_xlfn.IFNA(VLOOKUP('Rock Climbing Log'!AL83,'RC Lookup'!$A$3:$B$9,2,FALSE),0.5),VLOOKUP('Rock Climbing Log'!AL83,'RC Lookup'!$G$3:$H$5,2,FALSE)),0)*VLOOKUP(AK$7,'RC Lookup'!$D$3:$E$18,2,FALSE)</f>
        <v>0</v>
      </c>
      <c r="AM83" s="26">
        <f>_xlfn.IFNA(IF(LEFT('Rock Climbing Log'!AM83)="C",_xlfn.IFNA(VLOOKUP('Rock Climbing Log'!AM83,'RC Lookup'!$A$3:$B$9,2,FALSE),0.5),VLOOKUP('Rock Climbing Log'!AM83,'RC Lookup'!$G$3:$H$5,2,FALSE)),0)*VLOOKUP(AK$7,'RC Lookup'!$D$3:$E$18,2,FALSE)</f>
        <v>0</v>
      </c>
      <c r="AN83" s="26">
        <f>_xlfn.IFNA(IF(LEFT('Rock Climbing Log'!AN83)="C",_xlfn.IFNA(VLOOKUP('Rock Climbing Log'!AN83,'RC Lookup'!$A$3:$B$9,2,FALSE),0.5),VLOOKUP('Rock Climbing Log'!AN83,'RC Lookup'!$G$3:$H$5,2,FALSE)),0)*VLOOKUP(AN$7,'RC Lookup'!$D$3:$E$18,2,FALSE)</f>
        <v>0</v>
      </c>
      <c r="AO83" s="26">
        <f>_xlfn.IFNA(IF(LEFT('Rock Climbing Log'!AO83)="C",_xlfn.IFNA(VLOOKUP('Rock Climbing Log'!AO83,'RC Lookup'!$A$3:$B$9,2,FALSE),0.5),VLOOKUP('Rock Climbing Log'!AO83,'RC Lookup'!$G$3:$H$5,2,FALSE)),0)*VLOOKUP(AN$7,'RC Lookup'!$D$3:$E$18,2,FALSE)</f>
        <v>0</v>
      </c>
      <c r="AP83" s="26">
        <f>_xlfn.IFNA(IF(LEFT('Rock Climbing Log'!AP83)="C",_xlfn.IFNA(VLOOKUP('Rock Climbing Log'!AP83,'RC Lookup'!$A$3:$B$9,2,FALSE),0.5),VLOOKUP('Rock Climbing Log'!AP83,'RC Lookup'!$G$3:$H$5,2,FALSE)),0)*VLOOKUP(AN$7,'RC Lookup'!$D$3:$E$18,2,FALSE)</f>
        <v>0</v>
      </c>
      <c r="AQ83" s="26">
        <f>_xlfn.IFNA(IF(LEFT('Rock Climbing Log'!AQ83)="C",_xlfn.IFNA(VLOOKUP('Rock Climbing Log'!AQ83,'RC Lookup'!$A$3:$B$9,2,FALSE),0.5),VLOOKUP('Rock Climbing Log'!AQ83,'RC Lookup'!$G$3:$H$5,2,FALSE)),0)*VLOOKUP(AQ$7,'RC Lookup'!$D$3:$E$18,2,FALSE)</f>
        <v>0</v>
      </c>
      <c r="AR83" s="26">
        <f>_xlfn.IFNA(IF(LEFT('Rock Climbing Log'!AR83)="C",_xlfn.IFNA(VLOOKUP('Rock Climbing Log'!AR83,'RC Lookup'!$A$3:$B$9,2,FALSE),0.5),VLOOKUP('Rock Climbing Log'!AR83,'RC Lookup'!$G$3:$H$5,2,FALSE)),0)*VLOOKUP(AQ$7,'RC Lookup'!$D$3:$E$18,2,FALSE)</f>
        <v>0</v>
      </c>
      <c r="AS83" s="26">
        <f>_xlfn.IFNA(IF(LEFT('Rock Climbing Log'!AS83)="C",_xlfn.IFNA(VLOOKUP('Rock Climbing Log'!AS83,'RC Lookup'!$A$3:$B$9,2,FALSE),0.5),VLOOKUP('Rock Climbing Log'!AS83,'RC Lookup'!$G$3:$H$5,2,FALSE)),0)*VLOOKUP(AQ$7,'RC Lookup'!$D$3:$E$18,2,FALSE)</f>
        <v>0</v>
      </c>
      <c r="AT83" s="26">
        <f>_xlfn.IFNA(IF(LEFT('Rock Climbing Log'!AT83)="C",_xlfn.IFNA(VLOOKUP('Rock Climbing Log'!AT83,'RC Lookup'!$A$3:$B$9,2,FALSE),0.5),VLOOKUP('Rock Climbing Log'!AT83,'RC Lookup'!$G$3:$H$5,2,FALSE)),0)*VLOOKUP(AT$7,'RC Lookup'!$D$3:$E$18,2,FALSE)</f>
        <v>0</v>
      </c>
      <c r="AU83" s="26">
        <f>_xlfn.IFNA(IF(LEFT('Rock Climbing Log'!AU83)="C",_xlfn.IFNA(VLOOKUP('Rock Climbing Log'!AU83,'RC Lookup'!$A$3:$B$9,2,FALSE),0.5),VLOOKUP('Rock Climbing Log'!AU83,'RC Lookup'!$G$3:$H$5,2,FALSE)),0)*VLOOKUP(AT$7,'RC Lookup'!$D$3:$E$18,2,FALSE)</f>
        <v>0</v>
      </c>
      <c r="AV83" s="26">
        <f>_xlfn.IFNA(IF(LEFT('Rock Climbing Log'!AV83)="C",_xlfn.IFNA(VLOOKUP('Rock Climbing Log'!AV83,'RC Lookup'!$A$3:$B$9,2,FALSE),0.5),VLOOKUP('Rock Climbing Log'!AV83,'RC Lookup'!$G$3:$H$5,2,FALSE)),0)*VLOOKUP(AT$7,'RC Lookup'!$D$3:$E$18,2,FALSE)</f>
        <v>0</v>
      </c>
      <c r="AW83" s="30">
        <f t="shared" ca="1" si="3"/>
        <v>94.761675119115466</v>
      </c>
      <c r="AX83" s="30">
        <f ca="1">_xlfn.IFNA(VLOOKUP(SUMPRODUCT(LARGE(($C$8:$C83=Table1[[#This Row],[Climber]])*$A$8:$A83,1)),$A$8:$AW83,MATCH($AW$7,$A$7:$AW$7,FALSE),FALSE),0)/LEFT($AX$7,FIND(" ",$AX$7))+_xlfn.IFNA(VLOOKUP(SUMPRODUCT(LARGE(($C$8:$C83=Table1[[#This Row],[Climber]])*$A$8:$A83,MIN(2,COUNTIFS($C$8:$C83,$C83)))),$A$8:$AW83,MATCH($AW$7,$A$7:$AW$7,FALSE),FALSE),0)/LEFT($AX$7,FIND(" ",$AX$7))+_xlfn.IFNA(VLOOKUP(SUMPRODUCT(LARGE(($C$8:$C83=Table1[[#This Row],[Climber]])*$A$8:$A83,MIN(3,COUNTIFS($C$8:$C83,$C83)))),$A$8:$AW83,MATCH($AW$7,$A$7:$AW$7,FALSE),FALSE),0)/LEFT($AX$7,FIND(" ",$AX$7))</f>
        <v>96.134028064416142</v>
      </c>
      <c r="AY83" s="30">
        <f ca="1">_xlfn.IFNA(VLOOKUP(SUMPRODUCT(LARGE(($C$8:$C83=Table1[[#This Row],[Climber]])*$A$8:$A83,1)),$A$8:$AW83,MATCH($AW$7,$A$7:$AW$7,FALSE),FALSE),0)/LEFT($AY$7,FIND(" ",$AY$7))+_xlfn.IFNA(VLOOKUP(SUMPRODUCT(LARGE(($C$8:$C83=Table1[[#This Row],[Climber]])*$A$8:$A83,MIN(2,COUNTIFS($C$8:$C83,$C83)))),$A$8:$AW83,MATCH($AW$7,$A$7:$AW$7,FALSE),FALSE),0)/LEFT($AY$7,FIND(" ",$AY$7))+_xlfn.IFNA(VLOOKUP(SUMPRODUCT(LARGE(($C$8:$C83=Table1[[#This Row],[Climber]])*$A$8:$A83,MIN(3,COUNTIFS($C$8:$C83,$C83)))),$A$8:$AW83,MATCH($AW$7,$A$7:$AW$7,FALSE),FALSE),0)/LEFT($AY$7,FIND(" ",$AY$7))+_xlfn.IFNA(VLOOKUP(SUMPRODUCT(LARGE(($C$8:$C83=Table1[[#This Row],[Climber]])*$A$8:$A83,MIN(4,COUNTIFS($C$8:$C83,$C83)))),$A$8:$AW83,MATCH($AW$7,$A$7:$AW$7,FALSE),FALSE),0)/LEFT($AY$7,FIND(" ",$AY$7))+_xlfn.IFNA(VLOOKUP(SUMPRODUCT(LARGE(($C$8:$C83=Table1[[#This Row],[Climber]])*$A$8:$A83,MIN(5,COUNTIFS($C$8:$C83,$C83)))),$A$8:$AW83,MATCH($AW$7,$A$7:$AW$7,FALSE),FALSE),0)/LEFT($AY$7,FIND(" ",$AY$7))</f>
        <v>99.194765838169559</v>
      </c>
      <c r="AZ83" s="30">
        <f ca="1">(_xlfn.IFNA(VLOOKUP(SUMPRODUCT(LARGE(($C$8:$C83=Table1[[#This Row],[Climber]])*$A$8:$A83,4)),$A$8:$AW83,MATCH($AW$7,$A$7:$AW$7,FALSE),FALSE),0)+_xlfn.IFNA(VLOOKUP(SUMPRODUCT(LARGE(($C$8:$C83=Table1[[#This Row],[Climber]])*$A$8:$A83,5)),$A$8:$AW83,MATCH($AW$7,$A$7:$AW$7,FALSE),FALSE),0)+_xlfn.IFNA(VLOOKUP(SUMPRODUCT(LARGE(($C$8:$C83=Table1[[#This Row],[Climber]])*$A$8:$A83,6)),$A$8:$AW83,MATCH($AW$7,$A$7:$AW$7,FALSE),FALSE),0))/3</f>
        <v>99.362578827466493</v>
      </c>
      <c r="BA83" s="46">
        <f ca="1">_xlfn.MAXIFS(INDIRECT("$AW"&amp;IF(SUMPRODUCT(LARGE(($C$8:$C83=$C83)*$A$8:$A83,LEFT($BA$7,FIND(" ",$BA$7)-1)))=0,8,SUMPRODUCT(LARGE(($C$8:$C83=$C83)*$A$8:$A83,LEFT($BA$7,FIND(" ",$BA$7)-1)))+7)&amp;":$AW"&amp;ROW()),INDIRECT("$C"&amp;IF(SUMPRODUCT(LARGE(($C$8:$C83=$C83)*$A$8:$A83,LEFT($BA$7,FIND(" ",$BA$7)-1)))=0,8,SUMPRODUCT(LARGE(($C$8:$C83=$C83)*$A$8:$A83,LEFT($BA$7,FIND(" ",$BA$7)-1)))+7)&amp;":$C"&amp;ROW()),$C83)</f>
        <v>103.12441758933291</v>
      </c>
      <c r="BB83" s="46" t="str">
        <f ca="1">VLOOKUP(MAX(BG83,$AX83),'RC Lookup'!$G$14:$J$20,2,TRUE)</f>
        <v>T3</v>
      </c>
      <c r="BC83" s="46">
        <f ca="1">_xlfn.IFNA(VLOOKUP(VLOOKUP($C83,'RC Lookup'!$O$3:$P$50,2,FALSE),'RC Lookup'!$H$14:$J$23,2,FALSE),0)*AW83</f>
        <v>72.720782430476589</v>
      </c>
      <c r="BD83" s="6">
        <f ca="1">_xlfn.IFNA(VLOOKUP(SUMPRODUCT(LARGE(($C$8:$C83=Table1[[#This Row],[Climber]])*$A$8:$A83,1)),$A$8:$BC83,55,FALSE),0)/LEFT($AX$7,FIND(" ",$AX$7))+_xlfn.IFNA(VLOOKUP(SUMPRODUCT(LARGE(($C$8:$C83=Table1[[#This Row],[Climber]])*$A$8:$A83,MIN(2,COUNTIFS($C$8:$C83,$C83)))),$A$8:$BC83,55,FALSE),0)/LEFT($AX$7,FIND(" ",$AX$7))+_xlfn.IFNA(VLOOKUP(SUMPRODUCT(LARGE(($C$8:$C83=Table1[[#This Row],[Climber]])*$A$8:$A83,MIN(3,COUNTIFS($C$8:$C83,$C83)))),$A$8:$BC83,55,FALSE),0)/LEFT($AX$7,FIND(" ",$AX$7))</f>
        <v>73.773935826378334</v>
      </c>
      <c r="BE83" s="6">
        <f ca="1">(_xlfn.IFNA(VLOOKUP(SUMPRODUCT(LARGE(($C$8:$C83=Table1[[#This Row],[Climber]])*$A$8:$A83,4)),$A$8:$BD83,55,FALSE),0)+_xlfn.IFNA(VLOOKUP(SUMPRODUCT(LARGE(($C$8:$C83=Table1[[#This Row],[Climber]])*$A$8:$A83,5)),$A$8:$BD83,55,FALSE),0)+_xlfn.IFNA(VLOOKUP(SUMPRODUCT(LARGE(($C$8:$C83=Table1[[#This Row],[Climber]])*$A$8:$A83,6)),$A$8:$BD83,55,FALSE),0))/3</f>
        <v>76.251548609293067</v>
      </c>
      <c r="BF83" s="46">
        <f ca="1">_xlfn.MAXIFS(INDIRECT("$BC"&amp;IF(SUMPRODUCT(LARGE(($C$8:$C83=$C83)*$A$8:$A83,LEFT($BA$7,FIND(" ",$BA$7)-1)))=0,8,SUMPRODUCT(LARGE(($C$8:$C83=$C83)*$A$8:$A83,LEFT($BA$7,FIND(" ",$BA$7)-1)))+7)&amp;":$BC"&amp;ROW()),INDIRECT("$C"&amp;IF(SUMPRODUCT(LARGE(($C$8:$C83=$C83)*$A$8:$A83,LEFT($BA$7,FIND(" ",$BA$7)-1)))=0,8,SUMPRODUCT(LARGE(($C$8:$C83=$C83)*$A$8:$A83,LEFT($BA$7,FIND(" ",$BA$7)-1)))+7)&amp;":$C"&amp;ROW()),$C83)</f>
        <v>79.138410389610385</v>
      </c>
      <c r="BG83" s="46">
        <f t="array" aca="1" ref="BG83" ca="1">IFERROR(SUMPRODUCT(LARGE(($C$8:$C83=Table1[[#This Row],[Climber]])*$AW$8:$AW83,ROW(INDIRECT("1:5")))),AW83)/MIN(COUNTIFS($C$8:$C83,C83),5)</f>
        <v>104.58761576386057</v>
      </c>
    </row>
    <row r="84" spans="1:59" x14ac:dyDescent="0.3">
      <c r="A84" s="125">
        <f t="shared" si="1"/>
        <v>77</v>
      </c>
      <c r="B84" s="25">
        <f>'Rock Climbing Log'!B84</f>
        <v>43173</v>
      </c>
      <c r="C84" s="126" t="str">
        <f>'Rock Climbing Log'!C84</f>
        <v>Lester</v>
      </c>
      <c r="D84" s="26">
        <f>_xlfn.IFNA(IF(LEFT('Rock Climbing Log'!D84)="C",_xlfn.IFNA(VLOOKUP('Rock Climbing Log'!D84,'RC Lookup'!$A$3:$B$9,2,FALSE),0.5),VLOOKUP('Rock Climbing Log'!D84,'RC Lookup'!$G$3:$H$5,2,FALSE)),0)*VLOOKUP(D$7,'RC Lookup'!$D$3:$E$18,2,FALSE)</f>
        <v>0</v>
      </c>
      <c r="E84" s="26">
        <f>_xlfn.IFNA(IF(LEFT('Rock Climbing Log'!E84)="C",_xlfn.IFNA(VLOOKUP('Rock Climbing Log'!E84,'RC Lookup'!$A$3:$B$9,2,FALSE),0.5),VLOOKUP('Rock Climbing Log'!E84,'RC Lookup'!$G$3:$H$5,2,FALSE)),0)*VLOOKUP(D$7,'RC Lookup'!$D$3:$E$18,2,FALSE)</f>
        <v>0</v>
      </c>
      <c r="F84" s="26">
        <f>_xlfn.IFNA(IF(LEFT('Rock Climbing Log'!F84)="C",_xlfn.IFNA(VLOOKUP('Rock Climbing Log'!F84,'RC Lookup'!$A$3:$B$9,2,FALSE),0.5),VLOOKUP('Rock Climbing Log'!F84,'RC Lookup'!$G$3:$H$5,2,FALSE)),0)*VLOOKUP(D$7,'RC Lookup'!$D$3:$E$18,2,FALSE)</f>
        <v>0</v>
      </c>
      <c r="G84" s="26">
        <f>_xlfn.IFNA(IF(LEFT('Rock Climbing Log'!G84)="C",_xlfn.IFNA(VLOOKUP('Rock Climbing Log'!G84,'RC Lookup'!$A$3:$B$9,2,FALSE),0.5),VLOOKUP('Rock Climbing Log'!G84,'RC Lookup'!$G$3:$H$5,2,FALSE)),0)*VLOOKUP(G$7,'RC Lookup'!$D$3:$E$18,2,FALSE)</f>
        <v>0</v>
      </c>
      <c r="H84" s="26">
        <f>_xlfn.IFNA(IF(LEFT('Rock Climbing Log'!H84)="C",_xlfn.IFNA(VLOOKUP('Rock Climbing Log'!H84,'RC Lookup'!$A$3:$B$9,2,FALSE),0.5),VLOOKUP('Rock Climbing Log'!H84,'RC Lookup'!$G$3:$H$5,2,FALSE)),0)*VLOOKUP(G$7,'RC Lookup'!$D$3:$E$18,2,FALSE)</f>
        <v>0</v>
      </c>
      <c r="I84" s="26">
        <f>_xlfn.IFNA(IF(LEFT('Rock Climbing Log'!I84)="C",_xlfn.IFNA(VLOOKUP('Rock Climbing Log'!I84,'RC Lookup'!$A$3:$B$9,2,FALSE),0.5),VLOOKUP('Rock Climbing Log'!I84,'RC Lookup'!$G$3:$H$5,2,FALSE)),0)*VLOOKUP(G$7,'RC Lookup'!$D$3:$E$18,2,FALSE)</f>
        <v>0</v>
      </c>
      <c r="J84" s="26">
        <f>_xlfn.IFNA(IF(LEFT('Rock Climbing Log'!J84)="C",_xlfn.IFNA(VLOOKUP('Rock Climbing Log'!J84,'RC Lookup'!$A$3:$B$9,2,FALSE),0.5),VLOOKUP('Rock Climbing Log'!J84,'RC Lookup'!$G$3:$H$5,2,FALSE)),0)*VLOOKUP(J$7,'RC Lookup'!$D$3:$E$18,2,FALSE)</f>
        <v>0</v>
      </c>
      <c r="K84" s="26">
        <f>_xlfn.IFNA(IF(LEFT('Rock Climbing Log'!K84)="C",_xlfn.IFNA(VLOOKUP('Rock Climbing Log'!K84,'RC Lookup'!$A$3:$B$9,2,FALSE),0.5),VLOOKUP('Rock Climbing Log'!K84,'RC Lookup'!$G$3:$H$5,2,FALSE)),0)*VLOOKUP(J$7,'RC Lookup'!$D$3:$E$18,2,FALSE)</f>
        <v>0</v>
      </c>
      <c r="L84" s="26">
        <f>_xlfn.IFNA(IF(LEFT('Rock Climbing Log'!L84)="C",_xlfn.IFNA(VLOOKUP('Rock Climbing Log'!L84,'RC Lookup'!$A$3:$B$9,2,FALSE),0.5),VLOOKUP('Rock Climbing Log'!L84,'RC Lookup'!$G$3:$H$5,2,FALSE)),0)*VLOOKUP(J$7,'RC Lookup'!$D$3:$E$18,2,FALSE)</f>
        <v>0</v>
      </c>
      <c r="M84" s="26">
        <f>_xlfn.IFNA(IF(LEFT('Rock Climbing Log'!M84)="C",_xlfn.IFNA(VLOOKUP('Rock Climbing Log'!M84,'RC Lookup'!$A$3:$B$9,2,FALSE),0.5),VLOOKUP('Rock Climbing Log'!M84,'RC Lookup'!$G$3:$H$5,2,FALSE)),0)*VLOOKUP(M$7,'RC Lookup'!$D$3:$E$18,2,FALSE)</f>
        <v>0</v>
      </c>
      <c r="N84" s="26">
        <f>_xlfn.IFNA(IF(LEFT('Rock Climbing Log'!N84)="C",_xlfn.IFNA(VLOOKUP('Rock Climbing Log'!N84,'RC Lookup'!$A$3:$B$9,2,FALSE),0.5),VLOOKUP('Rock Climbing Log'!N84,'RC Lookup'!$G$3:$H$5,2,FALSE)),0)*VLOOKUP(M$7,'RC Lookup'!$D$3:$E$18,2,FALSE)</f>
        <v>0</v>
      </c>
      <c r="O84" s="26">
        <f>_xlfn.IFNA(IF(LEFT('Rock Climbing Log'!O84)="C",_xlfn.IFNA(VLOOKUP('Rock Climbing Log'!O84,'RC Lookup'!$A$3:$B$9,2,FALSE),0.5),VLOOKUP('Rock Climbing Log'!O84,'RC Lookup'!$G$3:$H$5,2,FALSE)),0)*VLOOKUP(M$7,'RC Lookup'!$D$3:$E$18,2,FALSE)</f>
        <v>0</v>
      </c>
      <c r="P84" s="26">
        <f>_xlfn.IFNA(IF(LEFT('Rock Climbing Log'!P84)="C",_xlfn.IFNA(VLOOKUP('Rock Climbing Log'!P84,'RC Lookup'!$A$3:$B$9,2,FALSE),0.5),VLOOKUP('Rock Climbing Log'!P84,'RC Lookup'!$G$3:$H$5,2,FALSE)),0)*VLOOKUP(P$7,'RC Lookup'!$D$3:$E$18,2,FALSE)</f>
        <v>0</v>
      </c>
      <c r="Q84" s="26">
        <f>_xlfn.IFNA(IF(LEFT('Rock Climbing Log'!Q84)="C",_xlfn.IFNA(VLOOKUP('Rock Climbing Log'!Q84,'RC Lookup'!$A$3:$B$9,2,FALSE),0.5),VLOOKUP('Rock Climbing Log'!Q84,'RC Lookup'!$G$3:$H$5,2,FALSE)),0)*VLOOKUP(P$7,'RC Lookup'!$D$3:$E$18,2,FALSE)</f>
        <v>0</v>
      </c>
      <c r="R84" s="26">
        <f>_xlfn.IFNA(IF(LEFT('Rock Climbing Log'!R84)="C",_xlfn.IFNA(VLOOKUP('Rock Climbing Log'!R84,'RC Lookup'!$A$3:$B$9,2,FALSE),0.5),VLOOKUP('Rock Climbing Log'!R84,'RC Lookup'!$G$3:$H$5,2,FALSE)),0)*VLOOKUP(P$7,'RC Lookup'!$D$3:$E$18,2,FALSE)</f>
        <v>0</v>
      </c>
      <c r="S84" s="26">
        <f>_xlfn.IFNA(IF(LEFT('Rock Climbing Log'!S84)="C",_xlfn.IFNA(VLOOKUP('Rock Climbing Log'!S84,'RC Lookup'!$A$3:$B$9,2,FALSE),0.5),VLOOKUP('Rock Climbing Log'!S84,'RC Lookup'!$G$3:$H$5,2,FALSE)),0)*VLOOKUP(S$7,'RC Lookup'!$D$3:$E$18,2,FALSE)</f>
        <v>0</v>
      </c>
      <c r="T84" s="26">
        <f>_xlfn.IFNA(IF(LEFT('Rock Climbing Log'!T84)="C",_xlfn.IFNA(VLOOKUP('Rock Climbing Log'!T84,'RC Lookup'!$A$3:$B$9,2,FALSE),0.5),VLOOKUP('Rock Climbing Log'!T84,'RC Lookup'!$G$3:$H$5,2,FALSE)),0)*VLOOKUP(S$7,'RC Lookup'!$D$3:$E$18,2,FALSE)</f>
        <v>0</v>
      </c>
      <c r="U84" s="26">
        <f>_xlfn.IFNA(IF(LEFT('Rock Climbing Log'!U84)="C",_xlfn.IFNA(VLOOKUP('Rock Climbing Log'!U84,'RC Lookup'!$A$3:$B$9,2,FALSE),0.5),VLOOKUP('Rock Climbing Log'!U84,'RC Lookup'!$G$3:$H$5,2,FALSE)),0)*VLOOKUP(S$7,'RC Lookup'!$D$3:$E$18,2,FALSE)</f>
        <v>0</v>
      </c>
      <c r="V84" s="26">
        <f>_xlfn.IFNA(IF(LEFT('Rock Climbing Log'!V84)="C",_xlfn.IFNA(VLOOKUP('Rock Climbing Log'!V84,'RC Lookup'!$A$3:$B$9,2,FALSE),0.5),VLOOKUP('Rock Climbing Log'!V84,'RC Lookup'!$G$3:$H$5,2,FALSE)),0)*VLOOKUP(V$7,'RC Lookup'!$D$3:$E$18,2,FALSE)</f>
        <v>0</v>
      </c>
      <c r="W84" s="26">
        <f>_xlfn.IFNA(IF(LEFT('Rock Climbing Log'!W84)="C",_xlfn.IFNA(VLOOKUP('Rock Climbing Log'!W84,'RC Lookup'!$A$3:$B$9,2,FALSE),0.5),VLOOKUP('Rock Climbing Log'!W84,'RC Lookup'!$G$3:$H$5,2,FALSE)),0)*VLOOKUP(V$7,'RC Lookup'!$D$3:$E$18,2,FALSE)</f>
        <v>0</v>
      </c>
      <c r="X84" s="26">
        <f>_xlfn.IFNA(IF(LEFT('Rock Climbing Log'!X84)="C",_xlfn.IFNA(VLOOKUP('Rock Climbing Log'!X84,'RC Lookup'!$A$3:$B$9,2,FALSE),0.5),VLOOKUP('Rock Climbing Log'!X84,'RC Lookup'!$G$3:$H$5,2,FALSE)),0)*VLOOKUP(V$7,'RC Lookup'!$D$3:$E$18,2,FALSE)</f>
        <v>0</v>
      </c>
      <c r="Y84" s="26">
        <f>_xlfn.IFNA(IF(LEFT('Rock Climbing Log'!Y84)="C",_xlfn.IFNA(VLOOKUP('Rock Climbing Log'!Y84,'RC Lookup'!$A$3:$B$9,2,FALSE),0.5),VLOOKUP('Rock Climbing Log'!Y84,'RC Lookup'!$G$3:$H$5,2,FALSE)),0)*VLOOKUP(Y$7,'RC Lookup'!$D$3:$E$18,2,FALSE)</f>
        <v>0</v>
      </c>
      <c r="Z84" s="26">
        <f>_xlfn.IFNA(IF(LEFT('Rock Climbing Log'!Z84)="C",_xlfn.IFNA(VLOOKUP('Rock Climbing Log'!Z84,'RC Lookup'!$A$3:$B$9,2,FALSE),0.5),VLOOKUP('Rock Climbing Log'!Z84,'RC Lookup'!$G$3:$H$5,2,FALSE)),0)*VLOOKUP(Y$7,'RC Lookup'!$D$3:$E$18,2,FALSE)</f>
        <v>0</v>
      </c>
      <c r="AA84" s="26">
        <f>_xlfn.IFNA(IF(LEFT('Rock Climbing Log'!AA84)="C",_xlfn.IFNA(VLOOKUP('Rock Climbing Log'!AA84,'RC Lookup'!$A$3:$B$9,2,FALSE),0.5),VLOOKUP('Rock Climbing Log'!AA84,'RC Lookup'!$G$3:$H$5,2,FALSE)),0)*VLOOKUP(Y$7,'RC Lookup'!$D$3:$E$18,2,FALSE)</f>
        <v>0</v>
      </c>
      <c r="AB84" s="26">
        <f>_xlfn.IFNA(IF(LEFT('Rock Climbing Log'!AB84)="C",_xlfn.IFNA(VLOOKUP('Rock Climbing Log'!AB84,'RC Lookup'!$A$3:$B$9,2,FALSE),0.5),VLOOKUP('Rock Climbing Log'!AB84,'RC Lookup'!$G$3:$H$5,2,FALSE)),0)*VLOOKUP(AB$7,'RC Lookup'!$D$3:$E$18,2,FALSE)</f>
        <v>0</v>
      </c>
      <c r="AC84" s="26">
        <f>_xlfn.IFNA(IF(LEFT('Rock Climbing Log'!AC84)="C",_xlfn.IFNA(VLOOKUP('Rock Climbing Log'!AC84,'RC Lookup'!$A$3:$B$9,2,FALSE),0.5),VLOOKUP('Rock Climbing Log'!AC84,'RC Lookup'!$G$3:$H$5,2,FALSE)),0)*VLOOKUP(AB$7,'RC Lookup'!$D$3:$E$18,2,FALSE)</f>
        <v>0</v>
      </c>
      <c r="AD84" s="26">
        <f>_xlfn.IFNA(IF(LEFT('Rock Climbing Log'!AD84)="C",_xlfn.IFNA(VLOOKUP('Rock Climbing Log'!AD84,'RC Lookup'!$A$3:$B$9,2,FALSE),0.5),VLOOKUP('Rock Climbing Log'!AD84,'RC Lookup'!$G$3:$H$5,2,FALSE)),0)*VLOOKUP(AB$7,'RC Lookup'!$D$3:$E$18,2,FALSE)</f>
        <v>0</v>
      </c>
      <c r="AE84" s="26">
        <f>_xlfn.IFNA(IF(LEFT('Rock Climbing Log'!AE84)="C",_xlfn.IFNA(VLOOKUP('Rock Climbing Log'!AE84,'RC Lookup'!$A$3:$B$9,2,FALSE),0.5),VLOOKUP('Rock Climbing Log'!AE84,'RC Lookup'!$G$3:$H$5,2,FALSE)),0)*VLOOKUP(AE$7,'RC Lookup'!$D$3:$E$18,2,FALSE)</f>
        <v>67.867671846932893</v>
      </c>
      <c r="AF84" s="26">
        <f>_xlfn.IFNA(IF(LEFT('Rock Climbing Log'!AF84)="C",_xlfn.IFNA(VLOOKUP('Rock Climbing Log'!AF84,'RC Lookup'!$A$3:$B$9,2,FALSE),0.5),VLOOKUP('Rock Climbing Log'!AF84,'RC Lookup'!$G$3:$H$5,2,FALSE)),0)*VLOOKUP(AE$7,'RC Lookup'!$D$3:$E$18,2,FALSE)</f>
        <v>67.867671846932893</v>
      </c>
      <c r="AG84" s="26">
        <f>_xlfn.IFNA(IF(LEFT('Rock Climbing Log'!AG84)="C",_xlfn.IFNA(VLOOKUP('Rock Climbing Log'!AG84,'RC Lookup'!$A$3:$B$9,2,FALSE),0.5),VLOOKUP('Rock Climbing Log'!AG84,'RC Lookup'!$G$3:$H$5,2,FALSE)),0)*VLOOKUP(AE$7,'RC Lookup'!$D$3:$E$18,2,FALSE)</f>
        <v>0</v>
      </c>
      <c r="AH84" s="26">
        <f>_xlfn.IFNA(IF(LEFT('Rock Climbing Log'!AH84)="C",_xlfn.IFNA(VLOOKUP('Rock Climbing Log'!AH84,'RC Lookup'!$A$3:$B$9,2,FALSE),0.5),VLOOKUP('Rock Climbing Log'!AH84,'RC Lookup'!$G$3:$H$5,2,FALSE)),0)*VLOOKUP(AH$7,'RC Lookup'!$D$3:$E$18,2,FALSE)</f>
        <v>86.056207901910909</v>
      </c>
      <c r="AI84" s="26">
        <f>_xlfn.IFNA(IF(LEFT('Rock Climbing Log'!AI84)="C",_xlfn.IFNA(VLOOKUP('Rock Climbing Log'!AI84,'RC Lookup'!$A$3:$B$9,2,FALSE),0.5),VLOOKUP('Rock Climbing Log'!AI84,'RC Lookup'!$G$3:$H$5,2,FALSE)),0)*VLOOKUP(AH$7,'RC Lookup'!$D$3:$E$18,2,FALSE)</f>
        <v>0</v>
      </c>
      <c r="AJ84" s="26">
        <f>_xlfn.IFNA(IF(LEFT('Rock Climbing Log'!AJ84)="C",_xlfn.IFNA(VLOOKUP('Rock Climbing Log'!AJ84,'RC Lookup'!$A$3:$B$9,2,FALSE),0.5),VLOOKUP('Rock Climbing Log'!AJ84,'RC Lookup'!$G$3:$H$5,2,FALSE)),0)*VLOOKUP(AH$7,'RC Lookup'!$D$3:$E$18,2,FALSE)</f>
        <v>0</v>
      </c>
      <c r="AK84" s="26">
        <f>_xlfn.IFNA(IF(LEFT('Rock Climbing Log'!AK84)="C",_xlfn.IFNA(VLOOKUP('Rock Climbing Log'!AK84,'RC Lookup'!$A$3:$B$9,2,FALSE),0.5),VLOOKUP('Rock Climbing Log'!AK84,'RC Lookup'!$G$3:$H$5,2,FALSE)),0)*VLOOKUP(AK$7,'RC Lookup'!$D$3:$E$18,2,FALSE)</f>
        <v>0</v>
      </c>
      <c r="AL84" s="26">
        <f>_xlfn.IFNA(IF(LEFT('Rock Climbing Log'!AL84)="C",_xlfn.IFNA(VLOOKUP('Rock Climbing Log'!AL84,'RC Lookup'!$A$3:$B$9,2,FALSE),0.5),VLOOKUP('Rock Climbing Log'!AL84,'RC Lookup'!$G$3:$H$5,2,FALSE)),0)*VLOOKUP(AK$7,'RC Lookup'!$D$3:$E$18,2,FALSE)</f>
        <v>0</v>
      </c>
      <c r="AM84" s="26">
        <f>_xlfn.IFNA(IF(LEFT('Rock Climbing Log'!AM84)="C",_xlfn.IFNA(VLOOKUP('Rock Climbing Log'!AM84,'RC Lookup'!$A$3:$B$9,2,FALSE),0.5),VLOOKUP('Rock Climbing Log'!AM84,'RC Lookup'!$G$3:$H$5,2,FALSE)),0)*VLOOKUP(AK$7,'RC Lookup'!$D$3:$E$18,2,FALSE)</f>
        <v>0</v>
      </c>
      <c r="AN84" s="26">
        <f>_xlfn.IFNA(IF(LEFT('Rock Climbing Log'!AN84)="C",_xlfn.IFNA(VLOOKUP('Rock Climbing Log'!AN84,'RC Lookup'!$A$3:$B$9,2,FALSE),0.5),VLOOKUP('Rock Climbing Log'!AN84,'RC Lookup'!$G$3:$H$5,2,FALSE)),0)*VLOOKUP(AN$7,'RC Lookup'!$D$3:$E$18,2,FALSE)</f>
        <v>71.158157189932098</v>
      </c>
      <c r="AO84" s="26">
        <f>_xlfn.IFNA(IF(LEFT('Rock Climbing Log'!AO84)="C",_xlfn.IFNA(VLOOKUP('Rock Climbing Log'!AO84,'RC Lookup'!$A$3:$B$9,2,FALSE),0.5),VLOOKUP('Rock Climbing Log'!AO84,'RC Lookup'!$G$3:$H$5,2,FALSE)),0)*VLOOKUP(AN$7,'RC Lookup'!$D$3:$E$18,2,FALSE)</f>
        <v>0</v>
      </c>
      <c r="AP84" s="26">
        <f>_xlfn.IFNA(IF(LEFT('Rock Climbing Log'!AP84)="C",_xlfn.IFNA(VLOOKUP('Rock Climbing Log'!AP84,'RC Lookup'!$A$3:$B$9,2,FALSE),0.5),VLOOKUP('Rock Climbing Log'!AP84,'RC Lookup'!$G$3:$H$5,2,FALSE)),0)*VLOOKUP(AN$7,'RC Lookup'!$D$3:$E$18,2,FALSE)</f>
        <v>0</v>
      </c>
      <c r="AQ84" s="26">
        <f>_xlfn.IFNA(IF(LEFT('Rock Climbing Log'!AQ84)="C",_xlfn.IFNA(VLOOKUP('Rock Climbing Log'!AQ84,'RC Lookup'!$A$3:$B$9,2,FALSE),0.5),VLOOKUP('Rock Climbing Log'!AQ84,'RC Lookup'!$G$3:$H$5,2,FALSE)),0)*VLOOKUP(AQ$7,'RC Lookup'!$D$3:$E$18,2,FALSE)</f>
        <v>0</v>
      </c>
      <c r="AR84" s="26">
        <f>_xlfn.IFNA(IF(LEFT('Rock Climbing Log'!AR84)="C",_xlfn.IFNA(VLOOKUP('Rock Climbing Log'!AR84,'RC Lookup'!$A$3:$B$9,2,FALSE),0.5),VLOOKUP('Rock Climbing Log'!AR84,'RC Lookup'!$G$3:$H$5,2,FALSE)),0)*VLOOKUP(AQ$7,'RC Lookup'!$D$3:$E$18,2,FALSE)</f>
        <v>0</v>
      </c>
      <c r="AS84" s="26">
        <f>_xlfn.IFNA(IF(LEFT('Rock Climbing Log'!AS84)="C",_xlfn.IFNA(VLOOKUP('Rock Climbing Log'!AS84,'RC Lookup'!$A$3:$B$9,2,FALSE),0.5),VLOOKUP('Rock Climbing Log'!AS84,'RC Lookup'!$G$3:$H$5,2,FALSE)),0)*VLOOKUP(AQ$7,'RC Lookup'!$D$3:$E$18,2,FALSE)</f>
        <v>0</v>
      </c>
      <c r="AT84" s="26">
        <f>_xlfn.IFNA(IF(LEFT('Rock Climbing Log'!AT84)="C",_xlfn.IFNA(VLOOKUP('Rock Climbing Log'!AT84,'RC Lookup'!$A$3:$B$9,2,FALSE),0.5),VLOOKUP('Rock Climbing Log'!AT84,'RC Lookup'!$G$3:$H$5,2,FALSE)),0)*VLOOKUP(AT$7,'RC Lookup'!$D$3:$E$18,2,FALSE)</f>
        <v>0</v>
      </c>
      <c r="AU84" s="26">
        <f>_xlfn.IFNA(IF(LEFT('Rock Climbing Log'!AU84)="C",_xlfn.IFNA(VLOOKUP('Rock Climbing Log'!AU84,'RC Lookup'!$A$3:$B$9,2,FALSE),0.5),VLOOKUP('Rock Climbing Log'!AU84,'RC Lookup'!$G$3:$H$5,2,FALSE)),0)*VLOOKUP(AT$7,'RC Lookup'!$D$3:$E$18,2,FALSE)</f>
        <v>0</v>
      </c>
      <c r="AV84" s="26">
        <f>_xlfn.IFNA(IF(LEFT('Rock Climbing Log'!AV84)="C",_xlfn.IFNA(VLOOKUP('Rock Climbing Log'!AV84,'RC Lookup'!$A$3:$B$9,2,FALSE),0.5),VLOOKUP('Rock Climbing Log'!AV84,'RC Lookup'!$G$3:$H$5,2,FALSE)),0)*VLOOKUP(AT$7,'RC Lookup'!$D$3:$E$18,2,FALSE)</f>
        <v>0</v>
      </c>
      <c r="AW84" s="30">
        <f t="shared" ca="1" si="3"/>
        <v>225.0820369387759</v>
      </c>
      <c r="AX84" s="30">
        <f ca="1">_xlfn.IFNA(VLOOKUP(SUMPRODUCT(LARGE(($C$8:$C84=Table1[[#This Row],[Climber]])*$A$8:$A84,1)),$A$8:$AW84,MATCH($AW$7,$A$7:$AW$7,FALSE),FALSE),0)/LEFT($AX$7,FIND(" ",$AX$7))+_xlfn.IFNA(VLOOKUP(SUMPRODUCT(LARGE(($C$8:$C84=Table1[[#This Row],[Climber]])*$A$8:$A84,MIN(2,COUNTIFS($C$8:$C84,$C84)))),$A$8:$AW84,MATCH($AW$7,$A$7:$AW$7,FALSE),FALSE),0)/LEFT($AX$7,FIND(" ",$AX$7))+_xlfn.IFNA(VLOOKUP(SUMPRODUCT(LARGE(($C$8:$C84=Table1[[#This Row],[Climber]])*$A$8:$A84,MIN(3,COUNTIFS($C$8:$C84,$C84)))),$A$8:$AW84,MATCH($AW$7,$A$7:$AW$7,FALSE),FALSE),0)/LEFT($AX$7,FIND(" ",$AX$7))</f>
        <v>230.62692997053492</v>
      </c>
      <c r="AY84" s="30">
        <f ca="1">_xlfn.IFNA(VLOOKUP(SUMPRODUCT(LARGE(($C$8:$C84=Table1[[#This Row],[Climber]])*$A$8:$A84,1)),$A$8:$AW84,MATCH($AW$7,$A$7:$AW$7,FALSE),FALSE),0)/LEFT($AY$7,FIND(" ",$AY$7))+_xlfn.IFNA(VLOOKUP(SUMPRODUCT(LARGE(($C$8:$C84=Table1[[#This Row],[Climber]])*$A$8:$A84,MIN(2,COUNTIFS($C$8:$C84,$C84)))),$A$8:$AW84,MATCH($AW$7,$A$7:$AW$7,FALSE),FALSE),0)/LEFT($AY$7,FIND(" ",$AY$7))+_xlfn.IFNA(VLOOKUP(SUMPRODUCT(LARGE(($C$8:$C84=Table1[[#This Row],[Climber]])*$A$8:$A84,MIN(3,COUNTIFS($C$8:$C84,$C84)))),$A$8:$AW84,MATCH($AW$7,$A$7:$AW$7,FALSE),FALSE),0)/LEFT($AY$7,FIND(" ",$AY$7))+_xlfn.IFNA(VLOOKUP(SUMPRODUCT(LARGE(($C$8:$C84=Table1[[#This Row],[Climber]])*$A$8:$A84,MIN(4,COUNTIFS($C$8:$C84,$C84)))),$A$8:$AW84,MATCH($AW$7,$A$7:$AW$7,FALSE),FALSE),0)/LEFT($AY$7,FIND(" ",$AY$7))+_xlfn.IFNA(VLOOKUP(SUMPRODUCT(LARGE(($C$8:$C84=Table1[[#This Row],[Climber]])*$A$8:$A84,MIN(5,COUNTIFS($C$8:$C84,$C84)))),$A$8:$AW84,MATCH($AW$7,$A$7:$AW$7,FALSE),FALSE),0)/LEFT($AY$7,FIND(" ",$AY$7))</f>
        <v>242.85714001583364</v>
      </c>
      <c r="AZ84" s="30">
        <f ca="1">(_xlfn.IFNA(VLOOKUP(SUMPRODUCT(LARGE(($C$8:$C84=Table1[[#This Row],[Climber]])*$A$8:$A84,4)),$A$8:$AW84,MATCH($AW$7,$A$7:$AW$7,FALSE),FALSE),0)+_xlfn.IFNA(VLOOKUP(SUMPRODUCT(LARGE(($C$8:$C84=Table1[[#This Row],[Climber]])*$A$8:$A84,5)),$A$8:$AW84,MATCH($AW$7,$A$7:$AW$7,FALSE),FALSE),0)+_xlfn.IFNA(VLOOKUP(SUMPRODUCT(LARGE(($C$8:$C84=Table1[[#This Row],[Climber]])*$A$8:$A84,6)),$A$8:$AW84,MATCH($AW$7,$A$7:$AW$7,FALSE),FALSE),0))/3</f>
        <v>242.00264190278742</v>
      </c>
      <c r="BA84" s="46">
        <f ca="1">_xlfn.MAXIFS(INDIRECT("$AW"&amp;IF(SUMPRODUCT(LARGE(($C$8:$C84=$C84)*$A$8:$A84,LEFT($BA$7,FIND(" ",$BA$7)-1)))=0,8,SUMPRODUCT(LARGE(($C$8:$C84=$C84)*$A$8:$A84,LEFT($BA$7,FIND(" ",$BA$7)-1)))+7)&amp;":$AW"&amp;ROW()),INDIRECT("$C"&amp;IF(SUMPRODUCT(LARGE(($C$8:$C84=$C84)*$A$8:$A84,LEFT($BA$7,FIND(" ",$BA$7)-1)))=0,8,SUMPRODUCT(LARGE(($C$8:$C84=$C84)*$A$8:$A84,LEFT($BA$7,FIND(" ",$BA$7)-1)))+7)&amp;":$C"&amp;ROW()),$C84)</f>
        <v>243.27057299375392</v>
      </c>
      <c r="BB84" s="46" t="str">
        <f ca="1">VLOOKUP(MAX(BG84,$AX84),'RC Lookup'!$G$14:$J$20,2,TRUE)</f>
        <v>T5</v>
      </c>
      <c r="BC84" s="46">
        <f ca="1">_xlfn.IFNA(VLOOKUP(VLOOKUP($C84,'RC Lookup'!$O$3:$P$50,2,FALSE),'RC Lookup'!$H$14:$J$23,2,FALSE),0)*AW84</f>
        <v>68.112592008412207</v>
      </c>
      <c r="BD84" s="6">
        <f ca="1">_xlfn.IFNA(VLOOKUP(SUMPRODUCT(LARGE(($C$8:$C84=Table1[[#This Row],[Climber]])*$A$8:$A84,1)),$A$8:$BC84,55,FALSE),0)/LEFT($AX$7,FIND(" ",$AX$7))+_xlfn.IFNA(VLOOKUP(SUMPRODUCT(LARGE(($C$8:$C84=Table1[[#This Row],[Climber]])*$A$8:$A84,MIN(2,COUNTIFS($C$8:$C84,$C84)))),$A$8:$BC84,55,FALSE),0)/LEFT($AX$7,FIND(" ",$AX$7))+_xlfn.IFNA(VLOOKUP(SUMPRODUCT(LARGE(($C$8:$C84=Table1[[#This Row],[Climber]])*$A$8:$A84,MIN(3,COUNTIFS($C$8:$C84,$C84)))),$A$8:$BC84,55,FALSE),0)/LEFT($AX$7,FIND(" ",$AX$7))</f>
        <v>69.790544820369462</v>
      </c>
      <c r="BE84" s="6">
        <f ca="1">(_xlfn.IFNA(VLOOKUP(SUMPRODUCT(LARGE(($C$8:$C84=Table1[[#This Row],[Climber]])*$A$8:$A84,4)),$A$8:$BD84,55,FALSE),0)+_xlfn.IFNA(VLOOKUP(SUMPRODUCT(LARGE(($C$8:$C84=Table1[[#This Row],[Climber]])*$A$8:$A84,5)),$A$8:$BD84,55,FALSE),0)+_xlfn.IFNA(VLOOKUP(SUMPRODUCT(LARGE(($C$8:$C84=Table1[[#This Row],[Climber]])*$A$8:$A84,6)),$A$8:$BD84,55,FALSE),0))/3</f>
        <v>73.232975127935518</v>
      </c>
      <c r="BF84" s="46">
        <f ca="1">_xlfn.MAXIFS(INDIRECT("$BC"&amp;IF(SUMPRODUCT(LARGE(($C$8:$C84=$C84)*$A$8:$A84,LEFT($BA$7,FIND(" ",$BA$7)-1)))=0,8,SUMPRODUCT(LARGE(($C$8:$C84=$C84)*$A$8:$A84,LEFT($BA$7,FIND(" ",$BA$7)-1)))+7)&amp;":$BC"&amp;ROW()),INDIRECT("$C"&amp;IF(SUMPRODUCT(LARGE(($C$8:$C84=$C84)*$A$8:$A84,LEFT($BA$7,FIND(" ",$BA$7)-1)))=0,8,SUMPRODUCT(LARGE(($C$8:$C84=$C84)*$A$8:$A84,LEFT($BA$7,FIND(" ",$BA$7)-1)))+7)&amp;":$C"&amp;ROW()),$C84)</f>
        <v>73.616666666666674</v>
      </c>
      <c r="BG84" s="46">
        <f t="array" aca="1" ref="BG84" ca="1">IFERROR(SUMPRODUCT(LARGE(($C$8:$C84=Table1[[#This Row],[Climber]])*$AW$8:$AW84,ROW(INDIRECT("1:5")))),AW84)/MIN(COUNTIFS($C$8:$C84,C84),5)</f>
        <v>288.25557827583015</v>
      </c>
    </row>
    <row r="85" spans="1:59" x14ac:dyDescent="0.3">
      <c r="A85" s="125">
        <f t="shared" si="1"/>
        <v>78</v>
      </c>
      <c r="B85" s="25">
        <f>'Rock Climbing Log'!B85</f>
        <v>43173</v>
      </c>
      <c r="C85" s="126" t="str">
        <f>'Rock Climbing Log'!C85</f>
        <v>Angel</v>
      </c>
      <c r="D85" s="26">
        <f>_xlfn.IFNA(IF(LEFT('Rock Climbing Log'!D85)="C",_xlfn.IFNA(VLOOKUP('Rock Climbing Log'!D85,'RC Lookup'!$A$3:$B$9,2,FALSE),0.5),VLOOKUP('Rock Climbing Log'!D85,'RC Lookup'!$G$3:$H$5,2,FALSE)),0)*VLOOKUP(D$7,'RC Lookup'!$D$3:$E$18,2,FALSE)</f>
        <v>0</v>
      </c>
      <c r="E85" s="26">
        <f>_xlfn.IFNA(IF(LEFT('Rock Climbing Log'!E85)="C",_xlfn.IFNA(VLOOKUP('Rock Climbing Log'!E85,'RC Lookup'!$A$3:$B$9,2,FALSE),0.5),VLOOKUP('Rock Climbing Log'!E85,'RC Lookup'!$G$3:$H$5,2,FALSE)),0)*VLOOKUP(D$7,'RC Lookup'!$D$3:$E$18,2,FALSE)</f>
        <v>0</v>
      </c>
      <c r="F85" s="26">
        <f>_xlfn.IFNA(IF(LEFT('Rock Climbing Log'!F85)="C",_xlfn.IFNA(VLOOKUP('Rock Climbing Log'!F85,'RC Lookup'!$A$3:$B$9,2,FALSE),0.5),VLOOKUP('Rock Climbing Log'!F85,'RC Lookup'!$G$3:$H$5,2,FALSE)),0)*VLOOKUP(D$7,'RC Lookup'!$D$3:$E$18,2,FALSE)</f>
        <v>0</v>
      </c>
      <c r="G85" s="26">
        <f>_xlfn.IFNA(IF(LEFT('Rock Climbing Log'!G85)="C",_xlfn.IFNA(VLOOKUP('Rock Climbing Log'!G85,'RC Lookup'!$A$3:$B$9,2,FALSE),0.5),VLOOKUP('Rock Climbing Log'!G85,'RC Lookup'!$G$3:$H$5,2,FALSE)),0)*VLOOKUP(G$7,'RC Lookup'!$D$3:$E$18,2,FALSE)</f>
        <v>0</v>
      </c>
      <c r="H85" s="26">
        <f>_xlfn.IFNA(IF(LEFT('Rock Climbing Log'!H85)="C",_xlfn.IFNA(VLOOKUP('Rock Climbing Log'!H85,'RC Lookup'!$A$3:$B$9,2,FALSE),0.5),VLOOKUP('Rock Climbing Log'!H85,'RC Lookup'!$G$3:$H$5,2,FALSE)),0)*VLOOKUP(G$7,'RC Lookup'!$D$3:$E$18,2,FALSE)</f>
        <v>0</v>
      </c>
      <c r="I85" s="26">
        <f>_xlfn.IFNA(IF(LEFT('Rock Climbing Log'!I85)="C",_xlfn.IFNA(VLOOKUP('Rock Climbing Log'!I85,'RC Lookup'!$A$3:$B$9,2,FALSE),0.5),VLOOKUP('Rock Climbing Log'!I85,'RC Lookup'!$G$3:$H$5,2,FALSE)),0)*VLOOKUP(G$7,'RC Lookup'!$D$3:$E$18,2,FALSE)</f>
        <v>0</v>
      </c>
      <c r="J85" s="26">
        <f>_xlfn.IFNA(IF(LEFT('Rock Climbing Log'!J85)="C",_xlfn.IFNA(VLOOKUP('Rock Climbing Log'!J85,'RC Lookup'!$A$3:$B$9,2,FALSE),0.5),VLOOKUP('Rock Climbing Log'!J85,'RC Lookup'!$G$3:$H$5,2,FALSE)),0)*VLOOKUP(J$7,'RC Lookup'!$D$3:$E$18,2,FALSE)</f>
        <v>0</v>
      </c>
      <c r="K85" s="26">
        <f>_xlfn.IFNA(IF(LEFT('Rock Climbing Log'!K85)="C",_xlfn.IFNA(VLOOKUP('Rock Climbing Log'!K85,'RC Lookup'!$A$3:$B$9,2,FALSE),0.5),VLOOKUP('Rock Climbing Log'!K85,'RC Lookup'!$G$3:$H$5,2,FALSE)),0)*VLOOKUP(J$7,'RC Lookup'!$D$3:$E$18,2,FALSE)</f>
        <v>0</v>
      </c>
      <c r="L85" s="26">
        <f>_xlfn.IFNA(IF(LEFT('Rock Climbing Log'!L85)="C",_xlfn.IFNA(VLOOKUP('Rock Climbing Log'!L85,'RC Lookup'!$A$3:$B$9,2,FALSE),0.5),VLOOKUP('Rock Climbing Log'!L85,'RC Lookup'!$G$3:$H$5,2,FALSE)),0)*VLOOKUP(J$7,'RC Lookup'!$D$3:$E$18,2,FALSE)</f>
        <v>0</v>
      </c>
      <c r="M85" s="26">
        <f>_xlfn.IFNA(IF(LEFT('Rock Climbing Log'!M85)="C",_xlfn.IFNA(VLOOKUP('Rock Climbing Log'!M85,'RC Lookup'!$A$3:$B$9,2,FALSE),0.5),VLOOKUP('Rock Climbing Log'!M85,'RC Lookup'!$G$3:$H$5,2,FALSE)),0)*VLOOKUP(M$7,'RC Lookup'!$D$3:$E$18,2,FALSE)</f>
        <v>20.002500000000001</v>
      </c>
      <c r="N85" s="26">
        <f>_xlfn.IFNA(IF(LEFT('Rock Climbing Log'!N85)="C",_xlfn.IFNA(VLOOKUP('Rock Climbing Log'!N85,'RC Lookup'!$A$3:$B$9,2,FALSE),0.5),VLOOKUP('Rock Climbing Log'!N85,'RC Lookup'!$G$3:$H$5,2,FALSE)),0)*VLOOKUP(M$7,'RC Lookup'!$D$3:$E$18,2,FALSE)</f>
        <v>20.002500000000001</v>
      </c>
      <c r="O85" s="26">
        <f>_xlfn.IFNA(IF(LEFT('Rock Climbing Log'!O85)="C",_xlfn.IFNA(VLOOKUP('Rock Climbing Log'!O85,'RC Lookup'!$A$3:$B$9,2,FALSE),0.5),VLOOKUP('Rock Climbing Log'!O85,'RC Lookup'!$G$3:$H$5,2,FALSE)),0)*VLOOKUP(M$7,'RC Lookup'!$D$3:$E$18,2,FALSE)</f>
        <v>0</v>
      </c>
      <c r="P85" s="26">
        <f>_xlfn.IFNA(IF(LEFT('Rock Climbing Log'!P85)="C",_xlfn.IFNA(VLOOKUP('Rock Climbing Log'!P85,'RC Lookup'!$A$3:$B$9,2,FALSE),0.5),VLOOKUP('Rock Climbing Log'!P85,'RC Lookup'!$G$3:$H$5,2,FALSE)),0)*VLOOKUP(P$7,'RC Lookup'!$D$3:$E$18,2,FALSE)</f>
        <v>0</v>
      </c>
      <c r="Q85" s="26">
        <f>_xlfn.IFNA(IF(LEFT('Rock Climbing Log'!Q85)="C",_xlfn.IFNA(VLOOKUP('Rock Climbing Log'!Q85,'RC Lookup'!$A$3:$B$9,2,FALSE),0.5),VLOOKUP('Rock Climbing Log'!Q85,'RC Lookup'!$G$3:$H$5,2,FALSE)),0)*VLOOKUP(P$7,'RC Lookup'!$D$3:$E$18,2,FALSE)</f>
        <v>0</v>
      </c>
      <c r="R85" s="26">
        <f>_xlfn.IFNA(IF(LEFT('Rock Climbing Log'!R85)="C",_xlfn.IFNA(VLOOKUP('Rock Climbing Log'!R85,'RC Lookup'!$A$3:$B$9,2,FALSE),0.5),VLOOKUP('Rock Climbing Log'!R85,'RC Lookup'!$G$3:$H$5,2,FALSE)),0)*VLOOKUP(P$7,'RC Lookup'!$D$3:$E$18,2,FALSE)</f>
        <v>0</v>
      </c>
      <c r="S85" s="26">
        <f>_xlfn.IFNA(IF(LEFT('Rock Climbing Log'!S85)="C",_xlfn.IFNA(VLOOKUP('Rock Climbing Log'!S85,'RC Lookup'!$A$3:$B$9,2,FALSE),0.5),VLOOKUP('Rock Climbing Log'!S85,'RC Lookup'!$G$3:$H$5,2,FALSE)),0)*VLOOKUP(S$7,'RC Lookup'!$D$3:$E$18,2,FALSE)</f>
        <v>0</v>
      </c>
      <c r="T85" s="26">
        <f>_xlfn.IFNA(IF(LEFT('Rock Climbing Log'!T85)="C",_xlfn.IFNA(VLOOKUP('Rock Climbing Log'!T85,'RC Lookup'!$A$3:$B$9,2,FALSE),0.5),VLOOKUP('Rock Climbing Log'!T85,'RC Lookup'!$G$3:$H$5,2,FALSE)),0)*VLOOKUP(S$7,'RC Lookup'!$D$3:$E$18,2,FALSE)</f>
        <v>0</v>
      </c>
      <c r="U85" s="26">
        <f>_xlfn.IFNA(IF(LEFT('Rock Climbing Log'!U85)="C",_xlfn.IFNA(VLOOKUP('Rock Climbing Log'!U85,'RC Lookup'!$A$3:$B$9,2,FALSE),0.5),VLOOKUP('Rock Climbing Log'!U85,'RC Lookup'!$G$3:$H$5,2,FALSE)),0)*VLOOKUP(S$7,'RC Lookup'!$D$3:$E$18,2,FALSE)</f>
        <v>0</v>
      </c>
      <c r="V85" s="26">
        <f>_xlfn.IFNA(IF(LEFT('Rock Climbing Log'!V85)="C",_xlfn.IFNA(VLOOKUP('Rock Climbing Log'!V85,'RC Lookup'!$A$3:$B$9,2,FALSE),0.5),VLOOKUP('Rock Climbing Log'!V85,'RC Lookup'!$G$3:$H$5,2,FALSE)),0)*VLOOKUP(V$7,'RC Lookup'!$D$3:$E$18,2,FALSE)</f>
        <v>35.256745742400021</v>
      </c>
      <c r="W85" s="26">
        <f>_xlfn.IFNA(IF(LEFT('Rock Climbing Log'!W85)="C",_xlfn.IFNA(VLOOKUP('Rock Climbing Log'!W85,'RC Lookup'!$A$3:$B$9,2,FALSE),0.5),VLOOKUP('Rock Climbing Log'!W85,'RC Lookup'!$G$3:$H$5,2,FALSE)),0)*VLOOKUP(V$7,'RC Lookup'!$D$3:$E$18,2,FALSE)</f>
        <v>35.256745742400021</v>
      </c>
      <c r="X85" s="26">
        <f>_xlfn.IFNA(IF(LEFT('Rock Climbing Log'!X85)="C",_xlfn.IFNA(VLOOKUP('Rock Climbing Log'!X85,'RC Lookup'!$A$3:$B$9,2,FALSE),0.5),VLOOKUP('Rock Climbing Log'!X85,'RC Lookup'!$G$3:$H$5,2,FALSE)),0)*VLOOKUP(V$7,'RC Lookup'!$D$3:$E$18,2,FALSE)</f>
        <v>17.628372871200011</v>
      </c>
      <c r="Y85" s="26">
        <f>_xlfn.IFNA(IF(LEFT('Rock Climbing Log'!Y85)="C",_xlfn.IFNA(VLOOKUP('Rock Climbing Log'!Y85,'RC Lookup'!$A$3:$B$9,2,FALSE),0.5),VLOOKUP('Rock Climbing Log'!Y85,'RC Lookup'!$G$3:$H$5,2,FALSE)),0)*VLOOKUP(Y$7,'RC Lookup'!$D$3:$E$18,2,FALSE)</f>
        <v>0</v>
      </c>
      <c r="Z85" s="26">
        <f>_xlfn.IFNA(IF(LEFT('Rock Climbing Log'!Z85)="C",_xlfn.IFNA(VLOOKUP('Rock Climbing Log'!Z85,'RC Lookup'!$A$3:$B$9,2,FALSE),0.5),VLOOKUP('Rock Climbing Log'!Z85,'RC Lookup'!$G$3:$H$5,2,FALSE)),0)*VLOOKUP(Y$7,'RC Lookup'!$D$3:$E$18,2,FALSE)</f>
        <v>0</v>
      </c>
      <c r="AA85" s="26">
        <f>_xlfn.IFNA(IF(LEFT('Rock Climbing Log'!AA85)="C",_xlfn.IFNA(VLOOKUP('Rock Climbing Log'!AA85,'RC Lookup'!$A$3:$B$9,2,FALSE),0.5),VLOOKUP('Rock Climbing Log'!AA85,'RC Lookup'!$G$3:$H$5,2,FALSE)),0)*VLOOKUP(Y$7,'RC Lookup'!$D$3:$E$18,2,FALSE)</f>
        <v>0</v>
      </c>
      <c r="AB85" s="26">
        <f>_xlfn.IFNA(IF(LEFT('Rock Climbing Log'!AB85)="C",_xlfn.IFNA(VLOOKUP('Rock Climbing Log'!AB85,'RC Lookup'!$A$3:$B$9,2,FALSE),0.5),VLOOKUP('Rock Climbing Log'!AB85,'RC Lookup'!$G$3:$H$5,2,FALSE)),0)*VLOOKUP(AB$7,'RC Lookup'!$D$3:$E$18,2,FALSE)</f>
        <v>0</v>
      </c>
      <c r="AC85" s="26">
        <f>_xlfn.IFNA(IF(LEFT('Rock Climbing Log'!AC85)="C",_xlfn.IFNA(VLOOKUP('Rock Climbing Log'!AC85,'RC Lookup'!$A$3:$B$9,2,FALSE),0.5),VLOOKUP('Rock Climbing Log'!AC85,'RC Lookup'!$G$3:$H$5,2,FALSE)),0)*VLOOKUP(AB$7,'RC Lookup'!$D$3:$E$18,2,FALSE)</f>
        <v>0</v>
      </c>
      <c r="AD85" s="26">
        <f>_xlfn.IFNA(IF(LEFT('Rock Climbing Log'!AD85)="C",_xlfn.IFNA(VLOOKUP('Rock Climbing Log'!AD85,'RC Lookup'!$A$3:$B$9,2,FALSE),0.5),VLOOKUP('Rock Climbing Log'!AD85,'RC Lookup'!$G$3:$H$5,2,FALSE)),0)*VLOOKUP(AB$7,'RC Lookup'!$D$3:$E$18,2,FALSE)</f>
        <v>0</v>
      </c>
      <c r="AE85" s="26">
        <f>_xlfn.IFNA(IF(LEFT('Rock Climbing Log'!AE85)="C",_xlfn.IFNA(VLOOKUP('Rock Climbing Log'!AE85,'RC Lookup'!$A$3:$B$9,2,FALSE),0.5),VLOOKUP('Rock Climbing Log'!AE85,'RC Lookup'!$G$3:$H$5,2,FALSE)),0)*VLOOKUP(AE$7,'RC Lookup'!$D$3:$E$18,2,FALSE)</f>
        <v>0</v>
      </c>
      <c r="AF85" s="26">
        <f>_xlfn.IFNA(IF(LEFT('Rock Climbing Log'!AF85)="C",_xlfn.IFNA(VLOOKUP('Rock Climbing Log'!AF85,'RC Lookup'!$A$3:$B$9,2,FALSE),0.5),VLOOKUP('Rock Climbing Log'!AF85,'RC Lookup'!$G$3:$H$5,2,FALSE)),0)*VLOOKUP(AE$7,'RC Lookup'!$D$3:$E$18,2,FALSE)</f>
        <v>0</v>
      </c>
      <c r="AG85" s="26">
        <f>_xlfn.IFNA(IF(LEFT('Rock Climbing Log'!AG85)="C",_xlfn.IFNA(VLOOKUP('Rock Climbing Log'!AG85,'RC Lookup'!$A$3:$B$9,2,FALSE),0.5),VLOOKUP('Rock Climbing Log'!AG85,'RC Lookup'!$G$3:$H$5,2,FALSE)),0)*VLOOKUP(AE$7,'RC Lookup'!$D$3:$E$18,2,FALSE)</f>
        <v>0</v>
      </c>
      <c r="AH85" s="26">
        <f>_xlfn.IFNA(IF(LEFT('Rock Climbing Log'!AH85)="C",_xlfn.IFNA(VLOOKUP('Rock Climbing Log'!AH85,'RC Lookup'!$A$3:$B$9,2,FALSE),0.5),VLOOKUP('Rock Climbing Log'!AH85,'RC Lookup'!$G$3:$H$5,2,FALSE)),0)*VLOOKUP(AH$7,'RC Lookup'!$D$3:$E$18,2,FALSE)</f>
        <v>0</v>
      </c>
      <c r="AI85" s="26">
        <f>_xlfn.IFNA(IF(LEFT('Rock Climbing Log'!AI85)="C",_xlfn.IFNA(VLOOKUP('Rock Climbing Log'!AI85,'RC Lookup'!$A$3:$B$9,2,FALSE),0.5),VLOOKUP('Rock Climbing Log'!AI85,'RC Lookup'!$G$3:$H$5,2,FALSE)),0)*VLOOKUP(AH$7,'RC Lookup'!$D$3:$E$18,2,FALSE)</f>
        <v>0</v>
      </c>
      <c r="AJ85" s="26">
        <f>_xlfn.IFNA(IF(LEFT('Rock Climbing Log'!AJ85)="C",_xlfn.IFNA(VLOOKUP('Rock Climbing Log'!AJ85,'RC Lookup'!$A$3:$B$9,2,FALSE),0.5),VLOOKUP('Rock Climbing Log'!AJ85,'RC Lookup'!$G$3:$H$5,2,FALSE)),0)*VLOOKUP(AH$7,'RC Lookup'!$D$3:$E$18,2,FALSE)</f>
        <v>0</v>
      </c>
      <c r="AK85" s="26">
        <f>_xlfn.IFNA(IF(LEFT('Rock Climbing Log'!AK85)="C",_xlfn.IFNA(VLOOKUP('Rock Climbing Log'!AK85,'RC Lookup'!$A$3:$B$9,2,FALSE),0.5),VLOOKUP('Rock Climbing Log'!AK85,'RC Lookup'!$G$3:$H$5,2,FALSE)),0)*VLOOKUP(AK$7,'RC Lookup'!$D$3:$E$18,2,FALSE)</f>
        <v>0</v>
      </c>
      <c r="AL85" s="26">
        <f>_xlfn.IFNA(IF(LEFT('Rock Climbing Log'!AL85)="C",_xlfn.IFNA(VLOOKUP('Rock Climbing Log'!AL85,'RC Lookup'!$A$3:$B$9,2,FALSE),0.5),VLOOKUP('Rock Climbing Log'!AL85,'RC Lookup'!$G$3:$H$5,2,FALSE)),0)*VLOOKUP(AK$7,'RC Lookup'!$D$3:$E$18,2,FALSE)</f>
        <v>0</v>
      </c>
      <c r="AM85" s="26">
        <f>_xlfn.IFNA(IF(LEFT('Rock Climbing Log'!AM85)="C",_xlfn.IFNA(VLOOKUP('Rock Climbing Log'!AM85,'RC Lookup'!$A$3:$B$9,2,FALSE),0.5),VLOOKUP('Rock Climbing Log'!AM85,'RC Lookup'!$G$3:$H$5,2,FALSE)),0)*VLOOKUP(AK$7,'RC Lookup'!$D$3:$E$18,2,FALSE)</f>
        <v>0</v>
      </c>
      <c r="AN85" s="26">
        <f>_xlfn.IFNA(IF(LEFT('Rock Climbing Log'!AN85)="C",_xlfn.IFNA(VLOOKUP('Rock Climbing Log'!AN85,'RC Lookup'!$A$3:$B$9,2,FALSE),0.5),VLOOKUP('Rock Climbing Log'!AN85,'RC Lookup'!$G$3:$H$5,2,FALSE)),0)*VLOOKUP(AN$7,'RC Lookup'!$D$3:$E$18,2,FALSE)</f>
        <v>0</v>
      </c>
      <c r="AO85" s="26">
        <f>_xlfn.IFNA(IF(LEFT('Rock Climbing Log'!AO85)="C",_xlfn.IFNA(VLOOKUP('Rock Climbing Log'!AO85,'RC Lookup'!$A$3:$B$9,2,FALSE),0.5),VLOOKUP('Rock Climbing Log'!AO85,'RC Lookup'!$G$3:$H$5,2,FALSE)),0)*VLOOKUP(AN$7,'RC Lookup'!$D$3:$E$18,2,FALSE)</f>
        <v>0</v>
      </c>
      <c r="AP85" s="26">
        <f>_xlfn.IFNA(IF(LEFT('Rock Climbing Log'!AP85)="C",_xlfn.IFNA(VLOOKUP('Rock Climbing Log'!AP85,'RC Lookup'!$A$3:$B$9,2,FALSE),0.5),VLOOKUP('Rock Climbing Log'!AP85,'RC Lookup'!$G$3:$H$5,2,FALSE)),0)*VLOOKUP(AN$7,'RC Lookup'!$D$3:$E$18,2,FALSE)</f>
        <v>0</v>
      </c>
      <c r="AQ85" s="26">
        <f>_xlfn.IFNA(IF(LEFT('Rock Climbing Log'!AQ85)="C",_xlfn.IFNA(VLOOKUP('Rock Climbing Log'!AQ85,'RC Lookup'!$A$3:$B$9,2,FALSE),0.5),VLOOKUP('Rock Climbing Log'!AQ85,'RC Lookup'!$G$3:$H$5,2,FALSE)),0)*VLOOKUP(AQ$7,'RC Lookup'!$D$3:$E$18,2,FALSE)</f>
        <v>0</v>
      </c>
      <c r="AR85" s="26">
        <f>_xlfn.IFNA(IF(LEFT('Rock Climbing Log'!AR85)="C",_xlfn.IFNA(VLOOKUP('Rock Climbing Log'!AR85,'RC Lookup'!$A$3:$B$9,2,FALSE),0.5),VLOOKUP('Rock Climbing Log'!AR85,'RC Lookup'!$G$3:$H$5,2,FALSE)),0)*VLOOKUP(AQ$7,'RC Lookup'!$D$3:$E$18,2,FALSE)</f>
        <v>0</v>
      </c>
      <c r="AS85" s="26">
        <f>_xlfn.IFNA(IF(LEFT('Rock Climbing Log'!AS85)="C",_xlfn.IFNA(VLOOKUP('Rock Climbing Log'!AS85,'RC Lookup'!$A$3:$B$9,2,FALSE),0.5),VLOOKUP('Rock Climbing Log'!AS85,'RC Lookup'!$G$3:$H$5,2,FALSE)),0)*VLOOKUP(AQ$7,'RC Lookup'!$D$3:$E$18,2,FALSE)</f>
        <v>0</v>
      </c>
      <c r="AT85" s="26">
        <f>_xlfn.IFNA(IF(LEFT('Rock Climbing Log'!AT85)="C",_xlfn.IFNA(VLOOKUP('Rock Climbing Log'!AT85,'RC Lookup'!$A$3:$B$9,2,FALSE),0.5),VLOOKUP('Rock Climbing Log'!AT85,'RC Lookup'!$G$3:$H$5,2,FALSE)),0)*VLOOKUP(AT$7,'RC Lookup'!$D$3:$E$18,2,FALSE)</f>
        <v>0</v>
      </c>
      <c r="AU85" s="26">
        <f>_xlfn.IFNA(IF(LEFT('Rock Climbing Log'!AU85)="C",_xlfn.IFNA(VLOOKUP('Rock Climbing Log'!AU85,'RC Lookup'!$A$3:$B$9,2,FALSE),0.5),VLOOKUP('Rock Climbing Log'!AU85,'RC Lookup'!$G$3:$H$5,2,FALSE)),0)*VLOOKUP(AT$7,'RC Lookup'!$D$3:$E$18,2,FALSE)</f>
        <v>0</v>
      </c>
      <c r="AV85" s="26">
        <f>_xlfn.IFNA(IF(LEFT('Rock Climbing Log'!AV85)="C",_xlfn.IFNA(VLOOKUP('Rock Climbing Log'!AV85,'RC Lookup'!$A$3:$B$9,2,FALSE),0.5),VLOOKUP('Rock Climbing Log'!AV85,'RC Lookup'!$G$3:$H$5,2,FALSE)),0)*VLOOKUP(AT$7,'RC Lookup'!$D$3:$E$18,2,FALSE)</f>
        <v>0</v>
      </c>
      <c r="AW85" s="30">
        <f t="shared" ca="1" si="3"/>
        <v>90.51599148480004</v>
      </c>
      <c r="AX85" s="30">
        <f ca="1">_xlfn.IFNA(VLOOKUP(SUMPRODUCT(LARGE(($C$8:$C85=Table1[[#This Row],[Climber]])*$A$8:$A85,1)),$A$8:$AW85,MATCH($AW$7,$A$7:$AW$7,FALSE),FALSE),0)/LEFT($AX$7,FIND(" ",$AX$7))+_xlfn.IFNA(VLOOKUP(SUMPRODUCT(LARGE(($C$8:$C85=Table1[[#This Row],[Climber]])*$A$8:$A85,MIN(2,COUNTIFS($C$8:$C85,$C85)))),$A$8:$AW85,MATCH($AW$7,$A$7:$AW$7,FALSE),FALSE),0)/LEFT($AX$7,FIND(" ",$AX$7))+_xlfn.IFNA(VLOOKUP(SUMPRODUCT(LARGE(($C$8:$C85=Table1[[#This Row],[Climber]])*$A$8:$A85,MIN(3,COUNTIFS($C$8:$C85,$C85)))),$A$8:$AW85,MATCH($AW$7,$A$7:$AW$7,FALSE),FALSE),0)/LEFT($AX$7,FIND(" ",$AX$7))</f>
        <v>82.729228039795743</v>
      </c>
      <c r="AY85" s="30">
        <f ca="1">_xlfn.IFNA(VLOOKUP(SUMPRODUCT(LARGE(($C$8:$C85=Table1[[#This Row],[Climber]])*$A$8:$A85,1)),$A$8:$AW85,MATCH($AW$7,$A$7:$AW$7,FALSE),FALSE),0)/LEFT($AY$7,FIND(" ",$AY$7))+_xlfn.IFNA(VLOOKUP(SUMPRODUCT(LARGE(($C$8:$C85=Table1[[#This Row],[Climber]])*$A$8:$A85,MIN(2,COUNTIFS($C$8:$C85,$C85)))),$A$8:$AW85,MATCH($AW$7,$A$7:$AW$7,FALSE),FALSE),0)/LEFT($AY$7,FIND(" ",$AY$7))+_xlfn.IFNA(VLOOKUP(SUMPRODUCT(LARGE(($C$8:$C85=Table1[[#This Row],[Climber]])*$A$8:$A85,MIN(3,COUNTIFS($C$8:$C85,$C85)))),$A$8:$AW85,MATCH($AW$7,$A$7:$AW$7,FALSE),FALSE),0)/LEFT($AY$7,FIND(" ",$AY$7))+_xlfn.IFNA(VLOOKUP(SUMPRODUCT(LARGE(($C$8:$C85=Table1[[#This Row],[Climber]])*$A$8:$A85,MIN(4,COUNTIFS($C$8:$C85,$C85)))),$A$8:$AW85,MATCH($AW$7,$A$7:$AW$7,FALSE),FALSE),0)/LEFT($AY$7,FIND(" ",$AY$7))+_xlfn.IFNA(VLOOKUP(SUMPRODUCT(LARGE(($C$8:$C85=Table1[[#This Row],[Climber]])*$A$8:$A85,MIN(5,COUNTIFS($C$8:$C85,$C85)))),$A$8:$AW85,MATCH($AW$7,$A$7:$AW$7,FALSE),FALSE),0)/LEFT($AY$7,FIND(" ",$AY$7))</f>
        <v>68.339385972357462</v>
      </c>
      <c r="AZ85" s="30">
        <f ca="1">(_xlfn.IFNA(VLOOKUP(SUMPRODUCT(LARGE(($C$8:$C85=Table1[[#This Row],[Climber]])*$A$8:$A85,4)),$A$8:$AW85,MATCH($AW$7,$A$7:$AW$7,FALSE),FALSE),0)+_xlfn.IFNA(VLOOKUP(SUMPRODUCT(LARGE(($C$8:$C85=Table1[[#This Row],[Climber]])*$A$8:$A85,5)),$A$8:$AW85,MATCH($AW$7,$A$7:$AW$7,FALSE),FALSE),0)+_xlfn.IFNA(VLOOKUP(SUMPRODUCT(LARGE(($C$8:$C85=Table1[[#This Row],[Climber]])*$A$8:$A85,6)),$A$8:$AW85,MATCH($AW$7,$A$7:$AW$7,FALSE),FALSE),0))/3</f>
        <v>43.919748580800011</v>
      </c>
      <c r="BA85" s="46">
        <f ca="1">_xlfn.MAXIFS(INDIRECT("$AW"&amp;IF(SUMPRODUCT(LARGE(($C$8:$C85=$C85)*$A$8:$A85,LEFT($BA$7,FIND(" ",$BA$7)-1)))=0,8,SUMPRODUCT(LARGE(($C$8:$C85=$C85)*$A$8:$A85,LEFT($BA$7,FIND(" ",$BA$7)-1)))+7)&amp;":$AW"&amp;ROW()),INDIRECT("$C"&amp;IF(SUMPRODUCT(LARGE(($C$8:$C85=$C85)*$A$8:$A85,LEFT($BA$7,FIND(" ",$BA$7)-1)))=0,8,SUMPRODUCT(LARGE(($C$8:$C85=$C85)*$A$8:$A85,LEFT($BA$7,FIND(" ",$BA$7)-1)))+7)&amp;":$C"&amp;ROW()),$C85)</f>
        <v>90.51599148480004</v>
      </c>
      <c r="BB85" s="46" t="str">
        <f ca="1">VLOOKUP(MAX(BG85,$AX85),'RC Lookup'!$G$14:$J$20,2,TRUE)</f>
        <v>T2</v>
      </c>
      <c r="BC85" s="46">
        <f ca="1">_xlfn.IFNA(VLOOKUP(VLOOKUP($C85,'RC Lookup'!$O$3:$P$50,2,FALSE),'RC Lookup'!$H$14:$J$23,2,FALSE),0)*AW85</f>
        <v>150.84113066666671</v>
      </c>
      <c r="BD85" s="6">
        <f ca="1">_xlfn.IFNA(VLOOKUP(SUMPRODUCT(LARGE(($C$8:$C85=Table1[[#This Row],[Climber]])*$A$8:$A85,1)),$A$8:$BC85,55,FALSE),0)/LEFT($AX$7,FIND(" ",$AX$7))+_xlfn.IFNA(VLOOKUP(SUMPRODUCT(LARGE(($C$8:$C85=Table1[[#This Row],[Climber]])*$A$8:$A85,MIN(2,COUNTIFS($C$8:$C85,$C85)))),$A$8:$BC85,55,FALSE),0)/LEFT($AX$7,FIND(" ",$AX$7))+_xlfn.IFNA(VLOOKUP(SUMPRODUCT(LARGE(($C$8:$C85=Table1[[#This Row],[Climber]])*$A$8:$A85,MIN(3,COUNTIFS($C$8:$C85,$C85)))),$A$8:$BC85,55,FALSE),0)/LEFT($AX$7,FIND(" ",$AX$7))</f>
        <v>137.86481363128897</v>
      </c>
      <c r="BE85" s="6">
        <f ca="1">(_xlfn.IFNA(VLOOKUP(SUMPRODUCT(LARGE(($C$8:$C85=Table1[[#This Row],[Climber]])*$A$8:$A85,4)),$A$8:$BD85,55,FALSE),0)+_xlfn.IFNA(VLOOKUP(SUMPRODUCT(LARGE(($C$8:$C85=Table1[[#This Row],[Climber]])*$A$8:$A85,5)),$A$8:$BD85,55,FALSE),0)+_xlfn.IFNA(VLOOKUP(SUMPRODUCT(LARGE(($C$8:$C85=Table1[[#This Row],[Climber]])*$A$8:$A85,6)),$A$8:$BD85,55,FALSE),0))/3</f>
        <v>73.190432163979509</v>
      </c>
      <c r="BF85" s="46">
        <f ca="1">_xlfn.MAXIFS(INDIRECT("$BC"&amp;IF(SUMPRODUCT(LARGE(($C$8:$C85=$C85)*$A$8:$A85,LEFT($BA$7,FIND(" ",$BA$7)-1)))=0,8,SUMPRODUCT(LARGE(($C$8:$C85=$C85)*$A$8:$A85,LEFT($BA$7,FIND(" ",$BA$7)-1)))+7)&amp;":$BC"&amp;ROW()),INDIRECT("$C"&amp;IF(SUMPRODUCT(LARGE(($C$8:$C85=$C85)*$A$8:$A85,LEFT($BA$7,FIND(" ",$BA$7)-1)))=0,8,SUMPRODUCT(LARGE(($C$8:$C85=$C85)*$A$8:$A85,LEFT($BA$7,FIND(" ",$BA$7)-1)))+7)&amp;":$C"&amp;ROW()),$C85)</f>
        <v>150.84113066666671</v>
      </c>
      <c r="BG85" s="46">
        <f t="array" aca="1" ref="BG85" ca="1">IFERROR(SUMPRODUCT(LARGE(($C$8:$C85=Table1[[#This Row],[Climber]])*$AW$8:$AW85,ROW(INDIRECT("1:5")))),AW85)/MIN(COUNTIFS($C$8:$C85,C85),5)</f>
        <v>68.339385972357448</v>
      </c>
    </row>
    <row r="86" spans="1:59" x14ac:dyDescent="0.3">
      <c r="A86" s="125">
        <f t="shared" si="1"/>
        <v>79</v>
      </c>
      <c r="B86" s="25">
        <f>'Rock Climbing Log'!B86</f>
        <v>43173</v>
      </c>
      <c r="C86" s="126" t="str">
        <f>'Rock Climbing Log'!C86</f>
        <v>Edwin</v>
      </c>
      <c r="D86" s="26">
        <f>_xlfn.IFNA(IF(LEFT('Rock Climbing Log'!D86)="C",_xlfn.IFNA(VLOOKUP('Rock Climbing Log'!D86,'RC Lookup'!$A$3:$B$9,2,FALSE),0.5),VLOOKUP('Rock Climbing Log'!D86,'RC Lookup'!$G$3:$H$5,2,FALSE)),0)*VLOOKUP(D$7,'RC Lookup'!$D$3:$E$18,2,FALSE)</f>
        <v>0</v>
      </c>
      <c r="E86" s="26">
        <f>_xlfn.IFNA(IF(LEFT('Rock Climbing Log'!E86)="C",_xlfn.IFNA(VLOOKUP('Rock Climbing Log'!E86,'RC Lookup'!$A$3:$B$9,2,FALSE),0.5),VLOOKUP('Rock Climbing Log'!E86,'RC Lookup'!$G$3:$H$5,2,FALSE)),0)*VLOOKUP(D$7,'RC Lookup'!$D$3:$E$18,2,FALSE)</f>
        <v>0</v>
      </c>
      <c r="F86" s="26">
        <f>_xlfn.IFNA(IF(LEFT('Rock Climbing Log'!F86)="C",_xlfn.IFNA(VLOOKUP('Rock Climbing Log'!F86,'RC Lookup'!$A$3:$B$9,2,FALSE),0.5),VLOOKUP('Rock Climbing Log'!F86,'RC Lookup'!$G$3:$H$5,2,FALSE)),0)*VLOOKUP(D$7,'RC Lookup'!$D$3:$E$18,2,FALSE)</f>
        <v>0</v>
      </c>
      <c r="G86" s="26">
        <f>_xlfn.IFNA(IF(LEFT('Rock Climbing Log'!G86)="C",_xlfn.IFNA(VLOOKUP('Rock Climbing Log'!G86,'RC Lookup'!$A$3:$B$9,2,FALSE),0.5),VLOOKUP('Rock Climbing Log'!G86,'RC Lookup'!$G$3:$H$5,2,FALSE)),0)*VLOOKUP(G$7,'RC Lookup'!$D$3:$E$18,2,FALSE)</f>
        <v>0</v>
      </c>
      <c r="H86" s="26">
        <f>_xlfn.IFNA(IF(LEFT('Rock Climbing Log'!H86)="C",_xlfn.IFNA(VLOOKUP('Rock Climbing Log'!H86,'RC Lookup'!$A$3:$B$9,2,FALSE),0.5),VLOOKUP('Rock Climbing Log'!H86,'RC Lookup'!$G$3:$H$5,2,FALSE)),0)*VLOOKUP(G$7,'RC Lookup'!$D$3:$E$18,2,FALSE)</f>
        <v>0</v>
      </c>
      <c r="I86" s="26">
        <f>_xlfn.IFNA(IF(LEFT('Rock Climbing Log'!I86)="C",_xlfn.IFNA(VLOOKUP('Rock Climbing Log'!I86,'RC Lookup'!$A$3:$B$9,2,FALSE),0.5),VLOOKUP('Rock Climbing Log'!I86,'RC Lookup'!$G$3:$H$5,2,FALSE)),0)*VLOOKUP(G$7,'RC Lookup'!$D$3:$E$18,2,FALSE)</f>
        <v>0</v>
      </c>
      <c r="J86" s="26">
        <f>_xlfn.IFNA(IF(LEFT('Rock Climbing Log'!J86)="C",_xlfn.IFNA(VLOOKUP('Rock Climbing Log'!J86,'RC Lookup'!$A$3:$B$9,2,FALSE),0.5),VLOOKUP('Rock Climbing Log'!J86,'RC Lookup'!$G$3:$H$5,2,FALSE)),0)*VLOOKUP(J$7,'RC Lookup'!$D$3:$E$18,2,FALSE)</f>
        <v>0</v>
      </c>
      <c r="K86" s="26">
        <f>_xlfn.IFNA(IF(LEFT('Rock Climbing Log'!K86)="C",_xlfn.IFNA(VLOOKUP('Rock Climbing Log'!K86,'RC Lookup'!$A$3:$B$9,2,FALSE),0.5),VLOOKUP('Rock Climbing Log'!K86,'RC Lookup'!$G$3:$H$5,2,FALSE)),0)*VLOOKUP(J$7,'RC Lookup'!$D$3:$E$18,2,FALSE)</f>
        <v>0</v>
      </c>
      <c r="L86" s="26">
        <f>_xlfn.IFNA(IF(LEFT('Rock Climbing Log'!L86)="C",_xlfn.IFNA(VLOOKUP('Rock Climbing Log'!L86,'RC Lookup'!$A$3:$B$9,2,FALSE),0.5),VLOOKUP('Rock Climbing Log'!L86,'RC Lookup'!$G$3:$H$5,2,FALSE)),0)*VLOOKUP(J$7,'RC Lookup'!$D$3:$E$18,2,FALSE)</f>
        <v>0</v>
      </c>
      <c r="M86" s="26">
        <f>_xlfn.IFNA(IF(LEFT('Rock Climbing Log'!M86)="C",_xlfn.IFNA(VLOOKUP('Rock Climbing Log'!M86,'RC Lookup'!$A$3:$B$9,2,FALSE),0.5),VLOOKUP('Rock Climbing Log'!M86,'RC Lookup'!$G$3:$H$5,2,FALSE)),0)*VLOOKUP(M$7,'RC Lookup'!$D$3:$E$18,2,FALSE)</f>
        <v>0</v>
      </c>
      <c r="N86" s="26">
        <f>_xlfn.IFNA(IF(LEFT('Rock Climbing Log'!N86)="C",_xlfn.IFNA(VLOOKUP('Rock Climbing Log'!N86,'RC Lookup'!$A$3:$B$9,2,FALSE),0.5),VLOOKUP('Rock Climbing Log'!N86,'RC Lookup'!$G$3:$H$5,2,FALSE)),0)*VLOOKUP(M$7,'RC Lookup'!$D$3:$E$18,2,FALSE)</f>
        <v>0</v>
      </c>
      <c r="O86" s="26">
        <f>_xlfn.IFNA(IF(LEFT('Rock Climbing Log'!O86)="C",_xlfn.IFNA(VLOOKUP('Rock Climbing Log'!O86,'RC Lookup'!$A$3:$B$9,2,FALSE),0.5),VLOOKUP('Rock Climbing Log'!O86,'RC Lookup'!$G$3:$H$5,2,FALSE)),0)*VLOOKUP(M$7,'RC Lookup'!$D$3:$E$18,2,FALSE)</f>
        <v>0</v>
      </c>
      <c r="P86" s="26">
        <f>_xlfn.IFNA(IF(LEFT('Rock Climbing Log'!P86)="C",_xlfn.IFNA(VLOOKUP('Rock Climbing Log'!P86,'RC Lookup'!$A$3:$B$9,2,FALSE),0.5),VLOOKUP('Rock Climbing Log'!P86,'RC Lookup'!$G$3:$H$5,2,FALSE)),0)*VLOOKUP(P$7,'RC Lookup'!$D$3:$E$18,2,FALSE)</f>
        <v>0</v>
      </c>
      <c r="Q86" s="26">
        <f>_xlfn.IFNA(IF(LEFT('Rock Climbing Log'!Q86)="C",_xlfn.IFNA(VLOOKUP('Rock Climbing Log'!Q86,'RC Lookup'!$A$3:$B$9,2,FALSE),0.5),VLOOKUP('Rock Climbing Log'!Q86,'RC Lookup'!$G$3:$H$5,2,FALSE)),0)*VLOOKUP(P$7,'RC Lookup'!$D$3:$E$18,2,FALSE)</f>
        <v>0</v>
      </c>
      <c r="R86" s="26">
        <f>_xlfn.IFNA(IF(LEFT('Rock Climbing Log'!R86)="C",_xlfn.IFNA(VLOOKUP('Rock Climbing Log'!R86,'RC Lookup'!$A$3:$B$9,2,FALSE),0.5),VLOOKUP('Rock Climbing Log'!R86,'RC Lookup'!$G$3:$H$5,2,FALSE)),0)*VLOOKUP(P$7,'RC Lookup'!$D$3:$E$18,2,FALSE)</f>
        <v>0</v>
      </c>
      <c r="S86" s="26">
        <f>_xlfn.IFNA(IF(LEFT('Rock Climbing Log'!S86)="C",_xlfn.IFNA(VLOOKUP('Rock Climbing Log'!S86,'RC Lookup'!$A$3:$B$9,2,FALSE),0.5),VLOOKUP('Rock Climbing Log'!S86,'RC Lookup'!$G$3:$H$5,2,FALSE)),0)*VLOOKUP(S$7,'RC Lookup'!$D$3:$E$18,2,FALSE)</f>
        <v>0</v>
      </c>
      <c r="T86" s="26">
        <f>_xlfn.IFNA(IF(LEFT('Rock Climbing Log'!T86)="C",_xlfn.IFNA(VLOOKUP('Rock Climbing Log'!T86,'RC Lookup'!$A$3:$B$9,2,FALSE),0.5),VLOOKUP('Rock Climbing Log'!T86,'RC Lookup'!$G$3:$H$5,2,FALSE)),0)*VLOOKUP(S$7,'RC Lookup'!$D$3:$E$18,2,FALSE)</f>
        <v>0</v>
      </c>
      <c r="U86" s="26">
        <f>_xlfn.IFNA(IF(LEFT('Rock Climbing Log'!U86)="C",_xlfn.IFNA(VLOOKUP('Rock Climbing Log'!U86,'RC Lookup'!$A$3:$B$9,2,FALSE),0.5),VLOOKUP('Rock Climbing Log'!U86,'RC Lookup'!$G$3:$H$5,2,FALSE)),0)*VLOOKUP(S$7,'RC Lookup'!$D$3:$E$18,2,FALSE)</f>
        <v>0</v>
      </c>
      <c r="V86" s="26">
        <f>_xlfn.IFNA(IF(LEFT('Rock Climbing Log'!V86)="C",_xlfn.IFNA(VLOOKUP('Rock Climbing Log'!V86,'RC Lookup'!$A$3:$B$9,2,FALSE),0.5),VLOOKUP('Rock Climbing Log'!V86,'RC Lookup'!$G$3:$H$5,2,FALSE)),0)*VLOOKUP(V$7,'RC Lookup'!$D$3:$E$18,2,FALSE)</f>
        <v>35.256745742400021</v>
      </c>
      <c r="W86" s="26">
        <f>_xlfn.IFNA(IF(LEFT('Rock Climbing Log'!W86)="C",_xlfn.IFNA(VLOOKUP('Rock Climbing Log'!W86,'RC Lookup'!$A$3:$B$9,2,FALSE),0.5),VLOOKUP('Rock Climbing Log'!W86,'RC Lookup'!$G$3:$H$5,2,FALSE)),0)*VLOOKUP(V$7,'RC Lookup'!$D$3:$E$18,2,FALSE)</f>
        <v>35.256745742400021</v>
      </c>
      <c r="X86" s="26">
        <f>_xlfn.IFNA(IF(LEFT('Rock Climbing Log'!X86)="C",_xlfn.IFNA(VLOOKUP('Rock Climbing Log'!X86,'RC Lookup'!$A$3:$B$9,2,FALSE),0.5),VLOOKUP('Rock Climbing Log'!X86,'RC Lookup'!$G$3:$H$5,2,FALSE)),0)*VLOOKUP(V$7,'RC Lookup'!$D$3:$E$18,2,FALSE)</f>
        <v>17.628372871200011</v>
      </c>
      <c r="Y86" s="26">
        <f>_xlfn.IFNA(IF(LEFT('Rock Climbing Log'!Y86)="C",_xlfn.IFNA(VLOOKUP('Rock Climbing Log'!Y86,'RC Lookup'!$A$3:$B$9,2,FALSE),0.5),VLOOKUP('Rock Climbing Log'!Y86,'RC Lookup'!$G$3:$H$5,2,FALSE)),0)*VLOOKUP(Y$7,'RC Lookup'!$D$3:$E$18,2,FALSE)</f>
        <v>0</v>
      </c>
      <c r="Z86" s="26">
        <f>_xlfn.IFNA(IF(LEFT('Rock Climbing Log'!Z86)="C",_xlfn.IFNA(VLOOKUP('Rock Climbing Log'!Z86,'RC Lookup'!$A$3:$B$9,2,FALSE),0.5),VLOOKUP('Rock Climbing Log'!Z86,'RC Lookup'!$G$3:$H$5,2,FALSE)),0)*VLOOKUP(Y$7,'RC Lookup'!$D$3:$E$18,2,FALSE)</f>
        <v>0</v>
      </c>
      <c r="AA86" s="26">
        <f>_xlfn.IFNA(IF(LEFT('Rock Climbing Log'!AA86)="C",_xlfn.IFNA(VLOOKUP('Rock Climbing Log'!AA86,'RC Lookup'!$A$3:$B$9,2,FALSE),0.5),VLOOKUP('Rock Climbing Log'!AA86,'RC Lookup'!$G$3:$H$5,2,FALSE)),0)*VLOOKUP(Y$7,'RC Lookup'!$D$3:$E$18,2,FALSE)</f>
        <v>0</v>
      </c>
      <c r="AB86" s="26">
        <f>_xlfn.IFNA(IF(LEFT('Rock Climbing Log'!AB86)="C",_xlfn.IFNA(VLOOKUP('Rock Climbing Log'!AB86,'RC Lookup'!$A$3:$B$9,2,FALSE),0.5),VLOOKUP('Rock Climbing Log'!AB86,'RC Lookup'!$G$3:$H$5,2,FALSE)),0)*VLOOKUP(AB$7,'RC Lookup'!$D$3:$E$18,2,FALSE)</f>
        <v>27.017385289384112</v>
      </c>
      <c r="AC86" s="26">
        <f>_xlfn.IFNA(IF(LEFT('Rock Climbing Log'!AC86)="C",_xlfn.IFNA(VLOOKUP('Rock Climbing Log'!AC86,'RC Lookup'!$A$3:$B$9,2,FALSE),0.5),VLOOKUP('Rock Climbing Log'!AC86,'RC Lookup'!$G$3:$H$5,2,FALSE)),0)*VLOOKUP(AB$7,'RC Lookup'!$D$3:$E$18,2,FALSE)</f>
        <v>0</v>
      </c>
      <c r="AD86" s="26">
        <f>_xlfn.IFNA(IF(LEFT('Rock Climbing Log'!AD86)="C",_xlfn.IFNA(VLOOKUP('Rock Climbing Log'!AD86,'RC Lookup'!$A$3:$B$9,2,FALSE),0.5),VLOOKUP('Rock Climbing Log'!AD86,'RC Lookup'!$G$3:$H$5,2,FALSE)),0)*VLOOKUP(AB$7,'RC Lookup'!$D$3:$E$18,2,FALSE)</f>
        <v>0</v>
      </c>
      <c r="AE86" s="26">
        <f>_xlfn.IFNA(IF(LEFT('Rock Climbing Log'!AE86)="C",_xlfn.IFNA(VLOOKUP('Rock Climbing Log'!AE86,'RC Lookup'!$A$3:$B$9,2,FALSE),0.5),VLOOKUP('Rock Climbing Log'!AE86,'RC Lookup'!$G$3:$H$5,2,FALSE)),0)*VLOOKUP(AE$7,'RC Lookup'!$D$3:$E$18,2,FALSE)</f>
        <v>0</v>
      </c>
      <c r="AF86" s="26">
        <f>_xlfn.IFNA(IF(LEFT('Rock Climbing Log'!AF86)="C",_xlfn.IFNA(VLOOKUP('Rock Climbing Log'!AF86,'RC Lookup'!$A$3:$B$9,2,FALSE),0.5),VLOOKUP('Rock Climbing Log'!AF86,'RC Lookup'!$G$3:$H$5,2,FALSE)),0)*VLOOKUP(AE$7,'RC Lookup'!$D$3:$E$18,2,FALSE)</f>
        <v>0</v>
      </c>
      <c r="AG86" s="26">
        <f>_xlfn.IFNA(IF(LEFT('Rock Climbing Log'!AG86)="C",_xlfn.IFNA(VLOOKUP('Rock Climbing Log'!AG86,'RC Lookup'!$A$3:$B$9,2,FALSE),0.5),VLOOKUP('Rock Climbing Log'!AG86,'RC Lookup'!$G$3:$H$5,2,FALSE)),0)*VLOOKUP(AE$7,'RC Lookup'!$D$3:$E$18,2,FALSE)</f>
        <v>0</v>
      </c>
      <c r="AH86" s="26">
        <f>_xlfn.IFNA(IF(LEFT('Rock Climbing Log'!AH86)="C",_xlfn.IFNA(VLOOKUP('Rock Climbing Log'!AH86,'RC Lookup'!$A$3:$B$9,2,FALSE),0.5),VLOOKUP('Rock Climbing Log'!AH86,'RC Lookup'!$G$3:$H$5,2,FALSE)),0)*VLOOKUP(AH$7,'RC Lookup'!$D$3:$E$18,2,FALSE)</f>
        <v>0</v>
      </c>
      <c r="AI86" s="26">
        <f>_xlfn.IFNA(IF(LEFT('Rock Climbing Log'!AI86)="C",_xlfn.IFNA(VLOOKUP('Rock Climbing Log'!AI86,'RC Lookup'!$A$3:$B$9,2,FALSE),0.5),VLOOKUP('Rock Climbing Log'!AI86,'RC Lookup'!$G$3:$H$5,2,FALSE)),0)*VLOOKUP(AH$7,'RC Lookup'!$D$3:$E$18,2,FALSE)</f>
        <v>0</v>
      </c>
      <c r="AJ86" s="26">
        <f>_xlfn.IFNA(IF(LEFT('Rock Climbing Log'!AJ86)="C",_xlfn.IFNA(VLOOKUP('Rock Climbing Log'!AJ86,'RC Lookup'!$A$3:$B$9,2,FALSE),0.5),VLOOKUP('Rock Climbing Log'!AJ86,'RC Lookup'!$G$3:$H$5,2,FALSE)),0)*VLOOKUP(AH$7,'RC Lookup'!$D$3:$E$18,2,FALSE)</f>
        <v>0</v>
      </c>
      <c r="AK86" s="26">
        <f>_xlfn.IFNA(IF(LEFT('Rock Climbing Log'!AK86)="C",_xlfn.IFNA(VLOOKUP('Rock Climbing Log'!AK86,'RC Lookup'!$A$3:$B$9,2,FALSE),0.5),VLOOKUP('Rock Climbing Log'!AK86,'RC Lookup'!$G$3:$H$5,2,FALSE)),0)*VLOOKUP(AK$7,'RC Lookup'!$D$3:$E$18,2,FALSE)</f>
        <v>0</v>
      </c>
      <c r="AL86" s="26">
        <f>_xlfn.IFNA(IF(LEFT('Rock Climbing Log'!AL86)="C",_xlfn.IFNA(VLOOKUP('Rock Climbing Log'!AL86,'RC Lookup'!$A$3:$B$9,2,FALSE),0.5),VLOOKUP('Rock Climbing Log'!AL86,'RC Lookup'!$G$3:$H$5,2,FALSE)),0)*VLOOKUP(AK$7,'RC Lookup'!$D$3:$E$18,2,FALSE)</f>
        <v>0</v>
      </c>
      <c r="AM86" s="26">
        <f>_xlfn.IFNA(IF(LEFT('Rock Climbing Log'!AM86)="C",_xlfn.IFNA(VLOOKUP('Rock Climbing Log'!AM86,'RC Lookup'!$A$3:$B$9,2,FALSE),0.5),VLOOKUP('Rock Climbing Log'!AM86,'RC Lookup'!$G$3:$H$5,2,FALSE)),0)*VLOOKUP(AK$7,'RC Lookup'!$D$3:$E$18,2,FALSE)</f>
        <v>0</v>
      </c>
      <c r="AN86" s="26">
        <f>_xlfn.IFNA(IF(LEFT('Rock Climbing Log'!AN86)="C",_xlfn.IFNA(VLOOKUP('Rock Climbing Log'!AN86,'RC Lookup'!$A$3:$B$9,2,FALSE),0.5),VLOOKUP('Rock Climbing Log'!AN86,'RC Lookup'!$G$3:$H$5,2,FALSE)),0)*VLOOKUP(AN$7,'RC Lookup'!$D$3:$E$18,2,FALSE)</f>
        <v>0</v>
      </c>
      <c r="AO86" s="26">
        <f>_xlfn.IFNA(IF(LEFT('Rock Climbing Log'!AO86)="C",_xlfn.IFNA(VLOOKUP('Rock Climbing Log'!AO86,'RC Lookup'!$A$3:$B$9,2,FALSE),0.5),VLOOKUP('Rock Climbing Log'!AO86,'RC Lookup'!$G$3:$H$5,2,FALSE)),0)*VLOOKUP(AN$7,'RC Lookup'!$D$3:$E$18,2,FALSE)</f>
        <v>0</v>
      </c>
      <c r="AP86" s="26">
        <f>_xlfn.IFNA(IF(LEFT('Rock Climbing Log'!AP86)="C",_xlfn.IFNA(VLOOKUP('Rock Climbing Log'!AP86,'RC Lookup'!$A$3:$B$9,2,FALSE),0.5),VLOOKUP('Rock Climbing Log'!AP86,'RC Lookup'!$G$3:$H$5,2,FALSE)),0)*VLOOKUP(AN$7,'RC Lookup'!$D$3:$E$18,2,FALSE)</f>
        <v>0</v>
      </c>
      <c r="AQ86" s="26">
        <f>_xlfn.IFNA(IF(LEFT('Rock Climbing Log'!AQ86)="C",_xlfn.IFNA(VLOOKUP('Rock Climbing Log'!AQ86,'RC Lookup'!$A$3:$B$9,2,FALSE),0.5),VLOOKUP('Rock Climbing Log'!AQ86,'RC Lookup'!$G$3:$H$5,2,FALSE)),0)*VLOOKUP(AQ$7,'RC Lookup'!$D$3:$E$18,2,FALSE)</f>
        <v>0</v>
      </c>
      <c r="AR86" s="26">
        <f>_xlfn.IFNA(IF(LEFT('Rock Climbing Log'!AR86)="C",_xlfn.IFNA(VLOOKUP('Rock Climbing Log'!AR86,'RC Lookup'!$A$3:$B$9,2,FALSE),0.5),VLOOKUP('Rock Climbing Log'!AR86,'RC Lookup'!$G$3:$H$5,2,FALSE)),0)*VLOOKUP(AQ$7,'RC Lookup'!$D$3:$E$18,2,FALSE)</f>
        <v>0</v>
      </c>
      <c r="AS86" s="26">
        <f>_xlfn.IFNA(IF(LEFT('Rock Climbing Log'!AS86)="C",_xlfn.IFNA(VLOOKUP('Rock Climbing Log'!AS86,'RC Lookup'!$A$3:$B$9,2,FALSE),0.5),VLOOKUP('Rock Climbing Log'!AS86,'RC Lookup'!$G$3:$H$5,2,FALSE)),0)*VLOOKUP(AQ$7,'RC Lookup'!$D$3:$E$18,2,FALSE)</f>
        <v>0</v>
      </c>
      <c r="AT86" s="26">
        <f>_xlfn.IFNA(IF(LEFT('Rock Climbing Log'!AT86)="C",_xlfn.IFNA(VLOOKUP('Rock Climbing Log'!AT86,'RC Lookup'!$A$3:$B$9,2,FALSE),0.5),VLOOKUP('Rock Climbing Log'!AT86,'RC Lookup'!$G$3:$H$5,2,FALSE)),0)*VLOOKUP(AT$7,'RC Lookup'!$D$3:$E$18,2,FALSE)</f>
        <v>0</v>
      </c>
      <c r="AU86" s="26">
        <f>_xlfn.IFNA(IF(LEFT('Rock Climbing Log'!AU86)="C",_xlfn.IFNA(VLOOKUP('Rock Climbing Log'!AU86,'RC Lookup'!$A$3:$B$9,2,FALSE),0.5),VLOOKUP('Rock Climbing Log'!AU86,'RC Lookup'!$G$3:$H$5,2,FALSE)),0)*VLOOKUP(AT$7,'RC Lookup'!$D$3:$E$18,2,FALSE)</f>
        <v>0</v>
      </c>
      <c r="AV86" s="26">
        <f>_xlfn.IFNA(IF(LEFT('Rock Climbing Log'!AV86)="C",_xlfn.IFNA(VLOOKUP('Rock Climbing Log'!AV86,'RC Lookup'!$A$3:$B$9,2,FALSE),0.5),VLOOKUP('Rock Climbing Log'!AV86,'RC Lookup'!$G$3:$H$5,2,FALSE)),0)*VLOOKUP(AT$7,'RC Lookup'!$D$3:$E$18,2,FALSE)</f>
        <v>0</v>
      </c>
      <c r="AW86" s="30">
        <f t="shared" ca="1" si="3"/>
        <v>97.530876774184151</v>
      </c>
      <c r="AX86" s="30">
        <f ca="1">_xlfn.IFNA(VLOOKUP(SUMPRODUCT(LARGE(($C$8:$C86=Table1[[#This Row],[Climber]])*$A$8:$A86,1)),$A$8:$AW86,MATCH($AW$7,$A$7:$AW$7,FALSE),FALSE),0)/LEFT($AX$7,FIND(" ",$AX$7))+_xlfn.IFNA(VLOOKUP(SUMPRODUCT(LARGE(($C$8:$C86=Table1[[#This Row],[Climber]])*$A$8:$A86,MIN(2,COUNTIFS($C$8:$C86,$C86)))),$A$8:$AW86,MATCH($AW$7,$A$7:$AW$7,FALSE),FALSE),0)/LEFT($AX$7,FIND(" ",$AX$7))+_xlfn.IFNA(VLOOKUP(SUMPRODUCT(LARGE(($C$8:$C86=Table1[[#This Row],[Climber]])*$A$8:$A86,MIN(3,COUNTIFS($C$8:$C86,$C86)))),$A$8:$AW86,MATCH($AW$7,$A$7:$AW$7,FALSE),FALSE),0)/LEFT($AX$7,FIND(" ",$AX$7))</f>
        <v>94.269514459366562</v>
      </c>
      <c r="AY86" s="30">
        <f ca="1">_xlfn.IFNA(VLOOKUP(SUMPRODUCT(LARGE(($C$8:$C86=Table1[[#This Row],[Climber]])*$A$8:$A86,1)),$A$8:$AW86,MATCH($AW$7,$A$7:$AW$7,FALSE),FALSE),0)/LEFT($AY$7,FIND(" ",$AY$7))+_xlfn.IFNA(VLOOKUP(SUMPRODUCT(LARGE(($C$8:$C86=Table1[[#This Row],[Climber]])*$A$8:$A86,MIN(2,COUNTIFS($C$8:$C86,$C86)))),$A$8:$AW86,MATCH($AW$7,$A$7:$AW$7,FALSE),FALSE),0)/LEFT($AY$7,FIND(" ",$AY$7))+_xlfn.IFNA(VLOOKUP(SUMPRODUCT(LARGE(($C$8:$C86=Table1[[#This Row],[Climber]])*$A$8:$A86,MIN(3,COUNTIFS($C$8:$C86,$C86)))),$A$8:$AW86,MATCH($AW$7,$A$7:$AW$7,FALSE),FALSE),0)/LEFT($AY$7,FIND(" ",$AY$7))+_xlfn.IFNA(VLOOKUP(SUMPRODUCT(LARGE(($C$8:$C86=Table1[[#This Row],[Climber]])*$A$8:$A86,MIN(4,COUNTIFS($C$8:$C86,$C86)))),$A$8:$AW86,MATCH($AW$7,$A$7:$AW$7,FALSE),FALSE),0)/LEFT($AY$7,FIND(" ",$AY$7))+_xlfn.IFNA(VLOOKUP(SUMPRODUCT(LARGE(($C$8:$C86=Table1[[#This Row],[Climber]])*$A$8:$A86,MIN(5,COUNTIFS($C$8:$C86,$C86)))),$A$8:$AW86,MATCH($AW$7,$A$7:$AW$7,FALSE),FALSE),0)/LEFT($AY$7,FIND(" ",$AY$7))</f>
        <v>97.811475711353097</v>
      </c>
      <c r="AZ86" s="30">
        <f ca="1">(_xlfn.IFNA(VLOOKUP(SUMPRODUCT(LARGE(($C$8:$C86=Table1[[#This Row],[Climber]])*$A$8:$A86,4)),$A$8:$AW86,MATCH($AW$7,$A$7:$AW$7,FALSE),FALSE),0)+_xlfn.IFNA(VLOOKUP(SUMPRODUCT(LARGE(($C$8:$C86=Table1[[#This Row],[Climber]])*$A$8:$A86,5)),$A$8:$AW86,MATCH($AW$7,$A$7:$AW$7,FALSE),FALSE),0)+_xlfn.IFNA(VLOOKUP(SUMPRODUCT(LARGE(($C$8:$C86=Table1[[#This Row],[Climber]])*$A$8:$A86,6)),$A$8:$AW86,MATCH($AW$7,$A$7:$AW$7,FALSE),FALSE),0))/3</f>
        <v>103.56538752897744</v>
      </c>
      <c r="BA86" s="46">
        <f ca="1">_xlfn.MAXIFS(INDIRECT("$AW"&amp;IF(SUMPRODUCT(LARGE(($C$8:$C86=$C86)*$A$8:$A86,LEFT($BA$7,FIND(" ",$BA$7)-1)))=0,8,SUMPRODUCT(LARGE(($C$8:$C86=$C86)*$A$8:$A86,LEFT($BA$7,FIND(" ",$BA$7)-1)))+7)&amp;":$AW"&amp;ROW()),INDIRECT("$C"&amp;IF(SUMPRODUCT(LARGE(($C$8:$C86=$C86)*$A$8:$A86,LEFT($BA$7,FIND(" ",$BA$7)-1)))=0,8,SUMPRODUCT(LARGE(($C$8:$C86=$C86)*$A$8:$A86,LEFT($BA$7,FIND(" ",$BA$7)-1)))+7)&amp;":$C"&amp;ROW()),$C86)</f>
        <v>97.530876774184151</v>
      </c>
      <c r="BB86" s="46" t="str">
        <f ca="1">VLOOKUP(MAX(BG86,$AX86),'RC Lookup'!$G$14:$J$20,2,TRUE)</f>
        <v>T3</v>
      </c>
      <c r="BC86" s="46">
        <f ca="1">_xlfn.IFNA(VLOOKUP(VLOOKUP($C86,'RC Lookup'!$O$3:$P$50,2,FALSE),'RC Lookup'!$H$14:$J$23,2,FALSE),0)*AW86</f>
        <v>74.845887445887442</v>
      </c>
      <c r="BD86" s="6">
        <f ca="1">_xlfn.IFNA(VLOOKUP(SUMPRODUCT(LARGE(($C$8:$C86=Table1[[#This Row],[Climber]])*$A$8:$A86,1)),$A$8:$BC86,55,FALSE),0)/LEFT($AX$7,FIND(" ",$AX$7))+_xlfn.IFNA(VLOOKUP(SUMPRODUCT(LARGE(($C$8:$C86=Table1[[#This Row],[Climber]])*$A$8:$A86,MIN(2,COUNTIFS($C$8:$C86,$C86)))),$A$8:$BC86,55,FALSE),0)/LEFT($AX$7,FIND(" ",$AX$7))+_xlfn.IFNA(VLOOKUP(SUMPRODUCT(LARGE(($C$8:$C86=Table1[[#This Row],[Climber]])*$A$8:$A86,MIN(3,COUNTIFS($C$8:$C86,$C86)))),$A$8:$BC86,55,FALSE),0)/LEFT($AX$7,FIND(" ",$AX$7))</f>
        <v>72.343094845137344</v>
      </c>
      <c r="BE86" s="6">
        <f ca="1">(_xlfn.IFNA(VLOOKUP(SUMPRODUCT(LARGE(($C$8:$C86=Table1[[#This Row],[Climber]])*$A$8:$A86,4)),$A$8:$BD86,55,FALSE),0)+_xlfn.IFNA(VLOOKUP(SUMPRODUCT(LARGE(($C$8:$C86=Table1[[#This Row],[Climber]])*$A$8:$A86,5)),$A$8:$BD86,55,FALSE),0)+_xlfn.IFNA(VLOOKUP(SUMPRODUCT(LARGE(($C$8:$C86=Table1[[#This Row],[Climber]])*$A$8:$A86,6)),$A$8:$BD86,55,FALSE),0))/3</f>
        <v>79.476813852813848</v>
      </c>
      <c r="BF86" s="46">
        <f ca="1">_xlfn.MAXIFS(INDIRECT("$BC"&amp;IF(SUMPRODUCT(LARGE(($C$8:$C86=$C86)*$A$8:$A86,LEFT($BA$7,FIND(" ",$BA$7)-1)))=0,8,SUMPRODUCT(LARGE(($C$8:$C86=$C86)*$A$8:$A86,LEFT($BA$7,FIND(" ",$BA$7)-1)))+7)&amp;":$BC"&amp;ROW()),INDIRECT("$C"&amp;IF(SUMPRODUCT(LARGE(($C$8:$C86=$C86)*$A$8:$A86,LEFT($BA$7,FIND(" ",$BA$7)-1)))=0,8,SUMPRODUCT(LARGE(($C$8:$C86=$C86)*$A$8:$A86,LEFT($BA$7,FIND(" ",$BA$7)-1)))+7)&amp;":$C"&amp;ROW()),$C86)</f>
        <v>74.845887445887442</v>
      </c>
      <c r="BG86" s="46">
        <f t="array" aca="1" ref="BG86" ca="1">IFERROR(SUMPRODUCT(LARGE(($C$8:$C86=Table1[[#This Row],[Climber]])*$AW$8:$AW86,ROW(INDIRECT("1:5")))),AW86)/MIN(COUNTIFS($C$8:$C86,C86),5)</f>
        <v>104.58761576386057</v>
      </c>
    </row>
    <row r="87" spans="1:59" x14ac:dyDescent="0.3">
      <c r="A87" s="125">
        <f t="shared" si="1"/>
        <v>80</v>
      </c>
      <c r="B87" s="25">
        <f>'Rock Climbing Log'!B87</f>
        <v>43173</v>
      </c>
      <c r="C87" s="126" t="str">
        <f>'Rock Climbing Log'!C87</f>
        <v>Michelle</v>
      </c>
      <c r="D87" s="26">
        <f>_xlfn.IFNA(IF(LEFT('Rock Climbing Log'!D87)="C",_xlfn.IFNA(VLOOKUP('Rock Climbing Log'!D87,'RC Lookup'!$A$3:$B$9,2,FALSE),0.5),VLOOKUP('Rock Climbing Log'!D87,'RC Lookup'!$G$3:$H$5,2,FALSE)),0)*VLOOKUP(D$7,'RC Lookup'!$D$3:$E$18,2,FALSE)</f>
        <v>0</v>
      </c>
      <c r="E87" s="26">
        <f>_xlfn.IFNA(IF(LEFT('Rock Climbing Log'!E87)="C",_xlfn.IFNA(VLOOKUP('Rock Climbing Log'!E87,'RC Lookup'!$A$3:$B$9,2,FALSE),0.5),VLOOKUP('Rock Climbing Log'!E87,'RC Lookup'!$G$3:$H$5,2,FALSE)),0)*VLOOKUP(D$7,'RC Lookup'!$D$3:$E$18,2,FALSE)</f>
        <v>0</v>
      </c>
      <c r="F87" s="26">
        <f>_xlfn.IFNA(IF(LEFT('Rock Climbing Log'!F87)="C",_xlfn.IFNA(VLOOKUP('Rock Climbing Log'!F87,'RC Lookup'!$A$3:$B$9,2,FALSE),0.5),VLOOKUP('Rock Climbing Log'!F87,'RC Lookup'!$G$3:$H$5,2,FALSE)),0)*VLOOKUP(D$7,'RC Lookup'!$D$3:$E$18,2,FALSE)</f>
        <v>0</v>
      </c>
      <c r="G87" s="26">
        <f>_xlfn.IFNA(IF(LEFT('Rock Climbing Log'!G87)="C",_xlfn.IFNA(VLOOKUP('Rock Climbing Log'!G87,'RC Lookup'!$A$3:$B$9,2,FALSE),0.5),VLOOKUP('Rock Climbing Log'!G87,'RC Lookup'!$G$3:$H$5,2,FALSE)),0)*VLOOKUP(G$7,'RC Lookup'!$D$3:$E$18,2,FALSE)</f>
        <v>0</v>
      </c>
      <c r="H87" s="26">
        <f>_xlfn.IFNA(IF(LEFT('Rock Climbing Log'!H87)="C",_xlfn.IFNA(VLOOKUP('Rock Climbing Log'!H87,'RC Lookup'!$A$3:$B$9,2,FALSE),0.5),VLOOKUP('Rock Climbing Log'!H87,'RC Lookup'!$G$3:$H$5,2,FALSE)),0)*VLOOKUP(G$7,'RC Lookup'!$D$3:$E$18,2,FALSE)</f>
        <v>0</v>
      </c>
      <c r="I87" s="26">
        <f>_xlfn.IFNA(IF(LEFT('Rock Climbing Log'!I87)="C",_xlfn.IFNA(VLOOKUP('Rock Climbing Log'!I87,'RC Lookup'!$A$3:$B$9,2,FALSE),0.5),VLOOKUP('Rock Climbing Log'!I87,'RC Lookup'!$G$3:$H$5,2,FALSE)),0)*VLOOKUP(G$7,'RC Lookup'!$D$3:$E$18,2,FALSE)</f>
        <v>0</v>
      </c>
      <c r="J87" s="26">
        <f>_xlfn.IFNA(IF(LEFT('Rock Climbing Log'!J87)="C",_xlfn.IFNA(VLOOKUP('Rock Climbing Log'!J87,'RC Lookup'!$A$3:$B$9,2,FALSE),0.5),VLOOKUP('Rock Climbing Log'!J87,'RC Lookup'!$G$3:$H$5,2,FALSE)),0)*VLOOKUP(J$7,'RC Lookup'!$D$3:$E$18,2,FALSE)</f>
        <v>15.75</v>
      </c>
      <c r="K87" s="26">
        <f>_xlfn.IFNA(IF(LEFT('Rock Climbing Log'!K87)="C",_xlfn.IFNA(VLOOKUP('Rock Climbing Log'!K87,'RC Lookup'!$A$3:$B$9,2,FALSE),0.5),VLOOKUP('Rock Climbing Log'!K87,'RC Lookup'!$G$3:$H$5,2,FALSE)),0)*VLOOKUP(J$7,'RC Lookup'!$D$3:$E$18,2,FALSE)</f>
        <v>0</v>
      </c>
      <c r="L87" s="26">
        <f>_xlfn.IFNA(IF(LEFT('Rock Climbing Log'!L87)="C",_xlfn.IFNA(VLOOKUP('Rock Climbing Log'!L87,'RC Lookup'!$A$3:$B$9,2,FALSE),0.5),VLOOKUP('Rock Climbing Log'!L87,'RC Lookup'!$G$3:$H$5,2,FALSE)),0)*VLOOKUP(J$7,'RC Lookup'!$D$3:$E$18,2,FALSE)</f>
        <v>0</v>
      </c>
      <c r="M87" s="26">
        <f>_xlfn.IFNA(IF(LEFT('Rock Climbing Log'!M87)="C",_xlfn.IFNA(VLOOKUP('Rock Climbing Log'!M87,'RC Lookup'!$A$3:$B$9,2,FALSE),0.5),VLOOKUP('Rock Climbing Log'!M87,'RC Lookup'!$G$3:$H$5,2,FALSE)),0)*VLOOKUP(M$7,'RC Lookup'!$D$3:$E$18,2,FALSE)</f>
        <v>20.002500000000001</v>
      </c>
      <c r="N87" s="26">
        <f>_xlfn.IFNA(IF(LEFT('Rock Climbing Log'!N87)="C",_xlfn.IFNA(VLOOKUP('Rock Climbing Log'!N87,'RC Lookup'!$A$3:$B$9,2,FALSE),0.5),VLOOKUP('Rock Climbing Log'!N87,'RC Lookup'!$G$3:$H$5,2,FALSE)),0)*VLOOKUP(M$7,'RC Lookup'!$D$3:$E$18,2,FALSE)</f>
        <v>20.002500000000001</v>
      </c>
      <c r="O87" s="26">
        <f>_xlfn.IFNA(IF(LEFT('Rock Climbing Log'!O87)="C",_xlfn.IFNA(VLOOKUP('Rock Climbing Log'!O87,'RC Lookup'!$A$3:$B$9,2,FALSE),0.5),VLOOKUP('Rock Climbing Log'!O87,'RC Lookup'!$G$3:$H$5,2,FALSE)),0)*VLOOKUP(M$7,'RC Lookup'!$D$3:$E$18,2,FALSE)</f>
        <v>20.002500000000001</v>
      </c>
      <c r="P87" s="26">
        <f>_xlfn.IFNA(IF(LEFT('Rock Climbing Log'!P87)="C",_xlfn.IFNA(VLOOKUP('Rock Climbing Log'!P87,'RC Lookup'!$A$3:$B$9,2,FALSE),0.5),VLOOKUP('Rock Climbing Log'!P87,'RC Lookup'!$G$3:$H$5,2,FALSE)),0)*VLOOKUP(P$7,'RC Lookup'!$D$3:$E$18,2,FALSE)</f>
        <v>0</v>
      </c>
      <c r="Q87" s="26">
        <f>_xlfn.IFNA(IF(LEFT('Rock Climbing Log'!Q87)="C",_xlfn.IFNA(VLOOKUP('Rock Climbing Log'!Q87,'RC Lookup'!$A$3:$B$9,2,FALSE),0.5),VLOOKUP('Rock Climbing Log'!Q87,'RC Lookup'!$G$3:$H$5,2,FALSE)),0)*VLOOKUP(P$7,'RC Lookup'!$D$3:$E$18,2,FALSE)</f>
        <v>0</v>
      </c>
      <c r="R87" s="26">
        <f>_xlfn.IFNA(IF(LEFT('Rock Climbing Log'!R87)="C",_xlfn.IFNA(VLOOKUP('Rock Climbing Log'!R87,'RC Lookup'!$A$3:$B$9,2,FALSE),0.5),VLOOKUP('Rock Climbing Log'!R87,'RC Lookup'!$G$3:$H$5,2,FALSE)),0)*VLOOKUP(P$7,'RC Lookup'!$D$3:$E$18,2,FALSE)</f>
        <v>0</v>
      </c>
      <c r="S87" s="26">
        <f>_xlfn.IFNA(IF(LEFT('Rock Climbing Log'!S87)="C",_xlfn.IFNA(VLOOKUP('Rock Climbing Log'!S87,'RC Lookup'!$A$3:$B$9,2,FALSE),0.5),VLOOKUP('Rock Climbing Log'!S87,'RC Lookup'!$G$3:$H$5,2,FALSE)),0)*VLOOKUP(S$7,'RC Lookup'!$D$3:$E$18,2,FALSE)</f>
        <v>0</v>
      </c>
      <c r="T87" s="26">
        <f>_xlfn.IFNA(IF(LEFT('Rock Climbing Log'!T87)="C",_xlfn.IFNA(VLOOKUP('Rock Climbing Log'!T87,'RC Lookup'!$A$3:$B$9,2,FALSE),0.5),VLOOKUP('Rock Climbing Log'!T87,'RC Lookup'!$G$3:$H$5,2,FALSE)),0)*VLOOKUP(S$7,'RC Lookup'!$D$3:$E$18,2,FALSE)</f>
        <v>0</v>
      </c>
      <c r="U87" s="26">
        <f>_xlfn.IFNA(IF(LEFT('Rock Climbing Log'!U87)="C",_xlfn.IFNA(VLOOKUP('Rock Climbing Log'!U87,'RC Lookup'!$A$3:$B$9,2,FALSE),0.5),VLOOKUP('Rock Climbing Log'!U87,'RC Lookup'!$G$3:$H$5,2,FALSE)),0)*VLOOKUP(S$7,'RC Lookup'!$D$3:$E$18,2,FALSE)</f>
        <v>0</v>
      </c>
      <c r="V87" s="26">
        <f>_xlfn.IFNA(IF(LEFT('Rock Climbing Log'!V87)="C",_xlfn.IFNA(VLOOKUP('Rock Climbing Log'!V87,'RC Lookup'!$A$3:$B$9,2,FALSE),0.5),VLOOKUP('Rock Climbing Log'!V87,'RC Lookup'!$G$3:$H$5,2,FALSE)),0)*VLOOKUP(V$7,'RC Lookup'!$D$3:$E$18,2,FALSE)</f>
        <v>17.628372871200011</v>
      </c>
      <c r="W87" s="26">
        <f>_xlfn.IFNA(IF(LEFT('Rock Climbing Log'!W87)="C",_xlfn.IFNA(VLOOKUP('Rock Climbing Log'!W87,'RC Lookup'!$A$3:$B$9,2,FALSE),0.5),VLOOKUP('Rock Climbing Log'!W87,'RC Lookup'!$G$3:$H$5,2,FALSE)),0)*VLOOKUP(V$7,'RC Lookup'!$D$3:$E$18,2,FALSE)</f>
        <v>0</v>
      </c>
      <c r="X87" s="26">
        <f>_xlfn.IFNA(IF(LEFT('Rock Climbing Log'!X87)="C",_xlfn.IFNA(VLOOKUP('Rock Climbing Log'!X87,'RC Lookup'!$A$3:$B$9,2,FALSE),0.5),VLOOKUP('Rock Climbing Log'!X87,'RC Lookup'!$G$3:$H$5,2,FALSE)),0)*VLOOKUP(V$7,'RC Lookup'!$D$3:$E$18,2,FALSE)</f>
        <v>0</v>
      </c>
      <c r="Y87" s="26">
        <f>_xlfn.IFNA(IF(LEFT('Rock Climbing Log'!Y87)="C",_xlfn.IFNA(VLOOKUP('Rock Climbing Log'!Y87,'RC Lookup'!$A$3:$B$9,2,FALSE),0.5),VLOOKUP('Rock Climbing Log'!Y87,'RC Lookup'!$G$3:$H$5,2,FALSE)),0)*VLOOKUP(Y$7,'RC Lookup'!$D$3:$E$18,2,FALSE)</f>
        <v>0</v>
      </c>
      <c r="Z87" s="26">
        <f>_xlfn.IFNA(IF(LEFT('Rock Climbing Log'!Z87)="C",_xlfn.IFNA(VLOOKUP('Rock Climbing Log'!Z87,'RC Lookup'!$A$3:$B$9,2,FALSE),0.5),VLOOKUP('Rock Climbing Log'!Z87,'RC Lookup'!$G$3:$H$5,2,FALSE)),0)*VLOOKUP(Y$7,'RC Lookup'!$D$3:$E$18,2,FALSE)</f>
        <v>0</v>
      </c>
      <c r="AA87" s="26">
        <f>_xlfn.IFNA(IF(LEFT('Rock Climbing Log'!AA87)="C",_xlfn.IFNA(VLOOKUP('Rock Climbing Log'!AA87,'RC Lookup'!$A$3:$B$9,2,FALSE),0.5),VLOOKUP('Rock Climbing Log'!AA87,'RC Lookup'!$G$3:$H$5,2,FALSE)),0)*VLOOKUP(Y$7,'RC Lookup'!$D$3:$E$18,2,FALSE)</f>
        <v>0</v>
      </c>
      <c r="AB87" s="26">
        <f>_xlfn.IFNA(IF(LEFT('Rock Climbing Log'!AB87)="C",_xlfn.IFNA(VLOOKUP('Rock Climbing Log'!AB87,'RC Lookup'!$A$3:$B$9,2,FALSE),0.5),VLOOKUP('Rock Climbing Log'!AB87,'RC Lookup'!$G$3:$H$5,2,FALSE)),0)*VLOOKUP(AB$7,'RC Lookup'!$D$3:$E$18,2,FALSE)</f>
        <v>0</v>
      </c>
      <c r="AC87" s="26">
        <f>_xlfn.IFNA(IF(LEFT('Rock Climbing Log'!AC87)="C",_xlfn.IFNA(VLOOKUP('Rock Climbing Log'!AC87,'RC Lookup'!$A$3:$B$9,2,FALSE),0.5),VLOOKUP('Rock Climbing Log'!AC87,'RC Lookup'!$G$3:$H$5,2,FALSE)),0)*VLOOKUP(AB$7,'RC Lookup'!$D$3:$E$18,2,FALSE)</f>
        <v>0</v>
      </c>
      <c r="AD87" s="26">
        <f>_xlfn.IFNA(IF(LEFT('Rock Climbing Log'!AD87)="C",_xlfn.IFNA(VLOOKUP('Rock Climbing Log'!AD87,'RC Lookup'!$A$3:$B$9,2,FALSE),0.5),VLOOKUP('Rock Climbing Log'!AD87,'RC Lookup'!$G$3:$H$5,2,FALSE)),0)*VLOOKUP(AB$7,'RC Lookup'!$D$3:$E$18,2,FALSE)</f>
        <v>0</v>
      </c>
      <c r="AE87" s="26">
        <f>_xlfn.IFNA(IF(LEFT('Rock Climbing Log'!AE87)="C",_xlfn.IFNA(VLOOKUP('Rock Climbing Log'!AE87,'RC Lookup'!$A$3:$B$9,2,FALSE),0.5),VLOOKUP('Rock Climbing Log'!AE87,'RC Lookup'!$G$3:$H$5,2,FALSE)),0)*VLOOKUP(AE$7,'RC Lookup'!$D$3:$E$18,2,FALSE)</f>
        <v>0</v>
      </c>
      <c r="AF87" s="26">
        <f>_xlfn.IFNA(IF(LEFT('Rock Climbing Log'!AF87)="C",_xlfn.IFNA(VLOOKUP('Rock Climbing Log'!AF87,'RC Lookup'!$A$3:$B$9,2,FALSE),0.5),VLOOKUP('Rock Climbing Log'!AF87,'RC Lookup'!$G$3:$H$5,2,FALSE)),0)*VLOOKUP(AE$7,'RC Lookup'!$D$3:$E$18,2,FALSE)</f>
        <v>0</v>
      </c>
      <c r="AG87" s="26">
        <f>_xlfn.IFNA(IF(LEFT('Rock Climbing Log'!AG87)="C",_xlfn.IFNA(VLOOKUP('Rock Climbing Log'!AG87,'RC Lookup'!$A$3:$B$9,2,FALSE),0.5),VLOOKUP('Rock Climbing Log'!AG87,'RC Lookup'!$G$3:$H$5,2,FALSE)),0)*VLOOKUP(AE$7,'RC Lookup'!$D$3:$E$18,2,FALSE)</f>
        <v>0</v>
      </c>
      <c r="AH87" s="26">
        <f>_xlfn.IFNA(IF(LEFT('Rock Climbing Log'!AH87)="C",_xlfn.IFNA(VLOOKUP('Rock Climbing Log'!AH87,'RC Lookup'!$A$3:$B$9,2,FALSE),0.5),VLOOKUP('Rock Climbing Log'!AH87,'RC Lookup'!$G$3:$H$5,2,FALSE)),0)*VLOOKUP(AH$7,'RC Lookup'!$D$3:$E$18,2,FALSE)</f>
        <v>0</v>
      </c>
      <c r="AI87" s="26">
        <f>_xlfn.IFNA(IF(LEFT('Rock Climbing Log'!AI87)="C",_xlfn.IFNA(VLOOKUP('Rock Climbing Log'!AI87,'RC Lookup'!$A$3:$B$9,2,FALSE),0.5),VLOOKUP('Rock Climbing Log'!AI87,'RC Lookup'!$G$3:$H$5,2,FALSE)),0)*VLOOKUP(AH$7,'RC Lookup'!$D$3:$E$18,2,FALSE)</f>
        <v>0</v>
      </c>
      <c r="AJ87" s="26">
        <f>_xlfn.IFNA(IF(LEFT('Rock Climbing Log'!AJ87)="C",_xlfn.IFNA(VLOOKUP('Rock Climbing Log'!AJ87,'RC Lookup'!$A$3:$B$9,2,FALSE),0.5),VLOOKUP('Rock Climbing Log'!AJ87,'RC Lookup'!$G$3:$H$5,2,FALSE)),0)*VLOOKUP(AH$7,'RC Lookup'!$D$3:$E$18,2,FALSE)</f>
        <v>0</v>
      </c>
      <c r="AK87" s="26">
        <f>_xlfn.IFNA(IF(LEFT('Rock Climbing Log'!AK87)="C",_xlfn.IFNA(VLOOKUP('Rock Climbing Log'!AK87,'RC Lookup'!$A$3:$B$9,2,FALSE),0.5),VLOOKUP('Rock Climbing Log'!AK87,'RC Lookup'!$G$3:$H$5,2,FALSE)),0)*VLOOKUP(AK$7,'RC Lookup'!$D$3:$E$18,2,FALSE)</f>
        <v>0</v>
      </c>
      <c r="AL87" s="26">
        <f>_xlfn.IFNA(IF(LEFT('Rock Climbing Log'!AL87)="C",_xlfn.IFNA(VLOOKUP('Rock Climbing Log'!AL87,'RC Lookup'!$A$3:$B$9,2,FALSE),0.5),VLOOKUP('Rock Climbing Log'!AL87,'RC Lookup'!$G$3:$H$5,2,FALSE)),0)*VLOOKUP(AK$7,'RC Lookup'!$D$3:$E$18,2,FALSE)</f>
        <v>0</v>
      </c>
      <c r="AM87" s="26">
        <f>_xlfn.IFNA(IF(LEFT('Rock Climbing Log'!AM87)="C",_xlfn.IFNA(VLOOKUP('Rock Climbing Log'!AM87,'RC Lookup'!$A$3:$B$9,2,FALSE),0.5),VLOOKUP('Rock Climbing Log'!AM87,'RC Lookup'!$G$3:$H$5,2,FALSE)),0)*VLOOKUP(AK$7,'RC Lookup'!$D$3:$E$18,2,FALSE)</f>
        <v>0</v>
      </c>
      <c r="AN87" s="26">
        <f>_xlfn.IFNA(IF(LEFT('Rock Climbing Log'!AN87)="C",_xlfn.IFNA(VLOOKUP('Rock Climbing Log'!AN87,'RC Lookup'!$A$3:$B$9,2,FALSE),0.5),VLOOKUP('Rock Climbing Log'!AN87,'RC Lookup'!$G$3:$H$5,2,FALSE)),0)*VLOOKUP(AN$7,'RC Lookup'!$D$3:$E$18,2,FALSE)</f>
        <v>0</v>
      </c>
      <c r="AO87" s="26">
        <f>_xlfn.IFNA(IF(LEFT('Rock Climbing Log'!AO87)="C",_xlfn.IFNA(VLOOKUP('Rock Climbing Log'!AO87,'RC Lookup'!$A$3:$B$9,2,FALSE),0.5),VLOOKUP('Rock Climbing Log'!AO87,'RC Lookup'!$G$3:$H$5,2,FALSE)),0)*VLOOKUP(AN$7,'RC Lookup'!$D$3:$E$18,2,FALSE)</f>
        <v>0</v>
      </c>
      <c r="AP87" s="26">
        <f>_xlfn.IFNA(IF(LEFT('Rock Climbing Log'!AP87)="C",_xlfn.IFNA(VLOOKUP('Rock Climbing Log'!AP87,'RC Lookup'!$A$3:$B$9,2,FALSE),0.5),VLOOKUP('Rock Climbing Log'!AP87,'RC Lookup'!$G$3:$H$5,2,FALSE)),0)*VLOOKUP(AN$7,'RC Lookup'!$D$3:$E$18,2,FALSE)</f>
        <v>0</v>
      </c>
      <c r="AQ87" s="26">
        <f>_xlfn.IFNA(IF(LEFT('Rock Climbing Log'!AQ87)="C",_xlfn.IFNA(VLOOKUP('Rock Climbing Log'!AQ87,'RC Lookup'!$A$3:$B$9,2,FALSE),0.5),VLOOKUP('Rock Climbing Log'!AQ87,'RC Lookup'!$G$3:$H$5,2,FALSE)),0)*VLOOKUP(AQ$7,'RC Lookup'!$D$3:$E$18,2,FALSE)</f>
        <v>0</v>
      </c>
      <c r="AR87" s="26">
        <f>_xlfn.IFNA(IF(LEFT('Rock Climbing Log'!AR87)="C",_xlfn.IFNA(VLOOKUP('Rock Climbing Log'!AR87,'RC Lookup'!$A$3:$B$9,2,FALSE),0.5),VLOOKUP('Rock Climbing Log'!AR87,'RC Lookup'!$G$3:$H$5,2,FALSE)),0)*VLOOKUP(AQ$7,'RC Lookup'!$D$3:$E$18,2,FALSE)</f>
        <v>0</v>
      </c>
      <c r="AS87" s="26">
        <f>_xlfn.IFNA(IF(LEFT('Rock Climbing Log'!AS87)="C",_xlfn.IFNA(VLOOKUP('Rock Climbing Log'!AS87,'RC Lookup'!$A$3:$B$9,2,FALSE),0.5),VLOOKUP('Rock Climbing Log'!AS87,'RC Lookup'!$G$3:$H$5,2,FALSE)),0)*VLOOKUP(AQ$7,'RC Lookup'!$D$3:$E$18,2,FALSE)</f>
        <v>0</v>
      </c>
      <c r="AT87" s="26">
        <f>_xlfn.IFNA(IF(LEFT('Rock Climbing Log'!AT87)="C",_xlfn.IFNA(VLOOKUP('Rock Climbing Log'!AT87,'RC Lookup'!$A$3:$B$9,2,FALSE),0.5),VLOOKUP('Rock Climbing Log'!AT87,'RC Lookup'!$G$3:$H$5,2,FALSE)),0)*VLOOKUP(AT$7,'RC Lookup'!$D$3:$E$18,2,FALSE)</f>
        <v>0</v>
      </c>
      <c r="AU87" s="26">
        <f>_xlfn.IFNA(IF(LEFT('Rock Climbing Log'!AU87)="C",_xlfn.IFNA(VLOOKUP('Rock Climbing Log'!AU87,'RC Lookup'!$A$3:$B$9,2,FALSE),0.5),VLOOKUP('Rock Climbing Log'!AU87,'RC Lookup'!$G$3:$H$5,2,FALSE)),0)*VLOOKUP(AT$7,'RC Lookup'!$D$3:$E$18,2,FALSE)</f>
        <v>0</v>
      </c>
      <c r="AV87" s="26">
        <f>_xlfn.IFNA(IF(LEFT('Rock Climbing Log'!AV87)="C",_xlfn.IFNA(VLOOKUP('Rock Climbing Log'!AV87,'RC Lookup'!$A$3:$B$9,2,FALSE),0.5),VLOOKUP('Rock Climbing Log'!AV87,'RC Lookup'!$G$3:$H$5,2,FALSE)),0)*VLOOKUP(AT$7,'RC Lookup'!$D$3:$E$18,2,FALSE)</f>
        <v>0</v>
      </c>
      <c r="AW87" s="30">
        <f t="shared" ca="1" si="3"/>
        <v>60.007500000000007</v>
      </c>
      <c r="AX87" s="30">
        <f ca="1">_xlfn.IFNA(VLOOKUP(SUMPRODUCT(LARGE(($C$8:$C87=Table1[[#This Row],[Climber]])*$A$8:$A87,1)),$A$8:$AW87,MATCH($AW$7,$A$7:$AW$7,FALSE),FALSE),0)/LEFT($AX$7,FIND(" ",$AX$7))+_xlfn.IFNA(VLOOKUP(SUMPRODUCT(LARGE(($C$8:$C87=Table1[[#This Row],[Climber]])*$A$8:$A87,MIN(2,COUNTIFS($C$8:$C87,$C87)))),$A$8:$AW87,MATCH($AW$7,$A$7:$AW$7,FALSE),FALSE),0)/LEFT($AX$7,FIND(" ",$AX$7))+_xlfn.IFNA(VLOOKUP(SUMPRODUCT(LARGE(($C$8:$C87=Table1[[#This Row],[Climber]])*$A$8:$A87,MIN(3,COUNTIFS($C$8:$C87,$C87)))),$A$8:$AW87,MATCH($AW$7,$A$7:$AW$7,FALSE),FALSE),0)/LEFT($AX$7,FIND(" ",$AX$7))</f>
        <v>68.186087354522755</v>
      </c>
      <c r="AY87" s="30">
        <f ca="1">_xlfn.IFNA(VLOOKUP(SUMPRODUCT(LARGE(($C$8:$C87=Table1[[#This Row],[Climber]])*$A$8:$A87,1)),$A$8:$AW87,MATCH($AW$7,$A$7:$AW$7,FALSE),FALSE),0)/LEFT($AY$7,FIND(" ",$AY$7))+_xlfn.IFNA(VLOOKUP(SUMPRODUCT(LARGE(($C$8:$C87=Table1[[#This Row],[Climber]])*$A$8:$A87,MIN(2,COUNTIFS($C$8:$C87,$C87)))),$A$8:$AW87,MATCH($AW$7,$A$7:$AW$7,FALSE),FALSE),0)/LEFT($AY$7,FIND(" ",$AY$7))+_xlfn.IFNA(VLOOKUP(SUMPRODUCT(LARGE(($C$8:$C87=Table1[[#This Row],[Climber]])*$A$8:$A87,MIN(3,COUNTIFS($C$8:$C87,$C87)))),$A$8:$AW87,MATCH($AW$7,$A$7:$AW$7,FALSE),FALSE),0)/LEFT($AY$7,FIND(" ",$AY$7))+_xlfn.IFNA(VLOOKUP(SUMPRODUCT(LARGE(($C$8:$C87=Table1[[#This Row],[Climber]])*$A$8:$A87,MIN(4,COUNTIFS($C$8:$C87,$C87)))),$A$8:$AW87,MATCH($AW$7,$A$7:$AW$7,FALSE),FALSE),0)/LEFT($AY$7,FIND(" ",$AY$7))+_xlfn.IFNA(VLOOKUP(SUMPRODUCT(LARGE(($C$8:$C87=Table1[[#This Row],[Climber]])*$A$8:$A87,MIN(5,COUNTIFS($C$8:$C87,$C87)))),$A$8:$AW87,MATCH($AW$7,$A$7:$AW$7,FALSE),FALSE),0)/LEFT($AY$7,FIND(" ",$AY$7))</f>
        <v>70.165850709673663</v>
      </c>
      <c r="AZ87" s="30">
        <f ca="1">(_xlfn.IFNA(VLOOKUP(SUMPRODUCT(LARGE(($C$8:$C87=Table1[[#This Row],[Climber]])*$A$8:$A87,4)),$A$8:$AW87,MATCH($AW$7,$A$7:$AW$7,FALSE),FALSE),0)+_xlfn.IFNA(VLOOKUP(SUMPRODUCT(LARGE(($C$8:$C87=Table1[[#This Row],[Climber]])*$A$8:$A87,5)),$A$8:$AW87,MATCH($AW$7,$A$7:$AW$7,FALSE),FALSE),0)+_xlfn.IFNA(VLOOKUP(SUMPRODUCT(LARGE(($C$8:$C87=Table1[[#This Row],[Climber]])*$A$8:$A87,6)),$A$8:$AW87,MATCH($AW$7,$A$7:$AW$7,FALSE),FALSE),0))/3</f>
        <v>73.84424574240002</v>
      </c>
      <c r="BA87" s="46">
        <f ca="1">_xlfn.MAXIFS(INDIRECT("$AW"&amp;IF(SUMPRODUCT(LARGE(($C$8:$C87=$C87)*$A$8:$A87,LEFT($BA$7,FIND(" ",$BA$7)-1)))=0,8,SUMPRODUCT(LARGE(($C$8:$C87=$C87)*$A$8:$A87,LEFT($BA$7,FIND(" ",$BA$7)-1)))+7)&amp;":$AW"&amp;ROW()),INDIRECT("$C"&amp;IF(SUMPRODUCT(LARGE(($C$8:$C87=$C87)*$A$8:$A87,LEFT($BA$7,FIND(" ",$BA$7)-1)))=0,8,SUMPRODUCT(LARGE(($C$8:$C87=$C87)*$A$8:$A87,LEFT($BA$7,FIND(" ",$BA$7)-1)))+7)&amp;":$C"&amp;ROW()),$C87)</f>
        <v>89.291516321168245</v>
      </c>
      <c r="BB87" s="46" t="str">
        <f ca="1">VLOOKUP(MAX(BG87,$AX87),'RC Lookup'!$G$14:$J$20,2,TRUE)</f>
        <v>T2</v>
      </c>
      <c r="BC87" s="46">
        <f ca="1">_xlfn.IFNA(VLOOKUP(VLOOKUP($C87,'RC Lookup'!$O$3:$P$50,2,FALSE),'RC Lookup'!$H$14:$J$23,2,FALSE),0)*AW87</f>
        <v>69.215265011406657</v>
      </c>
      <c r="BD87" s="6">
        <f ca="1">_xlfn.IFNA(VLOOKUP(SUMPRODUCT(LARGE(($C$8:$C87=Table1[[#This Row],[Climber]])*$A$8:$A87,1)),$A$8:$BC87,55,FALSE),0)/LEFT($AX$7,FIND(" ",$AX$7))+_xlfn.IFNA(VLOOKUP(SUMPRODUCT(LARGE(($C$8:$C87=Table1[[#This Row],[Climber]])*$A$8:$A87,MIN(2,COUNTIFS($C$8:$C87,$C87)))),$A$8:$BC87,55,FALSE),0)/LEFT($AX$7,FIND(" ",$AX$7))+_xlfn.IFNA(VLOOKUP(SUMPRODUCT(LARGE(($C$8:$C87=Table1[[#This Row],[Climber]])*$A$8:$A87,MIN(3,COUNTIFS($C$8:$C87,$C87)))),$A$8:$BC87,55,FALSE),0)/LEFT($AX$7,FIND(" ",$AX$7))</f>
        <v>78.648804005069636</v>
      </c>
      <c r="BE87" s="6">
        <f ca="1">(_xlfn.IFNA(VLOOKUP(SUMPRODUCT(LARGE(($C$8:$C87=Table1[[#This Row],[Climber]])*$A$8:$A87,4)),$A$8:$BD87,55,FALSE),0)+_xlfn.IFNA(VLOOKUP(SUMPRODUCT(LARGE(($C$8:$C87=Table1[[#This Row],[Climber]])*$A$8:$A87,5)),$A$8:$BD87,55,FALSE),0)+_xlfn.IFNA(VLOOKUP(SUMPRODUCT(LARGE(($C$8:$C87=Table1[[#This Row],[Climber]])*$A$8:$A87,6)),$A$8:$BD87,55,FALSE),0))/3</f>
        <v>85.175170414159126</v>
      </c>
      <c r="BF87" s="46">
        <f ca="1">_xlfn.MAXIFS(INDIRECT("$BC"&amp;IF(SUMPRODUCT(LARGE(($C$8:$C87=$C87)*$A$8:$A87,LEFT($BA$7,FIND(" ",$BA$7)-1)))=0,8,SUMPRODUCT(LARGE(($C$8:$C87=$C87)*$A$8:$A87,LEFT($BA$7,FIND(" ",$BA$7)-1)))+7)&amp;":$BC"&amp;ROW()),INDIRECT("$C"&amp;IF(SUMPRODUCT(LARGE(($C$8:$C87=$C87)*$A$8:$A87,LEFT($BA$7,FIND(" ",$BA$7)-1)))=0,8,SUMPRODUCT(LARGE(($C$8:$C87=$C87)*$A$8:$A87,LEFT($BA$7,FIND(" ",$BA$7)-1)))+7)&amp;":$C"&amp;ROW()),$C87)</f>
        <v>102.99272533333335</v>
      </c>
      <c r="BG87" s="46">
        <f t="array" aca="1" ref="BG87" ca="1">IFERROR(SUMPRODUCT(LARGE(($C$8:$C87=Table1[[#This Row],[Climber]])*$AW$8:$AW87,ROW(INDIRECT("1:5")))),AW87)/MIN(COUNTIFS($C$8:$C87,C87),5)</f>
        <v>74.166350709673665</v>
      </c>
    </row>
    <row r="88" spans="1:59" x14ac:dyDescent="0.3">
      <c r="A88" s="125">
        <f t="shared" si="1"/>
        <v>81</v>
      </c>
      <c r="B88" s="25">
        <f>'Rock Climbing Log'!B88</f>
        <v>43176</v>
      </c>
      <c r="C88" s="126" t="str">
        <f>'Rock Climbing Log'!C88</f>
        <v>Angel</v>
      </c>
      <c r="D88" s="26">
        <f>_xlfn.IFNA(IF(LEFT('Rock Climbing Log'!D88)="C",_xlfn.IFNA(VLOOKUP('Rock Climbing Log'!D88,'RC Lookup'!$A$3:$B$9,2,FALSE),0.5),VLOOKUP('Rock Climbing Log'!D88,'RC Lookup'!$G$3:$H$5,2,FALSE)),0)*VLOOKUP(D$7,'RC Lookup'!$D$3:$E$18,2,FALSE)</f>
        <v>0</v>
      </c>
      <c r="E88" s="26">
        <f>_xlfn.IFNA(IF(LEFT('Rock Climbing Log'!E88)="C",_xlfn.IFNA(VLOOKUP('Rock Climbing Log'!E88,'RC Lookup'!$A$3:$B$9,2,FALSE),0.5),VLOOKUP('Rock Climbing Log'!E88,'RC Lookup'!$G$3:$H$5,2,FALSE)),0)*VLOOKUP(D$7,'RC Lookup'!$D$3:$E$18,2,FALSE)</f>
        <v>0</v>
      </c>
      <c r="F88" s="26">
        <f>_xlfn.IFNA(IF(LEFT('Rock Climbing Log'!F88)="C",_xlfn.IFNA(VLOOKUP('Rock Climbing Log'!F88,'RC Lookup'!$A$3:$B$9,2,FALSE),0.5),VLOOKUP('Rock Climbing Log'!F88,'RC Lookup'!$G$3:$H$5,2,FALSE)),0)*VLOOKUP(D$7,'RC Lookup'!$D$3:$E$18,2,FALSE)</f>
        <v>0</v>
      </c>
      <c r="G88" s="26">
        <f>_xlfn.IFNA(IF(LEFT('Rock Climbing Log'!G88)="C",_xlfn.IFNA(VLOOKUP('Rock Climbing Log'!G88,'RC Lookup'!$A$3:$B$9,2,FALSE),0.5),VLOOKUP('Rock Climbing Log'!G88,'RC Lookup'!$G$3:$H$5,2,FALSE)),0)*VLOOKUP(G$7,'RC Lookup'!$D$3:$E$18,2,FALSE)</f>
        <v>0</v>
      </c>
      <c r="H88" s="26">
        <f>_xlfn.IFNA(IF(LEFT('Rock Climbing Log'!H88)="C",_xlfn.IFNA(VLOOKUP('Rock Climbing Log'!H88,'RC Lookup'!$A$3:$B$9,2,FALSE),0.5),VLOOKUP('Rock Climbing Log'!H88,'RC Lookup'!$G$3:$H$5,2,FALSE)),0)*VLOOKUP(G$7,'RC Lookup'!$D$3:$E$18,2,FALSE)</f>
        <v>0</v>
      </c>
      <c r="I88" s="26">
        <f>_xlfn.IFNA(IF(LEFT('Rock Climbing Log'!I88)="C",_xlfn.IFNA(VLOOKUP('Rock Climbing Log'!I88,'RC Lookup'!$A$3:$B$9,2,FALSE),0.5),VLOOKUP('Rock Climbing Log'!I88,'RC Lookup'!$G$3:$H$5,2,FALSE)),0)*VLOOKUP(G$7,'RC Lookup'!$D$3:$E$18,2,FALSE)</f>
        <v>0</v>
      </c>
      <c r="J88" s="26">
        <f>_xlfn.IFNA(IF(LEFT('Rock Climbing Log'!J88)="C",_xlfn.IFNA(VLOOKUP('Rock Climbing Log'!J88,'RC Lookup'!$A$3:$B$9,2,FALSE),0.5),VLOOKUP('Rock Climbing Log'!J88,'RC Lookup'!$G$3:$H$5,2,FALSE)),0)*VLOOKUP(J$7,'RC Lookup'!$D$3:$E$18,2,FALSE)</f>
        <v>15.75</v>
      </c>
      <c r="K88" s="26">
        <f>_xlfn.IFNA(IF(LEFT('Rock Climbing Log'!K88)="C",_xlfn.IFNA(VLOOKUP('Rock Climbing Log'!K88,'RC Lookup'!$A$3:$B$9,2,FALSE),0.5),VLOOKUP('Rock Climbing Log'!K88,'RC Lookup'!$G$3:$H$5,2,FALSE)),0)*VLOOKUP(J$7,'RC Lookup'!$D$3:$E$18,2,FALSE)</f>
        <v>0</v>
      </c>
      <c r="L88" s="26">
        <f>_xlfn.IFNA(IF(LEFT('Rock Climbing Log'!L88)="C",_xlfn.IFNA(VLOOKUP('Rock Climbing Log'!L88,'RC Lookup'!$A$3:$B$9,2,FALSE),0.5),VLOOKUP('Rock Climbing Log'!L88,'RC Lookup'!$G$3:$H$5,2,FALSE)),0)*VLOOKUP(J$7,'RC Lookup'!$D$3:$E$18,2,FALSE)</f>
        <v>0</v>
      </c>
      <c r="M88" s="26">
        <f>_xlfn.IFNA(IF(LEFT('Rock Climbing Log'!M88)="C",_xlfn.IFNA(VLOOKUP('Rock Climbing Log'!M88,'RC Lookup'!$A$3:$B$9,2,FALSE),0.5),VLOOKUP('Rock Climbing Log'!M88,'RC Lookup'!$G$3:$H$5,2,FALSE)),0)*VLOOKUP(M$7,'RC Lookup'!$D$3:$E$18,2,FALSE)</f>
        <v>20.002500000000001</v>
      </c>
      <c r="N88" s="26">
        <f>_xlfn.IFNA(IF(LEFT('Rock Climbing Log'!N88)="C",_xlfn.IFNA(VLOOKUP('Rock Climbing Log'!N88,'RC Lookup'!$A$3:$B$9,2,FALSE),0.5),VLOOKUP('Rock Climbing Log'!N88,'RC Lookup'!$G$3:$H$5,2,FALSE)),0)*VLOOKUP(M$7,'RC Lookup'!$D$3:$E$18,2,FALSE)</f>
        <v>0</v>
      </c>
      <c r="O88" s="26">
        <f>_xlfn.IFNA(IF(LEFT('Rock Climbing Log'!O88)="C",_xlfn.IFNA(VLOOKUP('Rock Climbing Log'!O88,'RC Lookup'!$A$3:$B$9,2,FALSE),0.5),VLOOKUP('Rock Climbing Log'!O88,'RC Lookup'!$G$3:$H$5,2,FALSE)),0)*VLOOKUP(M$7,'RC Lookup'!$D$3:$E$18,2,FALSE)</f>
        <v>0</v>
      </c>
      <c r="P88" s="26">
        <f>_xlfn.IFNA(IF(LEFT('Rock Climbing Log'!P88)="C",_xlfn.IFNA(VLOOKUP('Rock Climbing Log'!P88,'RC Lookup'!$A$3:$B$9,2,FALSE),0.5),VLOOKUP('Rock Climbing Log'!P88,'RC Lookup'!$G$3:$H$5,2,FALSE)),0)*VLOOKUP(P$7,'RC Lookup'!$D$3:$E$18,2,FALSE)</f>
        <v>0</v>
      </c>
      <c r="Q88" s="26">
        <f>_xlfn.IFNA(IF(LEFT('Rock Climbing Log'!Q88)="C",_xlfn.IFNA(VLOOKUP('Rock Climbing Log'!Q88,'RC Lookup'!$A$3:$B$9,2,FALSE),0.5),VLOOKUP('Rock Climbing Log'!Q88,'RC Lookup'!$G$3:$H$5,2,FALSE)),0)*VLOOKUP(P$7,'RC Lookup'!$D$3:$E$18,2,FALSE)</f>
        <v>0</v>
      </c>
      <c r="R88" s="26">
        <f>_xlfn.IFNA(IF(LEFT('Rock Climbing Log'!R88)="C",_xlfn.IFNA(VLOOKUP('Rock Climbing Log'!R88,'RC Lookup'!$A$3:$B$9,2,FALSE),0.5),VLOOKUP('Rock Climbing Log'!R88,'RC Lookup'!$G$3:$H$5,2,FALSE)),0)*VLOOKUP(P$7,'RC Lookup'!$D$3:$E$18,2,FALSE)</f>
        <v>0</v>
      </c>
      <c r="S88" s="26">
        <f>_xlfn.IFNA(IF(LEFT('Rock Climbing Log'!S88)="C",_xlfn.IFNA(VLOOKUP('Rock Climbing Log'!S88,'RC Lookup'!$A$3:$B$9,2,FALSE),0.5),VLOOKUP('Rock Climbing Log'!S88,'RC Lookup'!$G$3:$H$5,2,FALSE)),0)*VLOOKUP(S$7,'RC Lookup'!$D$3:$E$18,2,FALSE)</f>
        <v>0</v>
      </c>
      <c r="T88" s="26">
        <f>_xlfn.IFNA(IF(LEFT('Rock Climbing Log'!T88)="C",_xlfn.IFNA(VLOOKUP('Rock Climbing Log'!T88,'RC Lookup'!$A$3:$B$9,2,FALSE),0.5),VLOOKUP('Rock Climbing Log'!T88,'RC Lookup'!$G$3:$H$5,2,FALSE)),0)*VLOOKUP(S$7,'RC Lookup'!$D$3:$E$18,2,FALSE)</f>
        <v>0</v>
      </c>
      <c r="U88" s="26">
        <f>_xlfn.IFNA(IF(LEFT('Rock Climbing Log'!U88)="C",_xlfn.IFNA(VLOOKUP('Rock Climbing Log'!U88,'RC Lookup'!$A$3:$B$9,2,FALSE),0.5),VLOOKUP('Rock Climbing Log'!U88,'RC Lookup'!$G$3:$H$5,2,FALSE)),0)*VLOOKUP(S$7,'RC Lookup'!$D$3:$E$18,2,FALSE)</f>
        <v>0</v>
      </c>
      <c r="V88" s="26">
        <f>_xlfn.IFNA(IF(LEFT('Rock Climbing Log'!V88)="C",_xlfn.IFNA(VLOOKUP('Rock Climbing Log'!V88,'RC Lookup'!$A$3:$B$9,2,FALSE),0.5),VLOOKUP('Rock Climbing Log'!V88,'RC Lookup'!$G$3:$H$5,2,FALSE)),0)*VLOOKUP(V$7,'RC Lookup'!$D$3:$E$18,2,FALSE)</f>
        <v>35.256745742400021</v>
      </c>
      <c r="W88" s="26">
        <f>_xlfn.IFNA(IF(LEFT('Rock Climbing Log'!W88)="C",_xlfn.IFNA(VLOOKUP('Rock Climbing Log'!W88,'RC Lookup'!$A$3:$B$9,2,FALSE),0.5),VLOOKUP('Rock Climbing Log'!W88,'RC Lookup'!$G$3:$H$5,2,FALSE)),0)*VLOOKUP(V$7,'RC Lookup'!$D$3:$E$18,2,FALSE)</f>
        <v>35.256745742400021</v>
      </c>
      <c r="X88" s="26">
        <f>_xlfn.IFNA(IF(LEFT('Rock Climbing Log'!X88)="C",_xlfn.IFNA(VLOOKUP('Rock Climbing Log'!X88,'RC Lookup'!$A$3:$B$9,2,FALSE),0.5),VLOOKUP('Rock Climbing Log'!X88,'RC Lookup'!$G$3:$H$5,2,FALSE)),0)*VLOOKUP(V$7,'RC Lookup'!$D$3:$E$18,2,FALSE)</f>
        <v>0</v>
      </c>
      <c r="Y88" s="26">
        <f>_xlfn.IFNA(IF(LEFT('Rock Climbing Log'!Y88)="C",_xlfn.IFNA(VLOOKUP('Rock Climbing Log'!Y88,'RC Lookup'!$A$3:$B$9,2,FALSE),0.5),VLOOKUP('Rock Climbing Log'!Y88,'RC Lookup'!$G$3:$H$5,2,FALSE)),0)*VLOOKUP(Y$7,'RC Lookup'!$D$3:$E$18,2,FALSE)</f>
        <v>0</v>
      </c>
      <c r="Z88" s="26">
        <f>_xlfn.IFNA(IF(LEFT('Rock Climbing Log'!Z88)="C",_xlfn.IFNA(VLOOKUP('Rock Climbing Log'!Z88,'RC Lookup'!$A$3:$B$9,2,FALSE),0.5),VLOOKUP('Rock Climbing Log'!Z88,'RC Lookup'!$G$3:$H$5,2,FALSE)),0)*VLOOKUP(Y$7,'RC Lookup'!$D$3:$E$18,2,FALSE)</f>
        <v>0</v>
      </c>
      <c r="AA88" s="26">
        <f>_xlfn.IFNA(IF(LEFT('Rock Climbing Log'!AA88)="C",_xlfn.IFNA(VLOOKUP('Rock Climbing Log'!AA88,'RC Lookup'!$A$3:$B$9,2,FALSE),0.5),VLOOKUP('Rock Climbing Log'!AA88,'RC Lookup'!$G$3:$H$5,2,FALSE)),0)*VLOOKUP(Y$7,'RC Lookup'!$D$3:$E$18,2,FALSE)</f>
        <v>0</v>
      </c>
      <c r="AB88" s="26">
        <f>_xlfn.IFNA(IF(LEFT('Rock Climbing Log'!AB88)="C",_xlfn.IFNA(VLOOKUP('Rock Climbing Log'!AB88,'RC Lookup'!$A$3:$B$9,2,FALSE),0.5),VLOOKUP('Rock Climbing Log'!AB88,'RC Lookup'!$G$3:$H$5,2,FALSE)),0)*VLOOKUP(AB$7,'RC Lookup'!$D$3:$E$18,2,FALSE)</f>
        <v>54.034770578768224</v>
      </c>
      <c r="AC88" s="26">
        <f>_xlfn.IFNA(IF(LEFT('Rock Climbing Log'!AC88)="C",_xlfn.IFNA(VLOOKUP('Rock Climbing Log'!AC88,'RC Lookup'!$A$3:$B$9,2,FALSE),0.5),VLOOKUP('Rock Climbing Log'!AC88,'RC Lookup'!$G$3:$H$5,2,FALSE)),0)*VLOOKUP(AB$7,'RC Lookup'!$D$3:$E$18,2,FALSE)</f>
        <v>0</v>
      </c>
      <c r="AD88" s="26">
        <f>_xlfn.IFNA(IF(LEFT('Rock Climbing Log'!AD88)="C",_xlfn.IFNA(VLOOKUP('Rock Climbing Log'!AD88,'RC Lookup'!$A$3:$B$9,2,FALSE),0.5),VLOOKUP('Rock Climbing Log'!AD88,'RC Lookup'!$G$3:$H$5,2,FALSE)),0)*VLOOKUP(AB$7,'RC Lookup'!$D$3:$E$18,2,FALSE)</f>
        <v>0</v>
      </c>
      <c r="AE88" s="26">
        <f>_xlfn.IFNA(IF(LEFT('Rock Climbing Log'!AE88)="C",_xlfn.IFNA(VLOOKUP('Rock Climbing Log'!AE88,'RC Lookup'!$A$3:$B$9,2,FALSE),0.5),VLOOKUP('Rock Climbing Log'!AE88,'RC Lookup'!$G$3:$H$5,2,FALSE)),0)*VLOOKUP(AE$7,'RC Lookup'!$D$3:$E$18,2,FALSE)</f>
        <v>33.933835923466447</v>
      </c>
      <c r="AF88" s="26">
        <f>_xlfn.IFNA(IF(LEFT('Rock Climbing Log'!AF88)="C",_xlfn.IFNA(VLOOKUP('Rock Climbing Log'!AF88,'RC Lookup'!$A$3:$B$9,2,FALSE),0.5),VLOOKUP('Rock Climbing Log'!AF88,'RC Lookup'!$G$3:$H$5,2,FALSE)),0)*VLOOKUP(AE$7,'RC Lookup'!$D$3:$E$18,2,FALSE)</f>
        <v>0</v>
      </c>
      <c r="AG88" s="26">
        <f>_xlfn.IFNA(IF(LEFT('Rock Climbing Log'!AG88)="C",_xlfn.IFNA(VLOOKUP('Rock Climbing Log'!AG88,'RC Lookup'!$A$3:$B$9,2,FALSE),0.5),VLOOKUP('Rock Climbing Log'!AG88,'RC Lookup'!$G$3:$H$5,2,FALSE)),0)*VLOOKUP(AE$7,'RC Lookup'!$D$3:$E$18,2,FALSE)</f>
        <v>0</v>
      </c>
      <c r="AH88" s="26">
        <f>_xlfn.IFNA(IF(LEFT('Rock Climbing Log'!AH88)="C",_xlfn.IFNA(VLOOKUP('Rock Climbing Log'!AH88,'RC Lookup'!$A$3:$B$9,2,FALSE),0.5),VLOOKUP('Rock Climbing Log'!AH88,'RC Lookup'!$G$3:$H$5,2,FALSE)),0)*VLOOKUP(AH$7,'RC Lookup'!$D$3:$E$18,2,FALSE)</f>
        <v>0</v>
      </c>
      <c r="AI88" s="26">
        <f>_xlfn.IFNA(IF(LEFT('Rock Climbing Log'!AI88)="C",_xlfn.IFNA(VLOOKUP('Rock Climbing Log'!AI88,'RC Lookup'!$A$3:$B$9,2,FALSE),0.5),VLOOKUP('Rock Climbing Log'!AI88,'RC Lookup'!$G$3:$H$5,2,FALSE)),0)*VLOOKUP(AH$7,'RC Lookup'!$D$3:$E$18,2,FALSE)</f>
        <v>0</v>
      </c>
      <c r="AJ88" s="26">
        <f>_xlfn.IFNA(IF(LEFT('Rock Climbing Log'!AJ88)="C",_xlfn.IFNA(VLOOKUP('Rock Climbing Log'!AJ88,'RC Lookup'!$A$3:$B$9,2,FALSE),0.5),VLOOKUP('Rock Climbing Log'!AJ88,'RC Lookup'!$G$3:$H$5,2,FALSE)),0)*VLOOKUP(AH$7,'RC Lookup'!$D$3:$E$18,2,FALSE)</f>
        <v>0</v>
      </c>
      <c r="AK88" s="26">
        <f>_xlfn.IFNA(IF(LEFT('Rock Climbing Log'!AK88)="C",_xlfn.IFNA(VLOOKUP('Rock Climbing Log'!AK88,'RC Lookup'!$A$3:$B$9,2,FALSE),0.5),VLOOKUP('Rock Climbing Log'!AK88,'RC Lookup'!$G$3:$H$5,2,FALSE)),0)*VLOOKUP(AK$7,'RC Lookup'!$D$3:$E$18,2,FALSE)</f>
        <v>0</v>
      </c>
      <c r="AL88" s="26">
        <f>_xlfn.IFNA(IF(LEFT('Rock Climbing Log'!AL88)="C",_xlfn.IFNA(VLOOKUP('Rock Climbing Log'!AL88,'RC Lookup'!$A$3:$B$9,2,FALSE),0.5),VLOOKUP('Rock Climbing Log'!AL88,'RC Lookup'!$G$3:$H$5,2,FALSE)),0)*VLOOKUP(AK$7,'RC Lookup'!$D$3:$E$18,2,FALSE)</f>
        <v>0</v>
      </c>
      <c r="AM88" s="26">
        <f>_xlfn.IFNA(IF(LEFT('Rock Climbing Log'!AM88)="C",_xlfn.IFNA(VLOOKUP('Rock Climbing Log'!AM88,'RC Lookup'!$A$3:$B$9,2,FALSE),0.5),VLOOKUP('Rock Climbing Log'!AM88,'RC Lookup'!$G$3:$H$5,2,FALSE)),0)*VLOOKUP(AK$7,'RC Lookup'!$D$3:$E$18,2,FALSE)</f>
        <v>0</v>
      </c>
      <c r="AN88" s="26">
        <f>_xlfn.IFNA(IF(LEFT('Rock Climbing Log'!AN88)="C",_xlfn.IFNA(VLOOKUP('Rock Climbing Log'!AN88,'RC Lookup'!$A$3:$B$9,2,FALSE),0.5),VLOOKUP('Rock Climbing Log'!AN88,'RC Lookup'!$G$3:$H$5,2,FALSE)),0)*VLOOKUP(AN$7,'RC Lookup'!$D$3:$E$18,2,FALSE)</f>
        <v>0</v>
      </c>
      <c r="AO88" s="26">
        <f>_xlfn.IFNA(IF(LEFT('Rock Climbing Log'!AO88)="C",_xlfn.IFNA(VLOOKUP('Rock Climbing Log'!AO88,'RC Lookup'!$A$3:$B$9,2,FALSE),0.5),VLOOKUP('Rock Climbing Log'!AO88,'RC Lookup'!$G$3:$H$5,2,FALSE)),0)*VLOOKUP(AN$7,'RC Lookup'!$D$3:$E$18,2,FALSE)</f>
        <v>0</v>
      </c>
      <c r="AP88" s="26">
        <f>_xlfn.IFNA(IF(LEFT('Rock Climbing Log'!AP88)="C",_xlfn.IFNA(VLOOKUP('Rock Climbing Log'!AP88,'RC Lookup'!$A$3:$B$9,2,FALSE),0.5),VLOOKUP('Rock Climbing Log'!AP88,'RC Lookup'!$G$3:$H$5,2,FALSE)),0)*VLOOKUP(AN$7,'RC Lookup'!$D$3:$E$18,2,FALSE)</f>
        <v>0</v>
      </c>
      <c r="AQ88" s="26">
        <f>_xlfn.IFNA(IF(LEFT('Rock Climbing Log'!AQ88)="C",_xlfn.IFNA(VLOOKUP('Rock Climbing Log'!AQ88,'RC Lookup'!$A$3:$B$9,2,FALSE),0.5),VLOOKUP('Rock Climbing Log'!AQ88,'RC Lookup'!$G$3:$H$5,2,FALSE)),0)*VLOOKUP(AQ$7,'RC Lookup'!$D$3:$E$18,2,FALSE)</f>
        <v>0</v>
      </c>
      <c r="AR88" s="26">
        <f>_xlfn.IFNA(IF(LEFT('Rock Climbing Log'!AR88)="C",_xlfn.IFNA(VLOOKUP('Rock Climbing Log'!AR88,'RC Lookup'!$A$3:$B$9,2,FALSE),0.5),VLOOKUP('Rock Climbing Log'!AR88,'RC Lookup'!$G$3:$H$5,2,FALSE)),0)*VLOOKUP(AQ$7,'RC Lookup'!$D$3:$E$18,2,FALSE)</f>
        <v>0</v>
      </c>
      <c r="AS88" s="26">
        <f>_xlfn.IFNA(IF(LEFT('Rock Climbing Log'!AS88)="C",_xlfn.IFNA(VLOOKUP('Rock Climbing Log'!AS88,'RC Lookup'!$A$3:$B$9,2,FALSE),0.5),VLOOKUP('Rock Climbing Log'!AS88,'RC Lookup'!$G$3:$H$5,2,FALSE)),0)*VLOOKUP(AQ$7,'RC Lookup'!$D$3:$E$18,2,FALSE)</f>
        <v>0</v>
      </c>
      <c r="AT88" s="26">
        <f>_xlfn.IFNA(IF(LEFT('Rock Climbing Log'!AT88)="C",_xlfn.IFNA(VLOOKUP('Rock Climbing Log'!AT88,'RC Lookup'!$A$3:$B$9,2,FALSE),0.5),VLOOKUP('Rock Climbing Log'!AT88,'RC Lookup'!$G$3:$H$5,2,FALSE)),0)*VLOOKUP(AT$7,'RC Lookup'!$D$3:$E$18,2,FALSE)</f>
        <v>0</v>
      </c>
      <c r="AU88" s="26">
        <f>_xlfn.IFNA(IF(LEFT('Rock Climbing Log'!AU88)="C",_xlfn.IFNA(VLOOKUP('Rock Climbing Log'!AU88,'RC Lookup'!$A$3:$B$9,2,FALSE),0.5),VLOOKUP('Rock Climbing Log'!AU88,'RC Lookup'!$G$3:$H$5,2,FALSE)),0)*VLOOKUP(AT$7,'RC Lookup'!$D$3:$E$18,2,FALSE)</f>
        <v>0</v>
      </c>
      <c r="AV88" s="26">
        <f>_xlfn.IFNA(IF(LEFT('Rock Climbing Log'!AV88)="C",_xlfn.IFNA(VLOOKUP('Rock Climbing Log'!AV88,'RC Lookup'!$A$3:$B$9,2,FALSE),0.5),VLOOKUP('Rock Climbing Log'!AV88,'RC Lookup'!$G$3:$H$5,2,FALSE)),0)*VLOOKUP(AT$7,'RC Lookup'!$D$3:$E$18,2,FALSE)</f>
        <v>0</v>
      </c>
      <c r="AW88" s="30">
        <f t="shared" ca="1" si="3"/>
        <v>124.54826206356827</v>
      </c>
      <c r="AX88" s="30">
        <f ca="1">_xlfn.IFNA(VLOOKUP(SUMPRODUCT(LARGE(($C$8:$C88=Table1[[#This Row],[Climber]])*$A$8:$A88,1)),$A$8:$AW88,MATCH($AW$7,$A$7:$AW$7,FALSE),FALSE),0)/LEFT($AX$7,FIND(" ",$AX$7))+_xlfn.IFNA(VLOOKUP(SUMPRODUCT(LARGE(($C$8:$C88=Table1[[#This Row],[Climber]])*$A$8:$A88,MIN(2,COUNTIFS($C$8:$C88,$C88)))),$A$8:$AW88,MATCH($AW$7,$A$7:$AW$7,FALSE),FALSE),0)/LEFT($AX$7,FIND(" ",$AX$7))+_xlfn.IFNA(VLOOKUP(SUMPRODUCT(LARGE(($C$8:$C88=Table1[[#This Row],[Climber]])*$A$8:$A88,MIN(3,COUNTIFS($C$8:$C88,$C88)))),$A$8:$AW88,MATCH($AW$7,$A$7:$AW$7,FALSE),FALSE),0)/LEFT($AX$7,FIND(" ",$AX$7))</f>
        <v>98.543147748108879</v>
      </c>
      <c r="AY88" s="30">
        <f ca="1">_xlfn.IFNA(VLOOKUP(SUMPRODUCT(LARGE(($C$8:$C88=Table1[[#This Row],[Climber]])*$A$8:$A88,1)),$A$8:$AW88,MATCH($AW$7,$A$7:$AW$7,FALSE),FALSE),0)/LEFT($AY$7,FIND(" ",$AY$7))+_xlfn.IFNA(VLOOKUP(SUMPRODUCT(LARGE(($C$8:$C88=Table1[[#This Row],[Climber]])*$A$8:$A88,MIN(2,COUNTIFS($C$8:$C88,$C88)))),$A$8:$AW88,MATCH($AW$7,$A$7:$AW$7,FALSE),FALSE),0)/LEFT($AY$7,FIND(" ",$AY$7))+_xlfn.IFNA(VLOOKUP(SUMPRODUCT(LARGE(($C$8:$C88=Table1[[#This Row],[Climber]])*$A$8:$A88,MIN(3,COUNTIFS($C$8:$C88,$C88)))),$A$8:$AW88,MATCH($AW$7,$A$7:$AW$7,FALSE),FALSE),0)/LEFT($AY$7,FIND(" ",$AY$7))+_xlfn.IFNA(VLOOKUP(SUMPRODUCT(LARGE(($C$8:$C88=Table1[[#This Row],[Climber]])*$A$8:$A88,MIN(4,COUNTIFS($C$8:$C88,$C88)))),$A$8:$AW88,MATCH($AW$7,$A$7:$AW$7,FALSE),FALSE),0)/LEFT($AY$7,FIND(" ",$AY$7))+_xlfn.IFNA(VLOOKUP(SUMPRODUCT(LARGE(($C$8:$C88=Table1[[#This Row],[Climber]])*$A$8:$A88,MIN(5,COUNTIFS($C$8:$C88,$C88)))),$A$8:$AW88,MATCH($AW$7,$A$7:$AW$7,FALSE),FALSE),0)/LEFT($AY$7,FIND(" ",$AY$7))</f>
        <v>85.599038385071097</v>
      </c>
      <c r="AZ88" s="30">
        <f ca="1">(_xlfn.IFNA(VLOOKUP(SUMPRODUCT(LARGE(($C$8:$C88=Table1[[#This Row],[Climber]])*$A$8:$A88,4)),$A$8:$AW88,MATCH($AW$7,$A$7:$AW$7,FALSE),FALSE),0)+_xlfn.IFNA(VLOOKUP(SUMPRODUCT(LARGE(($C$8:$C88=Table1[[#This Row],[Climber]])*$A$8:$A88,5)),$A$8:$AW88,MATCH($AW$7,$A$7:$AW$7,FALSE),FALSE),0)+_xlfn.IFNA(VLOOKUP(SUMPRODUCT(LARGE(($C$8:$C88=Table1[[#This Row],[Climber]])*$A$8:$A88,6)),$A$8:$AW88,MATCH($AW$7,$A$7:$AW$7,FALSE),FALSE),0))/3</f>
        <v>56.871916227009628</v>
      </c>
      <c r="BA88" s="46">
        <f ca="1">_xlfn.MAXIFS(INDIRECT("$AW"&amp;IF(SUMPRODUCT(LARGE(($C$8:$C88=$C88)*$A$8:$A88,LEFT($BA$7,FIND(" ",$BA$7)-1)))=0,8,SUMPRODUCT(LARGE(($C$8:$C88=$C88)*$A$8:$A88,LEFT($BA$7,FIND(" ",$BA$7)-1)))+7)&amp;":$AW"&amp;ROW()),INDIRECT("$C"&amp;IF(SUMPRODUCT(LARGE(($C$8:$C88=$C88)*$A$8:$A88,LEFT($BA$7,FIND(" ",$BA$7)-1)))=0,8,SUMPRODUCT(LARGE(($C$8:$C88=$C88)*$A$8:$A88,LEFT($BA$7,FIND(" ",$BA$7)-1)))+7)&amp;":$C"&amp;ROW()),$C88)</f>
        <v>124.54826206356827</v>
      </c>
      <c r="BB88" s="46" t="str">
        <f ca="1">VLOOKUP(MAX(BG88,$AX88),'RC Lookup'!$G$14:$J$20,2,TRUE)</f>
        <v>T3</v>
      </c>
      <c r="BC88" s="46">
        <f ca="1">_xlfn.IFNA(VLOOKUP(VLOOKUP($C88,'RC Lookup'!$O$3:$P$50,2,FALSE),'RC Lookup'!$H$14:$J$23,2,FALSE),0)*AW88</f>
        <v>207.55449246105613</v>
      </c>
      <c r="BD88" s="6">
        <f ca="1">_xlfn.IFNA(VLOOKUP(SUMPRODUCT(LARGE(($C$8:$C88=Table1[[#This Row],[Climber]])*$A$8:$A88,1)),$A$8:$BC88,55,FALSE),0)/LEFT($AX$7,FIND(" ",$AX$7))+_xlfn.IFNA(VLOOKUP(SUMPRODUCT(LARGE(($C$8:$C88=Table1[[#This Row],[Climber]])*$A$8:$A88,MIN(2,COUNTIFS($C$8:$C88,$C88)))),$A$8:$BC88,55,FALSE),0)/LEFT($AX$7,FIND(" ",$AX$7))+_xlfn.IFNA(VLOOKUP(SUMPRODUCT(LARGE(($C$8:$C88=Table1[[#This Row],[Climber]])*$A$8:$A88,MIN(3,COUNTIFS($C$8:$C88,$C88)))),$A$8:$BC88,55,FALSE),0)/LEFT($AX$7,FIND(" ",$AX$7))</f>
        <v>164.21805232364099</v>
      </c>
      <c r="BE88" s="6">
        <f ca="1">(_xlfn.IFNA(VLOOKUP(SUMPRODUCT(LARGE(($C$8:$C88=Table1[[#This Row],[Climber]])*$A$8:$A88,4)),$A$8:$BD88,55,FALSE),0)+_xlfn.IFNA(VLOOKUP(SUMPRODUCT(LARGE(($C$8:$C88=Table1[[#This Row],[Climber]])*$A$8:$A88,5)),$A$8:$BD88,55,FALSE),0)+_xlfn.IFNA(VLOOKUP(SUMPRODUCT(LARGE(($C$8:$C88=Table1[[#This Row],[Climber]])*$A$8:$A88,6)),$A$8:$BD88,55,FALSE),0))/3</f>
        <v>94.774680209989796</v>
      </c>
      <c r="BF88" s="46">
        <f ca="1">_xlfn.MAXIFS(INDIRECT("$BC"&amp;IF(SUMPRODUCT(LARGE(($C$8:$C88=$C88)*$A$8:$A88,LEFT($BA$7,FIND(" ",$BA$7)-1)))=0,8,SUMPRODUCT(LARGE(($C$8:$C88=$C88)*$A$8:$A88,LEFT($BA$7,FIND(" ",$BA$7)-1)))+7)&amp;":$BC"&amp;ROW()),INDIRECT("$C"&amp;IF(SUMPRODUCT(LARGE(($C$8:$C88=$C88)*$A$8:$A88,LEFT($BA$7,FIND(" ",$BA$7)-1)))=0,8,SUMPRODUCT(LARGE(($C$8:$C88=$C88)*$A$8:$A88,LEFT($BA$7,FIND(" ",$BA$7)-1)))+7)&amp;":$C"&amp;ROW()),$C88)</f>
        <v>207.55449246105613</v>
      </c>
      <c r="BG88" s="46">
        <f t="array" aca="1" ref="BG88" ca="1">IFERROR(SUMPRODUCT(LARGE(($C$8:$C88=Table1[[#This Row],[Climber]])*$AW$8:$AW88,ROW(INDIRECT("1:5")))),AW88)/MIN(COUNTIFS($C$8:$C88,C88),5)</f>
        <v>85.599038385071097</v>
      </c>
    </row>
    <row r="89" spans="1:59" x14ac:dyDescent="0.3">
      <c r="A89" s="125">
        <f t="shared" si="1"/>
        <v>82</v>
      </c>
      <c r="B89" s="25">
        <f>'Rock Climbing Log'!B89</f>
        <v>43176</v>
      </c>
      <c r="C89" s="126" t="str">
        <f>'Rock Climbing Log'!C89</f>
        <v>Michelle</v>
      </c>
      <c r="D89" s="26">
        <f>_xlfn.IFNA(IF(LEFT('Rock Climbing Log'!D89)="C",_xlfn.IFNA(VLOOKUP('Rock Climbing Log'!D89,'RC Lookup'!$A$3:$B$9,2,FALSE),0.5),VLOOKUP('Rock Climbing Log'!D89,'RC Lookup'!$G$3:$H$5,2,FALSE)),0)*VLOOKUP(D$7,'RC Lookup'!$D$3:$E$18,2,FALSE)</f>
        <v>0</v>
      </c>
      <c r="E89" s="26">
        <f>_xlfn.IFNA(IF(LEFT('Rock Climbing Log'!E89)="C",_xlfn.IFNA(VLOOKUP('Rock Climbing Log'!E89,'RC Lookup'!$A$3:$B$9,2,FALSE),0.5),VLOOKUP('Rock Climbing Log'!E89,'RC Lookup'!$G$3:$H$5,2,FALSE)),0)*VLOOKUP(D$7,'RC Lookup'!$D$3:$E$18,2,FALSE)</f>
        <v>0</v>
      </c>
      <c r="F89" s="26">
        <f>_xlfn.IFNA(IF(LEFT('Rock Climbing Log'!F89)="C",_xlfn.IFNA(VLOOKUP('Rock Climbing Log'!F89,'RC Lookup'!$A$3:$B$9,2,FALSE),0.5),VLOOKUP('Rock Climbing Log'!F89,'RC Lookup'!$G$3:$H$5,2,FALSE)),0)*VLOOKUP(D$7,'RC Lookup'!$D$3:$E$18,2,FALSE)</f>
        <v>0</v>
      </c>
      <c r="G89" s="26">
        <f>_xlfn.IFNA(IF(LEFT('Rock Climbing Log'!G89)="C",_xlfn.IFNA(VLOOKUP('Rock Climbing Log'!G89,'RC Lookup'!$A$3:$B$9,2,FALSE),0.5),VLOOKUP('Rock Climbing Log'!G89,'RC Lookup'!$G$3:$H$5,2,FALSE)),0)*VLOOKUP(G$7,'RC Lookup'!$D$3:$E$18,2,FALSE)</f>
        <v>0</v>
      </c>
      <c r="H89" s="26">
        <f>_xlfn.IFNA(IF(LEFT('Rock Climbing Log'!H89)="C",_xlfn.IFNA(VLOOKUP('Rock Climbing Log'!H89,'RC Lookup'!$A$3:$B$9,2,FALSE),0.5),VLOOKUP('Rock Climbing Log'!H89,'RC Lookup'!$G$3:$H$5,2,FALSE)),0)*VLOOKUP(G$7,'RC Lookup'!$D$3:$E$18,2,FALSE)</f>
        <v>0</v>
      </c>
      <c r="I89" s="26">
        <f>_xlfn.IFNA(IF(LEFT('Rock Climbing Log'!I89)="C",_xlfn.IFNA(VLOOKUP('Rock Climbing Log'!I89,'RC Lookup'!$A$3:$B$9,2,FALSE),0.5),VLOOKUP('Rock Climbing Log'!I89,'RC Lookup'!$G$3:$H$5,2,FALSE)),0)*VLOOKUP(G$7,'RC Lookup'!$D$3:$E$18,2,FALSE)</f>
        <v>0</v>
      </c>
      <c r="J89" s="26">
        <f>_xlfn.IFNA(IF(LEFT('Rock Climbing Log'!J89)="C",_xlfn.IFNA(VLOOKUP('Rock Climbing Log'!J89,'RC Lookup'!$A$3:$B$9,2,FALSE),0.5),VLOOKUP('Rock Climbing Log'!J89,'RC Lookup'!$G$3:$H$5,2,FALSE)),0)*VLOOKUP(J$7,'RC Lookup'!$D$3:$E$18,2,FALSE)</f>
        <v>15.75</v>
      </c>
      <c r="K89" s="26">
        <f>_xlfn.IFNA(IF(LEFT('Rock Climbing Log'!K89)="C",_xlfn.IFNA(VLOOKUP('Rock Climbing Log'!K89,'RC Lookup'!$A$3:$B$9,2,FALSE),0.5),VLOOKUP('Rock Climbing Log'!K89,'RC Lookup'!$G$3:$H$5,2,FALSE)),0)*VLOOKUP(J$7,'RC Lookup'!$D$3:$E$18,2,FALSE)</f>
        <v>15.75</v>
      </c>
      <c r="L89" s="26">
        <f>_xlfn.IFNA(IF(LEFT('Rock Climbing Log'!L89)="C",_xlfn.IFNA(VLOOKUP('Rock Climbing Log'!L89,'RC Lookup'!$A$3:$B$9,2,FALSE),0.5),VLOOKUP('Rock Climbing Log'!L89,'RC Lookup'!$G$3:$H$5,2,FALSE)),0)*VLOOKUP(J$7,'RC Lookup'!$D$3:$E$18,2,FALSE)</f>
        <v>15.75</v>
      </c>
      <c r="M89" s="26">
        <f>_xlfn.IFNA(IF(LEFT('Rock Climbing Log'!M89)="C",_xlfn.IFNA(VLOOKUP('Rock Climbing Log'!M89,'RC Lookup'!$A$3:$B$9,2,FALSE),0.5),VLOOKUP('Rock Climbing Log'!M89,'RC Lookup'!$G$3:$H$5,2,FALSE)),0)*VLOOKUP(M$7,'RC Lookup'!$D$3:$E$18,2,FALSE)</f>
        <v>20.002500000000001</v>
      </c>
      <c r="N89" s="26">
        <f>_xlfn.IFNA(IF(LEFT('Rock Climbing Log'!N89)="C",_xlfn.IFNA(VLOOKUP('Rock Climbing Log'!N89,'RC Lookup'!$A$3:$B$9,2,FALSE),0.5),VLOOKUP('Rock Climbing Log'!N89,'RC Lookup'!$G$3:$H$5,2,FALSE)),0)*VLOOKUP(M$7,'RC Lookup'!$D$3:$E$18,2,FALSE)</f>
        <v>20.002500000000001</v>
      </c>
      <c r="O89" s="26">
        <f>_xlfn.IFNA(IF(LEFT('Rock Climbing Log'!O89)="C",_xlfn.IFNA(VLOOKUP('Rock Climbing Log'!O89,'RC Lookup'!$A$3:$B$9,2,FALSE),0.5),VLOOKUP('Rock Climbing Log'!O89,'RC Lookup'!$G$3:$H$5,2,FALSE)),0)*VLOOKUP(M$7,'RC Lookup'!$D$3:$E$18,2,FALSE)</f>
        <v>0</v>
      </c>
      <c r="P89" s="26">
        <f>_xlfn.IFNA(IF(LEFT('Rock Climbing Log'!P89)="C",_xlfn.IFNA(VLOOKUP('Rock Climbing Log'!P89,'RC Lookup'!$A$3:$B$9,2,FALSE),0.5),VLOOKUP('Rock Climbing Log'!P89,'RC Lookup'!$G$3:$H$5,2,FALSE)),0)*VLOOKUP(P$7,'RC Lookup'!$D$3:$E$18,2,FALSE)</f>
        <v>0</v>
      </c>
      <c r="Q89" s="26">
        <f>_xlfn.IFNA(IF(LEFT('Rock Climbing Log'!Q89)="C",_xlfn.IFNA(VLOOKUP('Rock Climbing Log'!Q89,'RC Lookup'!$A$3:$B$9,2,FALSE),0.5),VLOOKUP('Rock Climbing Log'!Q89,'RC Lookup'!$G$3:$H$5,2,FALSE)),0)*VLOOKUP(P$7,'RC Lookup'!$D$3:$E$18,2,FALSE)</f>
        <v>0</v>
      </c>
      <c r="R89" s="26">
        <f>_xlfn.IFNA(IF(LEFT('Rock Climbing Log'!R89)="C",_xlfn.IFNA(VLOOKUP('Rock Climbing Log'!R89,'RC Lookup'!$A$3:$B$9,2,FALSE),0.5),VLOOKUP('Rock Climbing Log'!R89,'RC Lookup'!$G$3:$H$5,2,FALSE)),0)*VLOOKUP(P$7,'RC Lookup'!$D$3:$E$18,2,FALSE)</f>
        <v>0</v>
      </c>
      <c r="S89" s="26">
        <f>_xlfn.IFNA(IF(LEFT('Rock Climbing Log'!S89)="C",_xlfn.IFNA(VLOOKUP('Rock Climbing Log'!S89,'RC Lookup'!$A$3:$B$9,2,FALSE),0.5),VLOOKUP('Rock Climbing Log'!S89,'RC Lookup'!$G$3:$H$5,2,FALSE)),0)*VLOOKUP(S$7,'RC Lookup'!$D$3:$E$18,2,FALSE)</f>
        <v>0</v>
      </c>
      <c r="T89" s="26">
        <f>_xlfn.IFNA(IF(LEFT('Rock Climbing Log'!T89)="C",_xlfn.IFNA(VLOOKUP('Rock Climbing Log'!T89,'RC Lookup'!$A$3:$B$9,2,FALSE),0.5),VLOOKUP('Rock Climbing Log'!T89,'RC Lookup'!$G$3:$H$5,2,FALSE)),0)*VLOOKUP(S$7,'RC Lookup'!$D$3:$E$18,2,FALSE)</f>
        <v>0</v>
      </c>
      <c r="U89" s="26">
        <f>_xlfn.IFNA(IF(LEFT('Rock Climbing Log'!U89)="C",_xlfn.IFNA(VLOOKUP('Rock Climbing Log'!U89,'RC Lookup'!$A$3:$B$9,2,FALSE),0.5),VLOOKUP('Rock Climbing Log'!U89,'RC Lookup'!$G$3:$H$5,2,FALSE)),0)*VLOOKUP(S$7,'RC Lookup'!$D$3:$E$18,2,FALSE)</f>
        <v>0</v>
      </c>
      <c r="V89" s="26">
        <f>_xlfn.IFNA(IF(LEFT('Rock Climbing Log'!V89)="C",_xlfn.IFNA(VLOOKUP('Rock Climbing Log'!V89,'RC Lookup'!$A$3:$B$9,2,FALSE),0.5),VLOOKUP('Rock Climbing Log'!V89,'RC Lookup'!$G$3:$H$5,2,FALSE)),0)*VLOOKUP(V$7,'RC Lookup'!$D$3:$E$18,2,FALSE)</f>
        <v>35.256745742400021</v>
      </c>
      <c r="W89" s="26">
        <f>_xlfn.IFNA(IF(LEFT('Rock Climbing Log'!W89)="C",_xlfn.IFNA(VLOOKUP('Rock Climbing Log'!W89,'RC Lookup'!$A$3:$B$9,2,FALSE),0.5),VLOOKUP('Rock Climbing Log'!W89,'RC Lookup'!$G$3:$H$5,2,FALSE)),0)*VLOOKUP(V$7,'RC Lookup'!$D$3:$E$18,2,FALSE)</f>
        <v>0</v>
      </c>
      <c r="X89" s="26">
        <f>_xlfn.IFNA(IF(LEFT('Rock Climbing Log'!X89)="C",_xlfn.IFNA(VLOOKUP('Rock Climbing Log'!X89,'RC Lookup'!$A$3:$B$9,2,FALSE),0.5),VLOOKUP('Rock Climbing Log'!X89,'RC Lookup'!$G$3:$H$5,2,FALSE)),0)*VLOOKUP(V$7,'RC Lookup'!$D$3:$E$18,2,FALSE)</f>
        <v>0</v>
      </c>
      <c r="Y89" s="26">
        <f>_xlfn.IFNA(IF(LEFT('Rock Climbing Log'!Y89)="C",_xlfn.IFNA(VLOOKUP('Rock Climbing Log'!Y89,'RC Lookup'!$A$3:$B$9,2,FALSE),0.5),VLOOKUP('Rock Climbing Log'!Y89,'RC Lookup'!$G$3:$H$5,2,FALSE)),0)*VLOOKUP(Y$7,'RC Lookup'!$D$3:$E$18,2,FALSE)</f>
        <v>0</v>
      </c>
      <c r="Z89" s="26">
        <f>_xlfn.IFNA(IF(LEFT('Rock Climbing Log'!Z89)="C",_xlfn.IFNA(VLOOKUP('Rock Climbing Log'!Z89,'RC Lookup'!$A$3:$B$9,2,FALSE),0.5),VLOOKUP('Rock Climbing Log'!Z89,'RC Lookup'!$G$3:$H$5,2,FALSE)),0)*VLOOKUP(Y$7,'RC Lookup'!$D$3:$E$18,2,FALSE)</f>
        <v>0</v>
      </c>
      <c r="AA89" s="26">
        <f>_xlfn.IFNA(IF(LEFT('Rock Climbing Log'!AA89)="C",_xlfn.IFNA(VLOOKUP('Rock Climbing Log'!AA89,'RC Lookup'!$A$3:$B$9,2,FALSE),0.5),VLOOKUP('Rock Climbing Log'!AA89,'RC Lookup'!$G$3:$H$5,2,FALSE)),0)*VLOOKUP(Y$7,'RC Lookup'!$D$3:$E$18,2,FALSE)</f>
        <v>0</v>
      </c>
      <c r="AB89" s="26">
        <f>_xlfn.IFNA(IF(LEFT('Rock Climbing Log'!AB89)="C",_xlfn.IFNA(VLOOKUP('Rock Climbing Log'!AB89,'RC Lookup'!$A$3:$B$9,2,FALSE),0.5),VLOOKUP('Rock Climbing Log'!AB89,'RC Lookup'!$G$3:$H$5,2,FALSE)),0)*VLOOKUP(AB$7,'RC Lookup'!$D$3:$E$18,2,FALSE)</f>
        <v>0</v>
      </c>
      <c r="AC89" s="26">
        <f>_xlfn.IFNA(IF(LEFT('Rock Climbing Log'!AC89)="C",_xlfn.IFNA(VLOOKUP('Rock Climbing Log'!AC89,'RC Lookup'!$A$3:$B$9,2,FALSE),0.5),VLOOKUP('Rock Climbing Log'!AC89,'RC Lookup'!$G$3:$H$5,2,FALSE)),0)*VLOOKUP(AB$7,'RC Lookup'!$D$3:$E$18,2,FALSE)</f>
        <v>0</v>
      </c>
      <c r="AD89" s="26">
        <f>_xlfn.IFNA(IF(LEFT('Rock Climbing Log'!AD89)="C",_xlfn.IFNA(VLOOKUP('Rock Climbing Log'!AD89,'RC Lookup'!$A$3:$B$9,2,FALSE),0.5),VLOOKUP('Rock Climbing Log'!AD89,'RC Lookup'!$G$3:$H$5,2,FALSE)),0)*VLOOKUP(AB$7,'RC Lookup'!$D$3:$E$18,2,FALSE)</f>
        <v>0</v>
      </c>
      <c r="AE89" s="26">
        <f>_xlfn.IFNA(IF(LEFT('Rock Climbing Log'!AE89)="C",_xlfn.IFNA(VLOOKUP('Rock Climbing Log'!AE89,'RC Lookup'!$A$3:$B$9,2,FALSE),0.5),VLOOKUP('Rock Climbing Log'!AE89,'RC Lookup'!$G$3:$H$5,2,FALSE)),0)*VLOOKUP(AE$7,'RC Lookup'!$D$3:$E$18,2,FALSE)</f>
        <v>33.933835923466447</v>
      </c>
      <c r="AF89" s="26">
        <f>_xlfn.IFNA(IF(LEFT('Rock Climbing Log'!AF89)="C",_xlfn.IFNA(VLOOKUP('Rock Climbing Log'!AF89,'RC Lookup'!$A$3:$B$9,2,FALSE),0.5),VLOOKUP('Rock Climbing Log'!AF89,'RC Lookup'!$G$3:$H$5,2,FALSE)),0)*VLOOKUP(AE$7,'RC Lookup'!$D$3:$E$18,2,FALSE)</f>
        <v>0</v>
      </c>
      <c r="AG89" s="26">
        <f>_xlfn.IFNA(IF(LEFT('Rock Climbing Log'!AG89)="C",_xlfn.IFNA(VLOOKUP('Rock Climbing Log'!AG89,'RC Lookup'!$A$3:$B$9,2,FALSE),0.5),VLOOKUP('Rock Climbing Log'!AG89,'RC Lookup'!$G$3:$H$5,2,FALSE)),0)*VLOOKUP(AE$7,'RC Lookup'!$D$3:$E$18,2,FALSE)</f>
        <v>0</v>
      </c>
      <c r="AH89" s="26">
        <f>_xlfn.IFNA(IF(LEFT('Rock Climbing Log'!AH89)="C",_xlfn.IFNA(VLOOKUP('Rock Climbing Log'!AH89,'RC Lookup'!$A$3:$B$9,2,FALSE),0.5),VLOOKUP('Rock Climbing Log'!AH89,'RC Lookup'!$G$3:$H$5,2,FALSE)),0)*VLOOKUP(AH$7,'RC Lookup'!$D$3:$E$18,2,FALSE)</f>
        <v>0</v>
      </c>
      <c r="AI89" s="26">
        <f>_xlfn.IFNA(IF(LEFT('Rock Climbing Log'!AI89)="C",_xlfn.IFNA(VLOOKUP('Rock Climbing Log'!AI89,'RC Lookup'!$A$3:$B$9,2,FALSE),0.5),VLOOKUP('Rock Climbing Log'!AI89,'RC Lookup'!$G$3:$H$5,2,FALSE)),0)*VLOOKUP(AH$7,'RC Lookup'!$D$3:$E$18,2,FALSE)</f>
        <v>0</v>
      </c>
      <c r="AJ89" s="26">
        <f>_xlfn.IFNA(IF(LEFT('Rock Climbing Log'!AJ89)="C",_xlfn.IFNA(VLOOKUP('Rock Climbing Log'!AJ89,'RC Lookup'!$A$3:$B$9,2,FALSE),0.5),VLOOKUP('Rock Climbing Log'!AJ89,'RC Lookup'!$G$3:$H$5,2,FALSE)),0)*VLOOKUP(AH$7,'RC Lookup'!$D$3:$E$18,2,FALSE)</f>
        <v>0</v>
      </c>
      <c r="AK89" s="26">
        <f>_xlfn.IFNA(IF(LEFT('Rock Climbing Log'!AK89)="C",_xlfn.IFNA(VLOOKUP('Rock Climbing Log'!AK89,'RC Lookup'!$A$3:$B$9,2,FALSE),0.5),VLOOKUP('Rock Climbing Log'!AK89,'RC Lookup'!$G$3:$H$5,2,FALSE)),0)*VLOOKUP(AK$7,'RC Lookup'!$D$3:$E$18,2,FALSE)</f>
        <v>0</v>
      </c>
      <c r="AL89" s="26">
        <f>_xlfn.IFNA(IF(LEFT('Rock Climbing Log'!AL89)="C",_xlfn.IFNA(VLOOKUP('Rock Climbing Log'!AL89,'RC Lookup'!$A$3:$B$9,2,FALSE),0.5),VLOOKUP('Rock Climbing Log'!AL89,'RC Lookup'!$G$3:$H$5,2,FALSE)),0)*VLOOKUP(AK$7,'RC Lookup'!$D$3:$E$18,2,FALSE)</f>
        <v>0</v>
      </c>
      <c r="AM89" s="26">
        <f>_xlfn.IFNA(IF(LEFT('Rock Climbing Log'!AM89)="C",_xlfn.IFNA(VLOOKUP('Rock Climbing Log'!AM89,'RC Lookup'!$A$3:$B$9,2,FALSE),0.5),VLOOKUP('Rock Climbing Log'!AM89,'RC Lookup'!$G$3:$H$5,2,FALSE)),0)*VLOOKUP(AK$7,'RC Lookup'!$D$3:$E$18,2,FALSE)</f>
        <v>0</v>
      </c>
      <c r="AN89" s="26">
        <f>_xlfn.IFNA(IF(LEFT('Rock Climbing Log'!AN89)="C",_xlfn.IFNA(VLOOKUP('Rock Climbing Log'!AN89,'RC Lookup'!$A$3:$B$9,2,FALSE),0.5),VLOOKUP('Rock Climbing Log'!AN89,'RC Lookup'!$G$3:$H$5,2,FALSE)),0)*VLOOKUP(AN$7,'RC Lookup'!$D$3:$E$18,2,FALSE)</f>
        <v>0</v>
      </c>
      <c r="AO89" s="26">
        <f>_xlfn.IFNA(IF(LEFT('Rock Climbing Log'!AO89)="C",_xlfn.IFNA(VLOOKUP('Rock Climbing Log'!AO89,'RC Lookup'!$A$3:$B$9,2,FALSE),0.5),VLOOKUP('Rock Climbing Log'!AO89,'RC Lookup'!$G$3:$H$5,2,FALSE)),0)*VLOOKUP(AN$7,'RC Lookup'!$D$3:$E$18,2,FALSE)</f>
        <v>0</v>
      </c>
      <c r="AP89" s="26">
        <f>_xlfn.IFNA(IF(LEFT('Rock Climbing Log'!AP89)="C",_xlfn.IFNA(VLOOKUP('Rock Climbing Log'!AP89,'RC Lookup'!$A$3:$B$9,2,FALSE),0.5),VLOOKUP('Rock Climbing Log'!AP89,'RC Lookup'!$G$3:$H$5,2,FALSE)),0)*VLOOKUP(AN$7,'RC Lookup'!$D$3:$E$18,2,FALSE)</f>
        <v>0</v>
      </c>
      <c r="AQ89" s="26">
        <f>_xlfn.IFNA(IF(LEFT('Rock Climbing Log'!AQ89)="C",_xlfn.IFNA(VLOOKUP('Rock Climbing Log'!AQ89,'RC Lookup'!$A$3:$B$9,2,FALSE),0.5),VLOOKUP('Rock Climbing Log'!AQ89,'RC Lookup'!$G$3:$H$5,2,FALSE)),0)*VLOOKUP(AQ$7,'RC Lookup'!$D$3:$E$18,2,FALSE)</f>
        <v>0</v>
      </c>
      <c r="AR89" s="26">
        <f>_xlfn.IFNA(IF(LEFT('Rock Climbing Log'!AR89)="C",_xlfn.IFNA(VLOOKUP('Rock Climbing Log'!AR89,'RC Lookup'!$A$3:$B$9,2,FALSE),0.5),VLOOKUP('Rock Climbing Log'!AR89,'RC Lookup'!$G$3:$H$5,2,FALSE)),0)*VLOOKUP(AQ$7,'RC Lookup'!$D$3:$E$18,2,FALSE)</f>
        <v>0</v>
      </c>
      <c r="AS89" s="26">
        <f>_xlfn.IFNA(IF(LEFT('Rock Climbing Log'!AS89)="C",_xlfn.IFNA(VLOOKUP('Rock Climbing Log'!AS89,'RC Lookup'!$A$3:$B$9,2,FALSE),0.5),VLOOKUP('Rock Climbing Log'!AS89,'RC Lookup'!$G$3:$H$5,2,FALSE)),0)*VLOOKUP(AQ$7,'RC Lookup'!$D$3:$E$18,2,FALSE)</f>
        <v>0</v>
      </c>
      <c r="AT89" s="26">
        <f>_xlfn.IFNA(IF(LEFT('Rock Climbing Log'!AT89)="C",_xlfn.IFNA(VLOOKUP('Rock Climbing Log'!AT89,'RC Lookup'!$A$3:$B$9,2,FALSE),0.5),VLOOKUP('Rock Climbing Log'!AT89,'RC Lookup'!$G$3:$H$5,2,FALSE)),0)*VLOOKUP(AT$7,'RC Lookup'!$D$3:$E$18,2,FALSE)</f>
        <v>0</v>
      </c>
      <c r="AU89" s="26">
        <f>_xlfn.IFNA(IF(LEFT('Rock Climbing Log'!AU89)="C",_xlfn.IFNA(VLOOKUP('Rock Climbing Log'!AU89,'RC Lookup'!$A$3:$B$9,2,FALSE),0.5),VLOOKUP('Rock Climbing Log'!AU89,'RC Lookup'!$G$3:$H$5,2,FALSE)),0)*VLOOKUP(AT$7,'RC Lookup'!$D$3:$E$18,2,FALSE)</f>
        <v>0</v>
      </c>
      <c r="AV89" s="26">
        <f>_xlfn.IFNA(IF(LEFT('Rock Climbing Log'!AV89)="C",_xlfn.IFNA(VLOOKUP('Rock Climbing Log'!AV89,'RC Lookup'!$A$3:$B$9,2,FALSE),0.5),VLOOKUP('Rock Climbing Log'!AV89,'RC Lookup'!$G$3:$H$5,2,FALSE)),0)*VLOOKUP(AT$7,'RC Lookup'!$D$3:$E$18,2,FALSE)</f>
        <v>0</v>
      </c>
      <c r="AW89" s="30">
        <f t="shared" ca="1" si="3"/>
        <v>89.193081665866458</v>
      </c>
      <c r="AX89" s="30">
        <f ca="1">_xlfn.IFNA(VLOOKUP(SUMPRODUCT(LARGE(($C$8:$C89=Table1[[#This Row],[Climber]])*$A$8:$A89,1)),$A$8:$AW89,MATCH($AW$7,$A$7:$AW$7,FALSE),FALSE),0)/LEFT($AX$7,FIND(" ",$AX$7))+_xlfn.IFNA(VLOOKUP(SUMPRODUCT(LARGE(($C$8:$C89=Table1[[#This Row],[Climber]])*$A$8:$A89,MIN(2,COUNTIFS($C$8:$C89,$C89)))),$A$8:$AW89,MATCH($AW$7,$A$7:$AW$7,FALSE),FALSE),0)/LEFT($AX$7,FIND(" ",$AX$7))+_xlfn.IFNA(VLOOKUP(SUMPRODUCT(LARGE(($C$8:$C89=Table1[[#This Row],[Climber]])*$A$8:$A89,MIN(3,COUNTIFS($C$8:$C89,$C89)))),$A$8:$AW89,MATCH($AW$7,$A$7:$AW$7,FALSE),FALSE),0)/LEFT($AX$7,FIND(" ",$AX$7))</f>
        <v>79.497365995678237</v>
      </c>
      <c r="AY89" s="30">
        <f ca="1">_xlfn.IFNA(VLOOKUP(SUMPRODUCT(LARGE(($C$8:$C89=Table1[[#This Row],[Climber]])*$A$8:$A89,1)),$A$8:$AW89,MATCH($AW$7,$A$7:$AW$7,FALSE),FALSE),0)/LEFT($AY$7,FIND(" ",$AY$7))+_xlfn.IFNA(VLOOKUP(SUMPRODUCT(LARGE(($C$8:$C89=Table1[[#This Row],[Climber]])*$A$8:$A89,MIN(2,COUNTIFS($C$8:$C89,$C89)))),$A$8:$AW89,MATCH($AW$7,$A$7:$AW$7,FALSE),FALSE),0)/LEFT($AY$7,FIND(" ",$AY$7))+_xlfn.IFNA(VLOOKUP(SUMPRODUCT(LARGE(($C$8:$C89=Table1[[#This Row],[Climber]])*$A$8:$A89,MIN(3,COUNTIFS($C$8:$C89,$C89)))),$A$8:$AW89,MATCH($AW$7,$A$7:$AW$7,FALSE),FALSE),0)/LEFT($AY$7,FIND(" ",$AY$7))+_xlfn.IFNA(VLOOKUP(SUMPRODUCT(LARGE(($C$8:$C89=Table1[[#This Row],[Climber]])*$A$8:$A89,MIN(4,COUNTIFS($C$8:$C89,$C89)))),$A$8:$AW89,MATCH($AW$7,$A$7:$AW$7,FALSE),FALSE),0)/LEFT($AY$7,FIND(" ",$AY$7))+_xlfn.IFNA(VLOOKUP(SUMPRODUCT(LARGE(($C$8:$C89=Table1[[#This Row],[Climber]])*$A$8:$A89,MIN(5,COUNTIFS($C$8:$C89,$C89)))),$A$8:$AW89,MATCH($AW$7,$A$7:$AW$7,FALSE),FALSE),0)/LEFT($AY$7,FIND(" ",$AY$7))</f>
        <v>73.802617894366946</v>
      </c>
      <c r="AZ89" s="30">
        <f ca="1">(_xlfn.IFNA(VLOOKUP(SUMPRODUCT(LARGE(($C$8:$C89=Table1[[#This Row],[Climber]])*$A$8:$A89,4)),$A$8:$AW89,MATCH($AW$7,$A$7:$AW$7,FALSE),FALSE),0)+_xlfn.IFNA(VLOOKUP(SUMPRODUCT(LARGE(($C$8:$C89=Table1[[#This Row],[Climber]])*$A$8:$A89,5)),$A$8:$AW89,MATCH($AW$7,$A$7:$AW$7,FALSE),FALSE),0)+_xlfn.IFNA(VLOOKUP(SUMPRODUCT(LARGE(($C$8:$C89=Table1[[#This Row],[Climber]])*$A$8:$A89,6)),$A$8:$AW89,MATCH($AW$7,$A$7:$AW$7,FALSE),FALSE),0))/3</f>
        <v>67.17674574240003</v>
      </c>
      <c r="BA89" s="46">
        <f ca="1">_xlfn.MAXIFS(INDIRECT("$AW"&amp;IF(SUMPRODUCT(LARGE(($C$8:$C89=$C89)*$A$8:$A89,LEFT($BA$7,FIND(" ",$BA$7)-1)))=0,8,SUMPRODUCT(LARGE(($C$8:$C89=$C89)*$A$8:$A89,LEFT($BA$7,FIND(" ",$BA$7)-1)))+7)&amp;":$AW"&amp;ROW()),INDIRECT("$C"&amp;IF(SUMPRODUCT(LARGE(($C$8:$C89=$C89)*$A$8:$A89,LEFT($BA$7,FIND(" ",$BA$7)-1)))=0,8,SUMPRODUCT(LARGE(($C$8:$C89=$C89)*$A$8:$A89,LEFT($BA$7,FIND(" ",$BA$7)-1)))+7)&amp;":$C"&amp;ROW()),$C89)</f>
        <v>89.291516321168245</v>
      </c>
      <c r="BB89" s="46" t="str">
        <f ca="1">VLOOKUP(MAX(BG89,$AX89),'RC Lookup'!$G$14:$J$20,2,TRUE)</f>
        <v>T2</v>
      </c>
      <c r="BC89" s="46">
        <f ca="1">_xlfn.IFNA(VLOOKUP(VLOOKUP($C89,'RC Lookup'!$O$3:$P$50,2,FALSE),'RC Lookup'!$H$14:$J$23,2,FALSE),0)*AW89</f>
        <v>102.87918651313555</v>
      </c>
      <c r="BD89" s="6">
        <f ca="1">_xlfn.IFNA(VLOOKUP(SUMPRODUCT(LARGE(($C$8:$C89=Table1[[#This Row],[Climber]])*$A$8:$A89,1)),$A$8:$BC89,55,FALSE),0)/LEFT($AX$7,FIND(" ",$AX$7))+_xlfn.IFNA(VLOOKUP(SUMPRODUCT(LARGE(($C$8:$C89=Table1[[#This Row],[Climber]])*$A$8:$A89,MIN(2,COUNTIFS($C$8:$C89,$C89)))),$A$8:$BC89,55,FALSE),0)/LEFT($AX$7,FIND(" ",$AX$7))+_xlfn.IFNA(VLOOKUP(SUMPRODUCT(LARGE(($C$8:$C89=Table1[[#This Row],[Climber]])*$A$8:$A89,MIN(3,COUNTIFS($C$8:$C89,$C89)))),$A$8:$BC89,55,FALSE),0)/LEFT($AX$7,FIND(" ",$AX$7))</f>
        <v>91.695725619291863</v>
      </c>
      <c r="BE89" s="6">
        <f ca="1">(_xlfn.IFNA(VLOOKUP(SUMPRODUCT(LARGE(($C$8:$C89=Table1[[#This Row],[Climber]])*$A$8:$A89,4)),$A$8:$BD89,55,FALSE),0)+_xlfn.IFNA(VLOOKUP(SUMPRODUCT(LARGE(($C$8:$C89=Table1[[#This Row],[Climber]])*$A$8:$A89,5)),$A$8:$BD89,55,FALSE),0)+_xlfn.IFNA(VLOOKUP(SUMPRODUCT(LARGE(($C$8:$C89=Table1[[#This Row],[Climber]])*$A$8:$A89,6)),$A$8:$BD89,55,FALSE),0))/3</f>
        <v>77.484585412891718</v>
      </c>
      <c r="BF89" s="46">
        <f ca="1">_xlfn.MAXIFS(INDIRECT("$BC"&amp;IF(SUMPRODUCT(LARGE(($C$8:$C89=$C89)*$A$8:$A89,LEFT($BA$7,FIND(" ",$BA$7)-1)))=0,8,SUMPRODUCT(LARGE(($C$8:$C89=$C89)*$A$8:$A89,LEFT($BA$7,FIND(" ",$BA$7)-1)))+7)&amp;":$BC"&amp;ROW()),INDIRECT("$C"&amp;IF(SUMPRODUCT(LARGE(($C$8:$C89=$C89)*$A$8:$A89,LEFT($BA$7,FIND(" ",$BA$7)-1)))=0,8,SUMPRODUCT(LARGE(($C$8:$C89=$C89)*$A$8:$A89,LEFT($BA$7,FIND(" ",$BA$7)-1)))+7)&amp;":$C"&amp;ROW()),$C89)</f>
        <v>102.99272533333335</v>
      </c>
      <c r="BG89" s="46">
        <f t="array" aca="1" ref="BG89" ca="1">IFERROR(SUMPRODUCT(LARGE(($C$8:$C89=Table1[[#This Row],[Climber]])*$AW$8:$AW89,ROW(INDIRECT("1:5")))),AW89)/MIN(COUNTIFS($C$8:$C89,C89),5)</f>
        <v>80.00346704284695</v>
      </c>
    </row>
    <row r="90" spans="1:59" x14ac:dyDescent="0.3">
      <c r="A90" s="125">
        <f t="shared" si="1"/>
        <v>83</v>
      </c>
      <c r="B90" s="25">
        <f>'Rock Climbing Log'!B90</f>
        <v>43176</v>
      </c>
      <c r="C90" s="126" t="str">
        <f>'Rock Climbing Log'!C90</f>
        <v>Edwin</v>
      </c>
      <c r="D90" s="26">
        <f>_xlfn.IFNA(IF(LEFT('Rock Climbing Log'!D90)="C",_xlfn.IFNA(VLOOKUP('Rock Climbing Log'!D90,'RC Lookup'!$A$3:$B$9,2,FALSE),0.5),VLOOKUP('Rock Climbing Log'!D90,'RC Lookup'!$G$3:$H$5,2,FALSE)),0)*VLOOKUP(D$7,'RC Lookup'!$D$3:$E$18,2,FALSE)</f>
        <v>0</v>
      </c>
      <c r="E90" s="26">
        <f>_xlfn.IFNA(IF(LEFT('Rock Climbing Log'!E90)="C",_xlfn.IFNA(VLOOKUP('Rock Climbing Log'!E90,'RC Lookup'!$A$3:$B$9,2,FALSE),0.5),VLOOKUP('Rock Climbing Log'!E90,'RC Lookup'!$G$3:$H$5,2,FALSE)),0)*VLOOKUP(D$7,'RC Lookup'!$D$3:$E$18,2,FALSE)</f>
        <v>0</v>
      </c>
      <c r="F90" s="26">
        <f>_xlfn.IFNA(IF(LEFT('Rock Climbing Log'!F90)="C",_xlfn.IFNA(VLOOKUP('Rock Climbing Log'!F90,'RC Lookup'!$A$3:$B$9,2,FALSE),0.5),VLOOKUP('Rock Climbing Log'!F90,'RC Lookup'!$G$3:$H$5,2,FALSE)),0)*VLOOKUP(D$7,'RC Lookup'!$D$3:$E$18,2,FALSE)</f>
        <v>0</v>
      </c>
      <c r="G90" s="26">
        <f>_xlfn.IFNA(IF(LEFT('Rock Climbing Log'!G90)="C",_xlfn.IFNA(VLOOKUP('Rock Climbing Log'!G90,'RC Lookup'!$A$3:$B$9,2,FALSE),0.5),VLOOKUP('Rock Climbing Log'!G90,'RC Lookup'!$G$3:$H$5,2,FALSE)),0)*VLOOKUP(G$7,'RC Lookup'!$D$3:$E$18,2,FALSE)</f>
        <v>0</v>
      </c>
      <c r="H90" s="26">
        <f>_xlfn.IFNA(IF(LEFT('Rock Climbing Log'!H90)="C",_xlfn.IFNA(VLOOKUP('Rock Climbing Log'!H90,'RC Lookup'!$A$3:$B$9,2,FALSE),0.5),VLOOKUP('Rock Climbing Log'!H90,'RC Lookup'!$G$3:$H$5,2,FALSE)),0)*VLOOKUP(G$7,'RC Lookup'!$D$3:$E$18,2,FALSE)</f>
        <v>0</v>
      </c>
      <c r="I90" s="26">
        <f>_xlfn.IFNA(IF(LEFT('Rock Climbing Log'!I90)="C",_xlfn.IFNA(VLOOKUP('Rock Climbing Log'!I90,'RC Lookup'!$A$3:$B$9,2,FALSE),0.5),VLOOKUP('Rock Climbing Log'!I90,'RC Lookup'!$G$3:$H$5,2,FALSE)),0)*VLOOKUP(G$7,'RC Lookup'!$D$3:$E$18,2,FALSE)</f>
        <v>0</v>
      </c>
      <c r="J90" s="26">
        <f>_xlfn.IFNA(IF(LEFT('Rock Climbing Log'!J90)="C",_xlfn.IFNA(VLOOKUP('Rock Climbing Log'!J90,'RC Lookup'!$A$3:$B$9,2,FALSE),0.5),VLOOKUP('Rock Climbing Log'!J90,'RC Lookup'!$G$3:$H$5,2,FALSE)),0)*VLOOKUP(J$7,'RC Lookup'!$D$3:$E$18,2,FALSE)</f>
        <v>0</v>
      </c>
      <c r="K90" s="26">
        <f>_xlfn.IFNA(IF(LEFT('Rock Climbing Log'!K90)="C",_xlfn.IFNA(VLOOKUP('Rock Climbing Log'!K90,'RC Lookup'!$A$3:$B$9,2,FALSE),0.5),VLOOKUP('Rock Climbing Log'!K90,'RC Lookup'!$G$3:$H$5,2,FALSE)),0)*VLOOKUP(J$7,'RC Lookup'!$D$3:$E$18,2,FALSE)</f>
        <v>0</v>
      </c>
      <c r="L90" s="26">
        <f>_xlfn.IFNA(IF(LEFT('Rock Climbing Log'!L90)="C",_xlfn.IFNA(VLOOKUP('Rock Climbing Log'!L90,'RC Lookup'!$A$3:$B$9,2,FALSE),0.5),VLOOKUP('Rock Climbing Log'!L90,'RC Lookup'!$G$3:$H$5,2,FALSE)),0)*VLOOKUP(J$7,'RC Lookup'!$D$3:$E$18,2,FALSE)</f>
        <v>0</v>
      </c>
      <c r="M90" s="26">
        <f>_xlfn.IFNA(IF(LEFT('Rock Climbing Log'!M90)="C",_xlfn.IFNA(VLOOKUP('Rock Climbing Log'!M90,'RC Lookup'!$A$3:$B$9,2,FALSE),0.5),VLOOKUP('Rock Climbing Log'!M90,'RC Lookup'!$G$3:$H$5,2,FALSE)),0)*VLOOKUP(M$7,'RC Lookup'!$D$3:$E$18,2,FALSE)</f>
        <v>0</v>
      </c>
      <c r="N90" s="26">
        <f>_xlfn.IFNA(IF(LEFT('Rock Climbing Log'!N90)="C",_xlfn.IFNA(VLOOKUP('Rock Climbing Log'!N90,'RC Lookup'!$A$3:$B$9,2,FALSE),0.5),VLOOKUP('Rock Climbing Log'!N90,'RC Lookup'!$G$3:$H$5,2,FALSE)),0)*VLOOKUP(M$7,'RC Lookup'!$D$3:$E$18,2,FALSE)</f>
        <v>0</v>
      </c>
      <c r="O90" s="26">
        <f>_xlfn.IFNA(IF(LEFT('Rock Climbing Log'!O90)="C",_xlfn.IFNA(VLOOKUP('Rock Climbing Log'!O90,'RC Lookup'!$A$3:$B$9,2,FALSE),0.5),VLOOKUP('Rock Climbing Log'!O90,'RC Lookup'!$G$3:$H$5,2,FALSE)),0)*VLOOKUP(M$7,'RC Lookup'!$D$3:$E$18,2,FALSE)</f>
        <v>0</v>
      </c>
      <c r="P90" s="26">
        <f>_xlfn.IFNA(IF(LEFT('Rock Climbing Log'!P90)="C",_xlfn.IFNA(VLOOKUP('Rock Climbing Log'!P90,'RC Lookup'!$A$3:$B$9,2,FALSE),0.5),VLOOKUP('Rock Climbing Log'!P90,'RC Lookup'!$G$3:$H$5,2,FALSE)),0)*VLOOKUP(P$7,'RC Lookup'!$D$3:$E$18,2,FALSE)</f>
        <v>0</v>
      </c>
      <c r="Q90" s="26">
        <f>_xlfn.IFNA(IF(LEFT('Rock Climbing Log'!Q90)="C",_xlfn.IFNA(VLOOKUP('Rock Climbing Log'!Q90,'RC Lookup'!$A$3:$B$9,2,FALSE),0.5),VLOOKUP('Rock Climbing Log'!Q90,'RC Lookup'!$G$3:$H$5,2,FALSE)),0)*VLOOKUP(P$7,'RC Lookup'!$D$3:$E$18,2,FALSE)</f>
        <v>0</v>
      </c>
      <c r="R90" s="26">
        <f>_xlfn.IFNA(IF(LEFT('Rock Climbing Log'!R90)="C",_xlfn.IFNA(VLOOKUP('Rock Climbing Log'!R90,'RC Lookup'!$A$3:$B$9,2,FALSE),0.5),VLOOKUP('Rock Climbing Log'!R90,'RC Lookup'!$G$3:$H$5,2,FALSE)),0)*VLOOKUP(P$7,'RC Lookup'!$D$3:$E$18,2,FALSE)</f>
        <v>0</v>
      </c>
      <c r="S90" s="26">
        <f>_xlfn.IFNA(IF(LEFT('Rock Climbing Log'!S90)="C",_xlfn.IFNA(VLOOKUP('Rock Climbing Log'!S90,'RC Lookup'!$A$3:$B$9,2,FALSE),0.5),VLOOKUP('Rock Climbing Log'!S90,'RC Lookup'!$G$3:$H$5,2,FALSE)),0)*VLOOKUP(S$7,'RC Lookup'!$D$3:$E$18,2,FALSE)</f>
        <v>0</v>
      </c>
      <c r="T90" s="26">
        <f>_xlfn.IFNA(IF(LEFT('Rock Climbing Log'!T90)="C",_xlfn.IFNA(VLOOKUP('Rock Climbing Log'!T90,'RC Lookup'!$A$3:$B$9,2,FALSE),0.5),VLOOKUP('Rock Climbing Log'!T90,'RC Lookup'!$G$3:$H$5,2,FALSE)),0)*VLOOKUP(S$7,'RC Lookup'!$D$3:$E$18,2,FALSE)</f>
        <v>0</v>
      </c>
      <c r="U90" s="26">
        <f>_xlfn.IFNA(IF(LEFT('Rock Climbing Log'!U90)="C",_xlfn.IFNA(VLOOKUP('Rock Climbing Log'!U90,'RC Lookup'!$A$3:$B$9,2,FALSE),0.5),VLOOKUP('Rock Climbing Log'!U90,'RC Lookup'!$G$3:$H$5,2,FALSE)),0)*VLOOKUP(S$7,'RC Lookup'!$D$3:$E$18,2,FALSE)</f>
        <v>0</v>
      </c>
      <c r="V90" s="26">
        <f>_xlfn.IFNA(IF(LEFT('Rock Climbing Log'!V90)="C",_xlfn.IFNA(VLOOKUP('Rock Climbing Log'!V90,'RC Lookup'!$A$3:$B$9,2,FALSE),0.5),VLOOKUP('Rock Climbing Log'!V90,'RC Lookup'!$G$3:$H$5,2,FALSE)),0)*VLOOKUP(V$7,'RC Lookup'!$D$3:$E$18,2,FALSE)</f>
        <v>0</v>
      </c>
      <c r="W90" s="26">
        <f>_xlfn.IFNA(IF(LEFT('Rock Climbing Log'!W90)="C",_xlfn.IFNA(VLOOKUP('Rock Climbing Log'!W90,'RC Lookup'!$A$3:$B$9,2,FALSE),0.5),VLOOKUP('Rock Climbing Log'!W90,'RC Lookup'!$G$3:$H$5,2,FALSE)),0)*VLOOKUP(V$7,'RC Lookup'!$D$3:$E$18,2,FALSE)</f>
        <v>0</v>
      </c>
      <c r="X90" s="26">
        <f>_xlfn.IFNA(IF(LEFT('Rock Climbing Log'!X90)="C",_xlfn.IFNA(VLOOKUP('Rock Climbing Log'!X90,'RC Lookup'!$A$3:$B$9,2,FALSE),0.5),VLOOKUP('Rock Climbing Log'!X90,'RC Lookup'!$G$3:$H$5,2,FALSE)),0)*VLOOKUP(V$7,'RC Lookup'!$D$3:$E$18,2,FALSE)</f>
        <v>0</v>
      </c>
      <c r="Y90" s="26">
        <f>_xlfn.IFNA(IF(LEFT('Rock Climbing Log'!Y90)="C",_xlfn.IFNA(VLOOKUP('Rock Climbing Log'!Y90,'RC Lookup'!$A$3:$B$9,2,FALSE),0.5),VLOOKUP('Rock Climbing Log'!Y90,'RC Lookup'!$G$3:$H$5,2,FALSE)),0)*VLOOKUP(Y$7,'RC Lookup'!$D$3:$E$18,2,FALSE)</f>
        <v>0</v>
      </c>
      <c r="Z90" s="26">
        <f>_xlfn.IFNA(IF(LEFT('Rock Climbing Log'!Z90)="C",_xlfn.IFNA(VLOOKUP('Rock Climbing Log'!Z90,'RC Lookup'!$A$3:$B$9,2,FALSE),0.5),VLOOKUP('Rock Climbing Log'!Z90,'RC Lookup'!$G$3:$H$5,2,FALSE)),0)*VLOOKUP(Y$7,'RC Lookup'!$D$3:$E$18,2,FALSE)</f>
        <v>0</v>
      </c>
      <c r="AA90" s="26">
        <f>_xlfn.IFNA(IF(LEFT('Rock Climbing Log'!AA90)="C",_xlfn.IFNA(VLOOKUP('Rock Climbing Log'!AA90,'RC Lookup'!$A$3:$B$9,2,FALSE),0.5),VLOOKUP('Rock Climbing Log'!AA90,'RC Lookup'!$G$3:$H$5,2,FALSE)),0)*VLOOKUP(Y$7,'RC Lookup'!$D$3:$E$18,2,FALSE)</f>
        <v>0</v>
      </c>
      <c r="AB90" s="26">
        <f>_xlfn.IFNA(IF(LEFT('Rock Climbing Log'!AB90)="C",_xlfn.IFNA(VLOOKUP('Rock Climbing Log'!AB90,'RC Lookup'!$A$3:$B$9,2,FALSE),0.5),VLOOKUP('Rock Climbing Log'!AB90,'RC Lookup'!$G$3:$H$5,2,FALSE)),0)*VLOOKUP(AB$7,'RC Lookup'!$D$3:$E$18,2,FALSE)</f>
        <v>0</v>
      </c>
      <c r="AC90" s="26">
        <f>_xlfn.IFNA(IF(LEFT('Rock Climbing Log'!AC90)="C",_xlfn.IFNA(VLOOKUP('Rock Climbing Log'!AC90,'RC Lookup'!$A$3:$B$9,2,FALSE),0.5),VLOOKUP('Rock Climbing Log'!AC90,'RC Lookup'!$G$3:$H$5,2,FALSE)),0)*VLOOKUP(AB$7,'RC Lookup'!$D$3:$E$18,2,FALSE)</f>
        <v>0</v>
      </c>
      <c r="AD90" s="26">
        <f>_xlfn.IFNA(IF(LEFT('Rock Climbing Log'!AD90)="C",_xlfn.IFNA(VLOOKUP('Rock Climbing Log'!AD90,'RC Lookup'!$A$3:$B$9,2,FALSE),0.5),VLOOKUP('Rock Climbing Log'!AD90,'RC Lookup'!$G$3:$H$5,2,FALSE)),0)*VLOOKUP(AB$7,'RC Lookup'!$D$3:$E$18,2,FALSE)</f>
        <v>0</v>
      </c>
      <c r="AE90" s="26">
        <f>_xlfn.IFNA(IF(LEFT('Rock Climbing Log'!AE90)="C",_xlfn.IFNA(VLOOKUP('Rock Climbing Log'!AE90,'RC Lookup'!$A$3:$B$9,2,FALSE),0.5),VLOOKUP('Rock Climbing Log'!AE90,'RC Lookup'!$G$3:$H$5,2,FALSE)),0)*VLOOKUP(AE$7,'RC Lookup'!$D$3:$E$18,2,FALSE)</f>
        <v>0</v>
      </c>
      <c r="AF90" s="26">
        <f>_xlfn.IFNA(IF(LEFT('Rock Climbing Log'!AF90)="C",_xlfn.IFNA(VLOOKUP('Rock Climbing Log'!AF90,'RC Lookup'!$A$3:$B$9,2,FALSE),0.5),VLOOKUP('Rock Climbing Log'!AF90,'RC Lookup'!$G$3:$H$5,2,FALSE)),0)*VLOOKUP(AE$7,'RC Lookup'!$D$3:$E$18,2,FALSE)</f>
        <v>0</v>
      </c>
      <c r="AG90" s="26">
        <f>_xlfn.IFNA(IF(LEFT('Rock Climbing Log'!AG90)="C",_xlfn.IFNA(VLOOKUP('Rock Climbing Log'!AG90,'RC Lookup'!$A$3:$B$9,2,FALSE),0.5),VLOOKUP('Rock Climbing Log'!AG90,'RC Lookup'!$G$3:$H$5,2,FALSE)),0)*VLOOKUP(AE$7,'RC Lookup'!$D$3:$E$18,2,FALSE)</f>
        <v>0</v>
      </c>
      <c r="AH90" s="26">
        <f>_xlfn.IFNA(IF(LEFT('Rock Climbing Log'!AH90)="C",_xlfn.IFNA(VLOOKUP('Rock Climbing Log'!AH90,'RC Lookup'!$A$3:$B$9,2,FALSE),0.5),VLOOKUP('Rock Climbing Log'!AH90,'RC Lookup'!$G$3:$H$5,2,FALSE)),0)*VLOOKUP(AH$7,'RC Lookup'!$D$3:$E$18,2,FALSE)</f>
        <v>0</v>
      </c>
      <c r="AI90" s="26">
        <f>_xlfn.IFNA(IF(LEFT('Rock Climbing Log'!AI90)="C",_xlfn.IFNA(VLOOKUP('Rock Climbing Log'!AI90,'RC Lookup'!$A$3:$B$9,2,FALSE),0.5),VLOOKUP('Rock Climbing Log'!AI90,'RC Lookup'!$G$3:$H$5,2,FALSE)),0)*VLOOKUP(AH$7,'RC Lookup'!$D$3:$E$18,2,FALSE)</f>
        <v>0</v>
      </c>
      <c r="AJ90" s="26">
        <f>_xlfn.IFNA(IF(LEFT('Rock Climbing Log'!AJ90)="C",_xlfn.IFNA(VLOOKUP('Rock Climbing Log'!AJ90,'RC Lookup'!$A$3:$B$9,2,FALSE),0.5),VLOOKUP('Rock Climbing Log'!AJ90,'RC Lookup'!$G$3:$H$5,2,FALSE)),0)*VLOOKUP(AH$7,'RC Lookup'!$D$3:$E$18,2,FALSE)</f>
        <v>0</v>
      </c>
      <c r="AK90" s="26">
        <f>_xlfn.IFNA(IF(LEFT('Rock Climbing Log'!AK90)="C",_xlfn.IFNA(VLOOKUP('Rock Climbing Log'!AK90,'RC Lookup'!$A$3:$B$9,2,FALSE),0.5),VLOOKUP('Rock Climbing Log'!AK90,'RC Lookup'!$G$3:$H$5,2,FALSE)),0)*VLOOKUP(AK$7,'RC Lookup'!$D$3:$E$18,2,FALSE)</f>
        <v>0</v>
      </c>
      <c r="AL90" s="26">
        <f>_xlfn.IFNA(IF(LEFT('Rock Climbing Log'!AL90)="C",_xlfn.IFNA(VLOOKUP('Rock Climbing Log'!AL90,'RC Lookup'!$A$3:$B$9,2,FALSE),0.5),VLOOKUP('Rock Climbing Log'!AL90,'RC Lookup'!$G$3:$H$5,2,FALSE)),0)*VLOOKUP(AK$7,'RC Lookup'!$D$3:$E$18,2,FALSE)</f>
        <v>0</v>
      </c>
      <c r="AM90" s="26">
        <f>_xlfn.IFNA(IF(LEFT('Rock Climbing Log'!AM90)="C",_xlfn.IFNA(VLOOKUP('Rock Climbing Log'!AM90,'RC Lookup'!$A$3:$B$9,2,FALSE),0.5),VLOOKUP('Rock Climbing Log'!AM90,'RC Lookup'!$G$3:$H$5,2,FALSE)),0)*VLOOKUP(AK$7,'RC Lookup'!$D$3:$E$18,2,FALSE)</f>
        <v>0</v>
      </c>
      <c r="AN90" s="26">
        <f>_xlfn.IFNA(IF(LEFT('Rock Climbing Log'!AN90)="C",_xlfn.IFNA(VLOOKUP('Rock Climbing Log'!AN90,'RC Lookup'!$A$3:$B$9,2,FALSE),0.5),VLOOKUP('Rock Climbing Log'!AN90,'RC Lookup'!$G$3:$H$5,2,FALSE)),0)*VLOOKUP(AN$7,'RC Lookup'!$D$3:$E$18,2,FALSE)</f>
        <v>128.08468294187779</v>
      </c>
      <c r="AO90" s="26">
        <f>_xlfn.IFNA(IF(LEFT('Rock Climbing Log'!AO90)="C",_xlfn.IFNA(VLOOKUP('Rock Climbing Log'!AO90,'RC Lookup'!$A$3:$B$9,2,FALSE),0.5),VLOOKUP('Rock Climbing Log'!AO90,'RC Lookup'!$G$3:$H$5,2,FALSE)),0)*VLOOKUP(AN$7,'RC Lookup'!$D$3:$E$18,2,FALSE)</f>
        <v>0</v>
      </c>
      <c r="AP90" s="26">
        <f>_xlfn.IFNA(IF(LEFT('Rock Climbing Log'!AP90)="C",_xlfn.IFNA(VLOOKUP('Rock Climbing Log'!AP90,'RC Lookup'!$A$3:$B$9,2,FALSE),0.5),VLOOKUP('Rock Climbing Log'!AP90,'RC Lookup'!$G$3:$H$5,2,FALSE)),0)*VLOOKUP(AN$7,'RC Lookup'!$D$3:$E$18,2,FALSE)</f>
        <v>0</v>
      </c>
      <c r="AQ90" s="26">
        <f>_xlfn.IFNA(IF(LEFT('Rock Climbing Log'!AQ90)="C",_xlfn.IFNA(VLOOKUP('Rock Climbing Log'!AQ90,'RC Lookup'!$A$3:$B$9,2,FALSE),0.5),VLOOKUP('Rock Climbing Log'!AQ90,'RC Lookup'!$G$3:$H$5,2,FALSE)),0)*VLOOKUP(AQ$7,'RC Lookup'!$D$3:$E$18,2,FALSE)</f>
        <v>0</v>
      </c>
      <c r="AR90" s="26">
        <f>_xlfn.IFNA(IF(LEFT('Rock Climbing Log'!AR90)="C",_xlfn.IFNA(VLOOKUP('Rock Climbing Log'!AR90,'RC Lookup'!$A$3:$B$9,2,FALSE),0.5),VLOOKUP('Rock Climbing Log'!AR90,'RC Lookup'!$G$3:$H$5,2,FALSE)),0)*VLOOKUP(AQ$7,'RC Lookup'!$D$3:$E$18,2,FALSE)</f>
        <v>0</v>
      </c>
      <c r="AS90" s="26">
        <f>_xlfn.IFNA(IF(LEFT('Rock Climbing Log'!AS90)="C",_xlfn.IFNA(VLOOKUP('Rock Climbing Log'!AS90,'RC Lookup'!$A$3:$B$9,2,FALSE),0.5),VLOOKUP('Rock Climbing Log'!AS90,'RC Lookup'!$G$3:$H$5,2,FALSE)),0)*VLOOKUP(AQ$7,'RC Lookup'!$D$3:$E$18,2,FALSE)</f>
        <v>0</v>
      </c>
      <c r="AT90" s="26">
        <f>_xlfn.IFNA(IF(LEFT('Rock Climbing Log'!AT90)="C",_xlfn.IFNA(VLOOKUP('Rock Climbing Log'!AT90,'RC Lookup'!$A$3:$B$9,2,FALSE),0.5),VLOOKUP('Rock Climbing Log'!AT90,'RC Lookup'!$G$3:$H$5,2,FALSE)),0)*VLOOKUP(AT$7,'RC Lookup'!$D$3:$E$18,2,FALSE)</f>
        <v>0</v>
      </c>
      <c r="AU90" s="26">
        <f>_xlfn.IFNA(IF(LEFT('Rock Climbing Log'!AU90)="C",_xlfn.IFNA(VLOOKUP('Rock Climbing Log'!AU90,'RC Lookup'!$A$3:$B$9,2,FALSE),0.5),VLOOKUP('Rock Climbing Log'!AU90,'RC Lookup'!$G$3:$H$5,2,FALSE)),0)*VLOOKUP(AT$7,'RC Lookup'!$D$3:$E$18,2,FALSE)</f>
        <v>0</v>
      </c>
      <c r="AV90" s="26">
        <f>_xlfn.IFNA(IF(LEFT('Rock Climbing Log'!AV90)="C",_xlfn.IFNA(VLOOKUP('Rock Climbing Log'!AV90,'RC Lookup'!$A$3:$B$9,2,FALSE),0.5),VLOOKUP('Rock Climbing Log'!AV90,'RC Lookup'!$G$3:$H$5,2,FALSE)),0)*VLOOKUP(AT$7,'RC Lookup'!$D$3:$E$18,2,FALSE)</f>
        <v>0</v>
      </c>
      <c r="AW90" s="30">
        <f t="shared" ca="1" si="3"/>
        <v>128.08468294187779</v>
      </c>
      <c r="AX90" s="30">
        <f ca="1">_xlfn.IFNA(VLOOKUP(SUMPRODUCT(LARGE(($C$8:$C90=Table1[[#This Row],[Climber]])*$A$8:$A90,1)),$A$8:$AW90,MATCH($AW$7,$A$7:$AW$7,FALSE),FALSE),0)/LEFT($AX$7,FIND(" ",$AX$7))+_xlfn.IFNA(VLOOKUP(SUMPRODUCT(LARGE(($C$8:$C90=Table1[[#This Row],[Climber]])*$A$8:$A90,MIN(2,COUNTIFS($C$8:$C90,$C90)))),$A$8:$AW90,MATCH($AW$7,$A$7:$AW$7,FALSE),FALSE),0)/LEFT($AX$7,FIND(" ",$AX$7))+_xlfn.IFNA(VLOOKUP(SUMPRODUCT(LARGE(($C$8:$C90=Table1[[#This Row],[Climber]])*$A$8:$A90,MIN(3,COUNTIFS($C$8:$C90,$C90)))),$A$8:$AW90,MATCH($AW$7,$A$7:$AW$7,FALSE),FALSE),0)/LEFT($AX$7,FIND(" ",$AX$7))</f>
        <v>106.7924116117258</v>
      </c>
      <c r="AY90" s="30">
        <f ca="1">_xlfn.IFNA(VLOOKUP(SUMPRODUCT(LARGE(($C$8:$C90=Table1[[#This Row],[Climber]])*$A$8:$A90,1)),$A$8:$AW90,MATCH($AW$7,$A$7:$AW$7,FALSE),FALSE),0)/LEFT($AY$7,FIND(" ",$AY$7))+_xlfn.IFNA(VLOOKUP(SUMPRODUCT(LARGE(($C$8:$C90=Table1[[#This Row],[Climber]])*$A$8:$A90,MIN(2,COUNTIFS($C$8:$C90,$C90)))),$A$8:$AW90,MATCH($AW$7,$A$7:$AW$7,FALSE),FALSE),0)/LEFT($AY$7,FIND(" ",$AY$7))+_xlfn.IFNA(VLOOKUP(SUMPRODUCT(LARGE(($C$8:$C90=Table1[[#This Row],[Climber]])*$A$8:$A90,MIN(3,COUNTIFS($C$8:$C90,$C90)))),$A$8:$AW90,MATCH($AW$7,$A$7:$AW$7,FALSE),FALSE),0)/LEFT($AY$7,FIND(" ",$AY$7))+_xlfn.IFNA(VLOOKUP(SUMPRODUCT(LARGE(($C$8:$C90=Table1[[#This Row],[Climber]])*$A$8:$A90,MIN(4,COUNTIFS($C$8:$C90,$C90)))),$A$8:$AW90,MATCH($AW$7,$A$7:$AW$7,FALSE),FALSE),0)/LEFT($AY$7,FIND(" ",$AY$7))+_xlfn.IFNA(VLOOKUP(SUMPRODUCT(LARGE(($C$8:$C90=Table1[[#This Row],[Climber]])*$A$8:$A90,MIN(5,COUNTIFS($C$8:$C90,$C90)))),$A$8:$AW90,MATCH($AW$7,$A$7:$AW$7,FALSE),FALSE),0)/LEFT($AY$7,FIND(" ",$AY$7))</f>
        <v>102.80352878186207</v>
      </c>
      <c r="AZ90" s="30">
        <f ca="1">(_xlfn.IFNA(VLOOKUP(SUMPRODUCT(LARGE(($C$8:$C90=Table1[[#This Row],[Climber]])*$A$8:$A90,4)),$A$8:$AW90,MATCH($AW$7,$A$7:$AW$7,FALSE),FALSE),0)+_xlfn.IFNA(VLOOKUP(SUMPRODUCT(LARGE(($C$8:$C90=Table1[[#This Row],[Climber]])*$A$8:$A90,5)),$A$8:$AW90,MATCH($AW$7,$A$7:$AW$7,FALSE),FALSE),0)+_xlfn.IFNA(VLOOKUP(SUMPRODUCT(LARGE(($C$8:$C90=Table1[[#This Row],[Climber]])*$A$8:$A90,6)),$A$8:$AW90,MATCH($AW$7,$A$7:$AW$7,FALSE),FALSE),0))/3</f>
        <v>98.921608887821947</v>
      </c>
      <c r="BA90" s="46">
        <f ca="1">_xlfn.MAXIFS(INDIRECT("$AW"&amp;IF(SUMPRODUCT(LARGE(($C$8:$C90=$C90)*$A$8:$A90,LEFT($BA$7,FIND(" ",$BA$7)-1)))=0,8,SUMPRODUCT(LARGE(($C$8:$C90=$C90)*$A$8:$A90,LEFT($BA$7,FIND(" ",$BA$7)-1)))+7)&amp;":$AW"&amp;ROW()),INDIRECT("$C"&amp;IF(SUMPRODUCT(LARGE(($C$8:$C90=$C90)*$A$8:$A90,LEFT($BA$7,FIND(" ",$BA$7)-1)))=0,8,SUMPRODUCT(LARGE(($C$8:$C90=$C90)*$A$8:$A90,LEFT($BA$7,FIND(" ",$BA$7)-1)))+7)&amp;":$C"&amp;ROW()),$C90)</f>
        <v>128.08468294187779</v>
      </c>
      <c r="BB90" s="46" t="str">
        <f ca="1">VLOOKUP(MAX(BG90,$AX90),'RC Lookup'!$G$14:$J$20,2,TRUE)</f>
        <v>T3</v>
      </c>
      <c r="BC90" s="46">
        <f ca="1">_xlfn.IFNA(VLOOKUP(VLOOKUP($C90,'RC Lookup'!$O$3:$P$50,2,FALSE),'RC Lookup'!$H$14:$J$23,2,FALSE),0)*AW90</f>
        <v>98.293095274905639</v>
      </c>
      <c r="BD90" s="6">
        <f ca="1">_xlfn.IFNA(VLOOKUP(SUMPRODUCT(LARGE(($C$8:$C90=Table1[[#This Row],[Climber]])*$A$8:$A90,1)),$A$8:$BC90,55,FALSE),0)/LEFT($AX$7,FIND(" ",$AX$7))+_xlfn.IFNA(VLOOKUP(SUMPRODUCT(LARGE(($C$8:$C90=Table1[[#This Row],[Climber]])*$A$8:$A90,MIN(2,COUNTIFS($C$8:$C90,$C90)))),$A$8:$BC90,55,FALSE),0)/LEFT($AX$7,FIND(" ",$AX$7))+_xlfn.IFNA(VLOOKUP(SUMPRODUCT(LARGE(($C$8:$C90=Table1[[#This Row],[Climber]])*$A$8:$A90,MIN(3,COUNTIFS($C$8:$C90,$C90)))),$A$8:$BC90,55,FALSE),0)/LEFT($AX$7,FIND(" ",$AX$7))</f>
        <v>81.953255050423223</v>
      </c>
      <c r="BE90" s="6">
        <f ca="1">(_xlfn.IFNA(VLOOKUP(SUMPRODUCT(LARGE(($C$8:$C90=Table1[[#This Row],[Climber]])*$A$8:$A90,4)),$A$8:$BD90,55,FALSE),0)+_xlfn.IFNA(VLOOKUP(SUMPRODUCT(LARGE(($C$8:$C90=Table1[[#This Row],[Climber]])*$A$8:$A90,5)),$A$8:$BD90,55,FALSE),0)+_xlfn.IFNA(VLOOKUP(SUMPRODUCT(LARGE(($C$8:$C90=Table1[[#This Row],[Climber]])*$A$8:$A90,6)),$A$8:$BD90,55,FALSE),0))/3</f>
        <v>75.913145146089605</v>
      </c>
      <c r="BF90" s="46">
        <f ca="1">_xlfn.MAXIFS(INDIRECT("$BC"&amp;IF(SUMPRODUCT(LARGE(($C$8:$C90=$C90)*$A$8:$A90,LEFT($BA$7,FIND(" ",$BA$7)-1)))=0,8,SUMPRODUCT(LARGE(($C$8:$C90=$C90)*$A$8:$A90,LEFT($BA$7,FIND(" ",$BA$7)-1)))+7)&amp;":$BC"&amp;ROW()),INDIRECT("$C"&amp;IF(SUMPRODUCT(LARGE(($C$8:$C90=$C90)*$A$8:$A90,LEFT($BA$7,FIND(" ",$BA$7)-1)))=0,8,SUMPRODUCT(LARGE(($C$8:$C90=$C90)*$A$8:$A90,LEFT($BA$7,FIND(" ",$BA$7)-1)))+7)&amp;":$C"&amp;ROW()),$C90)</f>
        <v>98.293095274905639</v>
      </c>
      <c r="BG90" s="46">
        <f t="array" aca="1" ref="BG90" ca="1">IFERROR(SUMPRODUCT(LARGE(($C$8:$C90=Table1[[#This Row],[Climber]])*$AW$8:$AW90,ROW(INDIRECT("1:5")))),AW90)/MIN(COUNTIFS($C$8:$C90,C90),5)</f>
        <v>110.39907036999566</v>
      </c>
    </row>
    <row r="91" spans="1:59" x14ac:dyDescent="0.3">
      <c r="A91" s="125">
        <f t="shared" si="1"/>
        <v>84</v>
      </c>
      <c r="B91" s="25">
        <f>'Rock Climbing Log'!B91</f>
        <v>43178</v>
      </c>
      <c r="C91" s="126" t="str">
        <f>'Rock Climbing Log'!C91</f>
        <v>Lester</v>
      </c>
      <c r="D91" s="26">
        <f>_xlfn.IFNA(IF(LEFT('Rock Climbing Log'!D91)="C",_xlfn.IFNA(VLOOKUP('Rock Climbing Log'!D91,'RC Lookup'!$A$3:$B$9,2,FALSE),0.5),VLOOKUP('Rock Climbing Log'!D91,'RC Lookup'!$G$3:$H$5,2,FALSE)),0)*VLOOKUP(D$7,'RC Lookup'!$D$3:$E$18,2,FALSE)</f>
        <v>0</v>
      </c>
      <c r="E91" s="26">
        <f>_xlfn.IFNA(IF(LEFT('Rock Climbing Log'!E91)="C",_xlfn.IFNA(VLOOKUP('Rock Climbing Log'!E91,'RC Lookup'!$A$3:$B$9,2,FALSE),0.5),VLOOKUP('Rock Climbing Log'!E91,'RC Lookup'!$G$3:$H$5,2,FALSE)),0)*VLOOKUP(D$7,'RC Lookup'!$D$3:$E$18,2,FALSE)</f>
        <v>0</v>
      </c>
      <c r="F91" s="26">
        <f>_xlfn.IFNA(IF(LEFT('Rock Climbing Log'!F91)="C",_xlfn.IFNA(VLOOKUP('Rock Climbing Log'!F91,'RC Lookup'!$A$3:$B$9,2,FALSE),0.5),VLOOKUP('Rock Climbing Log'!F91,'RC Lookup'!$G$3:$H$5,2,FALSE)),0)*VLOOKUP(D$7,'RC Lookup'!$D$3:$E$18,2,FALSE)</f>
        <v>0</v>
      </c>
      <c r="G91" s="26">
        <f>_xlfn.IFNA(IF(LEFT('Rock Climbing Log'!G91)="C",_xlfn.IFNA(VLOOKUP('Rock Climbing Log'!G91,'RC Lookup'!$A$3:$B$9,2,FALSE),0.5),VLOOKUP('Rock Climbing Log'!G91,'RC Lookup'!$G$3:$H$5,2,FALSE)),0)*VLOOKUP(G$7,'RC Lookup'!$D$3:$E$18,2,FALSE)</f>
        <v>0</v>
      </c>
      <c r="H91" s="26">
        <f>_xlfn.IFNA(IF(LEFT('Rock Climbing Log'!H91)="C",_xlfn.IFNA(VLOOKUP('Rock Climbing Log'!H91,'RC Lookup'!$A$3:$B$9,2,FALSE),0.5),VLOOKUP('Rock Climbing Log'!H91,'RC Lookup'!$G$3:$H$5,2,FALSE)),0)*VLOOKUP(G$7,'RC Lookup'!$D$3:$E$18,2,FALSE)</f>
        <v>0</v>
      </c>
      <c r="I91" s="26">
        <f>_xlfn.IFNA(IF(LEFT('Rock Climbing Log'!I91)="C",_xlfn.IFNA(VLOOKUP('Rock Climbing Log'!I91,'RC Lookup'!$A$3:$B$9,2,FALSE),0.5),VLOOKUP('Rock Climbing Log'!I91,'RC Lookup'!$G$3:$H$5,2,FALSE)),0)*VLOOKUP(G$7,'RC Lookup'!$D$3:$E$18,2,FALSE)</f>
        <v>0</v>
      </c>
      <c r="J91" s="26">
        <f>_xlfn.IFNA(IF(LEFT('Rock Climbing Log'!J91)="C",_xlfn.IFNA(VLOOKUP('Rock Climbing Log'!J91,'RC Lookup'!$A$3:$B$9,2,FALSE),0.5),VLOOKUP('Rock Climbing Log'!J91,'RC Lookup'!$G$3:$H$5,2,FALSE)),0)*VLOOKUP(J$7,'RC Lookup'!$D$3:$E$18,2,FALSE)</f>
        <v>0</v>
      </c>
      <c r="K91" s="26">
        <f>_xlfn.IFNA(IF(LEFT('Rock Climbing Log'!K91)="C",_xlfn.IFNA(VLOOKUP('Rock Climbing Log'!K91,'RC Lookup'!$A$3:$B$9,2,FALSE),0.5),VLOOKUP('Rock Climbing Log'!K91,'RC Lookup'!$G$3:$H$5,2,FALSE)),0)*VLOOKUP(J$7,'RC Lookup'!$D$3:$E$18,2,FALSE)</f>
        <v>0</v>
      </c>
      <c r="L91" s="26">
        <f>_xlfn.IFNA(IF(LEFT('Rock Climbing Log'!L91)="C",_xlfn.IFNA(VLOOKUP('Rock Climbing Log'!L91,'RC Lookup'!$A$3:$B$9,2,FALSE),0.5),VLOOKUP('Rock Climbing Log'!L91,'RC Lookup'!$G$3:$H$5,2,FALSE)),0)*VLOOKUP(J$7,'RC Lookup'!$D$3:$E$18,2,FALSE)</f>
        <v>0</v>
      </c>
      <c r="M91" s="26">
        <f>_xlfn.IFNA(IF(LEFT('Rock Climbing Log'!M91)="C",_xlfn.IFNA(VLOOKUP('Rock Climbing Log'!M91,'RC Lookup'!$A$3:$B$9,2,FALSE),0.5),VLOOKUP('Rock Climbing Log'!M91,'RC Lookup'!$G$3:$H$5,2,FALSE)),0)*VLOOKUP(M$7,'RC Lookup'!$D$3:$E$18,2,FALSE)</f>
        <v>20.002500000000001</v>
      </c>
      <c r="N91" s="26">
        <f>_xlfn.IFNA(IF(LEFT('Rock Climbing Log'!N91)="C",_xlfn.IFNA(VLOOKUP('Rock Climbing Log'!N91,'RC Lookup'!$A$3:$B$9,2,FALSE),0.5),VLOOKUP('Rock Climbing Log'!N91,'RC Lookup'!$G$3:$H$5,2,FALSE)),0)*VLOOKUP(M$7,'RC Lookup'!$D$3:$E$18,2,FALSE)</f>
        <v>0</v>
      </c>
      <c r="O91" s="26">
        <f>_xlfn.IFNA(IF(LEFT('Rock Climbing Log'!O91)="C",_xlfn.IFNA(VLOOKUP('Rock Climbing Log'!O91,'RC Lookup'!$A$3:$B$9,2,FALSE),0.5),VLOOKUP('Rock Climbing Log'!O91,'RC Lookup'!$G$3:$H$5,2,FALSE)),0)*VLOOKUP(M$7,'RC Lookup'!$D$3:$E$18,2,FALSE)</f>
        <v>0</v>
      </c>
      <c r="P91" s="26">
        <f>_xlfn.IFNA(IF(LEFT('Rock Climbing Log'!P91)="C",_xlfn.IFNA(VLOOKUP('Rock Climbing Log'!P91,'RC Lookup'!$A$3:$B$9,2,FALSE),0.5),VLOOKUP('Rock Climbing Log'!P91,'RC Lookup'!$G$3:$H$5,2,FALSE)),0)*VLOOKUP(P$7,'RC Lookup'!$D$3:$E$18,2,FALSE)</f>
        <v>0</v>
      </c>
      <c r="Q91" s="26">
        <f>_xlfn.IFNA(IF(LEFT('Rock Climbing Log'!Q91)="C",_xlfn.IFNA(VLOOKUP('Rock Climbing Log'!Q91,'RC Lookup'!$A$3:$B$9,2,FALSE),0.5),VLOOKUP('Rock Climbing Log'!Q91,'RC Lookup'!$G$3:$H$5,2,FALSE)),0)*VLOOKUP(P$7,'RC Lookup'!$D$3:$E$18,2,FALSE)</f>
        <v>0</v>
      </c>
      <c r="R91" s="26">
        <f>_xlfn.IFNA(IF(LEFT('Rock Climbing Log'!R91)="C",_xlfn.IFNA(VLOOKUP('Rock Climbing Log'!R91,'RC Lookup'!$A$3:$B$9,2,FALSE),0.5),VLOOKUP('Rock Climbing Log'!R91,'RC Lookup'!$G$3:$H$5,2,FALSE)),0)*VLOOKUP(P$7,'RC Lookup'!$D$3:$E$18,2,FALSE)</f>
        <v>0</v>
      </c>
      <c r="S91" s="26">
        <f>_xlfn.IFNA(IF(LEFT('Rock Climbing Log'!S91)="C",_xlfn.IFNA(VLOOKUP('Rock Climbing Log'!S91,'RC Lookup'!$A$3:$B$9,2,FALSE),0.5),VLOOKUP('Rock Climbing Log'!S91,'RC Lookup'!$G$3:$H$5,2,FALSE)),0)*VLOOKUP(S$7,'RC Lookup'!$D$3:$E$18,2,FALSE)</f>
        <v>0</v>
      </c>
      <c r="T91" s="26">
        <f>_xlfn.IFNA(IF(LEFT('Rock Climbing Log'!T91)="C",_xlfn.IFNA(VLOOKUP('Rock Climbing Log'!T91,'RC Lookup'!$A$3:$B$9,2,FALSE),0.5),VLOOKUP('Rock Climbing Log'!T91,'RC Lookup'!$G$3:$H$5,2,FALSE)),0)*VLOOKUP(S$7,'RC Lookup'!$D$3:$E$18,2,FALSE)</f>
        <v>0</v>
      </c>
      <c r="U91" s="26">
        <f>_xlfn.IFNA(IF(LEFT('Rock Climbing Log'!U91)="C",_xlfn.IFNA(VLOOKUP('Rock Climbing Log'!U91,'RC Lookup'!$A$3:$B$9,2,FALSE),0.5),VLOOKUP('Rock Climbing Log'!U91,'RC Lookup'!$G$3:$H$5,2,FALSE)),0)*VLOOKUP(S$7,'RC Lookup'!$D$3:$E$18,2,FALSE)</f>
        <v>0</v>
      </c>
      <c r="V91" s="26">
        <f>_xlfn.IFNA(IF(LEFT('Rock Climbing Log'!V91)="C",_xlfn.IFNA(VLOOKUP('Rock Climbing Log'!V91,'RC Lookup'!$A$3:$B$9,2,FALSE),0.5),VLOOKUP('Rock Climbing Log'!V91,'RC Lookup'!$G$3:$H$5,2,FALSE)),0)*VLOOKUP(V$7,'RC Lookup'!$D$3:$E$18,2,FALSE)</f>
        <v>0</v>
      </c>
      <c r="W91" s="26">
        <f>_xlfn.IFNA(IF(LEFT('Rock Climbing Log'!W91)="C",_xlfn.IFNA(VLOOKUP('Rock Climbing Log'!W91,'RC Lookup'!$A$3:$B$9,2,FALSE),0.5),VLOOKUP('Rock Climbing Log'!W91,'RC Lookup'!$G$3:$H$5,2,FALSE)),0)*VLOOKUP(V$7,'RC Lookup'!$D$3:$E$18,2,FALSE)</f>
        <v>0</v>
      </c>
      <c r="X91" s="26">
        <f>_xlfn.IFNA(IF(LEFT('Rock Climbing Log'!X91)="C",_xlfn.IFNA(VLOOKUP('Rock Climbing Log'!X91,'RC Lookup'!$A$3:$B$9,2,FALSE),0.5),VLOOKUP('Rock Climbing Log'!X91,'RC Lookup'!$G$3:$H$5,2,FALSE)),0)*VLOOKUP(V$7,'RC Lookup'!$D$3:$E$18,2,FALSE)</f>
        <v>0</v>
      </c>
      <c r="Y91" s="26">
        <f>_xlfn.IFNA(IF(LEFT('Rock Climbing Log'!Y91)="C",_xlfn.IFNA(VLOOKUP('Rock Climbing Log'!Y91,'RC Lookup'!$A$3:$B$9,2,FALSE),0.5),VLOOKUP('Rock Climbing Log'!Y91,'RC Lookup'!$G$3:$H$5,2,FALSE)),0)*VLOOKUP(Y$7,'RC Lookup'!$D$3:$E$18,2,FALSE)</f>
        <v>0</v>
      </c>
      <c r="Z91" s="26">
        <f>_xlfn.IFNA(IF(LEFT('Rock Climbing Log'!Z91)="C",_xlfn.IFNA(VLOOKUP('Rock Climbing Log'!Z91,'RC Lookup'!$A$3:$B$9,2,FALSE),0.5),VLOOKUP('Rock Climbing Log'!Z91,'RC Lookup'!$G$3:$H$5,2,FALSE)),0)*VLOOKUP(Y$7,'RC Lookup'!$D$3:$E$18,2,FALSE)</f>
        <v>0</v>
      </c>
      <c r="AA91" s="26">
        <f>_xlfn.IFNA(IF(LEFT('Rock Climbing Log'!AA91)="C",_xlfn.IFNA(VLOOKUP('Rock Climbing Log'!AA91,'RC Lookup'!$A$3:$B$9,2,FALSE),0.5),VLOOKUP('Rock Climbing Log'!AA91,'RC Lookup'!$G$3:$H$5,2,FALSE)),0)*VLOOKUP(Y$7,'RC Lookup'!$D$3:$E$18,2,FALSE)</f>
        <v>0</v>
      </c>
      <c r="AB91" s="26">
        <f>_xlfn.IFNA(IF(LEFT('Rock Climbing Log'!AB91)="C",_xlfn.IFNA(VLOOKUP('Rock Climbing Log'!AB91,'RC Lookup'!$A$3:$B$9,2,FALSE),0.5),VLOOKUP('Rock Climbing Log'!AB91,'RC Lookup'!$G$3:$H$5,2,FALSE)),0)*VLOOKUP(AB$7,'RC Lookup'!$D$3:$E$18,2,FALSE)</f>
        <v>0</v>
      </c>
      <c r="AC91" s="26">
        <f>_xlfn.IFNA(IF(LEFT('Rock Climbing Log'!AC91)="C",_xlfn.IFNA(VLOOKUP('Rock Climbing Log'!AC91,'RC Lookup'!$A$3:$B$9,2,FALSE),0.5),VLOOKUP('Rock Climbing Log'!AC91,'RC Lookup'!$G$3:$H$5,2,FALSE)),0)*VLOOKUP(AB$7,'RC Lookup'!$D$3:$E$18,2,FALSE)</f>
        <v>0</v>
      </c>
      <c r="AD91" s="26">
        <f>_xlfn.IFNA(IF(LEFT('Rock Climbing Log'!AD91)="C",_xlfn.IFNA(VLOOKUP('Rock Climbing Log'!AD91,'RC Lookup'!$A$3:$B$9,2,FALSE),0.5),VLOOKUP('Rock Climbing Log'!AD91,'RC Lookup'!$G$3:$H$5,2,FALSE)),0)*VLOOKUP(AB$7,'RC Lookup'!$D$3:$E$18,2,FALSE)</f>
        <v>0</v>
      </c>
      <c r="AE91" s="26">
        <f>_xlfn.IFNA(IF(LEFT('Rock Climbing Log'!AE91)="C",_xlfn.IFNA(VLOOKUP('Rock Climbing Log'!AE91,'RC Lookup'!$A$3:$B$9,2,FALSE),0.5),VLOOKUP('Rock Climbing Log'!AE91,'RC Lookup'!$G$3:$H$5,2,FALSE)),0)*VLOOKUP(AE$7,'RC Lookup'!$D$3:$E$18,2,FALSE)</f>
        <v>67.867671846932893</v>
      </c>
      <c r="AF91" s="26">
        <f>_xlfn.IFNA(IF(LEFT('Rock Climbing Log'!AF91)="C",_xlfn.IFNA(VLOOKUP('Rock Climbing Log'!AF91,'RC Lookup'!$A$3:$B$9,2,FALSE),0.5),VLOOKUP('Rock Climbing Log'!AF91,'RC Lookup'!$G$3:$H$5,2,FALSE)),0)*VLOOKUP(AE$7,'RC Lookup'!$D$3:$E$18,2,FALSE)</f>
        <v>0</v>
      </c>
      <c r="AG91" s="26">
        <f>_xlfn.IFNA(IF(LEFT('Rock Climbing Log'!AG91)="C",_xlfn.IFNA(VLOOKUP('Rock Climbing Log'!AG91,'RC Lookup'!$A$3:$B$9,2,FALSE),0.5),VLOOKUP('Rock Climbing Log'!AG91,'RC Lookup'!$G$3:$H$5,2,FALSE)),0)*VLOOKUP(AE$7,'RC Lookup'!$D$3:$E$18,2,FALSE)</f>
        <v>0</v>
      </c>
      <c r="AH91" s="26">
        <f>_xlfn.IFNA(IF(LEFT('Rock Climbing Log'!AH91)="C",_xlfn.IFNA(VLOOKUP('Rock Climbing Log'!AH91,'RC Lookup'!$A$3:$B$9,2,FALSE),0.5),VLOOKUP('Rock Climbing Log'!AH91,'RC Lookup'!$G$3:$H$5,2,FALSE)),0)*VLOOKUP(AH$7,'RC Lookup'!$D$3:$E$18,2,FALSE)</f>
        <v>86.056207901910909</v>
      </c>
      <c r="AI91" s="26">
        <f>_xlfn.IFNA(IF(LEFT('Rock Climbing Log'!AI91)="C",_xlfn.IFNA(VLOOKUP('Rock Climbing Log'!AI91,'RC Lookup'!$A$3:$B$9,2,FALSE),0.5),VLOOKUP('Rock Climbing Log'!AI91,'RC Lookup'!$G$3:$H$5,2,FALSE)),0)*VLOOKUP(AH$7,'RC Lookup'!$D$3:$E$18,2,FALSE)</f>
        <v>0</v>
      </c>
      <c r="AJ91" s="26">
        <f>_xlfn.IFNA(IF(LEFT('Rock Climbing Log'!AJ91)="C",_xlfn.IFNA(VLOOKUP('Rock Climbing Log'!AJ91,'RC Lookup'!$A$3:$B$9,2,FALSE),0.5),VLOOKUP('Rock Climbing Log'!AJ91,'RC Lookup'!$G$3:$H$5,2,FALSE)),0)*VLOOKUP(AH$7,'RC Lookup'!$D$3:$E$18,2,FALSE)</f>
        <v>0</v>
      </c>
      <c r="AK91" s="26">
        <f>_xlfn.IFNA(IF(LEFT('Rock Climbing Log'!AK91)="C",_xlfn.IFNA(VLOOKUP('Rock Climbing Log'!AK91,'RC Lookup'!$A$3:$B$9,2,FALSE),0.5),VLOOKUP('Rock Climbing Log'!AK91,'RC Lookup'!$G$3:$H$5,2,FALSE)),0)*VLOOKUP(AK$7,'RC Lookup'!$D$3:$E$18,2,FALSE)</f>
        <v>0</v>
      </c>
      <c r="AL91" s="26">
        <f>_xlfn.IFNA(IF(LEFT('Rock Climbing Log'!AL91)="C",_xlfn.IFNA(VLOOKUP('Rock Climbing Log'!AL91,'RC Lookup'!$A$3:$B$9,2,FALSE),0.5),VLOOKUP('Rock Climbing Log'!AL91,'RC Lookup'!$G$3:$H$5,2,FALSE)),0)*VLOOKUP(AK$7,'RC Lookup'!$D$3:$E$18,2,FALSE)</f>
        <v>0</v>
      </c>
      <c r="AM91" s="26">
        <f>_xlfn.IFNA(IF(LEFT('Rock Climbing Log'!AM91)="C",_xlfn.IFNA(VLOOKUP('Rock Climbing Log'!AM91,'RC Lookup'!$A$3:$B$9,2,FALSE),0.5),VLOOKUP('Rock Climbing Log'!AM91,'RC Lookup'!$G$3:$H$5,2,FALSE)),0)*VLOOKUP(AK$7,'RC Lookup'!$D$3:$E$18,2,FALSE)</f>
        <v>0</v>
      </c>
      <c r="AN91" s="26">
        <f>_xlfn.IFNA(IF(LEFT('Rock Climbing Log'!AN91)="C",_xlfn.IFNA(VLOOKUP('Rock Climbing Log'!AN91,'RC Lookup'!$A$3:$B$9,2,FALSE),0.5),VLOOKUP('Rock Climbing Log'!AN91,'RC Lookup'!$G$3:$H$5,2,FALSE)),0)*VLOOKUP(AN$7,'RC Lookup'!$D$3:$E$18,2,FALSE)</f>
        <v>71.158157189932098</v>
      </c>
      <c r="AO91" s="26">
        <f>_xlfn.IFNA(IF(LEFT('Rock Climbing Log'!AO91)="C",_xlfn.IFNA(VLOOKUP('Rock Climbing Log'!AO91,'RC Lookup'!$A$3:$B$9,2,FALSE),0.5),VLOOKUP('Rock Climbing Log'!AO91,'RC Lookup'!$G$3:$H$5,2,FALSE)),0)*VLOOKUP(AN$7,'RC Lookup'!$D$3:$E$18,2,FALSE)</f>
        <v>0</v>
      </c>
      <c r="AP91" s="26">
        <f>_xlfn.IFNA(IF(LEFT('Rock Climbing Log'!AP91)="C",_xlfn.IFNA(VLOOKUP('Rock Climbing Log'!AP91,'RC Lookup'!$A$3:$B$9,2,FALSE),0.5),VLOOKUP('Rock Climbing Log'!AP91,'RC Lookup'!$G$3:$H$5,2,FALSE)),0)*VLOOKUP(AN$7,'RC Lookup'!$D$3:$E$18,2,FALSE)</f>
        <v>0</v>
      </c>
      <c r="AQ91" s="26">
        <f>_xlfn.IFNA(IF(LEFT('Rock Climbing Log'!AQ91)="C",_xlfn.IFNA(VLOOKUP('Rock Climbing Log'!AQ91,'RC Lookup'!$A$3:$B$9,2,FALSE),0.5),VLOOKUP('Rock Climbing Log'!AQ91,'RC Lookup'!$G$3:$H$5,2,FALSE)),0)*VLOOKUP(AQ$7,'RC Lookup'!$D$3:$E$18,2,FALSE)</f>
        <v>92.790236975671462</v>
      </c>
      <c r="AR91" s="26">
        <f>_xlfn.IFNA(IF(LEFT('Rock Climbing Log'!AR91)="C",_xlfn.IFNA(VLOOKUP('Rock Climbing Log'!AR91,'RC Lookup'!$A$3:$B$9,2,FALSE),0.5),VLOOKUP('Rock Climbing Log'!AR91,'RC Lookup'!$G$3:$H$5,2,FALSE)),0)*VLOOKUP(AQ$7,'RC Lookup'!$D$3:$E$18,2,FALSE)</f>
        <v>0</v>
      </c>
      <c r="AS91" s="26">
        <f>_xlfn.IFNA(IF(LEFT('Rock Climbing Log'!AS91)="C",_xlfn.IFNA(VLOOKUP('Rock Climbing Log'!AS91,'RC Lookup'!$A$3:$B$9,2,FALSE),0.5),VLOOKUP('Rock Climbing Log'!AS91,'RC Lookup'!$G$3:$H$5,2,FALSE)),0)*VLOOKUP(AQ$7,'RC Lookup'!$D$3:$E$18,2,FALSE)</f>
        <v>0</v>
      </c>
      <c r="AT91" s="26">
        <f>_xlfn.IFNA(IF(LEFT('Rock Climbing Log'!AT91)="C",_xlfn.IFNA(VLOOKUP('Rock Climbing Log'!AT91,'RC Lookup'!$A$3:$B$9,2,FALSE),0.5),VLOOKUP('Rock Climbing Log'!AT91,'RC Lookup'!$G$3:$H$5,2,FALSE)),0)*VLOOKUP(AT$7,'RC Lookup'!$D$3:$E$18,2,FALSE)</f>
        <v>0</v>
      </c>
      <c r="AU91" s="26">
        <f>_xlfn.IFNA(IF(LEFT('Rock Climbing Log'!AU91)="C",_xlfn.IFNA(VLOOKUP('Rock Climbing Log'!AU91,'RC Lookup'!$A$3:$B$9,2,FALSE),0.5),VLOOKUP('Rock Climbing Log'!AU91,'RC Lookup'!$G$3:$H$5,2,FALSE)),0)*VLOOKUP(AT$7,'RC Lookup'!$D$3:$E$18,2,FALSE)</f>
        <v>0</v>
      </c>
      <c r="AV91" s="26">
        <f>_xlfn.IFNA(IF(LEFT('Rock Climbing Log'!AV91)="C",_xlfn.IFNA(VLOOKUP('Rock Climbing Log'!AV91,'RC Lookup'!$A$3:$B$9,2,FALSE),0.5),VLOOKUP('Rock Climbing Log'!AV91,'RC Lookup'!$G$3:$H$5,2,FALSE)),0)*VLOOKUP(AT$7,'RC Lookup'!$D$3:$E$18,2,FALSE)</f>
        <v>0</v>
      </c>
      <c r="AW91" s="30">
        <f t="shared" ca="1" si="3"/>
        <v>250.00460206751447</v>
      </c>
      <c r="AX91" s="30">
        <f ca="1">_xlfn.IFNA(VLOOKUP(SUMPRODUCT(LARGE(($C$8:$C91=Table1[[#This Row],[Climber]])*$A$8:$A91,1)),$A$8:$AW91,MATCH($AW$7,$A$7:$AW$7,FALSE),FALSE),0)/LEFT($AX$7,FIND(" ",$AX$7))+_xlfn.IFNA(VLOOKUP(SUMPRODUCT(LARGE(($C$8:$C91=Table1[[#This Row],[Climber]])*$A$8:$A91,MIN(2,COUNTIFS($C$8:$C91,$C91)))),$A$8:$AW91,MATCH($AW$7,$A$7:$AW$7,FALSE),FALSE),0)/LEFT($AX$7,FIND(" ",$AX$7))+_xlfn.IFNA(VLOOKUP(SUMPRODUCT(LARGE(($C$8:$C91=Table1[[#This Row],[Climber]])*$A$8:$A91,MIN(3,COUNTIFS($C$8:$C91,$C91)))),$A$8:$AW91,MATCH($AW$7,$A$7:$AW$7,FALSE),FALSE),0)/LEFT($AX$7,FIND(" ",$AX$7))</f>
        <v>232.87160632845507</v>
      </c>
      <c r="AY91" s="30">
        <f ca="1">_xlfn.IFNA(VLOOKUP(SUMPRODUCT(LARGE(($C$8:$C91=Table1[[#This Row],[Climber]])*$A$8:$A91,1)),$A$8:$AW91,MATCH($AW$7,$A$7:$AW$7,FALSE),FALSE),0)/LEFT($AY$7,FIND(" ",$AY$7))+_xlfn.IFNA(VLOOKUP(SUMPRODUCT(LARGE(($C$8:$C91=Table1[[#This Row],[Climber]])*$A$8:$A91,MIN(2,COUNTIFS($C$8:$C91,$C91)))),$A$8:$AW91,MATCH($AW$7,$A$7:$AW$7,FALSE),FALSE),0)/LEFT($AY$7,FIND(" ",$AY$7))+_xlfn.IFNA(VLOOKUP(SUMPRODUCT(LARGE(($C$8:$C91=Table1[[#This Row],[Climber]])*$A$8:$A91,MIN(3,COUNTIFS($C$8:$C91,$C91)))),$A$8:$AW91,MATCH($AW$7,$A$7:$AW$7,FALSE),FALSE),0)/LEFT($AY$7,FIND(" ",$AY$7))+_xlfn.IFNA(VLOOKUP(SUMPRODUCT(LARGE(($C$8:$C91=Table1[[#This Row],[Climber]])*$A$8:$A91,MIN(4,COUNTIFS($C$8:$C91,$C91)))),$A$8:$AW91,MATCH($AW$7,$A$7:$AW$7,FALSE),FALSE),0)/LEFT($AY$7,FIND(" ",$AY$7))+_xlfn.IFNA(VLOOKUP(SUMPRODUCT(LARGE(($C$8:$C91=Table1[[#This Row],[Climber]])*$A$8:$A91,MIN(5,COUNTIFS($C$8:$C91,$C91)))),$A$8:$AW91,MATCH($AW$7,$A$7:$AW$7,FALSE),FALSE),0)/LEFT($AY$7,FIND(" ",$AY$7))</f>
        <v>247.03624491763762</v>
      </c>
      <c r="AZ91" s="30">
        <f ca="1">(_xlfn.IFNA(VLOOKUP(SUMPRODUCT(LARGE(($C$8:$C91=Table1[[#This Row],[Climber]])*$A$8:$A91,4)),$A$8:$AW91,MATCH($AW$7,$A$7:$AW$7,FALSE),FALSE),0)+_xlfn.IFNA(VLOOKUP(SUMPRODUCT(LARGE(($C$8:$C91=Table1[[#This Row],[Climber]])*$A$8:$A91,5)),$A$8:$AW91,MATCH($AW$7,$A$7:$AW$7,FALSE),FALSE),0)+_xlfn.IFNA(VLOOKUP(SUMPRODUCT(LARGE(($C$8:$C91=Table1[[#This Row],[Climber]])*$A$8:$A91,6)),$A$8:$AW91,MATCH($AW$7,$A$7:$AW$7,FALSE),FALSE),0))/3</f>
        <v>255.2251610537725</v>
      </c>
      <c r="BA91" s="46">
        <f ca="1">_xlfn.MAXIFS(INDIRECT("$AW"&amp;IF(SUMPRODUCT(LARGE(($C$8:$C91=$C91)*$A$8:$A91,LEFT($BA$7,FIND(" ",$BA$7)-1)))=0,8,SUMPRODUCT(LARGE(($C$8:$C91=$C91)*$A$8:$A91,LEFT($BA$7,FIND(" ",$BA$7)-1)))+7)&amp;":$AW"&amp;ROW()),INDIRECT("$C"&amp;IF(SUMPRODUCT(LARGE(($C$8:$C91=$C91)*$A$8:$A91,LEFT($BA$7,FIND(" ",$BA$7)-1)))=0,8,SUMPRODUCT(LARGE(($C$8:$C91=$C91)*$A$8:$A91,LEFT($BA$7,FIND(" ",$BA$7)-1)))+7)&amp;":$C"&amp;ROW()),$C91)</f>
        <v>250.00460206751447</v>
      </c>
      <c r="BB91" s="46" t="str">
        <f ca="1">VLOOKUP(MAX(BG91,$AX91),'RC Lookup'!$G$14:$J$20,2,TRUE)</f>
        <v>T5</v>
      </c>
      <c r="BC91" s="46">
        <f ca="1">_xlfn.IFNA(VLOOKUP(VLOOKUP($C91,'RC Lookup'!$O$3:$P$50,2,FALSE),'RC Lookup'!$H$14:$J$23,2,FALSE),0)*AW91</f>
        <v>75.654466666666679</v>
      </c>
      <c r="BD91" s="6">
        <f ca="1">_xlfn.IFNA(VLOOKUP(SUMPRODUCT(LARGE(($C$8:$C91=Table1[[#This Row],[Climber]])*$A$8:$A91,1)),$A$8:$BC91,55,FALSE),0)/LEFT($AX$7,FIND(" ",$AX$7))+_xlfn.IFNA(VLOOKUP(SUMPRODUCT(LARGE(($C$8:$C91=Table1[[#This Row],[Climber]])*$A$8:$A91,MIN(2,COUNTIFS($C$8:$C91,$C91)))),$A$8:$BC91,55,FALSE),0)/LEFT($AX$7,FIND(" ",$AX$7))+_xlfn.IFNA(VLOOKUP(SUMPRODUCT(LARGE(($C$8:$C91=Table1[[#This Row],[Climber]])*$A$8:$A91,MIN(3,COUNTIFS($C$8:$C91,$C91)))),$A$8:$BC91,55,FALSE),0)/LEFT($AX$7,FIND(" ",$AX$7))</f>
        <v>70.469811487036139</v>
      </c>
      <c r="BE91" s="6">
        <f ca="1">(_xlfn.IFNA(VLOOKUP(SUMPRODUCT(LARGE(($C$8:$C91=Table1[[#This Row],[Climber]])*$A$8:$A91,4)),$A$8:$BD91,55,FALSE),0)+_xlfn.IFNA(VLOOKUP(SUMPRODUCT(LARGE(($C$8:$C91=Table1[[#This Row],[Climber]])*$A$8:$A91,5)),$A$8:$BD91,55,FALSE),0)+_xlfn.IFNA(VLOOKUP(SUMPRODUCT(LARGE(($C$8:$C91=Table1[[#This Row],[Climber]])*$A$8:$A91,6)),$A$8:$BD91,55,FALSE),0))/3</f>
        <v>77.234272008412219</v>
      </c>
      <c r="BF91" s="46">
        <f ca="1">_xlfn.MAXIFS(INDIRECT("$BC"&amp;IF(SUMPRODUCT(LARGE(($C$8:$C91=$C91)*$A$8:$A91,LEFT($BA$7,FIND(" ",$BA$7)-1)))=0,8,SUMPRODUCT(LARGE(($C$8:$C91=$C91)*$A$8:$A91,LEFT($BA$7,FIND(" ",$BA$7)-1)))+7)&amp;":$BC"&amp;ROW()),INDIRECT("$C"&amp;IF(SUMPRODUCT(LARGE(($C$8:$C91=$C91)*$A$8:$A91,LEFT($BA$7,FIND(" ",$BA$7)-1)))=0,8,SUMPRODUCT(LARGE(($C$8:$C91=$C91)*$A$8:$A91,LEFT($BA$7,FIND(" ",$BA$7)-1)))+7)&amp;":$C"&amp;ROW()),$C91)</f>
        <v>75.654466666666679</v>
      </c>
      <c r="BG91" s="46">
        <f t="array" aca="1" ref="BG91" ca="1">IFERROR(SUMPRODUCT(LARGE(($C$8:$C91=Table1[[#This Row],[Climber]])*$AW$8:$AW91,ROW(INDIRECT("1:5")))),AW91)/MIN(COUNTIFS($C$8:$C91,C91),5)</f>
        <v>288.25557827583015</v>
      </c>
    </row>
    <row r="92" spans="1:59" x14ac:dyDescent="0.3">
      <c r="A92" s="125">
        <f t="shared" si="1"/>
        <v>85</v>
      </c>
      <c r="B92" s="25">
        <f>'Rock Climbing Log'!B92</f>
        <v>43178</v>
      </c>
      <c r="C92" s="126" t="str">
        <f>'Rock Climbing Log'!C92</f>
        <v>Edwin</v>
      </c>
      <c r="D92" s="26">
        <f>_xlfn.IFNA(IF(LEFT('Rock Climbing Log'!D92)="C",_xlfn.IFNA(VLOOKUP('Rock Climbing Log'!D92,'RC Lookup'!$A$3:$B$9,2,FALSE),0.5),VLOOKUP('Rock Climbing Log'!D92,'RC Lookup'!$G$3:$H$5,2,FALSE)),0)*VLOOKUP(D$7,'RC Lookup'!$D$3:$E$18,2,FALSE)</f>
        <v>0</v>
      </c>
      <c r="E92" s="26">
        <f>_xlfn.IFNA(IF(LEFT('Rock Climbing Log'!E92)="C",_xlfn.IFNA(VLOOKUP('Rock Climbing Log'!E92,'RC Lookup'!$A$3:$B$9,2,FALSE),0.5),VLOOKUP('Rock Climbing Log'!E92,'RC Lookup'!$G$3:$H$5,2,FALSE)),0)*VLOOKUP(D$7,'RC Lookup'!$D$3:$E$18,2,FALSE)</f>
        <v>0</v>
      </c>
      <c r="F92" s="26">
        <f>_xlfn.IFNA(IF(LEFT('Rock Climbing Log'!F92)="C",_xlfn.IFNA(VLOOKUP('Rock Climbing Log'!F92,'RC Lookup'!$A$3:$B$9,2,FALSE),0.5),VLOOKUP('Rock Climbing Log'!F92,'RC Lookup'!$G$3:$H$5,2,FALSE)),0)*VLOOKUP(D$7,'RC Lookup'!$D$3:$E$18,2,FALSE)</f>
        <v>0</v>
      </c>
      <c r="G92" s="26">
        <f>_xlfn.IFNA(IF(LEFT('Rock Climbing Log'!G92)="C",_xlfn.IFNA(VLOOKUP('Rock Climbing Log'!G92,'RC Lookup'!$A$3:$B$9,2,FALSE),0.5),VLOOKUP('Rock Climbing Log'!G92,'RC Lookup'!$G$3:$H$5,2,FALSE)),0)*VLOOKUP(G$7,'RC Lookup'!$D$3:$E$18,2,FALSE)</f>
        <v>0</v>
      </c>
      <c r="H92" s="26">
        <f>_xlfn.IFNA(IF(LEFT('Rock Climbing Log'!H92)="C",_xlfn.IFNA(VLOOKUP('Rock Climbing Log'!H92,'RC Lookup'!$A$3:$B$9,2,FALSE),0.5),VLOOKUP('Rock Climbing Log'!H92,'RC Lookup'!$G$3:$H$5,2,FALSE)),0)*VLOOKUP(G$7,'RC Lookup'!$D$3:$E$18,2,FALSE)</f>
        <v>0</v>
      </c>
      <c r="I92" s="26">
        <f>_xlfn.IFNA(IF(LEFT('Rock Climbing Log'!I92)="C",_xlfn.IFNA(VLOOKUP('Rock Climbing Log'!I92,'RC Lookup'!$A$3:$B$9,2,FALSE),0.5),VLOOKUP('Rock Climbing Log'!I92,'RC Lookup'!$G$3:$H$5,2,FALSE)),0)*VLOOKUP(G$7,'RC Lookup'!$D$3:$E$18,2,FALSE)</f>
        <v>0</v>
      </c>
      <c r="J92" s="26">
        <f>_xlfn.IFNA(IF(LEFT('Rock Climbing Log'!J92)="C",_xlfn.IFNA(VLOOKUP('Rock Climbing Log'!J92,'RC Lookup'!$A$3:$B$9,2,FALSE),0.5),VLOOKUP('Rock Climbing Log'!J92,'RC Lookup'!$G$3:$H$5,2,FALSE)),0)*VLOOKUP(J$7,'RC Lookup'!$D$3:$E$18,2,FALSE)</f>
        <v>0</v>
      </c>
      <c r="K92" s="26">
        <f>_xlfn.IFNA(IF(LEFT('Rock Climbing Log'!K92)="C",_xlfn.IFNA(VLOOKUP('Rock Climbing Log'!K92,'RC Lookup'!$A$3:$B$9,2,FALSE),0.5),VLOOKUP('Rock Climbing Log'!K92,'RC Lookup'!$G$3:$H$5,2,FALSE)),0)*VLOOKUP(J$7,'RC Lookup'!$D$3:$E$18,2,FALSE)</f>
        <v>0</v>
      </c>
      <c r="L92" s="26">
        <f>_xlfn.IFNA(IF(LEFT('Rock Climbing Log'!L92)="C",_xlfn.IFNA(VLOOKUP('Rock Climbing Log'!L92,'RC Lookup'!$A$3:$B$9,2,FALSE),0.5),VLOOKUP('Rock Climbing Log'!L92,'RC Lookup'!$G$3:$H$5,2,FALSE)),0)*VLOOKUP(J$7,'RC Lookup'!$D$3:$E$18,2,FALSE)</f>
        <v>0</v>
      </c>
      <c r="M92" s="26">
        <f>_xlfn.IFNA(IF(LEFT('Rock Climbing Log'!M92)="C",_xlfn.IFNA(VLOOKUP('Rock Climbing Log'!M92,'RC Lookup'!$A$3:$B$9,2,FALSE),0.5),VLOOKUP('Rock Climbing Log'!M92,'RC Lookup'!$G$3:$H$5,2,FALSE)),0)*VLOOKUP(M$7,'RC Lookup'!$D$3:$E$18,2,FALSE)</f>
        <v>0</v>
      </c>
      <c r="N92" s="26">
        <f>_xlfn.IFNA(IF(LEFT('Rock Climbing Log'!N92)="C",_xlfn.IFNA(VLOOKUP('Rock Climbing Log'!N92,'RC Lookup'!$A$3:$B$9,2,FALSE),0.5),VLOOKUP('Rock Climbing Log'!N92,'RC Lookup'!$G$3:$H$5,2,FALSE)),0)*VLOOKUP(M$7,'RC Lookup'!$D$3:$E$18,2,FALSE)</f>
        <v>0</v>
      </c>
      <c r="O92" s="26">
        <f>_xlfn.IFNA(IF(LEFT('Rock Climbing Log'!O92)="C",_xlfn.IFNA(VLOOKUP('Rock Climbing Log'!O92,'RC Lookup'!$A$3:$B$9,2,FALSE),0.5),VLOOKUP('Rock Climbing Log'!O92,'RC Lookup'!$G$3:$H$5,2,FALSE)),0)*VLOOKUP(M$7,'RC Lookup'!$D$3:$E$18,2,FALSE)</f>
        <v>0</v>
      </c>
      <c r="P92" s="26">
        <f>_xlfn.IFNA(IF(LEFT('Rock Climbing Log'!P92)="C",_xlfn.IFNA(VLOOKUP('Rock Climbing Log'!P92,'RC Lookup'!$A$3:$B$9,2,FALSE),0.5),VLOOKUP('Rock Climbing Log'!P92,'RC Lookup'!$G$3:$H$5,2,FALSE)),0)*VLOOKUP(P$7,'RC Lookup'!$D$3:$E$18,2,FALSE)</f>
        <v>0</v>
      </c>
      <c r="Q92" s="26">
        <f>_xlfn.IFNA(IF(LEFT('Rock Climbing Log'!Q92)="C",_xlfn.IFNA(VLOOKUP('Rock Climbing Log'!Q92,'RC Lookup'!$A$3:$B$9,2,FALSE),0.5),VLOOKUP('Rock Climbing Log'!Q92,'RC Lookup'!$G$3:$H$5,2,FALSE)),0)*VLOOKUP(P$7,'RC Lookup'!$D$3:$E$18,2,FALSE)</f>
        <v>0</v>
      </c>
      <c r="R92" s="26">
        <f>_xlfn.IFNA(IF(LEFT('Rock Climbing Log'!R92)="C",_xlfn.IFNA(VLOOKUP('Rock Climbing Log'!R92,'RC Lookup'!$A$3:$B$9,2,FALSE),0.5),VLOOKUP('Rock Climbing Log'!R92,'RC Lookup'!$G$3:$H$5,2,FALSE)),0)*VLOOKUP(P$7,'RC Lookup'!$D$3:$E$18,2,FALSE)</f>
        <v>0</v>
      </c>
      <c r="S92" s="26">
        <f>_xlfn.IFNA(IF(LEFT('Rock Climbing Log'!S92)="C",_xlfn.IFNA(VLOOKUP('Rock Climbing Log'!S92,'RC Lookup'!$A$3:$B$9,2,FALSE),0.5),VLOOKUP('Rock Climbing Log'!S92,'RC Lookup'!$G$3:$H$5,2,FALSE)),0)*VLOOKUP(S$7,'RC Lookup'!$D$3:$E$18,2,FALSE)</f>
        <v>0</v>
      </c>
      <c r="T92" s="26">
        <f>_xlfn.IFNA(IF(LEFT('Rock Climbing Log'!T92)="C",_xlfn.IFNA(VLOOKUP('Rock Climbing Log'!T92,'RC Lookup'!$A$3:$B$9,2,FALSE),0.5),VLOOKUP('Rock Climbing Log'!T92,'RC Lookup'!$G$3:$H$5,2,FALSE)),0)*VLOOKUP(S$7,'RC Lookup'!$D$3:$E$18,2,FALSE)</f>
        <v>0</v>
      </c>
      <c r="U92" s="26">
        <f>_xlfn.IFNA(IF(LEFT('Rock Climbing Log'!U92)="C",_xlfn.IFNA(VLOOKUP('Rock Climbing Log'!U92,'RC Lookup'!$A$3:$B$9,2,FALSE),0.5),VLOOKUP('Rock Climbing Log'!U92,'RC Lookup'!$G$3:$H$5,2,FALSE)),0)*VLOOKUP(S$7,'RC Lookup'!$D$3:$E$18,2,FALSE)</f>
        <v>0</v>
      </c>
      <c r="V92" s="26">
        <f>_xlfn.IFNA(IF(LEFT('Rock Climbing Log'!V92)="C",_xlfn.IFNA(VLOOKUP('Rock Climbing Log'!V92,'RC Lookup'!$A$3:$B$9,2,FALSE),0.5),VLOOKUP('Rock Climbing Log'!V92,'RC Lookup'!$G$3:$H$5,2,FALSE)),0)*VLOOKUP(V$7,'RC Lookup'!$D$3:$E$18,2,FALSE)</f>
        <v>35.256745742400021</v>
      </c>
      <c r="W92" s="26">
        <f>_xlfn.IFNA(IF(LEFT('Rock Climbing Log'!W92)="C",_xlfn.IFNA(VLOOKUP('Rock Climbing Log'!W92,'RC Lookup'!$A$3:$B$9,2,FALSE),0.5),VLOOKUP('Rock Climbing Log'!W92,'RC Lookup'!$G$3:$H$5,2,FALSE)),0)*VLOOKUP(V$7,'RC Lookup'!$D$3:$E$18,2,FALSE)</f>
        <v>35.256745742400021</v>
      </c>
      <c r="X92" s="26">
        <f>_xlfn.IFNA(IF(LEFT('Rock Climbing Log'!X92)="C",_xlfn.IFNA(VLOOKUP('Rock Climbing Log'!X92,'RC Lookup'!$A$3:$B$9,2,FALSE),0.5),VLOOKUP('Rock Climbing Log'!X92,'RC Lookup'!$G$3:$H$5,2,FALSE)),0)*VLOOKUP(V$7,'RC Lookup'!$D$3:$E$18,2,FALSE)</f>
        <v>35.256745742400021</v>
      </c>
      <c r="Y92" s="26">
        <f>_xlfn.IFNA(IF(LEFT('Rock Climbing Log'!Y92)="C",_xlfn.IFNA(VLOOKUP('Rock Climbing Log'!Y92,'RC Lookup'!$A$3:$B$9,2,FALSE),0.5),VLOOKUP('Rock Climbing Log'!Y92,'RC Lookup'!$G$3:$H$5,2,FALSE)),0)*VLOOKUP(Y$7,'RC Lookup'!$D$3:$E$18,2,FALSE)</f>
        <v>0</v>
      </c>
      <c r="Z92" s="26">
        <f>_xlfn.IFNA(IF(LEFT('Rock Climbing Log'!Z92)="C",_xlfn.IFNA(VLOOKUP('Rock Climbing Log'!Z92,'RC Lookup'!$A$3:$B$9,2,FALSE),0.5),VLOOKUP('Rock Climbing Log'!Z92,'RC Lookup'!$G$3:$H$5,2,FALSE)),0)*VLOOKUP(Y$7,'RC Lookup'!$D$3:$E$18,2,FALSE)</f>
        <v>0</v>
      </c>
      <c r="AA92" s="26">
        <f>_xlfn.IFNA(IF(LEFT('Rock Climbing Log'!AA92)="C",_xlfn.IFNA(VLOOKUP('Rock Climbing Log'!AA92,'RC Lookup'!$A$3:$B$9,2,FALSE),0.5),VLOOKUP('Rock Climbing Log'!AA92,'RC Lookup'!$G$3:$H$5,2,FALSE)),0)*VLOOKUP(Y$7,'RC Lookup'!$D$3:$E$18,2,FALSE)</f>
        <v>0</v>
      </c>
      <c r="AB92" s="26">
        <f>_xlfn.IFNA(IF(LEFT('Rock Climbing Log'!AB92)="C",_xlfn.IFNA(VLOOKUP('Rock Climbing Log'!AB92,'RC Lookup'!$A$3:$B$9,2,FALSE),0.5),VLOOKUP('Rock Climbing Log'!AB92,'RC Lookup'!$G$3:$H$5,2,FALSE)),0)*VLOOKUP(AB$7,'RC Lookup'!$D$3:$E$18,2,FALSE)</f>
        <v>0</v>
      </c>
      <c r="AC92" s="26">
        <f>_xlfn.IFNA(IF(LEFT('Rock Climbing Log'!AC92)="C",_xlfn.IFNA(VLOOKUP('Rock Climbing Log'!AC92,'RC Lookup'!$A$3:$B$9,2,FALSE),0.5),VLOOKUP('Rock Climbing Log'!AC92,'RC Lookup'!$G$3:$H$5,2,FALSE)),0)*VLOOKUP(AB$7,'RC Lookup'!$D$3:$E$18,2,FALSE)</f>
        <v>0</v>
      </c>
      <c r="AD92" s="26">
        <f>_xlfn.IFNA(IF(LEFT('Rock Climbing Log'!AD92)="C",_xlfn.IFNA(VLOOKUP('Rock Climbing Log'!AD92,'RC Lookup'!$A$3:$B$9,2,FALSE),0.5),VLOOKUP('Rock Climbing Log'!AD92,'RC Lookup'!$G$3:$H$5,2,FALSE)),0)*VLOOKUP(AB$7,'RC Lookup'!$D$3:$E$18,2,FALSE)</f>
        <v>0</v>
      </c>
      <c r="AE92" s="26">
        <f>_xlfn.IFNA(IF(LEFT('Rock Climbing Log'!AE92)="C",_xlfn.IFNA(VLOOKUP('Rock Climbing Log'!AE92,'RC Lookup'!$A$3:$B$9,2,FALSE),0.5),VLOOKUP('Rock Climbing Log'!AE92,'RC Lookup'!$G$3:$H$5,2,FALSE)),0)*VLOOKUP(AE$7,'RC Lookup'!$D$3:$E$18,2,FALSE)</f>
        <v>33.933835923466447</v>
      </c>
      <c r="AF92" s="26">
        <f>_xlfn.IFNA(IF(LEFT('Rock Climbing Log'!AF92)="C",_xlfn.IFNA(VLOOKUP('Rock Climbing Log'!AF92,'RC Lookup'!$A$3:$B$9,2,FALSE),0.5),VLOOKUP('Rock Climbing Log'!AF92,'RC Lookup'!$G$3:$H$5,2,FALSE)),0)*VLOOKUP(AE$7,'RC Lookup'!$D$3:$E$18,2,FALSE)</f>
        <v>0</v>
      </c>
      <c r="AG92" s="26">
        <f>_xlfn.IFNA(IF(LEFT('Rock Climbing Log'!AG92)="C",_xlfn.IFNA(VLOOKUP('Rock Climbing Log'!AG92,'RC Lookup'!$A$3:$B$9,2,FALSE),0.5),VLOOKUP('Rock Climbing Log'!AG92,'RC Lookup'!$G$3:$H$5,2,FALSE)),0)*VLOOKUP(AE$7,'RC Lookup'!$D$3:$E$18,2,FALSE)</f>
        <v>0</v>
      </c>
      <c r="AH92" s="26">
        <f>_xlfn.IFNA(IF(LEFT('Rock Climbing Log'!AH92)="C",_xlfn.IFNA(VLOOKUP('Rock Climbing Log'!AH92,'RC Lookup'!$A$3:$B$9,2,FALSE),0.5),VLOOKUP('Rock Climbing Log'!AH92,'RC Lookup'!$G$3:$H$5,2,FALSE)),0)*VLOOKUP(AH$7,'RC Lookup'!$D$3:$E$18,2,FALSE)</f>
        <v>43.028103950955455</v>
      </c>
      <c r="AI92" s="26">
        <f>_xlfn.IFNA(IF(LEFT('Rock Climbing Log'!AI92)="C",_xlfn.IFNA(VLOOKUP('Rock Climbing Log'!AI92,'RC Lookup'!$A$3:$B$9,2,FALSE),0.5),VLOOKUP('Rock Climbing Log'!AI92,'RC Lookup'!$G$3:$H$5,2,FALSE)),0)*VLOOKUP(AH$7,'RC Lookup'!$D$3:$E$18,2,FALSE)</f>
        <v>0</v>
      </c>
      <c r="AJ92" s="26">
        <f>_xlfn.IFNA(IF(LEFT('Rock Climbing Log'!AJ92)="C",_xlfn.IFNA(VLOOKUP('Rock Climbing Log'!AJ92,'RC Lookup'!$A$3:$B$9,2,FALSE),0.5),VLOOKUP('Rock Climbing Log'!AJ92,'RC Lookup'!$G$3:$H$5,2,FALSE)),0)*VLOOKUP(AH$7,'RC Lookup'!$D$3:$E$18,2,FALSE)</f>
        <v>0</v>
      </c>
      <c r="AK92" s="26">
        <f>_xlfn.IFNA(IF(LEFT('Rock Climbing Log'!AK92)="C",_xlfn.IFNA(VLOOKUP('Rock Climbing Log'!AK92,'RC Lookup'!$A$3:$B$9,2,FALSE),0.5),VLOOKUP('Rock Climbing Log'!AK92,'RC Lookup'!$G$3:$H$5,2,FALSE)),0)*VLOOKUP(AK$7,'RC Lookup'!$D$3:$E$18,2,FALSE)</f>
        <v>0</v>
      </c>
      <c r="AL92" s="26">
        <f>_xlfn.IFNA(IF(LEFT('Rock Climbing Log'!AL92)="C",_xlfn.IFNA(VLOOKUP('Rock Climbing Log'!AL92,'RC Lookup'!$A$3:$B$9,2,FALSE),0.5),VLOOKUP('Rock Climbing Log'!AL92,'RC Lookup'!$G$3:$H$5,2,FALSE)),0)*VLOOKUP(AK$7,'RC Lookup'!$D$3:$E$18,2,FALSE)</f>
        <v>0</v>
      </c>
      <c r="AM92" s="26">
        <f>_xlfn.IFNA(IF(LEFT('Rock Climbing Log'!AM92)="C",_xlfn.IFNA(VLOOKUP('Rock Climbing Log'!AM92,'RC Lookup'!$A$3:$B$9,2,FALSE),0.5),VLOOKUP('Rock Climbing Log'!AM92,'RC Lookup'!$G$3:$H$5,2,FALSE)),0)*VLOOKUP(AK$7,'RC Lookup'!$D$3:$E$18,2,FALSE)</f>
        <v>0</v>
      </c>
      <c r="AN92" s="26">
        <f>_xlfn.IFNA(IF(LEFT('Rock Climbing Log'!AN92)="C",_xlfn.IFNA(VLOOKUP('Rock Climbing Log'!AN92,'RC Lookup'!$A$3:$B$9,2,FALSE),0.5),VLOOKUP('Rock Climbing Log'!AN92,'RC Lookup'!$G$3:$H$5,2,FALSE)),0)*VLOOKUP(AN$7,'RC Lookup'!$D$3:$E$18,2,FALSE)</f>
        <v>0</v>
      </c>
      <c r="AO92" s="26">
        <f>_xlfn.IFNA(IF(LEFT('Rock Climbing Log'!AO92)="C",_xlfn.IFNA(VLOOKUP('Rock Climbing Log'!AO92,'RC Lookup'!$A$3:$B$9,2,FALSE),0.5),VLOOKUP('Rock Climbing Log'!AO92,'RC Lookup'!$G$3:$H$5,2,FALSE)),0)*VLOOKUP(AN$7,'RC Lookup'!$D$3:$E$18,2,FALSE)</f>
        <v>0</v>
      </c>
      <c r="AP92" s="26">
        <f>_xlfn.IFNA(IF(LEFT('Rock Climbing Log'!AP92)="C",_xlfn.IFNA(VLOOKUP('Rock Climbing Log'!AP92,'RC Lookup'!$A$3:$B$9,2,FALSE),0.5),VLOOKUP('Rock Climbing Log'!AP92,'RC Lookup'!$G$3:$H$5,2,FALSE)),0)*VLOOKUP(AN$7,'RC Lookup'!$D$3:$E$18,2,FALSE)</f>
        <v>0</v>
      </c>
      <c r="AQ92" s="26">
        <f>_xlfn.IFNA(IF(LEFT('Rock Climbing Log'!AQ92)="C",_xlfn.IFNA(VLOOKUP('Rock Climbing Log'!AQ92,'RC Lookup'!$A$3:$B$9,2,FALSE),0.5),VLOOKUP('Rock Climbing Log'!AQ92,'RC Lookup'!$G$3:$H$5,2,FALSE)),0)*VLOOKUP(AQ$7,'RC Lookup'!$D$3:$E$18,2,FALSE)</f>
        <v>0</v>
      </c>
      <c r="AR92" s="26">
        <f>_xlfn.IFNA(IF(LEFT('Rock Climbing Log'!AR92)="C",_xlfn.IFNA(VLOOKUP('Rock Climbing Log'!AR92,'RC Lookup'!$A$3:$B$9,2,FALSE),0.5),VLOOKUP('Rock Climbing Log'!AR92,'RC Lookup'!$G$3:$H$5,2,FALSE)),0)*VLOOKUP(AQ$7,'RC Lookup'!$D$3:$E$18,2,FALSE)</f>
        <v>0</v>
      </c>
      <c r="AS92" s="26">
        <f>_xlfn.IFNA(IF(LEFT('Rock Climbing Log'!AS92)="C",_xlfn.IFNA(VLOOKUP('Rock Climbing Log'!AS92,'RC Lookup'!$A$3:$B$9,2,FALSE),0.5),VLOOKUP('Rock Climbing Log'!AS92,'RC Lookup'!$G$3:$H$5,2,FALSE)),0)*VLOOKUP(AQ$7,'RC Lookup'!$D$3:$E$18,2,FALSE)</f>
        <v>0</v>
      </c>
      <c r="AT92" s="26">
        <f>_xlfn.IFNA(IF(LEFT('Rock Climbing Log'!AT92)="C",_xlfn.IFNA(VLOOKUP('Rock Climbing Log'!AT92,'RC Lookup'!$A$3:$B$9,2,FALSE),0.5),VLOOKUP('Rock Climbing Log'!AT92,'RC Lookup'!$G$3:$H$5,2,FALSE)),0)*VLOOKUP(AT$7,'RC Lookup'!$D$3:$E$18,2,FALSE)</f>
        <v>0</v>
      </c>
      <c r="AU92" s="26">
        <f>_xlfn.IFNA(IF(LEFT('Rock Climbing Log'!AU92)="C",_xlfn.IFNA(VLOOKUP('Rock Climbing Log'!AU92,'RC Lookup'!$A$3:$B$9,2,FALSE),0.5),VLOOKUP('Rock Climbing Log'!AU92,'RC Lookup'!$G$3:$H$5,2,FALSE)),0)*VLOOKUP(AT$7,'RC Lookup'!$D$3:$E$18,2,FALSE)</f>
        <v>0</v>
      </c>
      <c r="AV92" s="26">
        <f>_xlfn.IFNA(IF(LEFT('Rock Climbing Log'!AV92)="C",_xlfn.IFNA(VLOOKUP('Rock Climbing Log'!AV92,'RC Lookup'!$A$3:$B$9,2,FALSE),0.5),VLOOKUP('Rock Climbing Log'!AV92,'RC Lookup'!$G$3:$H$5,2,FALSE)),0)*VLOOKUP(AT$7,'RC Lookup'!$D$3:$E$18,2,FALSE)</f>
        <v>0</v>
      </c>
      <c r="AW92" s="30">
        <f t="shared" ca="1" si="3"/>
        <v>113.54159543575551</v>
      </c>
      <c r="AX92" s="30">
        <f ca="1">_xlfn.IFNA(VLOOKUP(SUMPRODUCT(LARGE(($C$8:$C92=Table1[[#This Row],[Climber]])*$A$8:$A92,1)),$A$8:$AW92,MATCH($AW$7,$A$7:$AW$7,FALSE),FALSE),0)/LEFT($AX$7,FIND(" ",$AX$7))+_xlfn.IFNA(VLOOKUP(SUMPRODUCT(LARGE(($C$8:$C92=Table1[[#This Row],[Climber]])*$A$8:$A92,MIN(2,COUNTIFS($C$8:$C92,$C92)))),$A$8:$AW92,MATCH($AW$7,$A$7:$AW$7,FALSE),FALSE),0)/LEFT($AX$7,FIND(" ",$AX$7))+_xlfn.IFNA(VLOOKUP(SUMPRODUCT(LARGE(($C$8:$C92=Table1[[#This Row],[Climber]])*$A$8:$A92,MIN(3,COUNTIFS($C$8:$C92,$C92)))),$A$8:$AW92,MATCH($AW$7,$A$7:$AW$7,FALSE),FALSE),0)/LEFT($AX$7,FIND(" ",$AX$7))</f>
        <v>113.05238505060581</v>
      </c>
      <c r="AY92" s="30">
        <f ca="1">_xlfn.IFNA(VLOOKUP(SUMPRODUCT(LARGE(($C$8:$C92=Table1[[#This Row],[Climber]])*$A$8:$A92,1)),$A$8:$AW92,MATCH($AW$7,$A$7:$AW$7,FALSE),FALSE),0)/LEFT($AY$7,FIND(" ",$AY$7))+_xlfn.IFNA(VLOOKUP(SUMPRODUCT(LARGE(($C$8:$C92=Table1[[#This Row],[Climber]])*$A$8:$A92,MIN(2,COUNTIFS($C$8:$C92,$C92)))),$A$8:$AW92,MATCH($AW$7,$A$7:$AW$7,FALSE),FALSE),0)/LEFT($AY$7,FIND(" ",$AY$7))+_xlfn.IFNA(VLOOKUP(SUMPRODUCT(LARGE(($C$8:$C92=Table1[[#This Row],[Climber]])*$A$8:$A92,MIN(3,COUNTIFS($C$8:$C92,$C92)))),$A$8:$AW92,MATCH($AW$7,$A$7:$AW$7,FALSE),FALSE),0)/LEFT($AY$7,FIND(" ",$AY$7))+_xlfn.IFNA(VLOOKUP(SUMPRODUCT(LARGE(($C$8:$C92=Table1[[#This Row],[Climber]])*$A$8:$A92,MIN(4,COUNTIFS($C$8:$C92,$C92)))),$A$8:$AW92,MATCH($AW$7,$A$7:$AW$7,FALSE),FALSE),0)/LEFT($AY$7,FIND(" ",$AY$7))+_xlfn.IFNA(VLOOKUP(SUMPRODUCT(LARGE(($C$8:$C92=Table1[[#This Row],[Climber]])*$A$8:$A92,MIN(5,COUNTIFS($C$8:$C92,$C92)))),$A$8:$AW92,MATCH($AW$7,$A$7:$AW$7,FALSE),FALSE),0)/LEFT($AY$7,FIND(" ",$AY$7))</f>
        <v>104.88696435114659</v>
      </c>
      <c r="AZ92" s="30">
        <f ca="1">(_xlfn.IFNA(VLOOKUP(SUMPRODUCT(LARGE(($C$8:$C92=Table1[[#This Row],[Climber]])*$A$8:$A92,4)),$A$8:$AW92,MATCH($AW$7,$A$7:$AW$7,FALSE),FALSE),0)+_xlfn.IFNA(VLOOKUP(SUMPRODUCT(LARGE(($C$8:$C92=Table1[[#This Row],[Climber]])*$A$8:$A92,5)),$A$8:$AW92,MATCH($AW$7,$A$7:$AW$7,FALSE),FALSE),0)+_xlfn.IFNA(VLOOKUP(SUMPRODUCT(LARGE(($C$8:$C92=Table1[[#This Row],[Climber]])*$A$8:$A92,6)),$A$8:$AW92,MATCH($AW$7,$A$7:$AW$7,FALSE),FALSE),0))/3</f>
        <v>96.134028064416142</v>
      </c>
      <c r="BA92" s="46">
        <f ca="1">_xlfn.MAXIFS(INDIRECT("$AW"&amp;IF(SUMPRODUCT(LARGE(($C$8:$C92=$C92)*$A$8:$A92,LEFT($BA$7,FIND(" ",$BA$7)-1)))=0,8,SUMPRODUCT(LARGE(($C$8:$C92=$C92)*$A$8:$A92,LEFT($BA$7,FIND(" ",$BA$7)-1)))+7)&amp;":$AW"&amp;ROW()),INDIRECT("$C"&amp;IF(SUMPRODUCT(LARGE(($C$8:$C92=$C92)*$A$8:$A92,LEFT($BA$7,FIND(" ",$BA$7)-1)))=0,8,SUMPRODUCT(LARGE(($C$8:$C92=$C92)*$A$8:$A92,LEFT($BA$7,FIND(" ",$BA$7)-1)))+7)&amp;":$C"&amp;ROW()),$C92)</f>
        <v>128.08468294187779</v>
      </c>
      <c r="BB92" s="46" t="str">
        <f ca="1">VLOOKUP(MAX(BG92,$AX92),'RC Lookup'!$G$14:$J$20,2,TRUE)</f>
        <v>T3</v>
      </c>
      <c r="BC92" s="46">
        <f ca="1">_xlfn.IFNA(VLOOKUP(VLOOKUP($C92,'RC Lookup'!$O$3:$P$50,2,FALSE),'RC Lookup'!$H$14:$J$23,2,FALSE),0)*AW92</f>
        <v>87.132626645887456</v>
      </c>
      <c r="BD92" s="6">
        <f ca="1">_xlfn.IFNA(VLOOKUP(SUMPRODUCT(LARGE(($C$8:$C92=Table1[[#This Row],[Climber]])*$A$8:$A92,1)),$A$8:$BC92,55,FALSE),0)/LEFT($AX$7,FIND(" ",$AX$7))+_xlfn.IFNA(VLOOKUP(SUMPRODUCT(LARGE(($C$8:$C92=Table1[[#This Row],[Climber]])*$A$8:$A92,MIN(2,COUNTIFS($C$8:$C92,$C92)))),$A$8:$BC92,55,FALSE),0)/LEFT($AX$7,FIND(" ",$AX$7))+_xlfn.IFNA(VLOOKUP(SUMPRODUCT(LARGE(($C$8:$C92=Table1[[#This Row],[Climber]])*$A$8:$A92,MIN(3,COUNTIFS($C$8:$C92,$C92)))),$A$8:$BC92,55,FALSE),0)/LEFT($AX$7,FIND(" ",$AX$7))</f>
        <v>86.757203122226855</v>
      </c>
      <c r="BE92" s="6">
        <f ca="1">(_xlfn.IFNA(VLOOKUP(SUMPRODUCT(LARGE(($C$8:$C92=Table1[[#This Row],[Climber]])*$A$8:$A92,4)),$A$8:$BD92,55,FALSE),0)+_xlfn.IFNA(VLOOKUP(SUMPRODUCT(LARGE(($C$8:$C92=Table1[[#This Row],[Climber]])*$A$8:$A92,5)),$A$8:$BD92,55,FALSE),0)+_xlfn.IFNA(VLOOKUP(SUMPRODUCT(LARGE(($C$8:$C92=Table1[[#This Row],[Climber]])*$A$8:$A92,6)),$A$8:$BD92,55,FALSE),0))/3</f>
        <v>73.77393582637832</v>
      </c>
      <c r="BF92" s="46">
        <f ca="1">_xlfn.MAXIFS(INDIRECT("$BC"&amp;IF(SUMPRODUCT(LARGE(($C$8:$C92=$C92)*$A$8:$A92,LEFT($BA$7,FIND(" ",$BA$7)-1)))=0,8,SUMPRODUCT(LARGE(($C$8:$C92=$C92)*$A$8:$A92,LEFT($BA$7,FIND(" ",$BA$7)-1)))+7)&amp;":$BC"&amp;ROW()),INDIRECT("$C"&amp;IF(SUMPRODUCT(LARGE(($C$8:$C92=$C92)*$A$8:$A92,LEFT($BA$7,FIND(" ",$BA$7)-1)))=0,8,SUMPRODUCT(LARGE(($C$8:$C92=$C92)*$A$8:$A92,LEFT($BA$7,FIND(" ",$BA$7)-1)))+7)&amp;":$C"&amp;ROW()),$C92)</f>
        <v>98.293095274905639</v>
      </c>
      <c r="BG92" s="46">
        <f t="array" aca="1" ref="BG92" ca="1">IFERROR(SUMPRODUCT(LARGE(($C$8:$C92=Table1[[#This Row],[Climber]])*$AW$8:$AW92,ROW(INDIRECT("1:5")))),AW92)/MIN(COUNTIFS($C$8:$C92,C92),5)</f>
        <v>112.48250593928019</v>
      </c>
    </row>
    <row r="93" spans="1:59" x14ac:dyDescent="0.3">
      <c r="A93" s="125">
        <f t="shared" si="1"/>
        <v>86</v>
      </c>
      <c r="B93" s="25">
        <f>'Rock Climbing Log'!B93</f>
        <v>43178</v>
      </c>
      <c r="C93" s="126" t="str">
        <f>'Rock Climbing Log'!C93</f>
        <v>Angel</v>
      </c>
      <c r="D93" s="26">
        <f>_xlfn.IFNA(IF(LEFT('Rock Climbing Log'!D93)="C",_xlfn.IFNA(VLOOKUP('Rock Climbing Log'!D93,'RC Lookup'!$A$3:$B$9,2,FALSE),0.5),VLOOKUP('Rock Climbing Log'!D93,'RC Lookup'!$G$3:$H$5,2,FALSE)),0)*VLOOKUP(D$7,'RC Lookup'!$D$3:$E$18,2,FALSE)</f>
        <v>0</v>
      </c>
      <c r="E93" s="26">
        <f>_xlfn.IFNA(IF(LEFT('Rock Climbing Log'!E93)="C",_xlfn.IFNA(VLOOKUP('Rock Climbing Log'!E93,'RC Lookup'!$A$3:$B$9,2,FALSE),0.5),VLOOKUP('Rock Climbing Log'!E93,'RC Lookup'!$G$3:$H$5,2,FALSE)),0)*VLOOKUP(D$7,'RC Lookup'!$D$3:$E$18,2,FALSE)</f>
        <v>0</v>
      </c>
      <c r="F93" s="26">
        <f>_xlfn.IFNA(IF(LEFT('Rock Climbing Log'!F93)="C",_xlfn.IFNA(VLOOKUP('Rock Climbing Log'!F93,'RC Lookup'!$A$3:$B$9,2,FALSE),0.5),VLOOKUP('Rock Climbing Log'!F93,'RC Lookup'!$G$3:$H$5,2,FALSE)),0)*VLOOKUP(D$7,'RC Lookup'!$D$3:$E$18,2,FALSE)</f>
        <v>0</v>
      </c>
      <c r="G93" s="26">
        <f>_xlfn.IFNA(IF(LEFT('Rock Climbing Log'!G93)="C",_xlfn.IFNA(VLOOKUP('Rock Climbing Log'!G93,'RC Lookup'!$A$3:$B$9,2,FALSE),0.5),VLOOKUP('Rock Climbing Log'!G93,'RC Lookup'!$G$3:$H$5,2,FALSE)),0)*VLOOKUP(G$7,'RC Lookup'!$D$3:$E$18,2,FALSE)</f>
        <v>0</v>
      </c>
      <c r="H93" s="26">
        <f>_xlfn.IFNA(IF(LEFT('Rock Climbing Log'!H93)="C",_xlfn.IFNA(VLOOKUP('Rock Climbing Log'!H93,'RC Lookup'!$A$3:$B$9,2,FALSE),0.5),VLOOKUP('Rock Climbing Log'!H93,'RC Lookup'!$G$3:$H$5,2,FALSE)),0)*VLOOKUP(G$7,'RC Lookup'!$D$3:$E$18,2,FALSE)</f>
        <v>0</v>
      </c>
      <c r="I93" s="26">
        <f>_xlfn.IFNA(IF(LEFT('Rock Climbing Log'!I93)="C",_xlfn.IFNA(VLOOKUP('Rock Climbing Log'!I93,'RC Lookup'!$A$3:$B$9,2,FALSE),0.5),VLOOKUP('Rock Climbing Log'!I93,'RC Lookup'!$G$3:$H$5,2,FALSE)),0)*VLOOKUP(G$7,'RC Lookup'!$D$3:$E$18,2,FALSE)</f>
        <v>0</v>
      </c>
      <c r="J93" s="26">
        <f>_xlfn.IFNA(IF(LEFT('Rock Climbing Log'!J93)="C",_xlfn.IFNA(VLOOKUP('Rock Climbing Log'!J93,'RC Lookup'!$A$3:$B$9,2,FALSE),0.5),VLOOKUP('Rock Climbing Log'!J93,'RC Lookup'!$G$3:$H$5,2,FALSE)),0)*VLOOKUP(J$7,'RC Lookup'!$D$3:$E$18,2,FALSE)</f>
        <v>0</v>
      </c>
      <c r="K93" s="26">
        <f>_xlfn.IFNA(IF(LEFT('Rock Climbing Log'!K93)="C",_xlfn.IFNA(VLOOKUP('Rock Climbing Log'!K93,'RC Lookup'!$A$3:$B$9,2,FALSE),0.5),VLOOKUP('Rock Climbing Log'!K93,'RC Lookup'!$G$3:$H$5,2,FALSE)),0)*VLOOKUP(J$7,'RC Lookup'!$D$3:$E$18,2,FALSE)</f>
        <v>0</v>
      </c>
      <c r="L93" s="26">
        <f>_xlfn.IFNA(IF(LEFT('Rock Climbing Log'!L93)="C",_xlfn.IFNA(VLOOKUP('Rock Climbing Log'!L93,'RC Lookup'!$A$3:$B$9,2,FALSE),0.5),VLOOKUP('Rock Climbing Log'!L93,'RC Lookup'!$G$3:$H$5,2,FALSE)),0)*VLOOKUP(J$7,'RC Lookup'!$D$3:$E$18,2,FALSE)</f>
        <v>0</v>
      </c>
      <c r="M93" s="26">
        <f>_xlfn.IFNA(IF(LEFT('Rock Climbing Log'!M93)="C",_xlfn.IFNA(VLOOKUP('Rock Climbing Log'!M93,'RC Lookup'!$A$3:$B$9,2,FALSE),0.5),VLOOKUP('Rock Climbing Log'!M93,'RC Lookup'!$G$3:$H$5,2,FALSE)),0)*VLOOKUP(M$7,'RC Lookup'!$D$3:$E$18,2,FALSE)</f>
        <v>0</v>
      </c>
      <c r="N93" s="26">
        <f>_xlfn.IFNA(IF(LEFT('Rock Climbing Log'!N93)="C",_xlfn.IFNA(VLOOKUP('Rock Climbing Log'!N93,'RC Lookup'!$A$3:$B$9,2,FALSE),0.5),VLOOKUP('Rock Climbing Log'!N93,'RC Lookup'!$G$3:$H$5,2,FALSE)),0)*VLOOKUP(M$7,'RC Lookup'!$D$3:$E$18,2,FALSE)</f>
        <v>0</v>
      </c>
      <c r="O93" s="26">
        <f>_xlfn.IFNA(IF(LEFT('Rock Climbing Log'!O93)="C",_xlfn.IFNA(VLOOKUP('Rock Climbing Log'!O93,'RC Lookup'!$A$3:$B$9,2,FALSE),0.5),VLOOKUP('Rock Climbing Log'!O93,'RC Lookup'!$G$3:$H$5,2,FALSE)),0)*VLOOKUP(M$7,'RC Lookup'!$D$3:$E$18,2,FALSE)</f>
        <v>0</v>
      </c>
      <c r="P93" s="26">
        <f>_xlfn.IFNA(IF(LEFT('Rock Climbing Log'!P93)="C",_xlfn.IFNA(VLOOKUP('Rock Climbing Log'!P93,'RC Lookup'!$A$3:$B$9,2,FALSE),0.5),VLOOKUP('Rock Climbing Log'!P93,'RC Lookup'!$G$3:$H$5,2,FALSE)),0)*VLOOKUP(P$7,'RC Lookup'!$D$3:$E$18,2,FALSE)</f>
        <v>0</v>
      </c>
      <c r="Q93" s="26">
        <f>_xlfn.IFNA(IF(LEFT('Rock Climbing Log'!Q93)="C",_xlfn.IFNA(VLOOKUP('Rock Climbing Log'!Q93,'RC Lookup'!$A$3:$B$9,2,FALSE),0.5),VLOOKUP('Rock Climbing Log'!Q93,'RC Lookup'!$G$3:$H$5,2,FALSE)),0)*VLOOKUP(P$7,'RC Lookup'!$D$3:$E$18,2,FALSE)</f>
        <v>0</v>
      </c>
      <c r="R93" s="26">
        <f>_xlfn.IFNA(IF(LEFT('Rock Climbing Log'!R93)="C",_xlfn.IFNA(VLOOKUP('Rock Climbing Log'!R93,'RC Lookup'!$A$3:$B$9,2,FALSE),0.5),VLOOKUP('Rock Climbing Log'!R93,'RC Lookup'!$G$3:$H$5,2,FALSE)),0)*VLOOKUP(P$7,'RC Lookup'!$D$3:$E$18,2,FALSE)</f>
        <v>0</v>
      </c>
      <c r="S93" s="26">
        <f>_xlfn.IFNA(IF(LEFT('Rock Climbing Log'!S93)="C",_xlfn.IFNA(VLOOKUP('Rock Climbing Log'!S93,'RC Lookup'!$A$3:$B$9,2,FALSE),0.5),VLOOKUP('Rock Climbing Log'!S93,'RC Lookup'!$G$3:$H$5,2,FALSE)),0)*VLOOKUP(S$7,'RC Lookup'!$D$3:$E$18,2,FALSE)</f>
        <v>0</v>
      </c>
      <c r="T93" s="26">
        <f>_xlfn.IFNA(IF(LEFT('Rock Climbing Log'!T93)="C",_xlfn.IFNA(VLOOKUP('Rock Climbing Log'!T93,'RC Lookup'!$A$3:$B$9,2,FALSE),0.5),VLOOKUP('Rock Climbing Log'!T93,'RC Lookup'!$G$3:$H$5,2,FALSE)),0)*VLOOKUP(S$7,'RC Lookup'!$D$3:$E$18,2,FALSE)</f>
        <v>0</v>
      </c>
      <c r="U93" s="26">
        <f>_xlfn.IFNA(IF(LEFT('Rock Climbing Log'!U93)="C",_xlfn.IFNA(VLOOKUP('Rock Climbing Log'!U93,'RC Lookup'!$A$3:$B$9,2,FALSE),0.5),VLOOKUP('Rock Climbing Log'!U93,'RC Lookup'!$G$3:$H$5,2,FALSE)),0)*VLOOKUP(S$7,'RC Lookup'!$D$3:$E$18,2,FALSE)</f>
        <v>0</v>
      </c>
      <c r="V93" s="26">
        <f>_xlfn.IFNA(IF(LEFT('Rock Climbing Log'!V93)="C",_xlfn.IFNA(VLOOKUP('Rock Climbing Log'!V93,'RC Lookup'!$A$3:$B$9,2,FALSE),0.5),VLOOKUP('Rock Climbing Log'!V93,'RC Lookup'!$G$3:$H$5,2,FALSE)),0)*VLOOKUP(V$7,'RC Lookup'!$D$3:$E$18,2,FALSE)</f>
        <v>35.256745742400021</v>
      </c>
      <c r="W93" s="26">
        <f>_xlfn.IFNA(IF(LEFT('Rock Climbing Log'!W93)="C",_xlfn.IFNA(VLOOKUP('Rock Climbing Log'!W93,'RC Lookup'!$A$3:$B$9,2,FALSE),0.5),VLOOKUP('Rock Climbing Log'!W93,'RC Lookup'!$G$3:$H$5,2,FALSE)),0)*VLOOKUP(V$7,'RC Lookup'!$D$3:$E$18,2,FALSE)</f>
        <v>35.256745742400021</v>
      </c>
      <c r="X93" s="26">
        <f>_xlfn.IFNA(IF(LEFT('Rock Climbing Log'!X93)="C",_xlfn.IFNA(VLOOKUP('Rock Climbing Log'!X93,'RC Lookup'!$A$3:$B$9,2,FALSE),0.5),VLOOKUP('Rock Climbing Log'!X93,'RC Lookup'!$G$3:$H$5,2,FALSE)),0)*VLOOKUP(V$7,'RC Lookup'!$D$3:$E$18,2,FALSE)</f>
        <v>0</v>
      </c>
      <c r="Y93" s="26">
        <f>_xlfn.IFNA(IF(LEFT('Rock Climbing Log'!Y93)="C",_xlfn.IFNA(VLOOKUP('Rock Climbing Log'!Y93,'RC Lookup'!$A$3:$B$9,2,FALSE),0.5),VLOOKUP('Rock Climbing Log'!Y93,'RC Lookup'!$G$3:$H$5,2,FALSE)),0)*VLOOKUP(Y$7,'RC Lookup'!$D$3:$E$18,2,FALSE)</f>
        <v>0</v>
      </c>
      <c r="Z93" s="26">
        <f>_xlfn.IFNA(IF(LEFT('Rock Climbing Log'!Z93)="C",_xlfn.IFNA(VLOOKUP('Rock Climbing Log'!Z93,'RC Lookup'!$A$3:$B$9,2,FALSE),0.5),VLOOKUP('Rock Climbing Log'!Z93,'RC Lookup'!$G$3:$H$5,2,FALSE)),0)*VLOOKUP(Y$7,'RC Lookup'!$D$3:$E$18,2,FALSE)</f>
        <v>0</v>
      </c>
      <c r="AA93" s="26">
        <f>_xlfn.IFNA(IF(LEFT('Rock Climbing Log'!AA93)="C",_xlfn.IFNA(VLOOKUP('Rock Climbing Log'!AA93,'RC Lookup'!$A$3:$B$9,2,FALSE),0.5),VLOOKUP('Rock Climbing Log'!AA93,'RC Lookup'!$G$3:$H$5,2,FALSE)),0)*VLOOKUP(Y$7,'RC Lookup'!$D$3:$E$18,2,FALSE)</f>
        <v>0</v>
      </c>
      <c r="AB93" s="26">
        <f>_xlfn.IFNA(IF(LEFT('Rock Climbing Log'!AB93)="C",_xlfn.IFNA(VLOOKUP('Rock Climbing Log'!AB93,'RC Lookup'!$A$3:$B$9,2,FALSE),0.5),VLOOKUP('Rock Climbing Log'!AB93,'RC Lookup'!$G$3:$H$5,2,FALSE)),0)*VLOOKUP(AB$7,'RC Lookup'!$D$3:$E$18,2,FALSE)</f>
        <v>27.017385289384112</v>
      </c>
      <c r="AC93" s="26">
        <f>_xlfn.IFNA(IF(LEFT('Rock Climbing Log'!AC93)="C",_xlfn.IFNA(VLOOKUP('Rock Climbing Log'!AC93,'RC Lookup'!$A$3:$B$9,2,FALSE),0.5),VLOOKUP('Rock Climbing Log'!AC93,'RC Lookup'!$G$3:$H$5,2,FALSE)),0)*VLOOKUP(AB$7,'RC Lookup'!$D$3:$E$18,2,FALSE)</f>
        <v>0</v>
      </c>
      <c r="AD93" s="26">
        <f>_xlfn.IFNA(IF(LEFT('Rock Climbing Log'!AD93)="C",_xlfn.IFNA(VLOOKUP('Rock Climbing Log'!AD93,'RC Lookup'!$A$3:$B$9,2,FALSE),0.5),VLOOKUP('Rock Climbing Log'!AD93,'RC Lookup'!$G$3:$H$5,2,FALSE)),0)*VLOOKUP(AB$7,'RC Lookup'!$D$3:$E$18,2,FALSE)</f>
        <v>0</v>
      </c>
      <c r="AE93" s="26">
        <f>_xlfn.IFNA(IF(LEFT('Rock Climbing Log'!AE93)="C",_xlfn.IFNA(VLOOKUP('Rock Climbing Log'!AE93,'RC Lookup'!$A$3:$B$9,2,FALSE),0.5),VLOOKUP('Rock Climbing Log'!AE93,'RC Lookup'!$G$3:$H$5,2,FALSE)),0)*VLOOKUP(AE$7,'RC Lookup'!$D$3:$E$18,2,FALSE)</f>
        <v>44.52797949877268</v>
      </c>
      <c r="AF93" s="26">
        <f>_xlfn.IFNA(IF(LEFT('Rock Climbing Log'!AF93)="C",_xlfn.IFNA(VLOOKUP('Rock Climbing Log'!AF93,'RC Lookup'!$A$3:$B$9,2,FALSE),0.5),VLOOKUP('Rock Climbing Log'!AF93,'RC Lookup'!$G$3:$H$5,2,FALSE)),0)*VLOOKUP(AE$7,'RC Lookup'!$D$3:$E$18,2,FALSE)</f>
        <v>0</v>
      </c>
      <c r="AG93" s="26">
        <f>_xlfn.IFNA(IF(LEFT('Rock Climbing Log'!AG93)="C",_xlfn.IFNA(VLOOKUP('Rock Climbing Log'!AG93,'RC Lookup'!$A$3:$B$9,2,FALSE),0.5),VLOOKUP('Rock Climbing Log'!AG93,'RC Lookup'!$G$3:$H$5,2,FALSE)),0)*VLOOKUP(AE$7,'RC Lookup'!$D$3:$E$18,2,FALSE)</f>
        <v>0</v>
      </c>
      <c r="AH93" s="26">
        <f>_xlfn.IFNA(IF(LEFT('Rock Climbing Log'!AH93)="C",_xlfn.IFNA(VLOOKUP('Rock Climbing Log'!AH93,'RC Lookup'!$A$3:$B$9,2,FALSE),0.5),VLOOKUP('Rock Climbing Log'!AH93,'RC Lookup'!$G$3:$H$5,2,FALSE)),0)*VLOOKUP(AH$7,'RC Lookup'!$D$3:$E$18,2,FALSE)</f>
        <v>0</v>
      </c>
      <c r="AI93" s="26">
        <f>_xlfn.IFNA(IF(LEFT('Rock Climbing Log'!AI93)="C",_xlfn.IFNA(VLOOKUP('Rock Climbing Log'!AI93,'RC Lookup'!$A$3:$B$9,2,FALSE),0.5),VLOOKUP('Rock Climbing Log'!AI93,'RC Lookup'!$G$3:$H$5,2,FALSE)),0)*VLOOKUP(AH$7,'RC Lookup'!$D$3:$E$18,2,FALSE)</f>
        <v>0</v>
      </c>
      <c r="AJ93" s="26">
        <f>_xlfn.IFNA(IF(LEFT('Rock Climbing Log'!AJ93)="C",_xlfn.IFNA(VLOOKUP('Rock Climbing Log'!AJ93,'RC Lookup'!$A$3:$B$9,2,FALSE),0.5),VLOOKUP('Rock Climbing Log'!AJ93,'RC Lookup'!$G$3:$H$5,2,FALSE)),0)*VLOOKUP(AH$7,'RC Lookup'!$D$3:$E$18,2,FALSE)</f>
        <v>0</v>
      </c>
      <c r="AK93" s="26">
        <f>_xlfn.IFNA(IF(LEFT('Rock Climbing Log'!AK93)="C",_xlfn.IFNA(VLOOKUP('Rock Climbing Log'!AK93,'RC Lookup'!$A$3:$B$9,2,FALSE),0.5),VLOOKUP('Rock Climbing Log'!AK93,'RC Lookup'!$G$3:$H$5,2,FALSE)),0)*VLOOKUP(AK$7,'RC Lookup'!$D$3:$E$18,2,FALSE)</f>
        <v>0</v>
      </c>
      <c r="AL93" s="26">
        <f>_xlfn.IFNA(IF(LEFT('Rock Climbing Log'!AL93)="C",_xlfn.IFNA(VLOOKUP('Rock Climbing Log'!AL93,'RC Lookup'!$A$3:$B$9,2,FALSE),0.5),VLOOKUP('Rock Climbing Log'!AL93,'RC Lookup'!$G$3:$H$5,2,FALSE)),0)*VLOOKUP(AK$7,'RC Lookup'!$D$3:$E$18,2,FALSE)</f>
        <v>0</v>
      </c>
      <c r="AM93" s="26">
        <f>_xlfn.IFNA(IF(LEFT('Rock Climbing Log'!AM93)="C",_xlfn.IFNA(VLOOKUP('Rock Climbing Log'!AM93,'RC Lookup'!$A$3:$B$9,2,FALSE),0.5),VLOOKUP('Rock Climbing Log'!AM93,'RC Lookup'!$G$3:$H$5,2,FALSE)),0)*VLOOKUP(AK$7,'RC Lookup'!$D$3:$E$18,2,FALSE)</f>
        <v>0</v>
      </c>
      <c r="AN93" s="26">
        <f>_xlfn.IFNA(IF(LEFT('Rock Climbing Log'!AN93)="C",_xlfn.IFNA(VLOOKUP('Rock Climbing Log'!AN93,'RC Lookup'!$A$3:$B$9,2,FALSE),0.5),VLOOKUP('Rock Climbing Log'!AN93,'RC Lookup'!$G$3:$H$5,2,FALSE)),0)*VLOOKUP(AN$7,'RC Lookup'!$D$3:$E$18,2,FALSE)</f>
        <v>0</v>
      </c>
      <c r="AO93" s="26">
        <f>_xlfn.IFNA(IF(LEFT('Rock Climbing Log'!AO93)="C",_xlfn.IFNA(VLOOKUP('Rock Climbing Log'!AO93,'RC Lookup'!$A$3:$B$9,2,FALSE),0.5),VLOOKUP('Rock Climbing Log'!AO93,'RC Lookup'!$G$3:$H$5,2,FALSE)),0)*VLOOKUP(AN$7,'RC Lookup'!$D$3:$E$18,2,FALSE)</f>
        <v>0</v>
      </c>
      <c r="AP93" s="26">
        <f>_xlfn.IFNA(IF(LEFT('Rock Climbing Log'!AP93)="C",_xlfn.IFNA(VLOOKUP('Rock Climbing Log'!AP93,'RC Lookup'!$A$3:$B$9,2,FALSE),0.5),VLOOKUP('Rock Climbing Log'!AP93,'RC Lookup'!$G$3:$H$5,2,FALSE)),0)*VLOOKUP(AN$7,'RC Lookup'!$D$3:$E$18,2,FALSE)</f>
        <v>0</v>
      </c>
      <c r="AQ93" s="26">
        <f>_xlfn.IFNA(IF(LEFT('Rock Climbing Log'!AQ93)="C",_xlfn.IFNA(VLOOKUP('Rock Climbing Log'!AQ93,'RC Lookup'!$A$3:$B$9,2,FALSE),0.5),VLOOKUP('Rock Climbing Log'!AQ93,'RC Lookup'!$G$3:$H$5,2,FALSE)),0)*VLOOKUP(AQ$7,'RC Lookup'!$D$3:$E$18,2,FALSE)</f>
        <v>0</v>
      </c>
      <c r="AR93" s="26">
        <f>_xlfn.IFNA(IF(LEFT('Rock Climbing Log'!AR93)="C",_xlfn.IFNA(VLOOKUP('Rock Climbing Log'!AR93,'RC Lookup'!$A$3:$B$9,2,FALSE),0.5),VLOOKUP('Rock Climbing Log'!AR93,'RC Lookup'!$G$3:$H$5,2,FALSE)),0)*VLOOKUP(AQ$7,'RC Lookup'!$D$3:$E$18,2,FALSE)</f>
        <v>0</v>
      </c>
      <c r="AS93" s="26">
        <f>_xlfn.IFNA(IF(LEFT('Rock Climbing Log'!AS93)="C",_xlfn.IFNA(VLOOKUP('Rock Climbing Log'!AS93,'RC Lookup'!$A$3:$B$9,2,FALSE),0.5),VLOOKUP('Rock Climbing Log'!AS93,'RC Lookup'!$G$3:$H$5,2,FALSE)),0)*VLOOKUP(AQ$7,'RC Lookup'!$D$3:$E$18,2,FALSE)</f>
        <v>0</v>
      </c>
      <c r="AT93" s="26">
        <f>_xlfn.IFNA(IF(LEFT('Rock Climbing Log'!AT93)="C",_xlfn.IFNA(VLOOKUP('Rock Climbing Log'!AT93,'RC Lookup'!$A$3:$B$9,2,FALSE),0.5),VLOOKUP('Rock Climbing Log'!AT93,'RC Lookup'!$G$3:$H$5,2,FALSE)),0)*VLOOKUP(AT$7,'RC Lookup'!$D$3:$E$18,2,FALSE)</f>
        <v>0</v>
      </c>
      <c r="AU93" s="26">
        <f>_xlfn.IFNA(IF(LEFT('Rock Climbing Log'!AU93)="C",_xlfn.IFNA(VLOOKUP('Rock Climbing Log'!AU93,'RC Lookup'!$A$3:$B$9,2,FALSE),0.5),VLOOKUP('Rock Climbing Log'!AU93,'RC Lookup'!$G$3:$H$5,2,FALSE)),0)*VLOOKUP(AT$7,'RC Lookup'!$D$3:$E$18,2,FALSE)</f>
        <v>0</v>
      </c>
      <c r="AV93" s="26">
        <f>_xlfn.IFNA(IF(LEFT('Rock Climbing Log'!AV93)="C",_xlfn.IFNA(VLOOKUP('Rock Climbing Log'!AV93,'RC Lookup'!$A$3:$B$9,2,FALSE),0.5),VLOOKUP('Rock Climbing Log'!AV93,'RC Lookup'!$G$3:$H$5,2,FALSE)),0)*VLOOKUP(AT$7,'RC Lookup'!$D$3:$E$18,2,FALSE)</f>
        <v>0</v>
      </c>
      <c r="AW93" s="30">
        <f t="shared" ca="1" si="3"/>
        <v>115.04147098357274</v>
      </c>
      <c r="AX93" s="30">
        <f ca="1">_xlfn.IFNA(VLOOKUP(SUMPRODUCT(LARGE(($C$8:$C93=Table1[[#This Row],[Climber]])*$A$8:$A93,1)),$A$8:$AW93,MATCH($AW$7,$A$7:$AW$7,FALSE),FALSE),0)/LEFT($AX$7,FIND(" ",$AX$7))+_xlfn.IFNA(VLOOKUP(SUMPRODUCT(LARGE(($C$8:$C93=Table1[[#This Row],[Climber]])*$A$8:$A93,MIN(2,COUNTIFS($C$8:$C93,$C93)))),$A$8:$AW93,MATCH($AW$7,$A$7:$AW$7,FALSE),FALSE),0)/LEFT($AX$7,FIND(" ",$AX$7))+_xlfn.IFNA(VLOOKUP(SUMPRODUCT(LARGE(($C$8:$C93=Table1[[#This Row],[Climber]])*$A$8:$A93,MIN(3,COUNTIFS($C$8:$C93,$C93)))),$A$8:$AW93,MATCH($AW$7,$A$7:$AW$7,FALSE),FALSE),0)/LEFT($AX$7,FIND(" ",$AX$7))</f>
        <v>110.03524151064703</v>
      </c>
      <c r="AY93" s="30">
        <f ca="1">_xlfn.IFNA(VLOOKUP(SUMPRODUCT(LARGE(($C$8:$C93=Table1[[#This Row],[Climber]])*$A$8:$A93,1)),$A$8:$AW93,MATCH($AW$7,$A$7:$AW$7,FALSE),FALSE),0)/LEFT($AY$7,FIND(" ",$AY$7))+_xlfn.IFNA(VLOOKUP(SUMPRODUCT(LARGE(($C$8:$C93=Table1[[#This Row],[Climber]])*$A$8:$A93,MIN(2,COUNTIFS($C$8:$C93,$C93)))),$A$8:$AW93,MATCH($AW$7,$A$7:$AW$7,FALSE),FALSE),0)/LEFT($AY$7,FIND(" ",$AY$7))+_xlfn.IFNA(VLOOKUP(SUMPRODUCT(LARGE(($C$8:$C93=Table1[[#This Row],[Climber]])*$A$8:$A93,MIN(3,COUNTIFS($C$8:$C93,$C93)))),$A$8:$AW93,MATCH($AW$7,$A$7:$AW$7,FALSE),FALSE),0)/LEFT($AY$7,FIND(" ",$AY$7))+_xlfn.IFNA(VLOOKUP(SUMPRODUCT(LARGE(($C$8:$C93=Table1[[#This Row],[Climber]])*$A$8:$A93,MIN(4,COUNTIFS($C$8:$C93,$C93)))),$A$8:$AW93,MATCH($AW$7,$A$7:$AW$7,FALSE),FALSE),0)/LEFT($AY$7,FIND(" ",$AY$7))+_xlfn.IFNA(VLOOKUP(SUMPRODUCT(LARGE(($C$8:$C93=Table1[[#This Row],[Climber]])*$A$8:$A93,MIN(5,COUNTIFS($C$8:$C93,$C93)))),$A$8:$AW93,MATCH($AW$7,$A$7:$AW$7,FALSE),FALSE),0)/LEFT($AY$7,FIND(" ",$AY$7))</f>
        <v>97.555483433305625</v>
      </c>
      <c r="AZ93" s="30">
        <f ca="1">(_xlfn.IFNA(VLOOKUP(SUMPRODUCT(LARGE(($C$8:$C93=Table1[[#This Row],[Climber]])*$A$8:$A93,4)),$A$8:$AW93,MATCH($AW$7,$A$7:$AW$7,FALSE),FALSE),0)+_xlfn.IFNA(VLOOKUP(SUMPRODUCT(LARGE(($C$8:$C93=Table1[[#This Row],[Climber]])*$A$8:$A93,5)),$A$8:$AW93,MATCH($AW$7,$A$7:$AW$7,FALSE),FALSE),0)+_xlfn.IFNA(VLOOKUP(SUMPRODUCT(LARGE(($C$8:$C93=Table1[[#This Row],[Climber]])*$A$8:$A93,6)),$A$8:$AW93,MATCH($AW$7,$A$7:$AW$7,FALSE),FALSE),0))/3</f>
        <v>70.976979458995729</v>
      </c>
      <c r="BA93" s="46">
        <f ca="1">_xlfn.MAXIFS(INDIRECT("$AW"&amp;IF(SUMPRODUCT(LARGE(($C$8:$C93=$C93)*$A$8:$A93,LEFT($BA$7,FIND(" ",$BA$7)-1)))=0,8,SUMPRODUCT(LARGE(($C$8:$C93=$C93)*$A$8:$A93,LEFT($BA$7,FIND(" ",$BA$7)-1)))+7)&amp;":$AW"&amp;ROW()),INDIRECT("$C"&amp;IF(SUMPRODUCT(LARGE(($C$8:$C93=$C93)*$A$8:$A93,LEFT($BA$7,FIND(" ",$BA$7)-1)))=0,8,SUMPRODUCT(LARGE(($C$8:$C93=$C93)*$A$8:$A93,LEFT($BA$7,FIND(" ",$BA$7)-1)))+7)&amp;":$C"&amp;ROW()),$C93)</f>
        <v>124.54826206356827</v>
      </c>
      <c r="BB93" s="46" t="str">
        <f ca="1">VLOOKUP(MAX(BG93,$AX93),'RC Lookup'!$G$14:$J$20,2,TRUE)</f>
        <v>T3</v>
      </c>
      <c r="BC93" s="46">
        <f ca="1">_xlfn.IFNA(VLOOKUP(VLOOKUP($C93,'RC Lookup'!$O$3:$P$50,2,FALSE),'RC Lookup'!$H$14:$J$23,2,FALSE),0)*AW93</f>
        <v>191.71182099499683</v>
      </c>
      <c r="BD93" s="6">
        <f ca="1">_xlfn.IFNA(VLOOKUP(SUMPRODUCT(LARGE(($C$8:$C93=Table1[[#This Row],[Climber]])*$A$8:$A93,1)),$A$8:$BC93,55,FALSE),0)/LEFT($AX$7,FIND(" ",$AX$7))+_xlfn.IFNA(VLOOKUP(SUMPRODUCT(LARGE(($C$8:$C93=Table1[[#This Row],[Climber]])*$A$8:$A93,MIN(2,COUNTIFS($C$8:$C93,$C93)))),$A$8:$BC93,55,FALSE),0)/LEFT($AX$7,FIND(" ",$AX$7))+_xlfn.IFNA(VLOOKUP(SUMPRODUCT(LARGE(($C$8:$C93=Table1[[#This Row],[Climber]])*$A$8:$A93,MIN(3,COUNTIFS($C$8:$C93,$C93)))),$A$8:$BC93,55,FALSE),0)/LEFT($AX$7,FIND(" ",$AX$7))</f>
        <v>183.36914804090657</v>
      </c>
      <c r="BE93" s="6">
        <f ca="1">(_xlfn.IFNA(VLOOKUP(SUMPRODUCT(LARGE(($C$8:$C93=Table1[[#This Row],[Climber]])*$A$8:$A93,4)),$A$8:$BD93,55,FALSE),0)+_xlfn.IFNA(VLOOKUP(SUMPRODUCT(LARGE(($C$8:$C93=Table1[[#This Row],[Climber]])*$A$8:$A93,5)),$A$8:$BD93,55,FALSE),0)+_xlfn.IFNA(VLOOKUP(SUMPRODUCT(LARGE(($C$8:$C93=Table1[[#This Row],[Climber]])*$A$8:$A93,6)),$A$8:$BD93,55,FALSE),0))/3</f>
        <v>118.28018074240008</v>
      </c>
      <c r="BF93" s="46">
        <f ca="1">_xlfn.MAXIFS(INDIRECT("$BC"&amp;IF(SUMPRODUCT(LARGE(($C$8:$C93=$C93)*$A$8:$A93,LEFT($BA$7,FIND(" ",$BA$7)-1)))=0,8,SUMPRODUCT(LARGE(($C$8:$C93=$C93)*$A$8:$A93,LEFT($BA$7,FIND(" ",$BA$7)-1)))+7)&amp;":$BC"&amp;ROW()),INDIRECT("$C"&amp;IF(SUMPRODUCT(LARGE(($C$8:$C93=$C93)*$A$8:$A93,LEFT($BA$7,FIND(" ",$BA$7)-1)))=0,8,SUMPRODUCT(LARGE(($C$8:$C93=$C93)*$A$8:$A93,LEFT($BA$7,FIND(" ",$BA$7)-1)))+7)&amp;":$C"&amp;ROW()),$C93)</f>
        <v>207.55449246105613</v>
      </c>
      <c r="BG93" s="46">
        <f t="array" aca="1" ref="BG93" ca="1">IFERROR(SUMPRODUCT(LARGE(($C$8:$C93=Table1[[#This Row],[Climber]])*$AW$8:$AW93,ROW(INDIRECT("1:5")))),AW93)/MIN(COUNTIFS($C$8:$C93,C93),5)</f>
        <v>97.555483433305653</v>
      </c>
    </row>
    <row r="94" spans="1:59" x14ac:dyDescent="0.3">
      <c r="A94" s="125">
        <f t="shared" si="1"/>
        <v>87</v>
      </c>
      <c r="B94" s="25">
        <f>'Rock Climbing Log'!B94</f>
        <v>43178</v>
      </c>
      <c r="C94" s="126" t="str">
        <f>'Rock Climbing Log'!C94</f>
        <v>Michelle</v>
      </c>
      <c r="D94" s="26">
        <f>_xlfn.IFNA(IF(LEFT('Rock Climbing Log'!D94)="C",_xlfn.IFNA(VLOOKUP('Rock Climbing Log'!D94,'RC Lookup'!$A$3:$B$9,2,FALSE),0.5),VLOOKUP('Rock Climbing Log'!D94,'RC Lookup'!$G$3:$H$5,2,FALSE)),0)*VLOOKUP(D$7,'RC Lookup'!$D$3:$E$18,2,FALSE)</f>
        <v>0</v>
      </c>
      <c r="E94" s="26">
        <f>_xlfn.IFNA(IF(LEFT('Rock Climbing Log'!E94)="C",_xlfn.IFNA(VLOOKUP('Rock Climbing Log'!E94,'RC Lookup'!$A$3:$B$9,2,FALSE),0.5),VLOOKUP('Rock Climbing Log'!E94,'RC Lookup'!$G$3:$H$5,2,FALSE)),0)*VLOOKUP(D$7,'RC Lookup'!$D$3:$E$18,2,FALSE)</f>
        <v>0</v>
      </c>
      <c r="F94" s="26">
        <f>_xlfn.IFNA(IF(LEFT('Rock Climbing Log'!F94)="C",_xlfn.IFNA(VLOOKUP('Rock Climbing Log'!F94,'RC Lookup'!$A$3:$B$9,2,FALSE),0.5),VLOOKUP('Rock Climbing Log'!F94,'RC Lookup'!$G$3:$H$5,2,FALSE)),0)*VLOOKUP(D$7,'RC Lookup'!$D$3:$E$18,2,FALSE)</f>
        <v>0</v>
      </c>
      <c r="G94" s="26">
        <f>_xlfn.IFNA(IF(LEFT('Rock Climbing Log'!G94)="C",_xlfn.IFNA(VLOOKUP('Rock Climbing Log'!G94,'RC Lookup'!$A$3:$B$9,2,FALSE),0.5),VLOOKUP('Rock Climbing Log'!G94,'RC Lookup'!$G$3:$H$5,2,FALSE)),0)*VLOOKUP(G$7,'RC Lookup'!$D$3:$E$18,2,FALSE)</f>
        <v>0</v>
      </c>
      <c r="H94" s="26">
        <f>_xlfn.IFNA(IF(LEFT('Rock Climbing Log'!H94)="C",_xlfn.IFNA(VLOOKUP('Rock Climbing Log'!H94,'RC Lookup'!$A$3:$B$9,2,FALSE),0.5),VLOOKUP('Rock Climbing Log'!H94,'RC Lookup'!$G$3:$H$5,2,FALSE)),0)*VLOOKUP(G$7,'RC Lookup'!$D$3:$E$18,2,FALSE)</f>
        <v>0</v>
      </c>
      <c r="I94" s="26">
        <f>_xlfn.IFNA(IF(LEFT('Rock Climbing Log'!I94)="C",_xlfn.IFNA(VLOOKUP('Rock Climbing Log'!I94,'RC Lookup'!$A$3:$B$9,2,FALSE),0.5),VLOOKUP('Rock Climbing Log'!I94,'RC Lookup'!$G$3:$H$5,2,FALSE)),0)*VLOOKUP(G$7,'RC Lookup'!$D$3:$E$18,2,FALSE)</f>
        <v>0</v>
      </c>
      <c r="J94" s="26">
        <f>_xlfn.IFNA(IF(LEFT('Rock Climbing Log'!J94)="C",_xlfn.IFNA(VLOOKUP('Rock Climbing Log'!J94,'RC Lookup'!$A$3:$B$9,2,FALSE),0.5),VLOOKUP('Rock Climbing Log'!J94,'RC Lookup'!$G$3:$H$5,2,FALSE)),0)*VLOOKUP(J$7,'RC Lookup'!$D$3:$E$18,2,FALSE)</f>
        <v>0</v>
      </c>
      <c r="K94" s="26">
        <f>_xlfn.IFNA(IF(LEFT('Rock Climbing Log'!K94)="C",_xlfn.IFNA(VLOOKUP('Rock Climbing Log'!K94,'RC Lookup'!$A$3:$B$9,2,FALSE),0.5),VLOOKUP('Rock Climbing Log'!K94,'RC Lookup'!$G$3:$H$5,2,FALSE)),0)*VLOOKUP(J$7,'RC Lookup'!$D$3:$E$18,2,FALSE)</f>
        <v>0</v>
      </c>
      <c r="L94" s="26">
        <f>_xlfn.IFNA(IF(LEFT('Rock Climbing Log'!L94)="C",_xlfn.IFNA(VLOOKUP('Rock Climbing Log'!L94,'RC Lookup'!$A$3:$B$9,2,FALSE),0.5),VLOOKUP('Rock Climbing Log'!L94,'RC Lookup'!$G$3:$H$5,2,FALSE)),0)*VLOOKUP(J$7,'RC Lookup'!$D$3:$E$18,2,FALSE)</f>
        <v>0</v>
      </c>
      <c r="M94" s="26">
        <f>_xlfn.IFNA(IF(LEFT('Rock Climbing Log'!M94)="C",_xlfn.IFNA(VLOOKUP('Rock Climbing Log'!M94,'RC Lookup'!$A$3:$B$9,2,FALSE),0.5),VLOOKUP('Rock Climbing Log'!M94,'RC Lookup'!$G$3:$H$5,2,FALSE)),0)*VLOOKUP(M$7,'RC Lookup'!$D$3:$E$18,2,FALSE)</f>
        <v>20.002500000000001</v>
      </c>
      <c r="N94" s="26">
        <f>_xlfn.IFNA(IF(LEFT('Rock Climbing Log'!N94)="C",_xlfn.IFNA(VLOOKUP('Rock Climbing Log'!N94,'RC Lookup'!$A$3:$B$9,2,FALSE),0.5),VLOOKUP('Rock Climbing Log'!N94,'RC Lookup'!$G$3:$H$5,2,FALSE)),0)*VLOOKUP(M$7,'RC Lookup'!$D$3:$E$18,2,FALSE)</f>
        <v>20.002500000000001</v>
      </c>
      <c r="O94" s="26">
        <f>_xlfn.IFNA(IF(LEFT('Rock Climbing Log'!O94)="C",_xlfn.IFNA(VLOOKUP('Rock Climbing Log'!O94,'RC Lookup'!$A$3:$B$9,2,FALSE),0.5),VLOOKUP('Rock Climbing Log'!O94,'RC Lookup'!$G$3:$H$5,2,FALSE)),0)*VLOOKUP(M$7,'RC Lookup'!$D$3:$E$18,2,FALSE)</f>
        <v>0</v>
      </c>
      <c r="P94" s="26">
        <f>_xlfn.IFNA(IF(LEFT('Rock Climbing Log'!P94)="C",_xlfn.IFNA(VLOOKUP('Rock Climbing Log'!P94,'RC Lookup'!$A$3:$B$9,2,FALSE),0.5),VLOOKUP('Rock Climbing Log'!P94,'RC Lookup'!$G$3:$H$5,2,FALSE)),0)*VLOOKUP(P$7,'RC Lookup'!$D$3:$E$18,2,FALSE)</f>
        <v>0</v>
      </c>
      <c r="Q94" s="26">
        <f>_xlfn.IFNA(IF(LEFT('Rock Climbing Log'!Q94)="C",_xlfn.IFNA(VLOOKUP('Rock Climbing Log'!Q94,'RC Lookup'!$A$3:$B$9,2,FALSE),0.5),VLOOKUP('Rock Climbing Log'!Q94,'RC Lookup'!$G$3:$H$5,2,FALSE)),0)*VLOOKUP(P$7,'RC Lookup'!$D$3:$E$18,2,FALSE)</f>
        <v>0</v>
      </c>
      <c r="R94" s="26">
        <f>_xlfn.IFNA(IF(LEFT('Rock Climbing Log'!R94)="C",_xlfn.IFNA(VLOOKUP('Rock Climbing Log'!R94,'RC Lookup'!$A$3:$B$9,2,FALSE),0.5),VLOOKUP('Rock Climbing Log'!R94,'RC Lookup'!$G$3:$H$5,2,FALSE)),0)*VLOOKUP(P$7,'RC Lookup'!$D$3:$E$18,2,FALSE)</f>
        <v>0</v>
      </c>
      <c r="S94" s="26">
        <f>_xlfn.IFNA(IF(LEFT('Rock Climbing Log'!S94)="C",_xlfn.IFNA(VLOOKUP('Rock Climbing Log'!S94,'RC Lookup'!$A$3:$B$9,2,FALSE),0.5),VLOOKUP('Rock Climbing Log'!S94,'RC Lookup'!$G$3:$H$5,2,FALSE)),0)*VLOOKUP(S$7,'RC Lookup'!$D$3:$E$18,2,FALSE)</f>
        <v>0</v>
      </c>
      <c r="T94" s="26">
        <f>_xlfn.IFNA(IF(LEFT('Rock Climbing Log'!T94)="C",_xlfn.IFNA(VLOOKUP('Rock Climbing Log'!T94,'RC Lookup'!$A$3:$B$9,2,FALSE),0.5),VLOOKUP('Rock Climbing Log'!T94,'RC Lookup'!$G$3:$H$5,2,FALSE)),0)*VLOOKUP(S$7,'RC Lookup'!$D$3:$E$18,2,FALSE)</f>
        <v>0</v>
      </c>
      <c r="U94" s="26">
        <f>_xlfn.IFNA(IF(LEFT('Rock Climbing Log'!U94)="C",_xlfn.IFNA(VLOOKUP('Rock Climbing Log'!U94,'RC Lookup'!$A$3:$B$9,2,FALSE),0.5),VLOOKUP('Rock Climbing Log'!U94,'RC Lookup'!$G$3:$H$5,2,FALSE)),0)*VLOOKUP(S$7,'RC Lookup'!$D$3:$E$18,2,FALSE)</f>
        <v>0</v>
      </c>
      <c r="V94" s="26">
        <f>_xlfn.IFNA(IF(LEFT('Rock Climbing Log'!V94)="C",_xlfn.IFNA(VLOOKUP('Rock Climbing Log'!V94,'RC Lookup'!$A$3:$B$9,2,FALSE),0.5),VLOOKUP('Rock Climbing Log'!V94,'RC Lookup'!$G$3:$H$5,2,FALSE)),0)*VLOOKUP(V$7,'RC Lookup'!$D$3:$E$18,2,FALSE)</f>
        <v>35.256745742400021</v>
      </c>
      <c r="W94" s="26">
        <f>_xlfn.IFNA(IF(LEFT('Rock Climbing Log'!W94)="C",_xlfn.IFNA(VLOOKUP('Rock Climbing Log'!W94,'RC Lookup'!$A$3:$B$9,2,FALSE),0.5),VLOOKUP('Rock Climbing Log'!W94,'RC Lookup'!$G$3:$H$5,2,FALSE)),0)*VLOOKUP(V$7,'RC Lookup'!$D$3:$E$18,2,FALSE)</f>
        <v>35.256745742400021</v>
      </c>
      <c r="X94" s="26">
        <f>_xlfn.IFNA(IF(LEFT('Rock Climbing Log'!X94)="C",_xlfn.IFNA(VLOOKUP('Rock Climbing Log'!X94,'RC Lookup'!$A$3:$B$9,2,FALSE),0.5),VLOOKUP('Rock Climbing Log'!X94,'RC Lookup'!$G$3:$H$5,2,FALSE)),0)*VLOOKUP(V$7,'RC Lookup'!$D$3:$E$18,2,FALSE)</f>
        <v>0</v>
      </c>
      <c r="Y94" s="26">
        <f>_xlfn.IFNA(IF(LEFT('Rock Climbing Log'!Y94)="C",_xlfn.IFNA(VLOOKUP('Rock Climbing Log'!Y94,'RC Lookup'!$A$3:$B$9,2,FALSE),0.5),VLOOKUP('Rock Climbing Log'!Y94,'RC Lookup'!$G$3:$H$5,2,FALSE)),0)*VLOOKUP(Y$7,'RC Lookup'!$D$3:$E$18,2,FALSE)</f>
        <v>0</v>
      </c>
      <c r="Z94" s="26">
        <f>_xlfn.IFNA(IF(LEFT('Rock Climbing Log'!Z94)="C",_xlfn.IFNA(VLOOKUP('Rock Climbing Log'!Z94,'RC Lookup'!$A$3:$B$9,2,FALSE),0.5),VLOOKUP('Rock Climbing Log'!Z94,'RC Lookup'!$G$3:$H$5,2,FALSE)),0)*VLOOKUP(Y$7,'RC Lookup'!$D$3:$E$18,2,FALSE)</f>
        <v>0</v>
      </c>
      <c r="AA94" s="26">
        <f>_xlfn.IFNA(IF(LEFT('Rock Climbing Log'!AA94)="C",_xlfn.IFNA(VLOOKUP('Rock Climbing Log'!AA94,'RC Lookup'!$A$3:$B$9,2,FALSE),0.5),VLOOKUP('Rock Climbing Log'!AA94,'RC Lookup'!$G$3:$H$5,2,FALSE)),0)*VLOOKUP(Y$7,'RC Lookup'!$D$3:$E$18,2,FALSE)</f>
        <v>0</v>
      </c>
      <c r="AB94" s="26">
        <f>_xlfn.IFNA(IF(LEFT('Rock Climbing Log'!AB94)="C",_xlfn.IFNA(VLOOKUP('Rock Climbing Log'!AB94,'RC Lookup'!$A$3:$B$9,2,FALSE),0.5),VLOOKUP('Rock Climbing Log'!AB94,'RC Lookup'!$G$3:$H$5,2,FALSE)),0)*VLOOKUP(AB$7,'RC Lookup'!$D$3:$E$18,2,FALSE)</f>
        <v>27.017385289384112</v>
      </c>
      <c r="AC94" s="26">
        <f>_xlfn.IFNA(IF(LEFT('Rock Climbing Log'!AC94)="C",_xlfn.IFNA(VLOOKUP('Rock Climbing Log'!AC94,'RC Lookup'!$A$3:$B$9,2,FALSE),0.5),VLOOKUP('Rock Climbing Log'!AC94,'RC Lookup'!$G$3:$H$5,2,FALSE)),0)*VLOOKUP(AB$7,'RC Lookup'!$D$3:$E$18,2,FALSE)</f>
        <v>0</v>
      </c>
      <c r="AD94" s="26">
        <f>_xlfn.IFNA(IF(LEFT('Rock Climbing Log'!AD94)="C",_xlfn.IFNA(VLOOKUP('Rock Climbing Log'!AD94,'RC Lookup'!$A$3:$B$9,2,FALSE),0.5),VLOOKUP('Rock Climbing Log'!AD94,'RC Lookup'!$G$3:$H$5,2,FALSE)),0)*VLOOKUP(AB$7,'RC Lookup'!$D$3:$E$18,2,FALSE)</f>
        <v>0</v>
      </c>
      <c r="AE94" s="26">
        <f>_xlfn.IFNA(IF(LEFT('Rock Climbing Log'!AE94)="C",_xlfn.IFNA(VLOOKUP('Rock Climbing Log'!AE94,'RC Lookup'!$A$3:$B$9,2,FALSE),0.5),VLOOKUP('Rock Climbing Log'!AE94,'RC Lookup'!$G$3:$H$5,2,FALSE)),0)*VLOOKUP(AE$7,'RC Lookup'!$D$3:$E$18,2,FALSE)</f>
        <v>0</v>
      </c>
      <c r="AF94" s="26">
        <f>_xlfn.IFNA(IF(LEFT('Rock Climbing Log'!AF94)="C",_xlfn.IFNA(VLOOKUP('Rock Climbing Log'!AF94,'RC Lookup'!$A$3:$B$9,2,FALSE),0.5),VLOOKUP('Rock Climbing Log'!AF94,'RC Lookup'!$G$3:$H$5,2,FALSE)),0)*VLOOKUP(AE$7,'RC Lookup'!$D$3:$E$18,2,FALSE)</f>
        <v>0</v>
      </c>
      <c r="AG94" s="26">
        <f>_xlfn.IFNA(IF(LEFT('Rock Climbing Log'!AG94)="C",_xlfn.IFNA(VLOOKUP('Rock Climbing Log'!AG94,'RC Lookup'!$A$3:$B$9,2,FALSE),0.5),VLOOKUP('Rock Climbing Log'!AG94,'RC Lookup'!$G$3:$H$5,2,FALSE)),0)*VLOOKUP(AE$7,'RC Lookup'!$D$3:$E$18,2,FALSE)</f>
        <v>0</v>
      </c>
      <c r="AH94" s="26">
        <f>_xlfn.IFNA(IF(LEFT('Rock Climbing Log'!AH94)="C",_xlfn.IFNA(VLOOKUP('Rock Climbing Log'!AH94,'RC Lookup'!$A$3:$B$9,2,FALSE),0.5),VLOOKUP('Rock Climbing Log'!AH94,'RC Lookup'!$G$3:$H$5,2,FALSE)),0)*VLOOKUP(AH$7,'RC Lookup'!$D$3:$E$18,2,FALSE)</f>
        <v>0</v>
      </c>
      <c r="AI94" s="26">
        <f>_xlfn.IFNA(IF(LEFT('Rock Climbing Log'!AI94)="C",_xlfn.IFNA(VLOOKUP('Rock Climbing Log'!AI94,'RC Lookup'!$A$3:$B$9,2,FALSE),0.5),VLOOKUP('Rock Climbing Log'!AI94,'RC Lookup'!$G$3:$H$5,2,FALSE)),0)*VLOOKUP(AH$7,'RC Lookup'!$D$3:$E$18,2,FALSE)</f>
        <v>0</v>
      </c>
      <c r="AJ94" s="26">
        <f>_xlfn.IFNA(IF(LEFT('Rock Climbing Log'!AJ94)="C",_xlfn.IFNA(VLOOKUP('Rock Climbing Log'!AJ94,'RC Lookup'!$A$3:$B$9,2,FALSE),0.5),VLOOKUP('Rock Climbing Log'!AJ94,'RC Lookup'!$G$3:$H$5,2,FALSE)),0)*VLOOKUP(AH$7,'RC Lookup'!$D$3:$E$18,2,FALSE)</f>
        <v>0</v>
      </c>
      <c r="AK94" s="26">
        <f>_xlfn.IFNA(IF(LEFT('Rock Climbing Log'!AK94)="C",_xlfn.IFNA(VLOOKUP('Rock Climbing Log'!AK94,'RC Lookup'!$A$3:$B$9,2,FALSE),0.5),VLOOKUP('Rock Climbing Log'!AK94,'RC Lookup'!$G$3:$H$5,2,FALSE)),0)*VLOOKUP(AK$7,'RC Lookup'!$D$3:$E$18,2,FALSE)</f>
        <v>0</v>
      </c>
      <c r="AL94" s="26">
        <f>_xlfn.IFNA(IF(LEFT('Rock Climbing Log'!AL94)="C",_xlfn.IFNA(VLOOKUP('Rock Climbing Log'!AL94,'RC Lookup'!$A$3:$B$9,2,FALSE),0.5),VLOOKUP('Rock Climbing Log'!AL94,'RC Lookup'!$G$3:$H$5,2,FALSE)),0)*VLOOKUP(AK$7,'RC Lookup'!$D$3:$E$18,2,FALSE)</f>
        <v>0</v>
      </c>
      <c r="AM94" s="26">
        <f>_xlfn.IFNA(IF(LEFT('Rock Climbing Log'!AM94)="C",_xlfn.IFNA(VLOOKUP('Rock Climbing Log'!AM94,'RC Lookup'!$A$3:$B$9,2,FALSE),0.5),VLOOKUP('Rock Climbing Log'!AM94,'RC Lookup'!$G$3:$H$5,2,FALSE)),0)*VLOOKUP(AK$7,'RC Lookup'!$D$3:$E$18,2,FALSE)</f>
        <v>0</v>
      </c>
      <c r="AN94" s="26">
        <f>_xlfn.IFNA(IF(LEFT('Rock Climbing Log'!AN94)="C",_xlfn.IFNA(VLOOKUP('Rock Climbing Log'!AN94,'RC Lookup'!$A$3:$B$9,2,FALSE),0.5),VLOOKUP('Rock Climbing Log'!AN94,'RC Lookup'!$G$3:$H$5,2,FALSE)),0)*VLOOKUP(AN$7,'RC Lookup'!$D$3:$E$18,2,FALSE)</f>
        <v>0</v>
      </c>
      <c r="AO94" s="26">
        <f>_xlfn.IFNA(IF(LEFT('Rock Climbing Log'!AO94)="C",_xlfn.IFNA(VLOOKUP('Rock Climbing Log'!AO94,'RC Lookup'!$A$3:$B$9,2,FALSE),0.5),VLOOKUP('Rock Climbing Log'!AO94,'RC Lookup'!$G$3:$H$5,2,FALSE)),0)*VLOOKUP(AN$7,'RC Lookup'!$D$3:$E$18,2,FALSE)</f>
        <v>0</v>
      </c>
      <c r="AP94" s="26">
        <f>_xlfn.IFNA(IF(LEFT('Rock Climbing Log'!AP94)="C",_xlfn.IFNA(VLOOKUP('Rock Climbing Log'!AP94,'RC Lookup'!$A$3:$B$9,2,FALSE),0.5),VLOOKUP('Rock Climbing Log'!AP94,'RC Lookup'!$G$3:$H$5,2,FALSE)),0)*VLOOKUP(AN$7,'RC Lookup'!$D$3:$E$18,2,FALSE)</f>
        <v>0</v>
      </c>
      <c r="AQ94" s="26">
        <f>_xlfn.IFNA(IF(LEFT('Rock Climbing Log'!AQ94)="C",_xlfn.IFNA(VLOOKUP('Rock Climbing Log'!AQ94,'RC Lookup'!$A$3:$B$9,2,FALSE),0.5),VLOOKUP('Rock Climbing Log'!AQ94,'RC Lookup'!$G$3:$H$5,2,FALSE)),0)*VLOOKUP(AQ$7,'RC Lookup'!$D$3:$E$18,2,FALSE)</f>
        <v>0</v>
      </c>
      <c r="AR94" s="26">
        <f>_xlfn.IFNA(IF(LEFT('Rock Climbing Log'!AR94)="C",_xlfn.IFNA(VLOOKUP('Rock Climbing Log'!AR94,'RC Lookup'!$A$3:$B$9,2,FALSE),0.5),VLOOKUP('Rock Climbing Log'!AR94,'RC Lookup'!$G$3:$H$5,2,FALSE)),0)*VLOOKUP(AQ$7,'RC Lookup'!$D$3:$E$18,2,FALSE)</f>
        <v>0</v>
      </c>
      <c r="AS94" s="26">
        <f>_xlfn.IFNA(IF(LEFT('Rock Climbing Log'!AS94)="C",_xlfn.IFNA(VLOOKUP('Rock Climbing Log'!AS94,'RC Lookup'!$A$3:$B$9,2,FALSE),0.5),VLOOKUP('Rock Climbing Log'!AS94,'RC Lookup'!$G$3:$H$5,2,FALSE)),0)*VLOOKUP(AQ$7,'RC Lookup'!$D$3:$E$18,2,FALSE)</f>
        <v>0</v>
      </c>
      <c r="AT94" s="26">
        <f>_xlfn.IFNA(IF(LEFT('Rock Climbing Log'!AT94)="C",_xlfn.IFNA(VLOOKUP('Rock Climbing Log'!AT94,'RC Lookup'!$A$3:$B$9,2,FALSE),0.5),VLOOKUP('Rock Climbing Log'!AT94,'RC Lookup'!$G$3:$H$5,2,FALSE)),0)*VLOOKUP(AT$7,'RC Lookup'!$D$3:$E$18,2,FALSE)</f>
        <v>0</v>
      </c>
      <c r="AU94" s="26">
        <f>_xlfn.IFNA(IF(LEFT('Rock Climbing Log'!AU94)="C",_xlfn.IFNA(VLOOKUP('Rock Climbing Log'!AU94,'RC Lookup'!$A$3:$B$9,2,FALSE),0.5),VLOOKUP('Rock Climbing Log'!AU94,'RC Lookup'!$G$3:$H$5,2,FALSE)),0)*VLOOKUP(AT$7,'RC Lookup'!$D$3:$E$18,2,FALSE)</f>
        <v>0</v>
      </c>
      <c r="AV94" s="26">
        <f>_xlfn.IFNA(IF(LEFT('Rock Climbing Log'!AV94)="C",_xlfn.IFNA(VLOOKUP('Rock Climbing Log'!AV94,'RC Lookup'!$A$3:$B$9,2,FALSE),0.5),VLOOKUP('Rock Climbing Log'!AV94,'RC Lookup'!$G$3:$H$5,2,FALSE)),0)*VLOOKUP(AT$7,'RC Lookup'!$D$3:$E$18,2,FALSE)</f>
        <v>0</v>
      </c>
      <c r="AW94" s="30">
        <f t="shared" ca="1" si="3"/>
        <v>97.530876774184151</v>
      </c>
      <c r="AX94" s="30">
        <f ca="1">_xlfn.IFNA(VLOOKUP(SUMPRODUCT(LARGE(($C$8:$C94=Table1[[#This Row],[Climber]])*$A$8:$A94,1)),$A$8:$AW94,MATCH($AW$7,$A$7:$AW$7,FALSE),FALSE),0)/LEFT($AX$7,FIND(" ",$AX$7))+_xlfn.IFNA(VLOOKUP(SUMPRODUCT(LARGE(($C$8:$C94=Table1[[#This Row],[Climber]])*$A$8:$A94,MIN(2,COUNTIFS($C$8:$C94,$C94)))),$A$8:$AW94,MATCH($AW$7,$A$7:$AW$7,FALSE),FALSE),0)/LEFT($AX$7,FIND(" ",$AX$7))+_xlfn.IFNA(VLOOKUP(SUMPRODUCT(LARGE(($C$8:$C94=Table1[[#This Row],[Climber]])*$A$8:$A94,MIN(3,COUNTIFS($C$8:$C94,$C94)))),$A$8:$AW94,MATCH($AW$7,$A$7:$AW$7,FALSE),FALSE),0)/LEFT($AX$7,FIND(" ",$AX$7))</f>
        <v>82.243819480016867</v>
      </c>
      <c r="AY94" s="30">
        <f ca="1">_xlfn.IFNA(VLOOKUP(SUMPRODUCT(LARGE(($C$8:$C94=Table1[[#This Row],[Climber]])*$A$8:$A94,1)),$A$8:$AW94,MATCH($AW$7,$A$7:$AW$7,FALSE),FALSE),0)/LEFT($AY$7,FIND(" ",$AY$7))+_xlfn.IFNA(VLOOKUP(SUMPRODUCT(LARGE(($C$8:$C94=Table1[[#This Row],[Climber]])*$A$8:$A94,MIN(2,COUNTIFS($C$8:$C94,$C94)))),$A$8:$AW94,MATCH($AW$7,$A$7:$AW$7,FALSE),FALSE),0)/LEFT($AY$7,FIND(" ",$AY$7))+_xlfn.IFNA(VLOOKUP(SUMPRODUCT(LARGE(($C$8:$C94=Table1[[#This Row],[Climber]])*$A$8:$A94,MIN(3,COUNTIFS($C$8:$C94,$C94)))),$A$8:$AW94,MATCH($AW$7,$A$7:$AW$7,FALSE),FALSE),0)/LEFT($AY$7,FIND(" ",$AY$7))+_xlfn.IFNA(VLOOKUP(SUMPRODUCT(LARGE(($C$8:$C94=Table1[[#This Row],[Climber]])*$A$8:$A94,MIN(4,COUNTIFS($C$8:$C94,$C94)))),$A$8:$AW94,MATCH($AW$7,$A$7:$AW$7,FALSE),FALSE),0)/LEFT($AY$7,FIND(" ",$AY$7))+_xlfn.IFNA(VLOOKUP(SUMPRODUCT(LARGE(($C$8:$C94=Table1[[#This Row],[Climber]])*$A$8:$A94,MIN(5,COUNTIFS($C$8:$C94,$C94)))),$A$8:$AW94,MATCH($AW$7,$A$7:$AW$7,FALSE),FALSE),0)/LEFT($AY$7,FIND(" ",$AY$7))</f>
        <v>78.256444100723769</v>
      </c>
      <c r="AZ94" s="30">
        <f ca="1">(_xlfn.IFNA(VLOOKUP(SUMPRODUCT(LARGE(($C$8:$C94=Table1[[#This Row],[Climber]])*$A$8:$A94,4)),$A$8:$AW94,MATCH($AW$7,$A$7:$AW$7,FALSE),FALSE),0)+_xlfn.IFNA(VLOOKUP(SUMPRODUCT(LARGE(($C$8:$C94=Table1[[#This Row],[Climber]])*$A$8:$A94,5)),$A$8:$AW94,MATCH($AW$7,$A$7:$AW$7,FALSE),FALSE),0)+_xlfn.IFNA(VLOOKUP(SUMPRODUCT(LARGE(($C$8:$C94=Table1[[#This Row],[Climber]])*$A$8:$A94,6)),$A$8:$AW94,MATCH($AW$7,$A$7:$AW$7,FALSE),FALSE),0))/3</f>
        <v>73.270835935322765</v>
      </c>
      <c r="BA94" s="46">
        <f ca="1">_xlfn.MAXIFS(INDIRECT("$AW"&amp;IF(SUMPRODUCT(LARGE(($C$8:$C94=$C94)*$A$8:$A94,LEFT($BA$7,FIND(" ",$BA$7)-1)))=0,8,SUMPRODUCT(LARGE(($C$8:$C94=$C94)*$A$8:$A94,LEFT($BA$7,FIND(" ",$BA$7)-1)))+7)&amp;":$AW"&amp;ROW()),INDIRECT("$C"&amp;IF(SUMPRODUCT(LARGE(($C$8:$C94=$C94)*$A$8:$A94,LEFT($BA$7,FIND(" ",$BA$7)-1)))=0,8,SUMPRODUCT(LARGE(($C$8:$C94=$C94)*$A$8:$A94,LEFT($BA$7,FIND(" ",$BA$7)-1)))+7)&amp;":$C"&amp;ROW()),$C94)</f>
        <v>97.530876774184151</v>
      </c>
      <c r="BB94" s="46" t="str">
        <f ca="1">VLOOKUP(MAX(BG94,$AX94),'RC Lookup'!$G$14:$J$20,2,TRUE)</f>
        <v>T2</v>
      </c>
      <c r="BC94" s="46">
        <f ca="1">_xlfn.IFNA(VLOOKUP(VLOOKUP($C94,'RC Lookup'!$O$3:$P$50,2,FALSE),'RC Lookup'!$H$14:$J$23,2,FALSE),0)*AW94</f>
        <v>112.49636266666668</v>
      </c>
      <c r="BD94" s="6">
        <f ca="1">_xlfn.IFNA(VLOOKUP(SUMPRODUCT(LARGE(($C$8:$C94=Table1[[#This Row],[Climber]])*$A$8:$A94,1)),$A$8:$BC94,55,FALSE),0)/LEFT($AX$7,FIND(" ",$AX$7))+_xlfn.IFNA(VLOOKUP(SUMPRODUCT(LARGE(($C$8:$C94=Table1[[#This Row],[Climber]])*$A$8:$A94,MIN(2,COUNTIFS($C$8:$C94,$C94)))),$A$8:$BC94,55,FALSE),0)/LEFT($AX$7,FIND(" ",$AX$7))+_xlfn.IFNA(VLOOKUP(SUMPRODUCT(LARGE(($C$8:$C94=Table1[[#This Row],[Climber]])*$A$8:$A94,MIN(3,COUNTIFS($C$8:$C94,$C94)))),$A$8:$BC94,55,FALSE),0)/LEFT($AX$7,FIND(" ",$AX$7))</f>
        <v>94.863604730402969</v>
      </c>
      <c r="BE94" s="6">
        <f ca="1">(_xlfn.IFNA(VLOOKUP(SUMPRODUCT(LARGE(($C$8:$C94=Table1[[#This Row],[Climber]])*$A$8:$A94,4)),$A$8:$BD94,55,FALSE),0)+_xlfn.IFNA(VLOOKUP(SUMPRODUCT(LARGE(($C$8:$C94=Table1[[#This Row],[Climber]])*$A$8:$A94,5)),$A$8:$BD94,55,FALSE),0)+_xlfn.IFNA(VLOOKUP(SUMPRODUCT(LARGE(($C$8:$C94=Table1[[#This Row],[Climber]])*$A$8:$A94,6)),$A$8:$BD94,55,FALSE),0))/3</f>
        <v>84.513774559357785</v>
      </c>
      <c r="BF94" s="46">
        <f ca="1">_xlfn.MAXIFS(INDIRECT("$BC"&amp;IF(SUMPRODUCT(LARGE(($C$8:$C94=$C94)*$A$8:$A94,LEFT($BA$7,FIND(" ",$BA$7)-1)))=0,8,SUMPRODUCT(LARGE(($C$8:$C94=$C94)*$A$8:$A94,LEFT($BA$7,FIND(" ",$BA$7)-1)))+7)&amp;":$BC"&amp;ROW()),INDIRECT("$C"&amp;IF(SUMPRODUCT(LARGE(($C$8:$C94=$C94)*$A$8:$A94,LEFT($BA$7,FIND(" ",$BA$7)-1)))=0,8,SUMPRODUCT(LARGE(($C$8:$C94=$C94)*$A$8:$A94,LEFT($BA$7,FIND(" ",$BA$7)-1)))+7)&amp;":$C"&amp;ROW()),$C94)</f>
        <v>112.49636266666668</v>
      </c>
      <c r="BG94" s="46">
        <f t="array" aca="1" ref="BG94" ca="1">IFERROR(SUMPRODUCT(LARGE(($C$8:$C94=Table1[[#This Row],[Climber]])*$AW$8:$AW94,ROW(INDIRECT("1:5")))),AW94)/MIN(COUNTIFS($C$8:$C94,C94),5)</f>
        <v>85.307793249203783</v>
      </c>
    </row>
    <row r="95" spans="1:59" x14ac:dyDescent="0.3">
      <c r="A95" s="125">
        <f t="shared" si="1"/>
        <v>88</v>
      </c>
      <c r="B95" s="25">
        <f>'Rock Climbing Log'!B95</f>
        <v>43182</v>
      </c>
      <c r="C95" s="126" t="str">
        <f>'Rock Climbing Log'!C95</f>
        <v>Angel</v>
      </c>
      <c r="D95" s="26">
        <f>_xlfn.IFNA(IF(LEFT('Rock Climbing Log'!D95)="C",_xlfn.IFNA(VLOOKUP('Rock Climbing Log'!D95,'RC Lookup'!$A$3:$B$9,2,FALSE),0.5),VLOOKUP('Rock Climbing Log'!D95,'RC Lookup'!$G$3:$H$5,2,FALSE)),0)*VLOOKUP(D$7,'RC Lookup'!$D$3:$E$18,2,FALSE)</f>
        <v>0</v>
      </c>
      <c r="E95" s="26">
        <f>_xlfn.IFNA(IF(LEFT('Rock Climbing Log'!E95)="C",_xlfn.IFNA(VLOOKUP('Rock Climbing Log'!E95,'RC Lookup'!$A$3:$B$9,2,FALSE),0.5),VLOOKUP('Rock Climbing Log'!E95,'RC Lookup'!$G$3:$H$5,2,FALSE)),0)*VLOOKUP(D$7,'RC Lookup'!$D$3:$E$18,2,FALSE)</f>
        <v>0</v>
      </c>
      <c r="F95" s="26">
        <f>_xlfn.IFNA(IF(LEFT('Rock Climbing Log'!F95)="C",_xlfn.IFNA(VLOOKUP('Rock Climbing Log'!F95,'RC Lookup'!$A$3:$B$9,2,FALSE),0.5),VLOOKUP('Rock Climbing Log'!F95,'RC Lookup'!$G$3:$H$5,2,FALSE)),0)*VLOOKUP(D$7,'RC Lookup'!$D$3:$E$18,2,FALSE)</f>
        <v>0</v>
      </c>
      <c r="G95" s="26">
        <f>_xlfn.IFNA(IF(LEFT('Rock Climbing Log'!G95)="C",_xlfn.IFNA(VLOOKUP('Rock Climbing Log'!G95,'RC Lookup'!$A$3:$B$9,2,FALSE),0.5),VLOOKUP('Rock Climbing Log'!G95,'RC Lookup'!$G$3:$H$5,2,FALSE)),0)*VLOOKUP(G$7,'RC Lookup'!$D$3:$E$18,2,FALSE)</f>
        <v>0</v>
      </c>
      <c r="H95" s="26">
        <f>_xlfn.IFNA(IF(LEFT('Rock Climbing Log'!H95)="C",_xlfn.IFNA(VLOOKUP('Rock Climbing Log'!H95,'RC Lookup'!$A$3:$B$9,2,FALSE),0.5),VLOOKUP('Rock Climbing Log'!H95,'RC Lookup'!$G$3:$H$5,2,FALSE)),0)*VLOOKUP(G$7,'RC Lookup'!$D$3:$E$18,2,FALSE)</f>
        <v>0</v>
      </c>
      <c r="I95" s="26">
        <f>_xlfn.IFNA(IF(LEFT('Rock Climbing Log'!I95)="C",_xlfn.IFNA(VLOOKUP('Rock Climbing Log'!I95,'RC Lookup'!$A$3:$B$9,2,FALSE),0.5),VLOOKUP('Rock Climbing Log'!I95,'RC Lookup'!$G$3:$H$5,2,FALSE)),0)*VLOOKUP(G$7,'RC Lookup'!$D$3:$E$18,2,FALSE)</f>
        <v>0</v>
      </c>
      <c r="J95" s="26">
        <f>_xlfn.IFNA(IF(LEFT('Rock Climbing Log'!J95)="C",_xlfn.IFNA(VLOOKUP('Rock Climbing Log'!J95,'RC Lookup'!$A$3:$B$9,2,FALSE),0.5),VLOOKUP('Rock Climbing Log'!J95,'RC Lookup'!$G$3:$H$5,2,FALSE)),0)*VLOOKUP(J$7,'RC Lookup'!$D$3:$E$18,2,FALSE)</f>
        <v>0</v>
      </c>
      <c r="K95" s="26">
        <f>_xlfn.IFNA(IF(LEFT('Rock Climbing Log'!K95)="C",_xlfn.IFNA(VLOOKUP('Rock Climbing Log'!K95,'RC Lookup'!$A$3:$B$9,2,FALSE),0.5),VLOOKUP('Rock Climbing Log'!K95,'RC Lookup'!$G$3:$H$5,2,FALSE)),0)*VLOOKUP(J$7,'RC Lookup'!$D$3:$E$18,2,FALSE)</f>
        <v>0</v>
      </c>
      <c r="L95" s="26">
        <f>_xlfn.IFNA(IF(LEFT('Rock Climbing Log'!L95)="C",_xlfn.IFNA(VLOOKUP('Rock Climbing Log'!L95,'RC Lookup'!$A$3:$B$9,2,FALSE),0.5),VLOOKUP('Rock Climbing Log'!L95,'RC Lookup'!$G$3:$H$5,2,FALSE)),0)*VLOOKUP(J$7,'RC Lookup'!$D$3:$E$18,2,FALSE)</f>
        <v>0</v>
      </c>
      <c r="M95" s="26">
        <f>_xlfn.IFNA(IF(LEFT('Rock Climbing Log'!M95)="C",_xlfn.IFNA(VLOOKUP('Rock Climbing Log'!M95,'RC Lookup'!$A$3:$B$9,2,FALSE),0.5),VLOOKUP('Rock Climbing Log'!M95,'RC Lookup'!$G$3:$H$5,2,FALSE)),0)*VLOOKUP(M$7,'RC Lookup'!$D$3:$E$18,2,FALSE)</f>
        <v>0</v>
      </c>
      <c r="N95" s="26">
        <f>_xlfn.IFNA(IF(LEFT('Rock Climbing Log'!N95)="C",_xlfn.IFNA(VLOOKUP('Rock Climbing Log'!N95,'RC Lookup'!$A$3:$B$9,2,FALSE),0.5),VLOOKUP('Rock Climbing Log'!N95,'RC Lookup'!$G$3:$H$5,2,FALSE)),0)*VLOOKUP(M$7,'RC Lookup'!$D$3:$E$18,2,FALSE)</f>
        <v>0</v>
      </c>
      <c r="O95" s="26">
        <f>_xlfn.IFNA(IF(LEFT('Rock Climbing Log'!O95)="C",_xlfn.IFNA(VLOOKUP('Rock Climbing Log'!O95,'RC Lookup'!$A$3:$B$9,2,FALSE),0.5),VLOOKUP('Rock Climbing Log'!O95,'RC Lookup'!$G$3:$H$5,2,FALSE)),0)*VLOOKUP(M$7,'RC Lookup'!$D$3:$E$18,2,FALSE)</f>
        <v>0</v>
      </c>
      <c r="P95" s="26">
        <f>_xlfn.IFNA(IF(LEFT('Rock Climbing Log'!P95)="C",_xlfn.IFNA(VLOOKUP('Rock Climbing Log'!P95,'RC Lookup'!$A$3:$B$9,2,FALSE),0.5),VLOOKUP('Rock Climbing Log'!P95,'RC Lookup'!$G$3:$H$5,2,FALSE)),0)*VLOOKUP(P$7,'RC Lookup'!$D$3:$E$18,2,FALSE)</f>
        <v>0</v>
      </c>
      <c r="Q95" s="26">
        <f>_xlfn.IFNA(IF(LEFT('Rock Climbing Log'!Q95)="C",_xlfn.IFNA(VLOOKUP('Rock Climbing Log'!Q95,'RC Lookup'!$A$3:$B$9,2,FALSE),0.5),VLOOKUP('Rock Climbing Log'!Q95,'RC Lookup'!$G$3:$H$5,2,FALSE)),0)*VLOOKUP(P$7,'RC Lookup'!$D$3:$E$18,2,FALSE)</f>
        <v>0</v>
      </c>
      <c r="R95" s="26">
        <f>_xlfn.IFNA(IF(LEFT('Rock Climbing Log'!R95)="C",_xlfn.IFNA(VLOOKUP('Rock Climbing Log'!R95,'RC Lookup'!$A$3:$B$9,2,FALSE),0.5),VLOOKUP('Rock Climbing Log'!R95,'RC Lookup'!$G$3:$H$5,2,FALSE)),0)*VLOOKUP(P$7,'RC Lookup'!$D$3:$E$18,2,FALSE)</f>
        <v>0</v>
      </c>
      <c r="S95" s="26">
        <f>_xlfn.IFNA(IF(LEFT('Rock Climbing Log'!S95)="C",_xlfn.IFNA(VLOOKUP('Rock Climbing Log'!S95,'RC Lookup'!$A$3:$B$9,2,FALSE),0.5),VLOOKUP('Rock Climbing Log'!S95,'RC Lookup'!$G$3:$H$5,2,FALSE)),0)*VLOOKUP(S$7,'RC Lookup'!$D$3:$E$18,2,FALSE)</f>
        <v>0</v>
      </c>
      <c r="T95" s="26">
        <f>_xlfn.IFNA(IF(LEFT('Rock Climbing Log'!T95)="C",_xlfn.IFNA(VLOOKUP('Rock Climbing Log'!T95,'RC Lookup'!$A$3:$B$9,2,FALSE),0.5),VLOOKUP('Rock Climbing Log'!T95,'RC Lookup'!$G$3:$H$5,2,FALSE)),0)*VLOOKUP(S$7,'RC Lookup'!$D$3:$E$18,2,FALSE)</f>
        <v>0</v>
      </c>
      <c r="U95" s="26">
        <f>_xlfn.IFNA(IF(LEFT('Rock Climbing Log'!U95)="C",_xlfn.IFNA(VLOOKUP('Rock Climbing Log'!U95,'RC Lookup'!$A$3:$B$9,2,FALSE),0.5),VLOOKUP('Rock Climbing Log'!U95,'RC Lookup'!$G$3:$H$5,2,FALSE)),0)*VLOOKUP(S$7,'RC Lookup'!$D$3:$E$18,2,FALSE)</f>
        <v>0</v>
      </c>
      <c r="V95" s="26">
        <f>_xlfn.IFNA(IF(LEFT('Rock Climbing Log'!V95)="C",_xlfn.IFNA(VLOOKUP('Rock Climbing Log'!V95,'RC Lookup'!$A$3:$B$9,2,FALSE),0.5),VLOOKUP('Rock Climbing Log'!V95,'RC Lookup'!$G$3:$H$5,2,FALSE)),0)*VLOOKUP(V$7,'RC Lookup'!$D$3:$E$18,2,FALSE)</f>
        <v>35.256745742400021</v>
      </c>
      <c r="W95" s="26">
        <f>_xlfn.IFNA(IF(LEFT('Rock Climbing Log'!W95)="C",_xlfn.IFNA(VLOOKUP('Rock Climbing Log'!W95,'RC Lookup'!$A$3:$B$9,2,FALSE),0.5),VLOOKUP('Rock Climbing Log'!W95,'RC Lookup'!$G$3:$H$5,2,FALSE)),0)*VLOOKUP(V$7,'RC Lookup'!$D$3:$E$18,2,FALSE)</f>
        <v>35.256745742400021</v>
      </c>
      <c r="X95" s="26">
        <f>_xlfn.IFNA(IF(LEFT('Rock Climbing Log'!X95)="C",_xlfn.IFNA(VLOOKUP('Rock Climbing Log'!X95,'RC Lookup'!$A$3:$B$9,2,FALSE),0.5),VLOOKUP('Rock Climbing Log'!X95,'RC Lookup'!$G$3:$H$5,2,FALSE)),0)*VLOOKUP(V$7,'RC Lookup'!$D$3:$E$18,2,FALSE)</f>
        <v>35.256745742400021</v>
      </c>
      <c r="Y95" s="26">
        <f>_xlfn.IFNA(IF(LEFT('Rock Climbing Log'!Y95)="C",_xlfn.IFNA(VLOOKUP('Rock Climbing Log'!Y95,'RC Lookup'!$A$3:$B$9,2,FALSE),0.5),VLOOKUP('Rock Climbing Log'!Y95,'RC Lookup'!$G$3:$H$5,2,FALSE)),0)*VLOOKUP(Y$7,'RC Lookup'!$D$3:$E$18,2,FALSE)</f>
        <v>0</v>
      </c>
      <c r="Z95" s="26">
        <f>_xlfn.IFNA(IF(LEFT('Rock Climbing Log'!Z95)="C",_xlfn.IFNA(VLOOKUP('Rock Climbing Log'!Z95,'RC Lookup'!$A$3:$B$9,2,FALSE),0.5),VLOOKUP('Rock Climbing Log'!Z95,'RC Lookup'!$G$3:$H$5,2,FALSE)),0)*VLOOKUP(Y$7,'RC Lookup'!$D$3:$E$18,2,FALSE)</f>
        <v>0</v>
      </c>
      <c r="AA95" s="26">
        <f>_xlfn.IFNA(IF(LEFT('Rock Climbing Log'!AA95)="C",_xlfn.IFNA(VLOOKUP('Rock Climbing Log'!AA95,'RC Lookup'!$A$3:$B$9,2,FALSE),0.5),VLOOKUP('Rock Climbing Log'!AA95,'RC Lookup'!$G$3:$H$5,2,FALSE)),0)*VLOOKUP(Y$7,'RC Lookup'!$D$3:$E$18,2,FALSE)</f>
        <v>0</v>
      </c>
      <c r="AB95" s="26">
        <f>_xlfn.IFNA(IF(LEFT('Rock Climbing Log'!AB95)="C",_xlfn.IFNA(VLOOKUP('Rock Climbing Log'!AB95,'RC Lookup'!$A$3:$B$9,2,FALSE),0.5),VLOOKUP('Rock Climbing Log'!AB95,'RC Lookup'!$G$3:$H$5,2,FALSE)),0)*VLOOKUP(AB$7,'RC Lookup'!$D$3:$E$18,2,FALSE)</f>
        <v>0</v>
      </c>
      <c r="AC95" s="26">
        <f>_xlfn.IFNA(IF(LEFT('Rock Climbing Log'!AC95)="C",_xlfn.IFNA(VLOOKUP('Rock Climbing Log'!AC95,'RC Lookup'!$A$3:$B$9,2,FALSE),0.5),VLOOKUP('Rock Climbing Log'!AC95,'RC Lookup'!$G$3:$H$5,2,FALSE)),0)*VLOOKUP(AB$7,'RC Lookup'!$D$3:$E$18,2,FALSE)</f>
        <v>0</v>
      </c>
      <c r="AD95" s="26">
        <f>_xlfn.IFNA(IF(LEFT('Rock Climbing Log'!AD95)="C",_xlfn.IFNA(VLOOKUP('Rock Climbing Log'!AD95,'RC Lookup'!$A$3:$B$9,2,FALSE),0.5),VLOOKUP('Rock Climbing Log'!AD95,'RC Lookup'!$G$3:$H$5,2,FALSE)),0)*VLOOKUP(AB$7,'RC Lookup'!$D$3:$E$18,2,FALSE)</f>
        <v>0</v>
      </c>
      <c r="AE95" s="26">
        <f>_xlfn.IFNA(IF(LEFT('Rock Climbing Log'!AE95)="C",_xlfn.IFNA(VLOOKUP('Rock Climbing Log'!AE95,'RC Lookup'!$A$3:$B$9,2,FALSE),0.5),VLOOKUP('Rock Climbing Log'!AE95,'RC Lookup'!$G$3:$H$5,2,FALSE)),0)*VLOOKUP(AE$7,'RC Lookup'!$D$3:$E$18,2,FALSE)</f>
        <v>0</v>
      </c>
      <c r="AF95" s="26">
        <f>_xlfn.IFNA(IF(LEFT('Rock Climbing Log'!AF95)="C",_xlfn.IFNA(VLOOKUP('Rock Climbing Log'!AF95,'RC Lookup'!$A$3:$B$9,2,FALSE),0.5),VLOOKUP('Rock Climbing Log'!AF95,'RC Lookup'!$G$3:$H$5,2,FALSE)),0)*VLOOKUP(AE$7,'RC Lookup'!$D$3:$E$18,2,FALSE)</f>
        <v>0</v>
      </c>
      <c r="AG95" s="26">
        <f>_xlfn.IFNA(IF(LEFT('Rock Climbing Log'!AG95)="C",_xlfn.IFNA(VLOOKUP('Rock Climbing Log'!AG95,'RC Lookup'!$A$3:$B$9,2,FALSE),0.5),VLOOKUP('Rock Climbing Log'!AG95,'RC Lookup'!$G$3:$H$5,2,FALSE)),0)*VLOOKUP(AE$7,'RC Lookup'!$D$3:$E$18,2,FALSE)</f>
        <v>0</v>
      </c>
      <c r="AH95" s="26">
        <f>_xlfn.IFNA(IF(LEFT('Rock Climbing Log'!AH95)="C",_xlfn.IFNA(VLOOKUP('Rock Climbing Log'!AH95,'RC Lookup'!$A$3:$B$9,2,FALSE),0.5),VLOOKUP('Rock Climbing Log'!AH95,'RC Lookup'!$G$3:$H$5,2,FALSE)),0)*VLOOKUP(AH$7,'RC Lookup'!$D$3:$E$18,2,FALSE)</f>
        <v>0</v>
      </c>
      <c r="AI95" s="26">
        <f>_xlfn.IFNA(IF(LEFT('Rock Climbing Log'!AI95)="C",_xlfn.IFNA(VLOOKUP('Rock Climbing Log'!AI95,'RC Lookup'!$A$3:$B$9,2,FALSE),0.5),VLOOKUP('Rock Climbing Log'!AI95,'RC Lookup'!$G$3:$H$5,2,FALSE)),0)*VLOOKUP(AH$7,'RC Lookup'!$D$3:$E$18,2,FALSE)</f>
        <v>0</v>
      </c>
      <c r="AJ95" s="26">
        <f>_xlfn.IFNA(IF(LEFT('Rock Climbing Log'!AJ95)="C",_xlfn.IFNA(VLOOKUP('Rock Climbing Log'!AJ95,'RC Lookup'!$A$3:$B$9,2,FALSE),0.5),VLOOKUP('Rock Climbing Log'!AJ95,'RC Lookup'!$G$3:$H$5,2,FALSE)),0)*VLOOKUP(AH$7,'RC Lookup'!$D$3:$E$18,2,FALSE)</f>
        <v>0</v>
      </c>
      <c r="AK95" s="26">
        <f>_xlfn.IFNA(IF(LEFT('Rock Climbing Log'!AK95)="C",_xlfn.IFNA(VLOOKUP('Rock Climbing Log'!AK95,'RC Lookup'!$A$3:$B$9,2,FALSE),0.5),VLOOKUP('Rock Climbing Log'!AK95,'RC Lookup'!$G$3:$H$5,2,FALSE)),0)*VLOOKUP(AK$7,'RC Lookup'!$D$3:$E$18,2,FALSE)</f>
        <v>0</v>
      </c>
      <c r="AL95" s="26">
        <f>_xlfn.IFNA(IF(LEFT('Rock Climbing Log'!AL95)="C",_xlfn.IFNA(VLOOKUP('Rock Climbing Log'!AL95,'RC Lookup'!$A$3:$B$9,2,FALSE),0.5),VLOOKUP('Rock Climbing Log'!AL95,'RC Lookup'!$G$3:$H$5,2,FALSE)),0)*VLOOKUP(AK$7,'RC Lookup'!$D$3:$E$18,2,FALSE)</f>
        <v>0</v>
      </c>
      <c r="AM95" s="26">
        <f>_xlfn.IFNA(IF(LEFT('Rock Climbing Log'!AM95)="C",_xlfn.IFNA(VLOOKUP('Rock Climbing Log'!AM95,'RC Lookup'!$A$3:$B$9,2,FALSE),0.5),VLOOKUP('Rock Climbing Log'!AM95,'RC Lookup'!$G$3:$H$5,2,FALSE)),0)*VLOOKUP(AK$7,'RC Lookup'!$D$3:$E$18,2,FALSE)</f>
        <v>0</v>
      </c>
      <c r="AN95" s="26">
        <f>_xlfn.IFNA(IF(LEFT('Rock Climbing Log'!AN95)="C",_xlfn.IFNA(VLOOKUP('Rock Climbing Log'!AN95,'RC Lookup'!$A$3:$B$9,2,FALSE),0.5),VLOOKUP('Rock Climbing Log'!AN95,'RC Lookup'!$G$3:$H$5,2,FALSE)),0)*VLOOKUP(AN$7,'RC Lookup'!$D$3:$E$18,2,FALSE)</f>
        <v>0</v>
      </c>
      <c r="AO95" s="26">
        <f>_xlfn.IFNA(IF(LEFT('Rock Climbing Log'!AO95)="C",_xlfn.IFNA(VLOOKUP('Rock Climbing Log'!AO95,'RC Lookup'!$A$3:$B$9,2,FALSE),0.5),VLOOKUP('Rock Climbing Log'!AO95,'RC Lookup'!$G$3:$H$5,2,FALSE)),0)*VLOOKUP(AN$7,'RC Lookup'!$D$3:$E$18,2,FALSE)</f>
        <v>0</v>
      </c>
      <c r="AP95" s="26">
        <f>_xlfn.IFNA(IF(LEFT('Rock Climbing Log'!AP95)="C",_xlfn.IFNA(VLOOKUP('Rock Climbing Log'!AP95,'RC Lookup'!$A$3:$B$9,2,FALSE),0.5),VLOOKUP('Rock Climbing Log'!AP95,'RC Lookup'!$G$3:$H$5,2,FALSE)),0)*VLOOKUP(AN$7,'RC Lookup'!$D$3:$E$18,2,FALSE)</f>
        <v>0</v>
      </c>
      <c r="AQ95" s="26">
        <f>_xlfn.IFNA(IF(LEFT('Rock Climbing Log'!AQ95)="C",_xlfn.IFNA(VLOOKUP('Rock Climbing Log'!AQ95,'RC Lookup'!$A$3:$B$9,2,FALSE),0.5),VLOOKUP('Rock Climbing Log'!AQ95,'RC Lookup'!$G$3:$H$5,2,FALSE)),0)*VLOOKUP(AQ$7,'RC Lookup'!$D$3:$E$18,2,FALSE)</f>
        <v>0</v>
      </c>
      <c r="AR95" s="26">
        <f>_xlfn.IFNA(IF(LEFT('Rock Climbing Log'!AR95)="C",_xlfn.IFNA(VLOOKUP('Rock Climbing Log'!AR95,'RC Lookup'!$A$3:$B$9,2,FALSE),0.5),VLOOKUP('Rock Climbing Log'!AR95,'RC Lookup'!$G$3:$H$5,2,FALSE)),0)*VLOOKUP(AQ$7,'RC Lookup'!$D$3:$E$18,2,FALSE)</f>
        <v>0</v>
      </c>
      <c r="AS95" s="26">
        <f>_xlfn.IFNA(IF(LEFT('Rock Climbing Log'!AS95)="C",_xlfn.IFNA(VLOOKUP('Rock Climbing Log'!AS95,'RC Lookup'!$A$3:$B$9,2,FALSE),0.5),VLOOKUP('Rock Climbing Log'!AS95,'RC Lookup'!$G$3:$H$5,2,FALSE)),0)*VLOOKUP(AQ$7,'RC Lookup'!$D$3:$E$18,2,FALSE)</f>
        <v>0</v>
      </c>
      <c r="AT95" s="26">
        <f>_xlfn.IFNA(IF(LEFT('Rock Climbing Log'!AT95)="C",_xlfn.IFNA(VLOOKUP('Rock Climbing Log'!AT95,'RC Lookup'!$A$3:$B$9,2,FALSE),0.5),VLOOKUP('Rock Climbing Log'!AT95,'RC Lookup'!$G$3:$H$5,2,FALSE)),0)*VLOOKUP(AT$7,'RC Lookup'!$D$3:$E$18,2,FALSE)</f>
        <v>0</v>
      </c>
      <c r="AU95" s="26">
        <f>_xlfn.IFNA(IF(LEFT('Rock Climbing Log'!AU95)="C",_xlfn.IFNA(VLOOKUP('Rock Climbing Log'!AU95,'RC Lookup'!$A$3:$B$9,2,FALSE),0.5),VLOOKUP('Rock Climbing Log'!AU95,'RC Lookup'!$G$3:$H$5,2,FALSE)),0)*VLOOKUP(AT$7,'RC Lookup'!$D$3:$E$18,2,FALSE)</f>
        <v>0</v>
      </c>
      <c r="AV95" s="26">
        <f>_xlfn.IFNA(IF(LEFT('Rock Climbing Log'!AV95)="C",_xlfn.IFNA(VLOOKUP('Rock Climbing Log'!AV95,'RC Lookup'!$A$3:$B$9,2,FALSE),0.5),VLOOKUP('Rock Climbing Log'!AV95,'RC Lookup'!$G$3:$H$5,2,FALSE)),0)*VLOOKUP(AT$7,'RC Lookup'!$D$3:$E$18,2,FALSE)</f>
        <v>0</v>
      </c>
      <c r="AW95" s="30">
        <f t="shared" ca="1" si="3"/>
        <v>105.77023722720006</v>
      </c>
      <c r="AX95" s="30">
        <f ca="1">_xlfn.IFNA(VLOOKUP(SUMPRODUCT(LARGE(($C$8:$C95=Table1[[#This Row],[Climber]])*$A$8:$A95,1)),$A$8:$AW95,MATCH($AW$7,$A$7:$AW$7,FALSE),FALSE),0)/LEFT($AX$7,FIND(" ",$AX$7))+_xlfn.IFNA(VLOOKUP(SUMPRODUCT(LARGE(($C$8:$C95=Table1[[#This Row],[Climber]])*$A$8:$A95,MIN(2,COUNTIFS($C$8:$C95,$C95)))),$A$8:$AW95,MATCH($AW$7,$A$7:$AW$7,FALSE),FALSE),0)/LEFT($AX$7,FIND(" ",$AX$7))+_xlfn.IFNA(VLOOKUP(SUMPRODUCT(LARGE(($C$8:$C95=Table1[[#This Row],[Climber]])*$A$8:$A95,MIN(3,COUNTIFS($C$8:$C95,$C95)))),$A$8:$AW95,MATCH($AW$7,$A$7:$AW$7,FALSE),FALSE),0)/LEFT($AX$7,FIND(" ",$AX$7))</f>
        <v>115.11999009144702</v>
      </c>
      <c r="AY95" s="30">
        <f ca="1">_xlfn.IFNA(VLOOKUP(SUMPRODUCT(LARGE(($C$8:$C95=Table1[[#This Row],[Climber]])*$A$8:$A95,1)),$A$8:$AW95,MATCH($AW$7,$A$7:$AW$7,FALSE),FALSE),0)/LEFT($AY$7,FIND(" ",$AY$7))+_xlfn.IFNA(VLOOKUP(SUMPRODUCT(LARGE(($C$8:$C95=Table1[[#This Row],[Climber]])*$A$8:$A95,MIN(2,COUNTIFS($C$8:$C95,$C95)))),$A$8:$AW95,MATCH($AW$7,$A$7:$AW$7,FALSE),FALSE),0)/LEFT($AY$7,FIND(" ",$AY$7))+_xlfn.IFNA(VLOOKUP(SUMPRODUCT(LARGE(($C$8:$C95=Table1[[#This Row],[Climber]])*$A$8:$A95,MIN(3,COUNTIFS($C$8:$C95,$C95)))),$A$8:$AW95,MATCH($AW$7,$A$7:$AW$7,FALSE),FALSE),0)/LEFT($AY$7,FIND(" ",$AY$7))+_xlfn.IFNA(VLOOKUP(SUMPRODUCT(LARGE(($C$8:$C95=Table1[[#This Row],[Climber]])*$A$8:$A95,MIN(4,COUNTIFS($C$8:$C95,$C95)))),$A$8:$AW95,MATCH($AW$7,$A$7:$AW$7,FALSE),FALSE),0)/LEFT($AY$7,FIND(" ",$AY$7))+_xlfn.IFNA(VLOOKUP(SUMPRODUCT(LARGE(($C$8:$C95=Table1[[#This Row],[Climber]])*$A$8:$A95,MIN(5,COUNTIFS($C$8:$C95,$C95)))),$A$8:$AW95,MATCH($AW$7,$A$7:$AW$7,FALSE),FALSE),0)/LEFT($AY$7,FIND(" ",$AY$7))</f>
        <v>103.28823029101989</v>
      </c>
      <c r="AZ95" s="30">
        <f ca="1">(_xlfn.IFNA(VLOOKUP(SUMPRODUCT(LARGE(($C$8:$C95=Table1[[#This Row],[Climber]])*$A$8:$A95,4)),$A$8:$AW95,MATCH($AW$7,$A$7:$AW$7,FALSE),FALSE),0)+_xlfn.IFNA(VLOOKUP(SUMPRODUCT(LARGE(($C$8:$C95=Table1[[#This Row],[Climber]])*$A$8:$A95,5)),$A$8:$AW95,MATCH($AW$7,$A$7:$AW$7,FALSE),FALSE),0)+_xlfn.IFNA(VLOOKUP(SUMPRODUCT(LARGE(($C$8:$C95=Table1[[#This Row],[Climber]])*$A$8:$A95,6)),$A$8:$AW95,MATCH($AW$7,$A$7:$AW$7,FALSE),FALSE),0))/3</f>
        <v>82.729228039795728</v>
      </c>
      <c r="BA95" s="46">
        <f ca="1">_xlfn.MAXIFS(INDIRECT("$AW"&amp;IF(SUMPRODUCT(LARGE(($C$8:$C95=$C95)*$A$8:$A95,LEFT($BA$7,FIND(" ",$BA$7)-1)))=0,8,SUMPRODUCT(LARGE(($C$8:$C95=$C95)*$A$8:$A95,LEFT($BA$7,FIND(" ",$BA$7)-1)))+7)&amp;":$AW"&amp;ROW()),INDIRECT("$C"&amp;IF(SUMPRODUCT(LARGE(($C$8:$C95=$C95)*$A$8:$A95,LEFT($BA$7,FIND(" ",$BA$7)-1)))=0,8,SUMPRODUCT(LARGE(($C$8:$C95=$C95)*$A$8:$A95,LEFT($BA$7,FIND(" ",$BA$7)-1)))+7)&amp;":$C"&amp;ROW()),$C95)</f>
        <v>124.54826206356827</v>
      </c>
      <c r="BB95" s="46" t="str">
        <f ca="1">VLOOKUP(MAX(BG95,$AX95),'RC Lookup'!$G$14:$J$20,2,TRUE)</f>
        <v>T3</v>
      </c>
      <c r="BC95" s="46">
        <f ca="1">_xlfn.IFNA(VLOOKUP(VLOOKUP($C95,'RC Lookup'!$O$3:$P$50,2,FALSE),'RC Lookup'!$H$14:$J$23,2,FALSE),0)*AW95</f>
        <v>176.26169600000009</v>
      </c>
      <c r="BD95" s="6">
        <f ca="1">_xlfn.IFNA(VLOOKUP(SUMPRODUCT(LARGE(($C$8:$C95=Table1[[#This Row],[Climber]])*$A$8:$A95,1)),$A$8:$BC95,55,FALSE),0)/LEFT($AX$7,FIND(" ",$AX$7))+_xlfn.IFNA(VLOOKUP(SUMPRODUCT(LARGE(($C$8:$C95=Table1[[#This Row],[Climber]])*$A$8:$A95,MIN(2,COUNTIFS($C$8:$C95,$C95)))),$A$8:$BC95,55,FALSE),0)/LEFT($AX$7,FIND(" ",$AX$7))+_xlfn.IFNA(VLOOKUP(SUMPRODUCT(LARGE(($C$8:$C95=Table1[[#This Row],[Climber]])*$A$8:$A95,MIN(3,COUNTIFS($C$8:$C95,$C95)))),$A$8:$BC95,55,FALSE),0)/LEFT($AX$7,FIND(" ",$AX$7))</f>
        <v>191.84266981868433</v>
      </c>
      <c r="BE95" s="6">
        <f ca="1">(_xlfn.IFNA(VLOOKUP(SUMPRODUCT(LARGE(($C$8:$C95=Table1[[#This Row],[Climber]])*$A$8:$A95,4)),$A$8:$BD95,55,FALSE),0)+_xlfn.IFNA(VLOOKUP(SUMPRODUCT(LARGE(($C$8:$C95=Table1[[#This Row],[Climber]])*$A$8:$A95,5)),$A$8:$BD95,55,FALSE),0)+_xlfn.IFNA(VLOOKUP(SUMPRODUCT(LARGE(($C$8:$C95=Table1[[#This Row],[Climber]])*$A$8:$A95,6)),$A$8:$BD95,55,FALSE),0))/3</f>
        <v>137.86481363128897</v>
      </c>
      <c r="BF95" s="46">
        <f ca="1">_xlfn.MAXIFS(INDIRECT("$BC"&amp;IF(SUMPRODUCT(LARGE(($C$8:$C95=$C95)*$A$8:$A95,LEFT($BA$7,FIND(" ",$BA$7)-1)))=0,8,SUMPRODUCT(LARGE(($C$8:$C95=$C95)*$A$8:$A95,LEFT($BA$7,FIND(" ",$BA$7)-1)))+7)&amp;":$BC"&amp;ROW()),INDIRECT("$C"&amp;IF(SUMPRODUCT(LARGE(($C$8:$C95=$C95)*$A$8:$A95,LEFT($BA$7,FIND(" ",$BA$7)-1)))=0,8,SUMPRODUCT(LARGE(($C$8:$C95=$C95)*$A$8:$A95,LEFT($BA$7,FIND(" ",$BA$7)-1)))+7)&amp;":$C"&amp;ROW()),$C95)</f>
        <v>207.55449246105613</v>
      </c>
      <c r="BG95" s="46">
        <f t="array" aca="1" ref="BG95" ca="1">IFERROR(SUMPRODUCT(LARGE(($C$8:$C95=Table1[[#This Row],[Climber]])*$AW$8:$AW95,ROW(INDIRECT("1:5")))),AW95)/MIN(COUNTIFS($C$8:$C95,C95),5)</f>
        <v>103.28823029101989</v>
      </c>
    </row>
    <row r="96" spans="1:59" x14ac:dyDescent="0.3">
      <c r="A96" s="125">
        <f t="shared" si="1"/>
        <v>89</v>
      </c>
      <c r="B96" s="25">
        <f>'Rock Climbing Log'!B96</f>
        <v>43182</v>
      </c>
      <c r="C96" s="126" t="str">
        <f>'Rock Climbing Log'!C96</f>
        <v>Edwin</v>
      </c>
      <c r="D96" s="26">
        <f>_xlfn.IFNA(IF(LEFT('Rock Climbing Log'!D96)="C",_xlfn.IFNA(VLOOKUP('Rock Climbing Log'!D96,'RC Lookup'!$A$3:$B$9,2,FALSE),0.5),VLOOKUP('Rock Climbing Log'!D96,'RC Lookup'!$G$3:$H$5,2,FALSE)),0)*VLOOKUP(D$7,'RC Lookup'!$D$3:$E$18,2,FALSE)</f>
        <v>0</v>
      </c>
      <c r="E96" s="26">
        <f>_xlfn.IFNA(IF(LEFT('Rock Climbing Log'!E96)="C",_xlfn.IFNA(VLOOKUP('Rock Climbing Log'!E96,'RC Lookup'!$A$3:$B$9,2,FALSE),0.5),VLOOKUP('Rock Climbing Log'!E96,'RC Lookup'!$G$3:$H$5,2,FALSE)),0)*VLOOKUP(D$7,'RC Lookup'!$D$3:$E$18,2,FALSE)</f>
        <v>0</v>
      </c>
      <c r="F96" s="26">
        <f>_xlfn.IFNA(IF(LEFT('Rock Climbing Log'!F96)="C",_xlfn.IFNA(VLOOKUP('Rock Climbing Log'!F96,'RC Lookup'!$A$3:$B$9,2,FALSE),0.5),VLOOKUP('Rock Climbing Log'!F96,'RC Lookup'!$G$3:$H$5,2,FALSE)),0)*VLOOKUP(D$7,'RC Lookup'!$D$3:$E$18,2,FALSE)</f>
        <v>0</v>
      </c>
      <c r="G96" s="26">
        <f>_xlfn.IFNA(IF(LEFT('Rock Climbing Log'!G96)="C",_xlfn.IFNA(VLOOKUP('Rock Climbing Log'!G96,'RC Lookup'!$A$3:$B$9,2,FALSE),0.5),VLOOKUP('Rock Climbing Log'!G96,'RC Lookup'!$G$3:$H$5,2,FALSE)),0)*VLOOKUP(G$7,'RC Lookup'!$D$3:$E$18,2,FALSE)</f>
        <v>0</v>
      </c>
      <c r="H96" s="26">
        <f>_xlfn.IFNA(IF(LEFT('Rock Climbing Log'!H96)="C",_xlfn.IFNA(VLOOKUP('Rock Climbing Log'!H96,'RC Lookup'!$A$3:$B$9,2,FALSE),0.5),VLOOKUP('Rock Climbing Log'!H96,'RC Lookup'!$G$3:$H$5,2,FALSE)),0)*VLOOKUP(G$7,'RC Lookup'!$D$3:$E$18,2,FALSE)</f>
        <v>0</v>
      </c>
      <c r="I96" s="26">
        <f>_xlfn.IFNA(IF(LEFT('Rock Climbing Log'!I96)="C",_xlfn.IFNA(VLOOKUP('Rock Climbing Log'!I96,'RC Lookup'!$A$3:$B$9,2,FALSE),0.5),VLOOKUP('Rock Climbing Log'!I96,'RC Lookup'!$G$3:$H$5,2,FALSE)),0)*VLOOKUP(G$7,'RC Lookup'!$D$3:$E$18,2,FALSE)</f>
        <v>0</v>
      </c>
      <c r="J96" s="26">
        <f>_xlfn.IFNA(IF(LEFT('Rock Climbing Log'!J96)="C",_xlfn.IFNA(VLOOKUP('Rock Climbing Log'!J96,'RC Lookup'!$A$3:$B$9,2,FALSE),0.5),VLOOKUP('Rock Climbing Log'!J96,'RC Lookup'!$G$3:$H$5,2,FALSE)),0)*VLOOKUP(J$7,'RC Lookup'!$D$3:$E$18,2,FALSE)</f>
        <v>0</v>
      </c>
      <c r="K96" s="26">
        <f>_xlfn.IFNA(IF(LEFT('Rock Climbing Log'!K96)="C",_xlfn.IFNA(VLOOKUP('Rock Climbing Log'!K96,'RC Lookup'!$A$3:$B$9,2,FALSE),0.5),VLOOKUP('Rock Climbing Log'!K96,'RC Lookup'!$G$3:$H$5,2,FALSE)),0)*VLOOKUP(J$7,'RC Lookup'!$D$3:$E$18,2,FALSE)</f>
        <v>0</v>
      </c>
      <c r="L96" s="26">
        <f>_xlfn.IFNA(IF(LEFT('Rock Climbing Log'!L96)="C",_xlfn.IFNA(VLOOKUP('Rock Climbing Log'!L96,'RC Lookup'!$A$3:$B$9,2,FALSE),0.5),VLOOKUP('Rock Climbing Log'!L96,'RC Lookup'!$G$3:$H$5,2,FALSE)),0)*VLOOKUP(J$7,'RC Lookup'!$D$3:$E$18,2,FALSE)</f>
        <v>0</v>
      </c>
      <c r="M96" s="26">
        <f>_xlfn.IFNA(IF(LEFT('Rock Climbing Log'!M96)="C",_xlfn.IFNA(VLOOKUP('Rock Climbing Log'!M96,'RC Lookup'!$A$3:$B$9,2,FALSE),0.5),VLOOKUP('Rock Climbing Log'!M96,'RC Lookup'!$G$3:$H$5,2,FALSE)),0)*VLOOKUP(M$7,'RC Lookup'!$D$3:$E$18,2,FALSE)</f>
        <v>0</v>
      </c>
      <c r="N96" s="26">
        <f>_xlfn.IFNA(IF(LEFT('Rock Climbing Log'!N96)="C",_xlfn.IFNA(VLOOKUP('Rock Climbing Log'!N96,'RC Lookup'!$A$3:$B$9,2,FALSE),0.5),VLOOKUP('Rock Climbing Log'!N96,'RC Lookup'!$G$3:$H$5,2,FALSE)),0)*VLOOKUP(M$7,'RC Lookup'!$D$3:$E$18,2,FALSE)</f>
        <v>0</v>
      </c>
      <c r="O96" s="26">
        <f>_xlfn.IFNA(IF(LEFT('Rock Climbing Log'!O96)="C",_xlfn.IFNA(VLOOKUP('Rock Climbing Log'!O96,'RC Lookup'!$A$3:$B$9,2,FALSE),0.5),VLOOKUP('Rock Climbing Log'!O96,'RC Lookup'!$G$3:$H$5,2,FALSE)),0)*VLOOKUP(M$7,'RC Lookup'!$D$3:$E$18,2,FALSE)</f>
        <v>0</v>
      </c>
      <c r="P96" s="26">
        <f>_xlfn.IFNA(IF(LEFT('Rock Climbing Log'!P96)="C",_xlfn.IFNA(VLOOKUP('Rock Climbing Log'!P96,'RC Lookup'!$A$3:$B$9,2,FALSE),0.5),VLOOKUP('Rock Climbing Log'!P96,'RC Lookup'!$G$3:$H$5,2,FALSE)),0)*VLOOKUP(P$7,'RC Lookup'!$D$3:$E$18,2,FALSE)</f>
        <v>0</v>
      </c>
      <c r="Q96" s="26">
        <f>_xlfn.IFNA(IF(LEFT('Rock Climbing Log'!Q96)="C",_xlfn.IFNA(VLOOKUP('Rock Climbing Log'!Q96,'RC Lookup'!$A$3:$B$9,2,FALSE),0.5),VLOOKUP('Rock Climbing Log'!Q96,'RC Lookup'!$G$3:$H$5,2,FALSE)),0)*VLOOKUP(P$7,'RC Lookup'!$D$3:$E$18,2,FALSE)</f>
        <v>0</v>
      </c>
      <c r="R96" s="26">
        <f>_xlfn.IFNA(IF(LEFT('Rock Climbing Log'!R96)="C",_xlfn.IFNA(VLOOKUP('Rock Climbing Log'!R96,'RC Lookup'!$A$3:$B$9,2,FALSE),0.5),VLOOKUP('Rock Climbing Log'!R96,'RC Lookup'!$G$3:$H$5,2,FALSE)),0)*VLOOKUP(P$7,'RC Lookup'!$D$3:$E$18,2,FALSE)</f>
        <v>0</v>
      </c>
      <c r="S96" s="26">
        <f>_xlfn.IFNA(IF(LEFT('Rock Climbing Log'!S96)="C",_xlfn.IFNA(VLOOKUP('Rock Climbing Log'!S96,'RC Lookup'!$A$3:$B$9,2,FALSE),0.5),VLOOKUP('Rock Climbing Log'!S96,'RC Lookup'!$G$3:$H$5,2,FALSE)),0)*VLOOKUP(S$7,'RC Lookup'!$D$3:$E$18,2,FALSE)</f>
        <v>0</v>
      </c>
      <c r="T96" s="26">
        <f>_xlfn.IFNA(IF(LEFT('Rock Climbing Log'!T96)="C",_xlfn.IFNA(VLOOKUP('Rock Climbing Log'!T96,'RC Lookup'!$A$3:$B$9,2,FALSE),0.5),VLOOKUP('Rock Climbing Log'!T96,'RC Lookup'!$G$3:$H$5,2,FALSE)),0)*VLOOKUP(S$7,'RC Lookup'!$D$3:$E$18,2,FALSE)</f>
        <v>0</v>
      </c>
      <c r="U96" s="26">
        <f>_xlfn.IFNA(IF(LEFT('Rock Climbing Log'!U96)="C",_xlfn.IFNA(VLOOKUP('Rock Climbing Log'!U96,'RC Lookup'!$A$3:$B$9,2,FALSE),0.5),VLOOKUP('Rock Climbing Log'!U96,'RC Lookup'!$G$3:$H$5,2,FALSE)),0)*VLOOKUP(S$7,'RC Lookup'!$D$3:$E$18,2,FALSE)</f>
        <v>0</v>
      </c>
      <c r="V96" s="26">
        <f>_xlfn.IFNA(IF(LEFT('Rock Climbing Log'!V96)="C",_xlfn.IFNA(VLOOKUP('Rock Climbing Log'!V96,'RC Lookup'!$A$3:$B$9,2,FALSE),0.5),VLOOKUP('Rock Climbing Log'!V96,'RC Lookup'!$G$3:$H$5,2,FALSE)),0)*VLOOKUP(V$7,'RC Lookup'!$D$3:$E$18,2,FALSE)</f>
        <v>35.256745742400021</v>
      </c>
      <c r="W96" s="26">
        <f>_xlfn.IFNA(IF(LEFT('Rock Climbing Log'!W96)="C",_xlfn.IFNA(VLOOKUP('Rock Climbing Log'!W96,'RC Lookup'!$A$3:$B$9,2,FALSE),0.5),VLOOKUP('Rock Climbing Log'!W96,'RC Lookup'!$G$3:$H$5,2,FALSE)),0)*VLOOKUP(V$7,'RC Lookup'!$D$3:$E$18,2,FALSE)</f>
        <v>35.256745742400021</v>
      </c>
      <c r="X96" s="26">
        <f>_xlfn.IFNA(IF(LEFT('Rock Climbing Log'!X96)="C",_xlfn.IFNA(VLOOKUP('Rock Climbing Log'!X96,'RC Lookup'!$A$3:$B$9,2,FALSE),0.5),VLOOKUP('Rock Climbing Log'!X96,'RC Lookup'!$G$3:$H$5,2,FALSE)),0)*VLOOKUP(V$7,'RC Lookup'!$D$3:$E$18,2,FALSE)</f>
        <v>35.256745742400021</v>
      </c>
      <c r="Y96" s="26">
        <f>_xlfn.IFNA(IF(LEFT('Rock Climbing Log'!Y96)="C",_xlfn.IFNA(VLOOKUP('Rock Climbing Log'!Y96,'RC Lookup'!$A$3:$B$9,2,FALSE),0.5),VLOOKUP('Rock Climbing Log'!Y96,'RC Lookup'!$G$3:$H$5,2,FALSE)),0)*VLOOKUP(Y$7,'RC Lookup'!$D$3:$E$18,2,FALSE)</f>
        <v>0</v>
      </c>
      <c r="Z96" s="26">
        <f>_xlfn.IFNA(IF(LEFT('Rock Climbing Log'!Z96)="C",_xlfn.IFNA(VLOOKUP('Rock Climbing Log'!Z96,'RC Lookup'!$A$3:$B$9,2,FALSE),0.5),VLOOKUP('Rock Climbing Log'!Z96,'RC Lookup'!$G$3:$H$5,2,FALSE)),0)*VLOOKUP(Y$7,'RC Lookup'!$D$3:$E$18,2,FALSE)</f>
        <v>0</v>
      </c>
      <c r="AA96" s="26">
        <f>_xlfn.IFNA(IF(LEFT('Rock Climbing Log'!AA96)="C",_xlfn.IFNA(VLOOKUP('Rock Climbing Log'!AA96,'RC Lookup'!$A$3:$B$9,2,FALSE),0.5),VLOOKUP('Rock Climbing Log'!AA96,'RC Lookup'!$G$3:$H$5,2,FALSE)),0)*VLOOKUP(Y$7,'RC Lookup'!$D$3:$E$18,2,FALSE)</f>
        <v>0</v>
      </c>
      <c r="AB96" s="26">
        <f>_xlfn.IFNA(IF(LEFT('Rock Climbing Log'!AB96)="C",_xlfn.IFNA(VLOOKUP('Rock Climbing Log'!AB96,'RC Lookup'!$A$3:$B$9,2,FALSE),0.5),VLOOKUP('Rock Climbing Log'!AB96,'RC Lookup'!$G$3:$H$5,2,FALSE)),0)*VLOOKUP(AB$7,'RC Lookup'!$D$3:$E$18,2,FALSE)</f>
        <v>0</v>
      </c>
      <c r="AC96" s="26">
        <f>_xlfn.IFNA(IF(LEFT('Rock Climbing Log'!AC96)="C",_xlfn.IFNA(VLOOKUP('Rock Climbing Log'!AC96,'RC Lookup'!$A$3:$B$9,2,FALSE),0.5),VLOOKUP('Rock Climbing Log'!AC96,'RC Lookup'!$G$3:$H$5,2,FALSE)),0)*VLOOKUP(AB$7,'RC Lookup'!$D$3:$E$18,2,FALSE)</f>
        <v>0</v>
      </c>
      <c r="AD96" s="26">
        <f>_xlfn.IFNA(IF(LEFT('Rock Climbing Log'!AD96)="C",_xlfn.IFNA(VLOOKUP('Rock Climbing Log'!AD96,'RC Lookup'!$A$3:$B$9,2,FALSE),0.5),VLOOKUP('Rock Climbing Log'!AD96,'RC Lookup'!$G$3:$H$5,2,FALSE)),0)*VLOOKUP(AB$7,'RC Lookup'!$D$3:$E$18,2,FALSE)</f>
        <v>0</v>
      </c>
      <c r="AE96" s="26">
        <f>_xlfn.IFNA(IF(LEFT('Rock Climbing Log'!AE96)="C",_xlfn.IFNA(VLOOKUP('Rock Climbing Log'!AE96,'RC Lookup'!$A$3:$B$9,2,FALSE),0.5),VLOOKUP('Rock Climbing Log'!AE96,'RC Lookup'!$G$3:$H$5,2,FALSE)),0)*VLOOKUP(AE$7,'RC Lookup'!$D$3:$E$18,2,FALSE)</f>
        <v>0</v>
      </c>
      <c r="AF96" s="26">
        <f>_xlfn.IFNA(IF(LEFT('Rock Climbing Log'!AF96)="C",_xlfn.IFNA(VLOOKUP('Rock Climbing Log'!AF96,'RC Lookup'!$A$3:$B$9,2,FALSE),0.5),VLOOKUP('Rock Climbing Log'!AF96,'RC Lookup'!$G$3:$H$5,2,FALSE)),0)*VLOOKUP(AE$7,'RC Lookup'!$D$3:$E$18,2,FALSE)</f>
        <v>0</v>
      </c>
      <c r="AG96" s="26">
        <f>_xlfn.IFNA(IF(LEFT('Rock Climbing Log'!AG96)="C",_xlfn.IFNA(VLOOKUP('Rock Climbing Log'!AG96,'RC Lookup'!$A$3:$B$9,2,FALSE),0.5),VLOOKUP('Rock Climbing Log'!AG96,'RC Lookup'!$G$3:$H$5,2,FALSE)),0)*VLOOKUP(AE$7,'RC Lookup'!$D$3:$E$18,2,FALSE)</f>
        <v>0</v>
      </c>
      <c r="AH96" s="26">
        <f>_xlfn.IFNA(IF(LEFT('Rock Climbing Log'!AH96)="C",_xlfn.IFNA(VLOOKUP('Rock Climbing Log'!AH96,'RC Lookup'!$A$3:$B$9,2,FALSE),0.5),VLOOKUP('Rock Climbing Log'!AH96,'RC Lookup'!$G$3:$H$5,2,FALSE)),0)*VLOOKUP(AH$7,'RC Lookup'!$D$3:$E$18,2,FALSE)</f>
        <v>0</v>
      </c>
      <c r="AI96" s="26">
        <f>_xlfn.IFNA(IF(LEFT('Rock Climbing Log'!AI96)="C",_xlfn.IFNA(VLOOKUP('Rock Climbing Log'!AI96,'RC Lookup'!$A$3:$B$9,2,FALSE),0.5),VLOOKUP('Rock Climbing Log'!AI96,'RC Lookup'!$G$3:$H$5,2,FALSE)),0)*VLOOKUP(AH$7,'RC Lookup'!$D$3:$E$18,2,FALSE)</f>
        <v>0</v>
      </c>
      <c r="AJ96" s="26">
        <f>_xlfn.IFNA(IF(LEFT('Rock Climbing Log'!AJ96)="C",_xlfn.IFNA(VLOOKUP('Rock Climbing Log'!AJ96,'RC Lookup'!$A$3:$B$9,2,FALSE),0.5),VLOOKUP('Rock Climbing Log'!AJ96,'RC Lookup'!$G$3:$H$5,2,FALSE)),0)*VLOOKUP(AH$7,'RC Lookup'!$D$3:$E$18,2,FALSE)</f>
        <v>0</v>
      </c>
      <c r="AK96" s="26">
        <f>_xlfn.IFNA(IF(LEFT('Rock Climbing Log'!AK96)="C",_xlfn.IFNA(VLOOKUP('Rock Climbing Log'!AK96,'RC Lookup'!$A$3:$B$9,2,FALSE),0.5),VLOOKUP('Rock Climbing Log'!AK96,'RC Lookup'!$G$3:$H$5,2,FALSE)),0)*VLOOKUP(AK$7,'RC Lookup'!$D$3:$E$18,2,FALSE)</f>
        <v>0</v>
      </c>
      <c r="AL96" s="26">
        <f>_xlfn.IFNA(IF(LEFT('Rock Climbing Log'!AL96)="C",_xlfn.IFNA(VLOOKUP('Rock Climbing Log'!AL96,'RC Lookup'!$A$3:$B$9,2,FALSE),0.5),VLOOKUP('Rock Climbing Log'!AL96,'RC Lookup'!$G$3:$H$5,2,FALSE)),0)*VLOOKUP(AK$7,'RC Lookup'!$D$3:$E$18,2,FALSE)</f>
        <v>0</v>
      </c>
      <c r="AM96" s="26">
        <f>_xlfn.IFNA(IF(LEFT('Rock Climbing Log'!AM96)="C",_xlfn.IFNA(VLOOKUP('Rock Climbing Log'!AM96,'RC Lookup'!$A$3:$B$9,2,FALSE),0.5),VLOOKUP('Rock Climbing Log'!AM96,'RC Lookup'!$G$3:$H$5,2,FALSE)),0)*VLOOKUP(AK$7,'RC Lookup'!$D$3:$E$18,2,FALSE)</f>
        <v>0</v>
      </c>
      <c r="AN96" s="26">
        <f>_xlfn.IFNA(IF(LEFT('Rock Climbing Log'!AN96)="C",_xlfn.IFNA(VLOOKUP('Rock Climbing Log'!AN96,'RC Lookup'!$A$3:$B$9,2,FALSE),0.5),VLOOKUP('Rock Climbing Log'!AN96,'RC Lookup'!$G$3:$H$5,2,FALSE)),0)*VLOOKUP(AN$7,'RC Lookup'!$D$3:$E$18,2,FALSE)</f>
        <v>0</v>
      </c>
      <c r="AO96" s="26">
        <f>_xlfn.IFNA(IF(LEFT('Rock Climbing Log'!AO96)="C",_xlfn.IFNA(VLOOKUP('Rock Climbing Log'!AO96,'RC Lookup'!$A$3:$B$9,2,FALSE),0.5),VLOOKUP('Rock Climbing Log'!AO96,'RC Lookup'!$G$3:$H$5,2,FALSE)),0)*VLOOKUP(AN$7,'RC Lookup'!$D$3:$E$18,2,FALSE)</f>
        <v>0</v>
      </c>
      <c r="AP96" s="26">
        <f>_xlfn.IFNA(IF(LEFT('Rock Climbing Log'!AP96)="C",_xlfn.IFNA(VLOOKUP('Rock Climbing Log'!AP96,'RC Lookup'!$A$3:$B$9,2,FALSE),0.5),VLOOKUP('Rock Climbing Log'!AP96,'RC Lookup'!$G$3:$H$5,2,FALSE)),0)*VLOOKUP(AN$7,'RC Lookup'!$D$3:$E$18,2,FALSE)</f>
        <v>0</v>
      </c>
      <c r="AQ96" s="26">
        <f>_xlfn.IFNA(IF(LEFT('Rock Climbing Log'!AQ96)="C",_xlfn.IFNA(VLOOKUP('Rock Climbing Log'!AQ96,'RC Lookup'!$A$3:$B$9,2,FALSE),0.5),VLOOKUP('Rock Climbing Log'!AQ96,'RC Lookup'!$G$3:$H$5,2,FALSE)),0)*VLOOKUP(AQ$7,'RC Lookup'!$D$3:$E$18,2,FALSE)</f>
        <v>0</v>
      </c>
      <c r="AR96" s="26">
        <f>_xlfn.IFNA(IF(LEFT('Rock Climbing Log'!AR96)="C",_xlfn.IFNA(VLOOKUP('Rock Climbing Log'!AR96,'RC Lookup'!$A$3:$B$9,2,FALSE),0.5),VLOOKUP('Rock Climbing Log'!AR96,'RC Lookup'!$G$3:$H$5,2,FALSE)),0)*VLOOKUP(AQ$7,'RC Lookup'!$D$3:$E$18,2,FALSE)</f>
        <v>0</v>
      </c>
      <c r="AS96" s="26">
        <f>_xlfn.IFNA(IF(LEFT('Rock Climbing Log'!AS96)="C",_xlfn.IFNA(VLOOKUP('Rock Climbing Log'!AS96,'RC Lookup'!$A$3:$B$9,2,FALSE),0.5),VLOOKUP('Rock Climbing Log'!AS96,'RC Lookup'!$G$3:$H$5,2,FALSE)),0)*VLOOKUP(AQ$7,'RC Lookup'!$D$3:$E$18,2,FALSE)</f>
        <v>0</v>
      </c>
      <c r="AT96" s="26">
        <f>_xlfn.IFNA(IF(LEFT('Rock Climbing Log'!AT96)="C",_xlfn.IFNA(VLOOKUP('Rock Climbing Log'!AT96,'RC Lookup'!$A$3:$B$9,2,FALSE),0.5),VLOOKUP('Rock Climbing Log'!AT96,'RC Lookup'!$G$3:$H$5,2,FALSE)),0)*VLOOKUP(AT$7,'RC Lookup'!$D$3:$E$18,2,FALSE)</f>
        <v>0</v>
      </c>
      <c r="AU96" s="26">
        <f>_xlfn.IFNA(IF(LEFT('Rock Climbing Log'!AU96)="C",_xlfn.IFNA(VLOOKUP('Rock Climbing Log'!AU96,'RC Lookup'!$A$3:$B$9,2,FALSE),0.5),VLOOKUP('Rock Climbing Log'!AU96,'RC Lookup'!$G$3:$H$5,2,FALSE)),0)*VLOOKUP(AT$7,'RC Lookup'!$D$3:$E$18,2,FALSE)</f>
        <v>0</v>
      </c>
      <c r="AV96" s="26">
        <f>_xlfn.IFNA(IF(LEFT('Rock Climbing Log'!AV96)="C",_xlfn.IFNA(VLOOKUP('Rock Climbing Log'!AV96,'RC Lookup'!$A$3:$B$9,2,FALSE),0.5),VLOOKUP('Rock Climbing Log'!AV96,'RC Lookup'!$G$3:$H$5,2,FALSE)),0)*VLOOKUP(AT$7,'RC Lookup'!$D$3:$E$18,2,FALSE)</f>
        <v>0</v>
      </c>
      <c r="AW96" s="30">
        <f t="shared" ca="1" si="3"/>
        <v>105.77023722720006</v>
      </c>
      <c r="AX96" s="30">
        <f ca="1">_xlfn.IFNA(VLOOKUP(SUMPRODUCT(LARGE(($C$8:$C96=Table1[[#This Row],[Climber]])*$A$8:$A96,1)),$A$8:$AW96,MATCH($AW$7,$A$7:$AW$7,FALSE),FALSE),0)/LEFT($AX$7,FIND(" ",$AX$7))+_xlfn.IFNA(VLOOKUP(SUMPRODUCT(LARGE(($C$8:$C96=Table1[[#This Row],[Climber]])*$A$8:$A96,MIN(2,COUNTIFS($C$8:$C96,$C96)))),$A$8:$AW96,MATCH($AW$7,$A$7:$AW$7,FALSE),FALSE),0)/LEFT($AX$7,FIND(" ",$AX$7))+_xlfn.IFNA(VLOOKUP(SUMPRODUCT(LARGE(($C$8:$C96=Table1[[#This Row],[Climber]])*$A$8:$A96,MIN(3,COUNTIFS($C$8:$C96,$C96)))),$A$8:$AW96,MATCH($AW$7,$A$7:$AW$7,FALSE),FALSE),0)/LEFT($AX$7,FIND(" ",$AX$7))</f>
        <v>115.79883853494445</v>
      </c>
      <c r="AY96" s="30">
        <f ca="1">_xlfn.IFNA(VLOOKUP(SUMPRODUCT(LARGE(($C$8:$C96=Table1[[#This Row],[Climber]])*$A$8:$A96,1)),$A$8:$AW96,MATCH($AW$7,$A$7:$AW$7,FALSE),FALSE),0)/LEFT($AY$7,FIND(" ",$AY$7))+_xlfn.IFNA(VLOOKUP(SUMPRODUCT(LARGE(($C$8:$C96=Table1[[#This Row],[Climber]])*$A$8:$A96,MIN(2,COUNTIFS($C$8:$C96,$C96)))),$A$8:$AW96,MATCH($AW$7,$A$7:$AW$7,FALSE),FALSE),0)/LEFT($AY$7,FIND(" ",$AY$7))+_xlfn.IFNA(VLOOKUP(SUMPRODUCT(LARGE(($C$8:$C96=Table1[[#This Row],[Climber]])*$A$8:$A96,MIN(3,COUNTIFS($C$8:$C96,$C96)))),$A$8:$AW96,MATCH($AW$7,$A$7:$AW$7,FALSE),FALSE),0)/LEFT($AY$7,FIND(" ",$AY$7))+_xlfn.IFNA(VLOOKUP(SUMPRODUCT(LARGE(($C$8:$C96=Table1[[#This Row],[Climber]])*$A$8:$A96,MIN(4,COUNTIFS($C$8:$C96,$C96)))),$A$8:$AW96,MATCH($AW$7,$A$7:$AW$7,FALSE),FALSE),0)/LEFT($AY$7,FIND(" ",$AY$7))+_xlfn.IFNA(VLOOKUP(SUMPRODUCT(LARGE(($C$8:$C96=Table1[[#This Row],[Climber]])*$A$8:$A96,MIN(5,COUNTIFS($C$8:$C96,$C96)))),$A$8:$AW96,MATCH($AW$7,$A$7:$AW$7,FALSE),FALSE),0)/LEFT($AY$7,FIND(" ",$AY$7))</f>
        <v>107.9378134996266</v>
      </c>
      <c r="AZ96" s="30">
        <f ca="1">(_xlfn.IFNA(VLOOKUP(SUMPRODUCT(LARGE(($C$8:$C96=Table1[[#This Row],[Climber]])*$A$8:$A96,4)),$A$8:$AW96,MATCH($AW$7,$A$7:$AW$7,FALSE),FALSE),0)+_xlfn.IFNA(VLOOKUP(SUMPRODUCT(LARGE(($C$8:$C96=Table1[[#This Row],[Climber]])*$A$8:$A96,5)),$A$8:$AW96,MATCH($AW$7,$A$7:$AW$7,FALSE),FALSE),0)+_xlfn.IFNA(VLOOKUP(SUMPRODUCT(LARGE(($C$8:$C96=Table1[[#This Row],[Climber]])*$A$8:$A96,6)),$A$8:$AW96,MATCH($AW$7,$A$7:$AW$7,FALSE),FALSE),0))/3</f>
        <v>94.269514459366562</v>
      </c>
      <c r="BA96" s="46">
        <f ca="1">_xlfn.MAXIFS(INDIRECT("$AW"&amp;IF(SUMPRODUCT(LARGE(($C$8:$C96=$C96)*$A$8:$A96,LEFT($BA$7,FIND(" ",$BA$7)-1)))=0,8,SUMPRODUCT(LARGE(($C$8:$C96=$C96)*$A$8:$A96,LEFT($BA$7,FIND(" ",$BA$7)-1)))+7)&amp;":$AW"&amp;ROW()),INDIRECT("$C"&amp;IF(SUMPRODUCT(LARGE(($C$8:$C96=$C96)*$A$8:$A96,LEFT($BA$7,FIND(" ",$BA$7)-1)))=0,8,SUMPRODUCT(LARGE(($C$8:$C96=$C96)*$A$8:$A96,LEFT($BA$7,FIND(" ",$BA$7)-1)))+7)&amp;":$C"&amp;ROW()),$C96)</f>
        <v>128.08468294187779</v>
      </c>
      <c r="BB96" s="46" t="str">
        <f ca="1">VLOOKUP(MAX(BG96,$AX96),'RC Lookup'!$G$14:$J$20,2,TRUE)</f>
        <v>T3</v>
      </c>
      <c r="BC96" s="46">
        <f ca="1">_xlfn.IFNA(VLOOKUP(VLOOKUP($C96,'RC Lookup'!$O$3:$P$50,2,FALSE),'RC Lookup'!$H$14:$J$23,2,FALSE),0)*AW96</f>
        <v>81.168831168831161</v>
      </c>
      <c r="BD96" s="6">
        <f ca="1">_xlfn.IFNA(VLOOKUP(SUMPRODUCT(LARGE(($C$8:$C96=Table1[[#This Row],[Climber]])*$A$8:$A96,1)),$A$8:$BC96,55,FALSE),0)/LEFT($AX$7,FIND(" ",$AX$7))+_xlfn.IFNA(VLOOKUP(SUMPRODUCT(LARGE(($C$8:$C96=Table1[[#This Row],[Climber]])*$A$8:$A96,MIN(2,COUNTIFS($C$8:$C96,$C96)))),$A$8:$BC96,55,FALSE),0)/LEFT($AX$7,FIND(" ",$AX$7))+_xlfn.IFNA(VLOOKUP(SUMPRODUCT(LARGE(($C$8:$C96=Table1[[#This Row],[Climber]])*$A$8:$A96,MIN(3,COUNTIFS($C$8:$C96,$C96)))),$A$8:$BC96,55,FALSE),0)/LEFT($AX$7,FIND(" ",$AX$7))</f>
        <v>88.864851029874757</v>
      </c>
      <c r="BE96" s="6">
        <f ca="1">(_xlfn.IFNA(VLOOKUP(SUMPRODUCT(LARGE(($C$8:$C96=Table1[[#This Row],[Climber]])*$A$8:$A96,4)),$A$8:$BD96,55,FALSE),0)+_xlfn.IFNA(VLOOKUP(SUMPRODUCT(LARGE(($C$8:$C96=Table1[[#This Row],[Climber]])*$A$8:$A96,5)),$A$8:$BD96,55,FALSE),0)+_xlfn.IFNA(VLOOKUP(SUMPRODUCT(LARGE(($C$8:$C96=Table1[[#This Row],[Climber]])*$A$8:$A96,6)),$A$8:$BD96,55,FALSE),0))/3</f>
        <v>72.343094845137344</v>
      </c>
      <c r="BF96" s="46">
        <f ca="1">_xlfn.MAXIFS(INDIRECT("$BC"&amp;IF(SUMPRODUCT(LARGE(($C$8:$C96=$C96)*$A$8:$A96,LEFT($BA$7,FIND(" ",$BA$7)-1)))=0,8,SUMPRODUCT(LARGE(($C$8:$C96=$C96)*$A$8:$A96,LEFT($BA$7,FIND(" ",$BA$7)-1)))+7)&amp;":$BC"&amp;ROW()),INDIRECT("$C"&amp;IF(SUMPRODUCT(LARGE(($C$8:$C96=$C96)*$A$8:$A96,LEFT($BA$7,FIND(" ",$BA$7)-1)))=0,8,SUMPRODUCT(LARGE(($C$8:$C96=$C96)*$A$8:$A96,LEFT($BA$7,FIND(" ",$BA$7)-1)))+7)&amp;":$C"&amp;ROW()),$C96)</f>
        <v>98.293095274905639</v>
      </c>
      <c r="BG96" s="46">
        <f t="array" aca="1" ref="BG96" ca="1">IFERROR(SUMPRODUCT(LARGE(($C$8:$C96=Table1[[#This Row],[Climber]])*$AW$8:$AW96,ROW(INDIRECT("1:5")))),AW96)/MIN(COUNTIFS($C$8:$C96,C96),5)</f>
        <v>113.01166986685362</v>
      </c>
    </row>
    <row r="97" spans="1:59" x14ac:dyDescent="0.3">
      <c r="A97" s="125">
        <f t="shared" si="1"/>
        <v>90</v>
      </c>
      <c r="B97" s="25">
        <f>'Rock Climbing Log'!B97</f>
        <v>43185</v>
      </c>
      <c r="C97" s="126" t="str">
        <f>'Rock Climbing Log'!C97</f>
        <v>Michelle</v>
      </c>
      <c r="D97" s="26">
        <f>_xlfn.IFNA(IF(LEFT('Rock Climbing Log'!D97)="C",_xlfn.IFNA(VLOOKUP('Rock Climbing Log'!D97,'RC Lookup'!$A$3:$B$9,2,FALSE),0.5),VLOOKUP('Rock Climbing Log'!D97,'RC Lookup'!$G$3:$H$5,2,FALSE)),0)*VLOOKUP(D$7,'RC Lookup'!$D$3:$E$18,2,FALSE)</f>
        <v>0</v>
      </c>
      <c r="E97" s="26">
        <f>_xlfn.IFNA(IF(LEFT('Rock Climbing Log'!E97)="C",_xlfn.IFNA(VLOOKUP('Rock Climbing Log'!E97,'RC Lookup'!$A$3:$B$9,2,FALSE),0.5),VLOOKUP('Rock Climbing Log'!E97,'RC Lookup'!$G$3:$H$5,2,FALSE)),0)*VLOOKUP(D$7,'RC Lookup'!$D$3:$E$18,2,FALSE)</f>
        <v>0</v>
      </c>
      <c r="F97" s="26">
        <f>_xlfn.IFNA(IF(LEFT('Rock Climbing Log'!F97)="C",_xlfn.IFNA(VLOOKUP('Rock Climbing Log'!F97,'RC Lookup'!$A$3:$B$9,2,FALSE),0.5),VLOOKUP('Rock Climbing Log'!F97,'RC Lookup'!$G$3:$H$5,2,FALSE)),0)*VLOOKUP(D$7,'RC Lookup'!$D$3:$E$18,2,FALSE)</f>
        <v>0</v>
      </c>
      <c r="G97" s="26">
        <f>_xlfn.IFNA(IF(LEFT('Rock Climbing Log'!G97)="C",_xlfn.IFNA(VLOOKUP('Rock Climbing Log'!G97,'RC Lookup'!$A$3:$B$9,2,FALSE),0.5),VLOOKUP('Rock Climbing Log'!G97,'RC Lookup'!$G$3:$H$5,2,FALSE)),0)*VLOOKUP(G$7,'RC Lookup'!$D$3:$E$18,2,FALSE)</f>
        <v>0</v>
      </c>
      <c r="H97" s="26">
        <f>_xlfn.IFNA(IF(LEFT('Rock Climbing Log'!H97)="C",_xlfn.IFNA(VLOOKUP('Rock Climbing Log'!H97,'RC Lookup'!$A$3:$B$9,2,FALSE),0.5),VLOOKUP('Rock Climbing Log'!H97,'RC Lookup'!$G$3:$H$5,2,FALSE)),0)*VLOOKUP(G$7,'RC Lookup'!$D$3:$E$18,2,FALSE)</f>
        <v>0</v>
      </c>
      <c r="I97" s="26">
        <f>_xlfn.IFNA(IF(LEFT('Rock Climbing Log'!I97)="C",_xlfn.IFNA(VLOOKUP('Rock Climbing Log'!I97,'RC Lookup'!$A$3:$B$9,2,FALSE),0.5),VLOOKUP('Rock Climbing Log'!I97,'RC Lookup'!$G$3:$H$5,2,FALSE)),0)*VLOOKUP(G$7,'RC Lookup'!$D$3:$E$18,2,FALSE)</f>
        <v>0</v>
      </c>
      <c r="J97" s="26">
        <f>_xlfn.IFNA(IF(LEFT('Rock Climbing Log'!J97)="C",_xlfn.IFNA(VLOOKUP('Rock Climbing Log'!J97,'RC Lookup'!$A$3:$B$9,2,FALSE),0.5),VLOOKUP('Rock Climbing Log'!J97,'RC Lookup'!$G$3:$H$5,2,FALSE)),0)*VLOOKUP(J$7,'RC Lookup'!$D$3:$E$18,2,FALSE)</f>
        <v>15.75</v>
      </c>
      <c r="K97" s="26">
        <f>_xlfn.IFNA(IF(LEFT('Rock Climbing Log'!K97)="C",_xlfn.IFNA(VLOOKUP('Rock Climbing Log'!K97,'RC Lookup'!$A$3:$B$9,2,FALSE),0.5),VLOOKUP('Rock Climbing Log'!K97,'RC Lookup'!$G$3:$H$5,2,FALSE)),0)*VLOOKUP(J$7,'RC Lookup'!$D$3:$E$18,2,FALSE)</f>
        <v>15.75</v>
      </c>
      <c r="L97" s="26">
        <f>_xlfn.IFNA(IF(LEFT('Rock Climbing Log'!L97)="C",_xlfn.IFNA(VLOOKUP('Rock Climbing Log'!L97,'RC Lookup'!$A$3:$B$9,2,FALSE),0.5),VLOOKUP('Rock Climbing Log'!L97,'RC Lookup'!$G$3:$H$5,2,FALSE)),0)*VLOOKUP(J$7,'RC Lookup'!$D$3:$E$18,2,FALSE)</f>
        <v>0</v>
      </c>
      <c r="M97" s="26">
        <f>_xlfn.IFNA(IF(LEFT('Rock Climbing Log'!M97)="C",_xlfn.IFNA(VLOOKUP('Rock Climbing Log'!M97,'RC Lookup'!$A$3:$B$9,2,FALSE),0.5),VLOOKUP('Rock Climbing Log'!M97,'RC Lookup'!$G$3:$H$5,2,FALSE)),0)*VLOOKUP(M$7,'RC Lookup'!$D$3:$E$18,2,FALSE)</f>
        <v>20.002500000000001</v>
      </c>
      <c r="N97" s="26">
        <f>_xlfn.IFNA(IF(LEFT('Rock Climbing Log'!N97)="C",_xlfn.IFNA(VLOOKUP('Rock Climbing Log'!N97,'RC Lookup'!$A$3:$B$9,2,FALSE),0.5),VLOOKUP('Rock Climbing Log'!N97,'RC Lookup'!$G$3:$H$5,2,FALSE)),0)*VLOOKUP(M$7,'RC Lookup'!$D$3:$E$18,2,FALSE)</f>
        <v>10.001250000000001</v>
      </c>
      <c r="O97" s="26">
        <f>_xlfn.IFNA(IF(LEFT('Rock Climbing Log'!O97)="C",_xlfn.IFNA(VLOOKUP('Rock Climbing Log'!O97,'RC Lookup'!$A$3:$B$9,2,FALSE),0.5),VLOOKUP('Rock Climbing Log'!O97,'RC Lookup'!$G$3:$H$5,2,FALSE)),0)*VLOOKUP(M$7,'RC Lookup'!$D$3:$E$18,2,FALSE)</f>
        <v>0</v>
      </c>
      <c r="P97" s="26">
        <f>_xlfn.IFNA(IF(LEFT('Rock Climbing Log'!P97)="C",_xlfn.IFNA(VLOOKUP('Rock Climbing Log'!P97,'RC Lookup'!$A$3:$B$9,2,FALSE),0.5),VLOOKUP('Rock Climbing Log'!P97,'RC Lookup'!$G$3:$H$5,2,FALSE)),0)*VLOOKUP(P$7,'RC Lookup'!$D$3:$E$18,2,FALSE)</f>
        <v>0</v>
      </c>
      <c r="Q97" s="26">
        <f>_xlfn.IFNA(IF(LEFT('Rock Climbing Log'!Q97)="C",_xlfn.IFNA(VLOOKUP('Rock Climbing Log'!Q97,'RC Lookup'!$A$3:$B$9,2,FALSE),0.5),VLOOKUP('Rock Climbing Log'!Q97,'RC Lookup'!$G$3:$H$5,2,FALSE)),0)*VLOOKUP(P$7,'RC Lookup'!$D$3:$E$18,2,FALSE)</f>
        <v>0</v>
      </c>
      <c r="R97" s="26">
        <f>_xlfn.IFNA(IF(LEFT('Rock Climbing Log'!R97)="C",_xlfn.IFNA(VLOOKUP('Rock Climbing Log'!R97,'RC Lookup'!$A$3:$B$9,2,FALSE),0.5),VLOOKUP('Rock Climbing Log'!R97,'RC Lookup'!$G$3:$H$5,2,FALSE)),0)*VLOOKUP(P$7,'RC Lookup'!$D$3:$E$18,2,FALSE)</f>
        <v>0</v>
      </c>
      <c r="S97" s="26">
        <f>_xlfn.IFNA(IF(LEFT('Rock Climbing Log'!S97)="C",_xlfn.IFNA(VLOOKUP('Rock Climbing Log'!S97,'RC Lookup'!$A$3:$B$9,2,FALSE),0.5),VLOOKUP('Rock Climbing Log'!S97,'RC Lookup'!$G$3:$H$5,2,FALSE)),0)*VLOOKUP(S$7,'RC Lookup'!$D$3:$E$18,2,FALSE)</f>
        <v>0</v>
      </c>
      <c r="T97" s="26">
        <f>_xlfn.IFNA(IF(LEFT('Rock Climbing Log'!T97)="C",_xlfn.IFNA(VLOOKUP('Rock Climbing Log'!T97,'RC Lookup'!$A$3:$B$9,2,FALSE),0.5),VLOOKUP('Rock Climbing Log'!T97,'RC Lookup'!$G$3:$H$5,2,FALSE)),0)*VLOOKUP(S$7,'RC Lookup'!$D$3:$E$18,2,FALSE)</f>
        <v>0</v>
      </c>
      <c r="U97" s="26">
        <f>_xlfn.IFNA(IF(LEFT('Rock Climbing Log'!U97)="C",_xlfn.IFNA(VLOOKUP('Rock Climbing Log'!U97,'RC Lookup'!$A$3:$B$9,2,FALSE),0.5),VLOOKUP('Rock Climbing Log'!U97,'RC Lookup'!$G$3:$H$5,2,FALSE)),0)*VLOOKUP(S$7,'RC Lookup'!$D$3:$E$18,2,FALSE)</f>
        <v>0</v>
      </c>
      <c r="V97" s="26">
        <f>_xlfn.IFNA(IF(LEFT('Rock Climbing Log'!V97)="C",_xlfn.IFNA(VLOOKUP('Rock Climbing Log'!V97,'RC Lookup'!$A$3:$B$9,2,FALSE),0.5),VLOOKUP('Rock Climbing Log'!V97,'RC Lookup'!$G$3:$H$5,2,FALSE)),0)*VLOOKUP(V$7,'RC Lookup'!$D$3:$E$18,2,FALSE)</f>
        <v>0</v>
      </c>
      <c r="W97" s="26">
        <f>_xlfn.IFNA(IF(LEFT('Rock Climbing Log'!W97)="C",_xlfn.IFNA(VLOOKUP('Rock Climbing Log'!W97,'RC Lookup'!$A$3:$B$9,2,FALSE),0.5),VLOOKUP('Rock Climbing Log'!W97,'RC Lookup'!$G$3:$H$5,2,FALSE)),0)*VLOOKUP(V$7,'RC Lookup'!$D$3:$E$18,2,FALSE)</f>
        <v>0</v>
      </c>
      <c r="X97" s="26">
        <f>_xlfn.IFNA(IF(LEFT('Rock Climbing Log'!X97)="C",_xlfn.IFNA(VLOOKUP('Rock Climbing Log'!X97,'RC Lookup'!$A$3:$B$9,2,FALSE),0.5),VLOOKUP('Rock Climbing Log'!X97,'RC Lookup'!$G$3:$H$5,2,FALSE)),0)*VLOOKUP(V$7,'RC Lookup'!$D$3:$E$18,2,FALSE)</f>
        <v>0</v>
      </c>
      <c r="Y97" s="26">
        <f>_xlfn.IFNA(IF(LEFT('Rock Climbing Log'!Y97)="C",_xlfn.IFNA(VLOOKUP('Rock Climbing Log'!Y97,'RC Lookup'!$A$3:$B$9,2,FALSE),0.5),VLOOKUP('Rock Climbing Log'!Y97,'RC Lookup'!$G$3:$H$5,2,FALSE)),0)*VLOOKUP(Y$7,'RC Lookup'!$D$3:$E$18,2,FALSE)</f>
        <v>0</v>
      </c>
      <c r="Z97" s="26">
        <f>_xlfn.IFNA(IF(LEFT('Rock Climbing Log'!Z97)="C",_xlfn.IFNA(VLOOKUP('Rock Climbing Log'!Z97,'RC Lookup'!$A$3:$B$9,2,FALSE),0.5),VLOOKUP('Rock Climbing Log'!Z97,'RC Lookup'!$G$3:$H$5,2,FALSE)),0)*VLOOKUP(Y$7,'RC Lookup'!$D$3:$E$18,2,FALSE)</f>
        <v>0</v>
      </c>
      <c r="AA97" s="26">
        <f>_xlfn.IFNA(IF(LEFT('Rock Climbing Log'!AA97)="C",_xlfn.IFNA(VLOOKUP('Rock Climbing Log'!AA97,'RC Lookup'!$A$3:$B$9,2,FALSE),0.5),VLOOKUP('Rock Climbing Log'!AA97,'RC Lookup'!$G$3:$H$5,2,FALSE)),0)*VLOOKUP(Y$7,'RC Lookup'!$D$3:$E$18,2,FALSE)</f>
        <v>0</v>
      </c>
      <c r="AB97" s="26">
        <f>_xlfn.IFNA(IF(LEFT('Rock Climbing Log'!AB97)="C",_xlfn.IFNA(VLOOKUP('Rock Climbing Log'!AB97,'RC Lookup'!$A$3:$B$9,2,FALSE),0.5),VLOOKUP('Rock Climbing Log'!AB97,'RC Lookup'!$G$3:$H$5,2,FALSE)),0)*VLOOKUP(AB$7,'RC Lookup'!$D$3:$E$18,2,FALSE)</f>
        <v>0</v>
      </c>
      <c r="AC97" s="26">
        <f>_xlfn.IFNA(IF(LEFT('Rock Climbing Log'!AC97)="C",_xlfn.IFNA(VLOOKUP('Rock Climbing Log'!AC97,'RC Lookup'!$A$3:$B$9,2,FALSE),0.5),VLOOKUP('Rock Climbing Log'!AC97,'RC Lookup'!$G$3:$H$5,2,FALSE)),0)*VLOOKUP(AB$7,'RC Lookup'!$D$3:$E$18,2,FALSE)</f>
        <v>0</v>
      </c>
      <c r="AD97" s="26">
        <f>_xlfn.IFNA(IF(LEFT('Rock Climbing Log'!AD97)="C",_xlfn.IFNA(VLOOKUP('Rock Climbing Log'!AD97,'RC Lookup'!$A$3:$B$9,2,FALSE),0.5),VLOOKUP('Rock Climbing Log'!AD97,'RC Lookup'!$G$3:$H$5,2,FALSE)),0)*VLOOKUP(AB$7,'RC Lookup'!$D$3:$E$18,2,FALSE)</f>
        <v>0</v>
      </c>
      <c r="AE97" s="26">
        <f>_xlfn.IFNA(IF(LEFT('Rock Climbing Log'!AE97)="C",_xlfn.IFNA(VLOOKUP('Rock Climbing Log'!AE97,'RC Lookup'!$A$3:$B$9,2,FALSE),0.5),VLOOKUP('Rock Climbing Log'!AE97,'RC Lookup'!$G$3:$H$5,2,FALSE)),0)*VLOOKUP(AE$7,'RC Lookup'!$D$3:$E$18,2,FALSE)</f>
        <v>0</v>
      </c>
      <c r="AF97" s="26">
        <f>_xlfn.IFNA(IF(LEFT('Rock Climbing Log'!AF97)="C",_xlfn.IFNA(VLOOKUP('Rock Climbing Log'!AF97,'RC Lookup'!$A$3:$B$9,2,FALSE),0.5),VLOOKUP('Rock Climbing Log'!AF97,'RC Lookup'!$G$3:$H$5,2,FALSE)),0)*VLOOKUP(AE$7,'RC Lookup'!$D$3:$E$18,2,FALSE)</f>
        <v>0</v>
      </c>
      <c r="AG97" s="26">
        <f>_xlfn.IFNA(IF(LEFT('Rock Climbing Log'!AG97)="C",_xlfn.IFNA(VLOOKUP('Rock Climbing Log'!AG97,'RC Lookup'!$A$3:$B$9,2,FALSE),0.5),VLOOKUP('Rock Climbing Log'!AG97,'RC Lookup'!$G$3:$H$5,2,FALSE)),0)*VLOOKUP(AE$7,'RC Lookup'!$D$3:$E$18,2,FALSE)</f>
        <v>0</v>
      </c>
      <c r="AH97" s="26">
        <f>_xlfn.IFNA(IF(LEFT('Rock Climbing Log'!AH97)="C",_xlfn.IFNA(VLOOKUP('Rock Climbing Log'!AH97,'RC Lookup'!$A$3:$B$9,2,FALSE),0.5),VLOOKUP('Rock Climbing Log'!AH97,'RC Lookup'!$G$3:$H$5,2,FALSE)),0)*VLOOKUP(AH$7,'RC Lookup'!$D$3:$E$18,2,FALSE)</f>
        <v>0</v>
      </c>
      <c r="AI97" s="26">
        <f>_xlfn.IFNA(IF(LEFT('Rock Climbing Log'!AI97)="C",_xlfn.IFNA(VLOOKUP('Rock Climbing Log'!AI97,'RC Lookup'!$A$3:$B$9,2,FALSE),0.5),VLOOKUP('Rock Climbing Log'!AI97,'RC Lookup'!$G$3:$H$5,2,FALSE)),0)*VLOOKUP(AH$7,'RC Lookup'!$D$3:$E$18,2,FALSE)</f>
        <v>0</v>
      </c>
      <c r="AJ97" s="26">
        <f>_xlfn.IFNA(IF(LEFT('Rock Climbing Log'!AJ97)="C",_xlfn.IFNA(VLOOKUP('Rock Climbing Log'!AJ97,'RC Lookup'!$A$3:$B$9,2,FALSE),0.5),VLOOKUP('Rock Climbing Log'!AJ97,'RC Lookup'!$G$3:$H$5,2,FALSE)),0)*VLOOKUP(AH$7,'RC Lookup'!$D$3:$E$18,2,FALSE)</f>
        <v>0</v>
      </c>
      <c r="AK97" s="26">
        <f>_xlfn.IFNA(IF(LEFT('Rock Climbing Log'!AK97)="C",_xlfn.IFNA(VLOOKUP('Rock Climbing Log'!AK97,'RC Lookup'!$A$3:$B$9,2,FALSE),0.5),VLOOKUP('Rock Climbing Log'!AK97,'RC Lookup'!$G$3:$H$5,2,FALSE)),0)*VLOOKUP(AK$7,'RC Lookup'!$D$3:$E$18,2,FALSE)</f>
        <v>0</v>
      </c>
      <c r="AL97" s="26">
        <f>_xlfn.IFNA(IF(LEFT('Rock Climbing Log'!AL97)="C",_xlfn.IFNA(VLOOKUP('Rock Climbing Log'!AL97,'RC Lookup'!$A$3:$B$9,2,FALSE),0.5),VLOOKUP('Rock Climbing Log'!AL97,'RC Lookup'!$G$3:$H$5,2,FALSE)),0)*VLOOKUP(AK$7,'RC Lookup'!$D$3:$E$18,2,FALSE)</f>
        <v>0</v>
      </c>
      <c r="AM97" s="26">
        <f>_xlfn.IFNA(IF(LEFT('Rock Climbing Log'!AM97)="C",_xlfn.IFNA(VLOOKUP('Rock Climbing Log'!AM97,'RC Lookup'!$A$3:$B$9,2,FALSE),0.5),VLOOKUP('Rock Climbing Log'!AM97,'RC Lookup'!$G$3:$H$5,2,FALSE)),0)*VLOOKUP(AK$7,'RC Lookup'!$D$3:$E$18,2,FALSE)</f>
        <v>0</v>
      </c>
      <c r="AN97" s="26">
        <f>_xlfn.IFNA(IF(LEFT('Rock Climbing Log'!AN97)="C",_xlfn.IFNA(VLOOKUP('Rock Climbing Log'!AN97,'RC Lookup'!$A$3:$B$9,2,FALSE),0.5),VLOOKUP('Rock Climbing Log'!AN97,'RC Lookup'!$G$3:$H$5,2,FALSE)),0)*VLOOKUP(AN$7,'RC Lookup'!$D$3:$E$18,2,FALSE)</f>
        <v>0</v>
      </c>
      <c r="AO97" s="26">
        <f>_xlfn.IFNA(IF(LEFT('Rock Climbing Log'!AO97)="C",_xlfn.IFNA(VLOOKUP('Rock Climbing Log'!AO97,'RC Lookup'!$A$3:$B$9,2,FALSE),0.5),VLOOKUP('Rock Climbing Log'!AO97,'RC Lookup'!$G$3:$H$5,2,FALSE)),0)*VLOOKUP(AN$7,'RC Lookup'!$D$3:$E$18,2,FALSE)</f>
        <v>0</v>
      </c>
      <c r="AP97" s="26">
        <f>_xlfn.IFNA(IF(LEFT('Rock Climbing Log'!AP97)="C",_xlfn.IFNA(VLOOKUP('Rock Climbing Log'!AP97,'RC Lookup'!$A$3:$B$9,2,FALSE),0.5),VLOOKUP('Rock Climbing Log'!AP97,'RC Lookup'!$G$3:$H$5,2,FALSE)),0)*VLOOKUP(AN$7,'RC Lookup'!$D$3:$E$18,2,FALSE)</f>
        <v>0</v>
      </c>
      <c r="AQ97" s="26">
        <f>_xlfn.IFNA(IF(LEFT('Rock Climbing Log'!AQ97)="C",_xlfn.IFNA(VLOOKUP('Rock Climbing Log'!AQ97,'RC Lookup'!$A$3:$B$9,2,FALSE),0.5),VLOOKUP('Rock Climbing Log'!AQ97,'RC Lookup'!$G$3:$H$5,2,FALSE)),0)*VLOOKUP(AQ$7,'RC Lookup'!$D$3:$E$18,2,FALSE)</f>
        <v>0</v>
      </c>
      <c r="AR97" s="26">
        <f>_xlfn.IFNA(IF(LEFT('Rock Climbing Log'!AR97)="C",_xlfn.IFNA(VLOOKUP('Rock Climbing Log'!AR97,'RC Lookup'!$A$3:$B$9,2,FALSE),0.5),VLOOKUP('Rock Climbing Log'!AR97,'RC Lookup'!$G$3:$H$5,2,FALSE)),0)*VLOOKUP(AQ$7,'RC Lookup'!$D$3:$E$18,2,FALSE)</f>
        <v>0</v>
      </c>
      <c r="AS97" s="26">
        <f>_xlfn.IFNA(IF(LEFT('Rock Climbing Log'!AS97)="C",_xlfn.IFNA(VLOOKUP('Rock Climbing Log'!AS97,'RC Lookup'!$A$3:$B$9,2,FALSE),0.5),VLOOKUP('Rock Climbing Log'!AS97,'RC Lookup'!$G$3:$H$5,2,FALSE)),0)*VLOOKUP(AQ$7,'RC Lookup'!$D$3:$E$18,2,FALSE)</f>
        <v>0</v>
      </c>
      <c r="AT97" s="26">
        <f>_xlfn.IFNA(IF(LEFT('Rock Climbing Log'!AT97)="C",_xlfn.IFNA(VLOOKUP('Rock Climbing Log'!AT97,'RC Lookup'!$A$3:$B$9,2,FALSE),0.5),VLOOKUP('Rock Climbing Log'!AT97,'RC Lookup'!$G$3:$H$5,2,FALSE)),0)*VLOOKUP(AT$7,'RC Lookup'!$D$3:$E$18,2,FALSE)</f>
        <v>0</v>
      </c>
      <c r="AU97" s="26">
        <f>_xlfn.IFNA(IF(LEFT('Rock Climbing Log'!AU97)="C",_xlfn.IFNA(VLOOKUP('Rock Climbing Log'!AU97,'RC Lookup'!$A$3:$B$9,2,FALSE),0.5),VLOOKUP('Rock Climbing Log'!AU97,'RC Lookup'!$G$3:$H$5,2,FALSE)),0)*VLOOKUP(AT$7,'RC Lookup'!$D$3:$E$18,2,FALSE)</f>
        <v>0</v>
      </c>
      <c r="AV97" s="26">
        <f>_xlfn.IFNA(IF(LEFT('Rock Climbing Log'!AV97)="C",_xlfn.IFNA(VLOOKUP('Rock Climbing Log'!AV97,'RC Lookup'!$A$3:$B$9,2,FALSE),0.5),VLOOKUP('Rock Climbing Log'!AV97,'RC Lookup'!$G$3:$H$5,2,FALSE)),0)*VLOOKUP(AT$7,'RC Lookup'!$D$3:$E$18,2,FALSE)</f>
        <v>0</v>
      </c>
      <c r="AW97" s="30">
        <f t="shared" ca="1" si="3"/>
        <v>51.502499999999998</v>
      </c>
      <c r="AX97" s="30">
        <f ca="1">_xlfn.IFNA(VLOOKUP(SUMPRODUCT(LARGE(($C$8:$C97=Table1[[#This Row],[Climber]])*$A$8:$A97,1)),$A$8:$AW97,MATCH($AW$7,$A$7:$AW$7,FALSE),FALSE),0)/LEFT($AX$7,FIND(" ",$AX$7))+_xlfn.IFNA(VLOOKUP(SUMPRODUCT(LARGE(($C$8:$C97=Table1[[#This Row],[Climber]])*$A$8:$A97,MIN(2,COUNTIFS($C$8:$C97,$C97)))),$A$8:$AW97,MATCH($AW$7,$A$7:$AW$7,FALSE),FALSE),0)/LEFT($AX$7,FIND(" ",$AX$7))+_xlfn.IFNA(VLOOKUP(SUMPRODUCT(LARGE(($C$8:$C97=Table1[[#This Row],[Climber]])*$A$8:$A97,MIN(3,COUNTIFS($C$8:$C97,$C97)))),$A$8:$AW97,MATCH($AW$7,$A$7:$AW$7,FALSE),FALSE),0)/LEFT($AX$7,FIND(" ",$AX$7))</f>
        <v>79.408819480016874</v>
      </c>
      <c r="AY97" s="30">
        <f ca="1">_xlfn.IFNA(VLOOKUP(SUMPRODUCT(LARGE(($C$8:$C97=Table1[[#This Row],[Climber]])*$A$8:$A97,1)),$A$8:$AW97,MATCH($AW$7,$A$7:$AW$7,FALSE),FALSE),0)/LEFT($AY$7,FIND(" ",$AY$7))+_xlfn.IFNA(VLOOKUP(SUMPRODUCT(LARGE(($C$8:$C97=Table1[[#This Row],[Climber]])*$A$8:$A97,MIN(2,COUNTIFS($C$8:$C97,$C97)))),$A$8:$AW97,MATCH($AW$7,$A$7:$AW$7,FALSE),FALSE),0)/LEFT($AY$7,FIND(" ",$AY$7))+_xlfn.IFNA(VLOOKUP(SUMPRODUCT(LARGE(($C$8:$C97=Table1[[#This Row],[Climber]])*$A$8:$A97,MIN(3,COUNTIFS($C$8:$C97,$C97)))),$A$8:$AW97,MATCH($AW$7,$A$7:$AW$7,FALSE),FALSE),0)/LEFT($AY$7,FIND(" ",$AY$7))+_xlfn.IFNA(VLOOKUP(SUMPRODUCT(LARGE(($C$8:$C97=Table1[[#This Row],[Climber]])*$A$8:$A97,MIN(4,COUNTIFS($C$8:$C97,$C97)))),$A$8:$AW97,MATCH($AW$7,$A$7:$AW$7,FALSE),FALSE),0)/LEFT($AY$7,FIND(" ",$AY$7))+_xlfn.IFNA(VLOOKUP(SUMPRODUCT(LARGE(($C$8:$C97=Table1[[#This Row],[Climber]])*$A$8:$A97,MIN(5,COUNTIFS($C$8:$C97,$C97)))),$A$8:$AW97,MATCH($AW$7,$A$7:$AW$7,FALSE),FALSE),0)/LEFT($AY$7,FIND(" ",$AY$7))</f>
        <v>77.505094952243766</v>
      </c>
      <c r="AZ97" s="30">
        <f ca="1">(_xlfn.IFNA(VLOOKUP(SUMPRODUCT(LARGE(($C$8:$C97=Table1[[#This Row],[Climber]])*$A$8:$A97,4)),$A$8:$AW97,MATCH($AW$7,$A$7:$AW$7,FALSE),FALSE),0)+_xlfn.IFNA(VLOOKUP(SUMPRODUCT(LARGE(($C$8:$C97=Table1[[#This Row],[Climber]])*$A$8:$A97,5)),$A$8:$AW97,MATCH($AW$7,$A$7:$AW$7,FALSE),FALSE),0)+_xlfn.IFNA(VLOOKUP(SUMPRODUCT(LARGE(($C$8:$C97=Table1[[#This Row],[Climber]])*$A$8:$A97,6)),$A$8:$AW97,MATCH($AW$7,$A$7:$AW$7,FALSE),FALSE),0))/3</f>
        <v>68.186087354522769</v>
      </c>
      <c r="BA97" s="46">
        <f ca="1">_xlfn.MAXIFS(INDIRECT("$AW"&amp;IF(SUMPRODUCT(LARGE(($C$8:$C97=$C97)*$A$8:$A97,LEFT($BA$7,FIND(" ",$BA$7)-1)))=0,8,SUMPRODUCT(LARGE(($C$8:$C97=$C97)*$A$8:$A97,LEFT($BA$7,FIND(" ",$BA$7)-1)))+7)&amp;":$AW"&amp;ROW()),INDIRECT("$C"&amp;IF(SUMPRODUCT(LARGE(($C$8:$C97=$C97)*$A$8:$A97,LEFT($BA$7,FIND(" ",$BA$7)-1)))=0,8,SUMPRODUCT(LARGE(($C$8:$C97=$C97)*$A$8:$A97,LEFT($BA$7,FIND(" ",$BA$7)-1)))+7)&amp;":$C"&amp;ROW()),$C97)</f>
        <v>97.530876774184151</v>
      </c>
      <c r="BB97" s="46" t="str">
        <f ca="1">VLOOKUP(MAX(BG97,$AX97),'RC Lookup'!$G$14:$J$20,2,TRUE)</f>
        <v>T2</v>
      </c>
      <c r="BC97" s="46">
        <f ca="1">_xlfn.IFNA(VLOOKUP(VLOOKUP($C97,'RC Lookup'!$O$3:$P$50,2,FALSE),'RC Lookup'!$H$14:$J$23,2,FALSE),0)*AW97</f>
        <v>59.405227450734834</v>
      </c>
      <c r="BD97" s="6">
        <f ca="1">_xlfn.IFNA(VLOOKUP(SUMPRODUCT(LARGE(($C$8:$C97=Table1[[#This Row],[Climber]])*$A$8:$A97,1)),$A$8:$BC97,55,FALSE),0)/LEFT($AX$7,FIND(" ",$AX$7))+_xlfn.IFNA(VLOOKUP(SUMPRODUCT(LARGE(($C$8:$C97=Table1[[#This Row],[Climber]])*$A$8:$A97,MIN(2,COUNTIFS($C$8:$C97,$C97)))),$A$8:$BC97,55,FALSE),0)/LEFT($AX$7,FIND(" ",$AX$7))+_xlfn.IFNA(VLOOKUP(SUMPRODUCT(LARGE(($C$8:$C97=Table1[[#This Row],[Climber]])*$A$8:$A97,MIN(3,COUNTIFS($C$8:$C97,$C97)))),$A$8:$BC97,55,FALSE),0)/LEFT($AX$7,FIND(" ",$AX$7))</f>
        <v>91.593592210179025</v>
      </c>
      <c r="BE97" s="6">
        <f ca="1">(_xlfn.IFNA(VLOOKUP(SUMPRODUCT(LARGE(($C$8:$C97=Table1[[#This Row],[Climber]])*$A$8:$A97,4)),$A$8:$BD97,55,FALSE),0)+_xlfn.IFNA(VLOOKUP(SUMPRODUCT(LARGE(($C$8:$C97=Table1[[#This Row],[Climber]])*$A$8:$A97,5)),$A$8:$BD97,55,FALSE),0)+_xlfn.IFNA(VLOOKUP(SUMPRODUCT(LARGE(($C$8:$C97=Table1[[#This Row],[Climber]])*$A$8:$A97,6)),$A$8:$BD97,55,FALSE),0))/3</f>
        <v>78.648804005069636</v>
      </c>
      <c r="BF97" s="46">
        <f ca="1">_xlfn.MAXIFS(INDIRECT("$BC"&amp;IF(SUMPRODUCT(LARGE(($C$8:$C97=$C97)*$A$8:$A97,LEFT($BA$7,FIND(" ",$BA$7)-1)))=0,8,SUMPRODUCT(LARGE(($C$8:$C97=$C97)*$A$8:$A97,LEFT($BA$7,FIND(" ",$BA$7)-1)))+7)&amp;":$BC"&amp;ROW()),INDIRECT("$C"&amp;IF(SUMPRODUCT(LARGE(($C$8:$C97=$C97)*$A$8:$A97,LEFT($BA$7,FIND(" ",$BA$7)-1)))=0,8,SUMPRODUCT(LARGE(($C$8:$C97=$C97)*$A$8:$A97,LEFT($BA$7,FIND(" ",$BA$7)-1)))+7)&amp;":$C"&amp;ROW()),$C97)</f>
        <v>112.49636266666668</v>
      </c>
      <c r="BG97" s="46">
        <f t="array" aca="1" ref="BG97" ca="1">IFERROR(SUMPRODUCT(LARGE(($C$8:$C97=Table1[[#This Row],[Climber]])*$AW$8:$AW97,ROW(INDIRECT("1:5")))),AW97)/MIN(COUNTIFS($C$8:$C97,C97),5)</f>
        <v>85.307793249203783</v>
      </c>
    </row>
    <row r="98" spans="1:59" x14ac:dyDescent="0.3">
      <c r="A98" s="125">
        <f t="shared" si="1"/>
        <v>91</v>
      </c>
      <c r="B98" s="25">
        <f>'Rock Climbing Log'!B98</f>
        <v>43187</v>
      </c>
      <c r="C98" s="126" t="str">
        <f>'Rock Climbing Log'!C98</f>
        <v>Angel</v>
      </c>
      <c r="D98" s="26">
        <f>_xlfn.IFNA(IF(LEFT('Rock Climbing Log'!D98)="C",_xlfn.IFNA(VLOOKUP('Rock Climbing Log'!D98,'RC Lookup'!$A$3:$B$9,2,FALSE),0.5),VLOOKUP('Rock Climbing Log'!D98,'RC Lookup'!$G$3:$H$5,2,FALSE)),0)*VLOOKUP(D$7,'RC Lookup'!$D$3:$E$18,2,FALSE)</f>
        <v>0</v>
      </c>
      <c r="E98" s="26">
        <f>_xlfn.IFNA(IF(LEFT('Rock Climbing Log'!E98)="C",_xlfn.IFNA(VLOOKUP('Rock Climbing Log'!E98,'RC Lookup'!$A$3:$B$9,2,FALSE),0.5),VLOOKUP('Rock Climbing Log'!E98,'RC Lookup'!$G$3:$H$5,2,FALSE)),0)*VLOOKUP(D$7,'RC Lookup'!$D$3:$E$18,2,FALSE)</f>
        <v>0</v>
      </c>
      <c r="F98" s="26">
        <f>_xlfn.IFNA(IF(LEFT('Rock Climbing Log'!F98)="C",_xlfn.IFNA(VLOOKUP('Rock Climbing Log'!F98,'RC Lookup'!$A$3:$B$9,2,FALSE),0.5),VLOOKUP('Rock Climbing Log'!F98,'RC Lookup'!$G$3:$H$5,2,FALSE)),0)*VLOOKUP(D$7,'RC Lookup'!$D$3:$E$18,2,FALSE)</f>
        <v>0</v>
      </c>
      <c r="G98" s="26">
        <f>_xlfn.IFNA(IF(LEFT('Rock Climbing Log'!G98)="C",_xlfn.IFNA(VLOOKUP('Rock Climbing Log'!G98,'RC Lookup'!$A$3:$B$9,2,FALSE),0.5),VLOOKUP('Rock Climbing Log'!G98,'RC Lookup'!$G$3:$H$5,2,FALSE)),0)*VLOOKUP(G$7,'RC Lookup'!$D$3:$E$18,2,FALSE)</f>
        <v>0</v>
      </c>
      <c r="H98" s="26">
        <f>_xlfn.IFNA(IF(LEFT('Rock Climbing Log'!H98)="C",_xlfn.IFNA(VLOOKUP('Rock Climbing Log'!H98,'RC Lookup'!$A$3:$B$9,2,FALSE),0.5),VLOOKUP('Rock Climbing Log'!H98,'RC Lookup'!$G$3:$H$5,2,FALSE)),0)*VLOOKUP(G$7,'RC Lookup'!$D$3:$E$18,2,FALSE)</f>
        <v>0</v>
      </c>
      <c r="I98" s="26">
        <f>_xlfn.IFNA(IF(LEFT('Rock Climbing Log'!I98)="C",_xlfn.IFNA(VLOOKUP('Rock Climbing Log'!I98,'RC Lookup'!$A$3:$B$9,2,FALSE),0.5),VLOOKUP('Rock Climbing Log'!I98,'RC Lookup'!$G$3:$H$5,2,FALSE)),0)*VLOOKUP(G$7,'RC Lookup'!$D$3:$E$18,2,FALSE)</f>
        <v>0</v>
      </c>
      <c r="J98" s="26">
        <f>_xlfn.IFNA(IF(LEFT('Rock Climbing Log'!J98)="C",_xlfn.IFNA(VLOOKUP('Rock Climbing Log'!J98,'RC Lookup'!$A$3:$B$9,2,FALSE),0.5),VLOOKUP('Rock Climbing Log'!J98,'RC Lookup'!$G$3:$H$5,2,FALSE)),0)*VLOOKUP(J$7,'RC Lookup'!$D$3:$E$18,2,FALSE)</f>
        <v>0</v>
      </c>
      <c r="K98" s="26">
        <f>_xlfn.IFNA(IF(LEFT('Rock Climbing Log'!K98)="C",_xlfn.IFNA(VLOOKUP('Rock Climbing Log'!K98,'RC Lookup'!$A$3:$B$9,2,FALSE),0.5),VLOOKUP('Rock Climbing Log'!K98,'RC Lookup'!$G$3:$H$5,2,FALSE)),0)*VLOOKUP(J$7,'RC Lookup'!$D$3:$E$18,2,FALSE)</f>
        <v>0</v>
      </c>
      <c r="L98" s="26">
        <f>_xlfn.IFNA(IF(LEFT('Rock Climbing Log'!L98)="C",_xlfn.IFNA(VLOOKUP('Rock Climbing Log'!L98,'RC Lookup'!$A$3:$B$9,2,FALSE),0.5),VLOOKUP('Rock Climbing Log'!L98,'RC Lookup'!$G$3:$H$5,2,FALSE)),0)*VLOOKUP(J$7,'RC Lookup'!$D$3:$E$18,2,FALSE)</f>
        <v>0</v>
      </c>
      <c r="M98" s="26">
        <f>_xlfn.IFNA(IF(LEFT('Rock Climbing Log'!M98)="C",_xlfn.IFNA(VLOOKUP('Rock Climbing Log'!M98,'RC Lookup'!$A$3:$B$9,2,FALSE),0.5),VLOOKUP('Rock Climbing Log'!M98,'RC Lookup'!$G$3:$H$5,2,FALSE)),0)*VLOOKUP(M$7,'RC Lookup'!$D$3:$E$18,2,FALSE)</f>
        <v>20.002500000000001</v>
      </c>
      <c r="N98" s="26">
        <f>_xlfn.IFNA(IF(LEFT('Rock Climbing Log'!N98)="C",_xlfn.IFNA(VLOOKUP('Rock Climbing Log'!N98,'RC Lookup'!$A$3:$B$9,2,FALSE),0.5),VLOOKUP('Rock Climbing Log'!N98,'RC Lookup'!$G$3:$H$5,2,FALSE)),0)*VLOOKUP(M$7,'RC Lookup'!$D$3:$E$18,2,FALSE)</f>
        <v>0</v>
      </c>
      <c r="O98" s="26">
        <f>_xlfn.IFNA(IF(LEFT('Rock Climbing Log'!O98)="C",_xlfn.IFNA(VLOOKUP('Rock Climbing Log'!O98,'RC Lookup'!$A$3:$B$9,2,FALSE),0.5),VLOOKUP('Rock Climbing Log'!O98,'RC Lookup'!$G$3:$H$5,2,FALSE)),0)*VLOOKUP(M$7,'RC Lookup'!$D$3:$E$18,2,FALSE)</f>
        <v>0</v>
      </c>
      <c r="P98" s="26">
        <f>_xlfn.IFNA(IF(LEFT('Rock Climbing Log'!P98)="C",_xlfn.IFNA(VLOOKUP('Rock Climbing Log'!P98,'RC Lookup'!$A$3:$B$9,2,FALSE),0.5),VLOOKUP('Rock Climbing Log'!P98,'RC Lookup'!$G$3:$H$5,2,FALSE)),0)*VLOOKUP(P$7,'RC Lookup'!$D$3:$E$18,2,FALSE)</f>
        <v>0</v>
      </c>
      <c r="Q98" s="26">
        <f>_xlfn.IFNA(IF(LEFT('Rock Climbing Log'!Q98)="C",_xlfn.IFNA(VLOOKUP('Rock Climbing Log'!Q98,'RC Lookup'!$A$3:$B$9,2,FALSE),0.5),VLOOKUP('Rock Climbing Log'!Q98,'RC Lookup'!$G$3:$H$5,2,FALSE)),0)*VLOOKUP(P$7,'RC Lookup'!$D$3:$E$18,2,FALSE)</f>
        <v>0</v>
      </c>
      <c r="R98" s="26">
        <f>_xlfn.IFNA(IF(LEFT('Rock Climbing Log'!R98)="C",_xlfn.IFNA(VLOOKUP('Rock Climbing Log'!R98,'RC Lookup'!$A$3:$B$9,2,FALSE),0.5),VLOOKUP('Rock Climbing Log'!R98,'RC Lookup'!$G$3:$H$5,2,FALSE)),0)*VLOOKUP(P$7,'RC Lookup'!$D$3:$E$18,2,FALSE)</f>
        <v>0</v>
      </c>
      <c r="S98" s="26">
        <f>_xlfn.IFNA(IF(LEFT('Rock Climbing Log'!S98)="C",_xlfn.IFNA(VLOOKUP('Rock Climbing Log'!S98,'RC Lookup'!$A$3:$B$9,2,FALSE),0.5),VLOOKUP('Rock Climbing Log'!S98,'RC Lookup'!$G$3:$H$5,2,FALSE)),0)*VLOOKUP(S$7,'RC Lookup'!$D$3:$E$18,2,FALSE)</f>
        <v>0</v>
      </c>
      <c r="T98" s="26">
        <f>_xlfn.IFNA(IF(LEFT('Rock Climbing Log'!T98)="C",_xlfn.IFNA(VLOOKUP('Rock Climbing Log'!T98,'RC Lookup'!$A$3:$B$9,2,FALSE),0.5),VLOOKUP('Rock Climbing Log'!T98,'RC Lookup'!$G$3:$H$5,2,FALSE)),0)*VLOOKUP(S$7,'RC Lookup'!$D$3:$E$18,2,FALSE)</f>
        <v>0</v>
      </c>
      <c r="U98" s="26">
        <f>_xlfn.IFNA(IF(LEFT('Rock Climbing Log'!U98)="C",_xlfn.IFNA(VLOOKUP('Rock Climbing Log'!U98,'RC Lookup'!$A$3:$B$9,2,FALSE),0.5),VLOOKUP('Rock Climbing Log'!U98,'RC Lookup'!$G$3:$H$5,2,FALSE)),0)*VLOOKUP(S$7,'RC Lookup'!$D$3:$E$18,2,FALSE)</f>
        <v>0</v>
      </c>
      <c r="V98" s="26">
        <f>_xlfn.IFNA(IF(LEFT('Rock Climbing Log'!V98)="C",_xlfn.IFNA(VLOOKUP('Rock Climbing Log'!V98,'RC Lookup'!$A$3:$B$9,2,FALSE),0.5),VLOOKUP('Rock Climbing Log'!V98,'RC Lookup'!$G$3:$H$5,2,FALSE)),0)*VLOOKUP(V$7,'RC Lookup'!$D$3:$E$18,2,FALSE)</f>
        <v>35.256745742400021</v>
      </c>
      <c r="W98" s="26">
        <f>_xlfn.IFNA(IF(LEFT('Rock Climbing Log'!W98)="C",_xlfn.IFNA(VLOOKUP('Rock Climbing Log'!W98,'RC Lookup'!$A$3:$B$9,2,FALSE),0.5),VLOOKUP('Rock Climbing Log'!W98,'RC Lookup'!$G$3:$H$5,2,FALSE)),0)*VLOOKUP(V$7,'RC Lookup'!$D$3:$E$18,2,FALSE)</f>
        <v>0</v>
      </c>
      <c r="X98" s="26">
        <f>_xlfn.IFNA(IF(LEFT('Rock Climbing Log'!X98)="C",_xlfn.IFNA(VLOOKUP('Rock Climbing Log'!X98,'RC Lookup'!$A$3:$B$9,2,FALSE),0.5),VLOOKUP('Rock Climbing Log'!X98,'RC Lookup'!$G$3:$H$5,2,FALSE)),0)*VLOOKUP(V$7,'RC Lookup'!$D$3:$E$18,2,FALSE)</f>
        <v>0</v>
      </c>
      <c r="Y98" s="26">
        <f>_xlfn.IFNA(IF(LEFT('Rock Climbing Log'!Y98)="C",_xlfn.IFNA(VLOOKUP('Rock Climbing Log'!Y98,'RC Lookup'!$A$3:$B$9,2,FALSE),0.5),VLOOKUP('Rock Climbing Log'!Y98,'RC Lookup'!$G$3:$H$5,2,FALSE)),0)*VLOOKUP(Y$7,'RC Lookup'!$D$3:$E$18,2,FALSE)</f>
        <v>0</v>
      </c>
      <c r="Z98" s="26">
        <f>_xlfn.IFNA(IF(LEFT('Rock Climbing Log'!Z98)="C",_xlfn.IFNA(VLOOKUP('Rock Climbing Log'!Z98,'RC Lookup'!$A$3:$B$9,2,FALSE),0.5),VLOOKUP('Rock Climbing Log'!Z98,'RC Lookup'!$G$3:$H$5,2,FALSE)),0)*VLOOKUP(Y$7,'RC Lookup'!$D$3:$E$18,2,FALSE)</f>
        <v>0</v>
      </c>
      <c r="AA98" s="26">
        <f>_xlfn.IFNA(IF(LEFT('Rock Climbing Log'!AA98)="C",_xlfn.IFNA(VLOOKUP('Rock Climbing Log'!AA98,'RC Lookup'!$A$3:$B$9,2,FALSE),0.5),VLOOKUP('Rock Climbing Log'!AA98,'RC Lookup'!$G$3:$H$5,2,FALSE)),0)*VLOOKUP(Y$7,'RC Lookup'!$D$3:$E$18,2,FALSE)</f>
        <v>0</v>
      </c>
      <c r="AB98" s="26">
        <f>_xlfn.IFNA(IF(LEFT('Rock Climbing Log'!AB98)="C",_xlfn.IFNA(VLOOKUP('Rock Climbing Log'!AB98,'RC Lookup'!$A$3:$B$9,2,FALSE),0.5),VLOOKUP('Rock Climbing Log'!AB98,'RC Lookup'!$G$3:$H$5,2,FALSE)),0)*VLOOKUP(AB$7,'RC Lookup'!$D$3:$E$18,2,FALSE)</f>
        <v>0</v>
      </c>
      <c r="AC98" s="26">
        <f>_xlfn.IFNA(IF(LEFT('Rock Climbing Log'!AC98)="C",_xlfn.IFNA(VLOOKUP('Rock Climbing Log'!AC98,'RC Lookup'!$A$3:$B$9,2,FALSE),0.5),VLOOKUP('Rock Climbing Log'!AC98,'RC Lookup'!$G$3:$H$5,2,FALSE)),0)*VLOOKUP(AB$7,'RC Lookup'!$D$3:$E$18,2,FALSE)</f>
        <v>0</v>
      </c>
      <c r="AD98" s="26">
        <f>_xlfn.IFNA(IF(LEFT('Rock Climbing Log'!AD98)="C",_xlfn.IFNA(VLOOKUP('Rock Climbing Log'!AD98,'RC Lookup'!$A$3:$B$9,2,FALSE),0.5),VLOOKUP('Rock Climbing Log'!AD98,'RC Lookup'!$G$3:$H$5,2,FALSE)),0)*VLOOKUP(AB$7,'RC Lookup'!$D$3:$E$18,2,FALSE)</f>
        <v>0</v>
      </c>
      <c r="AE98" s="26">
        <f>_xlfn.IFNA(IF(LEFT('Rock Climbing Log'!AE98)="C",_xlfn.IFNA(VLOOKUP('Rock Climbing Log'!AE98,'RC Lookup'!$A$3:$B$9,2,FALSE),0.5),VLOOKUP('Rock Climbing Log'!AE98,'RC Lookup'!$G$3:$H$5,2,FALSE)),0)*VLOOKUP(AE$7,'RC Lookup'!$D$3:$E$18,2,FALSE)</f>
        <v>33.933835923466447</v>
      </c>
      <c r="AF98" s="26">
        <f>_xlfn.IFNA(IF(LEFT('Rock Climbing Log'!AF98)="C",_xlfn.IFNA(VLOOKUP('Rock Climbing Log'!AF98,'RC Lookup'!$A$3:$B$9,2,FALSE),0.5),VLOOKUP('Rock Climbing Log'!AF98,'RC Lookup'!$G$3:$H$5,2,FALSE)),0)*VLOOKUP(AE$7,'RC Lookup'!$D$3:$E$18,2,FALSE)</f>
        <v>0</v>
      </c>
      <c r="AG98" s="26">
        <f>_xlfn.IFNA(IF(LEFT('Rock Climbing Log'!AG98)="C",_xlfn.IFNA(VLOOKUP('Rock Climbing Log'!AG98,'RC Lookup'!$A$3:$B$9,2,FALSE),0.5),VLOOKUP('Rock Climbing Log'!AG98,'RC Lookup'!$G$3:$H$5,2,FALSE)),0)*VLOOKUP(AE$7,'RC Lookup'!$D$3:$E$18,2,FALSE)</f>
        <v>0</v>
      </c>
      <c r="AH98" s="26">
        <f>_xlfn.IFNA(IF(LEFT('Rock Climbing Log'!AH98)="C",_xlfn.IFNA(VLOOKUP('Rock Climbing Log'!AH98,'RC Lookup'!$A$3:$B$9,2,FALSE),0.5),VLOOKUP('Rock Climbing Log'!AH98,'RC Lookup'!$G$3:$H$5,2,FALSE)),0)*VLOOKUP(AH$7,'RC Lookup'!$D$3:$E$18,2,FALSE)</f>
        <v>62.734975560493062</v>
      </c>
      <c r="AI98" s="26">
        <f>_xlfn.IFNA(IF(LEFT('Rock Climbing Log'!AI98)="C",_xlfn.IFNA(VLOOKUP('Rock Climbing Log'!AI98,'RC Lookup'!$A$3:$B$9,2,FALSE),0.5),VLOOKUP('Rock Climbing Log'!AI98,'RC Lookup'!$G$3:$H$5,2,FALSE)),0)*VLOOKUP(AH$7,'RC Lookup'!$D$3:$E$18,2,FALSE)</f>
        <v>0</v>
      </c>
      <c r="AJ98" s="26">
        <f>_xlfn.IFNA(IF(LEFT('Rock Climbing Log'!AJ98)="C",_xlfn.IFNA(VLOOKUP('Rock Climbing Log'!AJ98,'RC Lookup'!$A$3:$B$9,2,FALSE),0.5),VLOOKUP('Rock Climbing Log'!AJ98,'RC Lookup'!$G$3:$H$5,2,FALSE)),0)*VLOOKUP(AH$7,'RC Lookup'!$D$3:$E$18,2,FALSE)</f>
        <v>0</v>
      </c>
      <c r="AK98" s="26">
        <f>_xlfn.IFNA(IF(LEFT('Rock Climbing Log'!AK98)="C",_xlfn.IFNA(VLOOKUP('Rock Climbing Log'!AK98,'RC Lookup'!$A$3:$B$9,2,FALSE),0.5),VLOOKUP('Rock Climbing Log'!AK98,'RC Lookup'!$G$3:$H$5,2,FALSE)),0)*VLOOKUP(AK$7,'RC Lookup'!$D$3:$E$18,2,FALSE)</f>
        <v>0</v>
      </c>
      <c r="AL98" s="26">
        <f>_xlfn.IFNA(IF(LEFT('Rock Climbing Log'!AL98)="C",_xlfn.IFNA(VLOOKUP('Rock Climbing Log'!AL98,'RC Lookup'!$A$3:$B$9,2,FALSE),0.5),VLOOKUP('Rock Climbing Log'!AL98,'RC Lookup'!$G$3:$H$5,2,FALSE)),0)*VLOOKUP(AK$7,'RC Lookup'!$D$3:$E$18,2,FALSE)</f>
        <v>0</v>
      </c>
      <c r="AM98" s="26">
        <f>_xlfn.IFNA(IF(LEFT('Rock Climbing Log'!AM98)="C",_xlfn.IFNA(VLOOKUP('Rock Climbing Log'!AM98,'RC Lookup'!$A$3:$B$9,2,FALSE),0.5),VLOOKUP('Rock Climbing Log'!AM98,'RC Lookup'!$G$3:$H$5,2,FALSE)),0)*VLOOKUP(AK$7,'RC Lookup'!$D$3:$E$18,2,FALSE)</f>
        <v>0</v>
      </c>
      <c r="AN98" s="26">
        <f>_xlfn.IFNA(IF(LEFT('Rock Climbing Log'!AN98)="C",_xlfn.IFNA(VLOOKUP('Rock Climbing Log'!AN98,'RC Lookup'!$A$3:$B$9,2,FALSE),0.5),VLOOKUP('Rock Climbing Log'!AN98,'RC Lookup'!$G$3:$H$5,2,FALSE)),0)*VLOOKUP(AN$7,'RC Lookup'!$D$3:$E$18,2,FALSE)</f>
        <v>0</v>
      </c>
      <c r="AO98" s="26">
        <f>_xlfn.IFNA(IF(LEFT('Rock Climbing Log'!AO98)="C",_xlfn.IFNA(VLOOKUP('Rock Climbing Log'!AO98,'RC Lookup'!$A$3:$B$9,2,FALSE),0.5),VLOOKUP('Rock Climbing Log'!AO98,'RC Lookup'!$G$3:$H$5,2,FALSE)),0)*VLOOKUP(AN$7,'RC Lookup'!$D$3:$E$18,2,FALSE)</f>
        <v>0</v>
      </c>
      <c r="AP98" s="26">
        <f>_xlfn.IFNA(IF(LEFT('Rock Climbing Log'!AP98)="C",_xlfn.IFNA(VLOOKUP('Rock Climbing Log'!AP98,'RC Lookup'!$A$3:$B$9,2,FALSE),0.5),VLOOKUP('Rock Climbing Log'!AP98,'RC Lookup'!$G$3:$H$5,2,FALSE)),0)*VLOOKUP(AN$7,'RC Lookup'!$D$3:$E$18,2,FALSE)</f>
        <v>0</v>
      </c>
      <c r="AQ98" s="26">
        <f>_xlfn.IFNA(IF(LEFT('Rock Climbing Log'!AQ98)="C",_xlfn.IFNA(VLOOKUP('Rock Climbing Log'!AQ98,'RC Lookup'!$A$3:$B$9,2,FALSE),0.5),VLOOKUP('Rock Climbing Log'!AQ98,'RC Lookup'!$G$3:$H$5,2,FALSE)),0)*VLOOKUP(AQ$7,'RC Lookup'!$D$3:$E$18,2,FALSE)</f>
        <v>0</v>
      </c>
      <c r="AR98" s="26">
        <f>_xlfn.IFNA(IF(LEFT('Rock Climbing Log'!AR98)="C",_xlfn.IFNA(VLOOKUP('Rock Climbing Log'!AR98,'RC Lookup'!$A$3:$B$9,2,FALSE),0.5),VLOOKUP('Rock Climbing Log'!AR98,'RC Lookup'!$G$3:$H$5,2,FALSE)),0)*VLOOKUP(AQ$7,'RC Lookup'!$D$3:$E$18,2,FALSE)</f>
        <v>0</v>
      </c>
      <c r="AS98" s="26">
        <f>_xlfn.IFNA(IF(LEFT('Rock Climbing Log'!AS98)="C",_xlfn.IFNA(VLOOKUP('Rock Climbing Log'!AS98,'RC Lookup'!$A$3:$B$9,2,FALSE),0.5),VLOOKUP('Rock Climbing Log'!AS98,'RC Lookup'!$G$3:$H$5,2,FALSE)),0)*VLOOKUP(AQ$7,'RC Lookup'!$D$3:$E$18,2,FALSE)</f>
        <v>0</v>
      </c>
      <c r="AT98" s="26">
        <f>_xlfn.IFNA(IF(LEFT('Rock Climbing Log'!AT98)="C",_xlfn.IFNA(VLOOKUP('Rock Climbing Log'!AT98,'RC Lookup'!$A$3:$B$9,2,FALSE),0.5),VLOOKUP('Rock Climbing Log'!AT98,'RC Lookup'!$G$3:$H$5,2,FALSE)),0)*VLOOKUP(AT$7,'RC Lookup'!$D$3:$E$18,2,FALSE)</f>
        <v>0</v>
      </c>
      <c r="AU98" s="26">
        <f>_xlfn.IFNA(IF(LEFT('Rock Climbing Log'!AU98)="C",_xlfn.IFNA(VLOOKUP('Rock Climbing Log'!AU98,'RC Lookup'!$A$3:$B$9,2,FALSE),0.5),VLOOKUP('Rock Climbing Log'!AU98,'RC Lookup'!$G$3:$H$5,2,FALSE)),0)*VLOOKUP(AT$7,'RC Lookup'!$D$3:$E$18,2,FALSE)</f>
        <v>0</v>
      </c>
      <c r="AV98" s="26">
        <f>_xlfn.IFNA(IF(LEFT('Rock Climbing Log'!AV98)="C",_xlfn.IFNA(VLOOKUP('Rock Climbing Log'!AV98,'RC Lookup'!$A$3:$B$9,2,FALSE),0.5),VLOOKUP('Rock Climbing Log'!AV98,'RC Lookup'!$G$3:$H$5,2,FALSE)),0)*VLOOKUP(AT$7,'RC Lookup'!$D$3:$E$18,2,FALSE)</f>
        <v>0</v>
      </c>
      <c r="AW98" s="30">
        <f t="shared" ca="1" si="3"/>
        <v>131.92555722635953</v>
      </c>
      <c r="AX98" s="30">
        <f ca="1">_xlfn.IFNA(VLOOKUP(SUMPRODUCT(LARGE(($C$8:$C98=Table1[[#This Row],[Climber]])*$A$8:$A98,1)),$A$8:$AW98,MATCH($AW$7,$A$7:$AW$7,FALSE),FALSE),0)/LEFT($AX$7,FIND(" ",$AX$7))+_xlfn.IFNA(VLOOKUP(SUMPRODUCT(LARGE(($C$8:$C98=Table1[[#This Row],[Climber]])*$A$8:$A98,MIN(2,COUNTIFS($C$8:$C98,$C98)))),$A$8:$AW98,MATCH($AW$7,$A$7:$AW$7,FALSE),FALSE),0)/LEFT($AX$7,FIND(" ",$AX$7))+_xlfn.IFNA(VLOOKUP(SUMPRODUCT(LARGE(($C$8:$C98=Table1[[#This Row],[Climber]])*$A$8:$A98,MIN(3,COUNTIFS($C$8:$C98,$C98)))),$A$8:$AW98,MATCH($AW$7,$A$7:$AW$7,FALSE),FALSE),0)/LEFT($AX$7,FIND(" ",$AX$7))</f>
        <v>117.57908847904412</v>
      </c>
      <c r="AY98" s="30">
        <f ca="1">_xlfn.IFNA(VLOOKUP(SUMPRODUCT(LARGE(($C$8:$C98=Table1[[#This Row],[Climber]])*$A$8:$A98,1)),$A$8:$AW98,MATCH($AW$7,$A$7:$AW$7,FALSE),FALSE),0)/LEFT($AY$7,FIND(" ",$AY$7))+_xlfn.IFNA(VLOOKUP(SUMPRODUCT(LARGE(($C$8:$C98=Table1[[#This Row],[Climber]])*$A$8:$A98,MIN(2,COUNTIFS($C$8:$C98,$C98)))),$A$8:$AW98,MATCH($AW$7,$A$7:$AW$7,FALSE),FALSE),0)/LEFT($AY$7,FIND(" ",$AY$7))+_xlfn.IFNA(VLOOKUP(SUMPRODUCT(LARGE(($C$8:$C98=Table1[[#This Row],[Climber]])*$A$8:$A98,MIN(3,COUNTIFS($C$8:$C98,$C98)))),$A$8:$AW98,MATCH($AW$7,$A$7:$AW$7,FALSE),FALSE),0)/LEFT($AY$7,FIND(" ",$AY$7))+_xlfn.IFNA(VLOOKUP(SUMPRODUCT(LARGE(($C$8:$C98=Table1[[#This Row],[Climber]])*$A$8:$A98,MIN(4,COUNTIFS($C$8:$C98,$C98)))),$A$8:$AW98,MATCH($AW$7,$A$7:$AW$7,FALSE),FALSE),0)/LEFT($AY$7,FIND(" ",$AY$7))+_xlfn.IFNA(VLOOKUP(SUMPRODUCT(LARGE(($C$8:$C98=Table1[[#This Row],[Climber]])*$A$8:$A98,MIN(5,COUNTIFS($C$8:$C98,$C98)))),$A$8:$AW98,MATCH($AW$7,$A$7:$AW$7,FALSE),FALSE),0)/LEFT($AY$7,FIND(" ",$AY$7))</f>
        <v>113.56030379710012</v>
      </c>
      <c r="AZ98" s="30">
        <f ca="1">(_xlfn.IFNA(VLOOKUP(SUMPRODUCT(LARGE(($C$8:$C98=Table1[[#This Row],[Climber]])*$A$8:$A98,4)),$A$8:$AW98,MATCH($AW$7,$A$7:$AW$7,FALSE),FALSE),0)+_xlfn.IFNA(VLOOKUP(SUMPRODUCT(LARGE(($C$8:$C98=Table1[[#This Row],[Climber]])*$A$8:$A98,5)),$A$8:$AW98,MATCH($AW$7,$A$7:$AW$7,FALSE),FALSE),0)+_xlfn.IFNA(VLOOKUP(SUMPRODUCT(LARGE(($C$8:$C98=Table1[[#This Row],[Climber]])*$A$8:$A98,6)),$A$8:$AW98,MATCH($AW$7,$A$7:$AW$7,FALSE),FALSE),0))/3</f>
        <v>98.543147748108865</v>
      </c>
      <c r="BA98" s="46">
        <f ca="1">_xlfn.MAXIFS(INDIRECT("$AW"&amp;IF(SUMPRODUCT(LARGE(($C$8:$C98=$C98)*$A$8:$A98,LEFT($BA$7,FIND(" ",$BA$7)-1)))=0,8,SUMPRODUCT(LARGE(($C$8:$C98=$C98)*$A$8:$A98,LEFT($BA$7,FIND(" ",$BA$7)-1)))+7)&amp;":$AW"&amp;ROW()),INDIRECT("$C"&amp;IF(SUMPRODUCT(LARGE(($C$8:$C98=$C98)*$A$8:$A98,LEFT($BA$7,FIND(" ",$BA$7)-1)))=0,8,SUMPRODUCT(LARGE(($C$8:$C98=$C98)*$A$8:$A98,LEFT($BA$7,FIND(" ",$BA$7)-1)))+7)&amp;":$C"&amp;ROW()),$C98)</f>
        <v>131.92555722635953</v>
      </c>
      <c r="BB98" s="46" t="str">
        <f ca="1">VLOOKUP(MAX(BG98,$AX98),'RC Lookup'!$G$14:$J$20,2,TRUE)</f>
        <v>T3</v>
      </c>
      <c r="BC98" s="46">
        <f ca="1">_xlfn.IFNA(VLOOKUP(VLOOKUP($C98,'RC Lookup'!$O$3:$P$50,2,FALSE),'RC Lookup'!$H$14:$J$23,2,FALSE),0)*AW98</f>
        <v>219.84844765464237</v>
      </c>
      <c r="BD98" s="6">
        <f ca="1">_xlfn.IFNA(VLOOKUP(SUMPRODUCT(LARGE(($C$8:$C98=Table1[[#This Row],[Climber]])*$A$8:$A98,1)),$A$8:$BC98,55,FALSE),0)/LEFT($AX$7,FIND(" ",$AX$7))+_xlfn.IFNA(VLOOKUP(SUMPRODUCT(LARGE(($C$8:$C98=Table1[[#This Row],[Climber]])*$A$8:$A98,MIN(2,COUNTIFS($C$8:$C98,$C98)))),$A$8:$BC98,55,FALSE),0)/LEFT($AX$7,FIND(" ",$AX$7))+_xlfn.IFNA(VLOOKUP(SUMPRODUCT(LARGE(($C$8:$C98=Table1[[#This Row],[Climber]])*$A$8:$A98,MIN(3,COUNTIFS($C$8:$C98,$C98)))),$A$8:$BC98,55,FALSE),0)/LEFT($AX$7,FIND(" ",$AX$7))</f>
        <v>195.94065488321309</v>
      </c>
      <c r="BE98" s="6">
        <f ca="1">(_xlfn.IFNA(VLOOKUP(SUMPRODUCT(LARGE(($C$8:$C98=Table1[[#This Row],[Climber]])*$A$8:$A98,4)),$A$8:$BD98,55,FALSE),0)+_xlfn.IFNA(VLOOKUP(SUMPRODUCT(LARGE(($C$8:$C98=Table1[[#This Row],[Climber]])*$A$8:$A98,5)),$A$8:$BD98,55,FALSE),0)+_xlfn.IFNA(VLOOKUP(SUMPRODUCT(LARGE(($C$8:$C98=Table1[[#This Row],[Climber]])*$A$8:$A98,6)),$A$8:$BD98,55,FALSE),0))/3</f>
        <v>164.21805232364099</v>
      </c>
      <c r="BF98" s="46">
        <f ca="1">_xlfn.MAXIFS(INDIRECT("$BC"&amp;IF(SUMPRODUCT(LARGE(($C$8:$C98=$C98)*$A$8:$A98,LEFT($BA$7,FIND(" ",$BA$7)-1)))=0,8,SUMPRODUCT(LARGE(($C$8:$C98=$C98)*$A$8:$A98,LEFT($BA$7,FIND(" ",$BA$7)-1)))+7)&amp;":$BC"&amp;ROW()),INDIRECT("$C"&amp;IF(SUMPRODUCT(LARGE(($C$8:$C98=$C98)*$A$8:$A98,LEFT($BA$7,FIND(" ",$BA$7)-1)))=0,8,SUMPRODUCT(LARGE(($C$8:$C98=$C98)*$A$8:$A98,LEFT($BA$7,FIND(" ",$BA$7)-1)))+7)&amp;":$C"&amp;ROW()),$C98)</f>
        <v>219.84844765464237</v>
      </c>
      <c r="BG98" s="46">
        <f t="array" aca="1" ref="BG98" ca="1">IFERROR(SUMPRODUCT(LARGE(($C$8:$C98=Table1[[#This Row],[Climber]])*$AW$8:$AW98,ROW(INDIRECT("1:5")))),AW98)/MIN(COUNTIFS($C$8:$C98,C98),5)</f>
        <v>113.56030379710012</v>
      </c>
    </row>
    <row r="99" spans="1:59" x14ac:dyDescent="0.3">
      <c r="A99" s="125">
        <f t="shared" si="1"/>
        <v>92</v>
      </c>
      <c r="B99" s="25">
        <f>'Rock Climbing Log'!B99</f>
        <v>43187</v>
      </c>
      <c r="C99" s="126" t="str">
        <f>'Rock Climbing Log'!C99</f>
        <v>Lester</v>
      </c>
      <c r="D99" s="26">
        <f>_xlfn.IFNA(IF(LEFT('Rock Climbing Log'!D99)="C",_xlfn.IFNA(VLOOKUP('Rock Climbing Log'!D99,'RC Lookup'!$A$3:$B$9,2,FALSE),0.5),VLOOKUP('Rock Climbing Log'!D99,'RC Lookup'!$G$3:$H$5,2,FALSE)),0)*VLOOKUP(D$7,'RC Lookup'!$D$3:$E$18,2,FALSE)</f>
        <v>0</v>
      </c>
      <c r="E99" s="26">
        <f>_xlfn.IFNA(IF(LEFT('Rock Climbing Log'!E99)="C",_xlfn.IFNA(VLOOKUP('Rock Climbing Log'!E99,'RC Lookup'!$A$3:$B$9,2,FALSE),0.5),VLOOKUP('Rock Climbing Log'!E99,'RC Lookup'!$G$3:$H$5,2,FALSE)),0)*VLOOKUP(D$7,'RC Lookup'!$D$3:$E$18,2,FALSE)</f>
        <v>0</v>
      </c>
      <c r="F99" s="26">
        <f>_xlfn.IFNA(IF(LEFT('Rock Climbing Log'!F99)="C",_xlfn.IFNA(VLOOKUP('Rock Climbing Log'!F99,'RC Lookup'!$A$3:$B$9,2,FALSE),0.5),VLOOKUP('Rock Climbing Log'!F99,'RC Lookup'!$G$3:$H$5,2,FALSE)),0)*VLOOKUP(D$7,'RC Lookup'!$D$3:$E$18,2,FALSE)</f>
        <v>0</v>
      </c>
      <c r="G99" s="26">
        <f>_xlfn.IFNA(IF(LEFT('Rock Climbing Log'!G99)="C",_xlfn.IFNA(VLOOKUP('Rock Climbing Log'!G99,'RC Lookup'!$A$3:$B$9,2,FALSE),0.5),VLOOKUP('Rock Climbing Log'!G99,'RC Lookup'!$G$3:$H$5,2,FALSE)),0)*VLOOKUP(G$7,'RC Lookup'!$D$3:$E$18,2,FALSE)</f>
        <v>0</v>
      </c>
      <c r="H99" s="26">
        <f>_xlfn.IFNA(IF(LEFT('Rock Climbing Log'!H99)="C",_xlfn.IFNA(VLOOKUP('Rock Climbing Log'!H99,'RC Lookup'!$A$3:$B$9,2,FALSE),0.5),VLOOKUP('Rock Climbing Log'!H99,'RC Lookup'!$G$3:$H$5,2,FALSE)),0)*VLOOKUP(G$7,'RC Lookup'!$D$3:$E$18,2,FALSE)</f>
        <v>0</v>
      </c>
      <c r="I99" s="26">
        <f>_xlfn.IFNA(IF(LEFT('Rock Climbing Log'!I99)="C",_xlfn.IFNA(VLOOKUP('Rock Climbing Log'!I99,'RC Lookup'!$A$3:$B$9,2,FALSE),0.5),VLOOKUP('Rock Climbing Log'!I99,'RC Lookup'!$G$3:$H$5,2,FALSE)),0)*VLOOKUP(G$7,'RC Lookup'!$D$3:$E$18,2,FALSE)</f>
        <v>0</v>
      </c>
      <c r="J99" s="26">
        <f>_xlfn.IFNA(IF(LEFT('Rock Climbing Log'!J99)="C",_xlfn.IFNA(VLOOKUP('Rock Climbing Log'!J99,'RC Lookup'!$A$3:$B$9,2,FALSE),0.5),VLOOKUP('Rock Climbing Log'!J99,'RC Lookup'!$G$3:$H$5,2,FALSE)),0)*VLOOKUP(J$7,'RC Lookup'!$D$3:$E$18,2,FALSE)</f>
        <v>0</v>
      </c>
      <c r="K99" s="26">
        <f>_xlfn.IFNA(IF(LEFT('Rock Climbing Log'!K99)="C",_xlfn.IFNA(VLOOKUP('Rock Climbing Log'!K99,'RC Lookup'!$A$3:$B$9,2,FALSE),0.5),VLOOKUP('Rock Climbing Log'!K99,'RC Lookup'!$G$3:$H$5,2,FALSE)),0)*VLOOKUP(J$7,'RC Lookup'!$D$3:$E$18,2,FALSE)</f>
        <v>0</v>
      </c>
      <c r="L99" s="26">
        <f>_xlfn.IFNA(IF(LEFT('Rock Climbing Log'!L99)="C",_xlfn.IFNA(VLOOKUP('Rock Climbing Log'!L99,'RC Lookup'!$A$3:$B$9,2,FALSE),0.5),VLOOKUP('Rock Climbing Log'!L99,'RC Lookup'!$G$3:$H$5,2,FALSE)),0)*VLOOKUP(J$7,'RC Lookup'!$D$3:$E$18,2,FALSE)</f>
        <v>0</v>
      </c>
      <c r="M99" s="26">
        <f>_xlfn.IFNA(IF(LEFT('Rock Climbing Log'!M99)="C",_xlfn.IFNA(VLOOKUP('Rock Climbing Log'!M99,'RC Lookup'!$A$3:$B$9,2,FALSE),0.5),VLOOKUP('Rock Climbing Log'!M99,'RC Lookup'!$G$3:$H$5,2,FALSE)),0)*VLOOKUP(M$7,'RC Lookup'!$D$3:$E$18,2,FALSE)</f>
        <v>0</v>
      </c>
      <c r="N99" s="26">
        <f>_xlfn.IFNA(IF(LEFT('Rock Climbing Log'!N99)="C",_xlfn.IFNA(VLOOKUP('Rock Climbing Log'!N99,'RC Lookup'!$A$3:$B$9,2,FALSE),0.5),VLOOKUP('Rock Climbing Log'!N99,'RC Lookup'!$G$3:$H$5,2,FALSE)),0)*VLOOKUP(M$7,'RC Lookup'!$D$3:$E$18,2,FALSE)</f>
        <v>0</v>
      </c>
      <c r="O99" s="26">
        <f>_xlfn.IFNA(IF(LEFT('Rock Climbing Log'!O99)="C",_xlfn.IFNA(VLOOKUP('Rock Climbing Log'!O99,'RC Lookup'!$A$3:$B$9,2,FALSE),0.5),VLOOKUP('Rock Climbing Log'!O99,'RC Lookup'!$G$3:$H$5,2,FALSE)),0)*VLOOKUP(M$7,'RC Lookup'!$D$3:$E$18,2,FALSE)</f>
        <v>0</v>
      </c>
      <c r="P99" s="26">
        <f>_xlfn.IFNA(IF(LEFT('Rock Climbing Log'!P99)="C",_xlfn.IFNA(VLOOKUP('Rock Climbing Log'!P99,'RC Lookup'!$A$3:$B$9,2,FALSE),0.5),VLOOKUP('Rock Climbing Log'!P99,'RC Lookup'!$G$3:$H$5,2,FALSE)),0)*VLOOKUP(P$7,'RC Lookup'!$D$3:$E$18,2,FALSE)</f>
        <v>0</v>
      </c>
      <c r="Q99" s="26">
        <f>_xlfn.IFNA(IF(LEFT('Rock Climbing Log'!Q99)="C",_xlfn.IFNA(VLOOKUP('Rock Climbing Log'!Q99,'RC Lookup'!$A$3:$B$9,2,FALSE),0.5),VLOOKUP('Rock Climbing Log'!Q99,'RC Lookup'!$G$3:$H$5,2,FALSE)),0)*VLOOKUP(P$7,'RC Lookup'!$D$3:$E$18,2,FALSE)</f>
        <v>0</v>
      </c>
      <c r="R99" s="26">
        <f>_xlfn.IFNA(IF(LEFT('Rock Climbing Log'!R99)="C",_xlfn.IFNA(VLOOKUP('Rock Climbing Log'!R99,'RC Lookup'!$A$3:$B$9,2,FALSE),0.5),VLOOKUP('Rock Climbing Log'!R99,'RC Lookup'!$G$3:$H$5,2,FALSE)),0)*VLOOKUP(P$7,'RC Lookup'!$D$3:$E$18,2,FALSE)</f>
        <v>0</v>
      </c>
      <c r="S99" s="26">
        <f>_xlfn.IFNA(IF(LEFT('Rock Climbing Log'!S99)="C",_xlfn.IFNA(VLOOKUP('Rock Climbing Log'!S99,'RC Lookup'!$A$3:$B$9,2,FALSE),0.5),VLOOKUP('Rock Climbing Log'!S99,'RC Lookup'!$G$3:$H$5,2,FALSE)),0)*VLOOKUP(S$7,'RC Lookup'!$D$3:$E$18,2,FALSE)</f>
        <v>0</v>
      </c>
      <c r="T99" s="26">
        <f>_xlfn.IFNA(IF(LEFT('Rock Climbing Log'!T99)="C",_xlfn.IFNA(VLOOKUP('Rock Climbing Log'!T99,'RC Lookup'!$A$3:$B$9,2,FALSE),0.5),VLOOKUP('Rock Climbing Log'!T99,'RC Lookup'!$G$3:$H$5,2,FALSE)),0)*VLOOKUP(S$7,'RC Lookup'!$D$3:$E$18,2,FALSE)</f>
        <v>0</v>
      </c>
      <c r="U99" s="26">
        <f>_xlfn.IFNA(IF(LEFT('Rock Climbing Log'!U99)="C",_xlfn.IFNA(VLOOKUP('Rock Climbing Log'!U99,'RC Lookup'!$A$3:$B$9,2,FALSE),0.5),VLOOKUP('Rock Climbing Log'!U99,'RC Lookup'!$G$3:$H$5,2,FALSE)),0)*VLOOKUP(S$7,'RC Lookup'!$D$3:$E$18,2,FALSE)</f>
        <v>0</v>
      </c>
      <c r="V99" s="26">
        <f>_xlfn.IFNA(IF(LEFT('Rock Climbing Log'!V99)="C",_xlfn.IFNA(VLOOKUP('Rock Climbing Log'!V99,'RC Lookup'!$A$3:$B$9,2,FALSE),0.5),VLOOKUP('Rock Climbing Log'!V99,'RC Lookup'!$G$3:$H$5,2,FALSE)),0)*VLOOKUP(V$7,'RC Lookup'!$D$3:$E$18,2,FALSE)</f>
        <v>35.256745742400021</v>
      </c>
      <c r="W99" s="26">
        <f>_xlfn.IFNA(IF(LEFT('Rock Climbing Log'!W99)="C",_xlfn.IFNA(VLOOKUP('Rock Climbing Log'!W99,'RC Lookup'!$A$3:$B$9,2,FALSE),0.5),VLOOKUP('Rock Climbing Log'!W99,'RC Lookup'!$G$3:$H$5,2,FALSE)),0)*VLOOKUP(V$7,'RC Lookup'!$D$3:$E$18,2,FALSE)</f>
        <v>0</v>
      </c>
      <c r="X99" s="26">
        <f>_xlfn.IFNA(IF(LEFT('Rock Climbing Log'!X99)="C",_xlfn.IFNA(VLOOKUP('Rock Climbing Log'!X99,'RC Lookup'!$A$3:$B$9,2,FALSE),0.5),VLOOKUP('Rock Climbing Log'!X99,'RC Lookup'!$G$3:$H$5,2,FALSE)),0)*VLOOKUP(V$7,'RC Lookup'!$D$3:$E$18,2,FALSE)</f>
        <v>0</v>
      </c>
      <c r="Y99" s="26">
        <f>_xlfn.IFNA(IF(LEFT('Rock Climbing Log'!Y99)="C",_xlfn.IFNA(VLOOKUP('Rock Climbing Log'!Y99,'RC Lookup'!$A$3:$B$9,2,FALSE),0.5),VLOOKUP('Rock Climbing Log'!Y99,'RC Lookup'!$G$3:$H$5,2,FALSE)),0)*VLOOKUP(Y$7,'RC Lookup'!$D$3:$E$18,2,FALSE)</f>
        <v>0</v>
      </c>
      <c r="Z99" s="26">
        <f>_xlfn.IFNA(IF(LEFT('Rock Climbing Log'!Z99)="C",_xlfn.IFNA(VLOOKUP('Rock Climbing Log'!Z99,'RC Lookup'!$A$3:$B$9,2,FALSE),0.5),VLOOKUP('Rock Climbing Log'!Z99,'RC Lookup'!$G$3:$H$5,2,FALSE)),0)*VLOOKUP(Y$7,'RC Lookup'!$D$3:$E$18,2,FALSE)</f>
        <v>0</v>
      </c>
      <c r="AA99" s="26">
        <f>_xlfn.IFNA(IF(LEFT('Rock Climbing Log'!AA99)="C",_xlfn.IFNA(VLOOKUP('Rock Climbing Log'!AA99,'RC Lookup'!$A$3:$B$9,2,FALSE),0.5),VLOOKUP('Rock Climbing Log'!AA99,'RC Lookup'!$G$3:$H$5,2,FALSE)),0)*VLOOKUP(Y$7,'RC Lookup'!$D$3:$E$18,2,FALSE)</f>
        <v>0</v>
      </c>
      <c r="AB99" s="26">
        <f>_xlfn.IFNA(IF(LEFT('Rock Climbing Log'!AB99)="C",_xlfn.IFNA(VLOOKUP('Rock Climbing Log'!AB99,'RC Lookup'!$A$3:$B$9,2,FALSE),0.5),VLOOKUP('Rock Climbing Log'!AB99,'RC Lookup'!$G$3:$H$5,2,FALSE)),0)*VLOOKUP(AB$7,'RC Lookup'!$D$3:$E$18,2,FALSE)</f>
        <v>0</v>
      </c>
      <c r="AC99" s="26">
        <f>_xlfn.IFNA(IF(LEFT('Rock Climbing Log'!AC99)="C",_xlfn.IFNA(VLOOKUP('Rock Climbing Log'!AC99,'RC Lookup'!$A$3:$B$9,2,FALSE),0.5),VLOOKUP('Rock Climbing Log'!AC99,'RC Lookup'!$G$3:$H$5,2,FALSE)),0)*VLOOKUP(AB$7,'RC Lookup'!$D$3:$E$18,2,FALSE)</f>
        <v>0</v>
      </c>
      <c r="AD99" s="26">
        <f>_xlfn.IFNA(IF(LEFT('Rock Climbing Log'!AD99)="C",_xlfn.IFNA(VLOOKUP('Rock Climbing Log'!AD99,'RC Lookup'!$A$3:$B$9,2,FALSE),0.5),VLOOKUP('Rock Climbing Log'!AD99,'RC Lookup'!$G$3:$H$5,2,FALSE)),0)*VLOOKUP(AB$7,'RC Lookup'!$D$3:$E$18,2,FALSE)</f>
        <v>0</v>
      </c>
      <c r="AE99" s="26">
        <f>_xlfn.IFNA(IF(LEFT('Rock Climbing Log'!AE99)="C",_xlfn.IFNA(VLOOKUP('Rock Climbing Log'!AE99,'RC Lookup'!$A$3:$B$9,2,FALSE),0.5),VLOOKUP('Rock Climbing Log'!AE99,'RC Lookup'!$G$3:$H$5,2,FALSE)),0)*VLOOKUP(AE$7,'RC Lookup'!$D$3:$E$18,2,FALSE)</f>
        <v>67.867671846932893</v>
      </c>
      <c r="AF99" s="26">
        <f>_xlfn.IFNA(IF(LEFT('Rock Climbing Log'!AF99)="C",_xlfn.IFNA(VLOOKUP('Rock Climbing Log'!AF99,'RC Lookup'!$A$3:$B$9,2,FALSE),0.5),VLOOKUP('Rock Climbing Log'!AF99,'RC Lookup'!$G$3:$H$5,2,FALSE)),0)*VLOOKUP(AE$7,'RC Lookup'!$D$3:$E$18,2,FALSE)</f>
        <v>0</v>
      </c>
      <c r="AG99" s="26">
        <f>_xlfn.IFNA(IF(LEFT('Rock Climbing Log'!AG99)="C",_xlfn.IFNA(VLOOKUP('Rock Climbing Log'!AG99,'RC Lookup'!$A$3:$B$9,2,FALSE),0.5),VLOOKUP('Rock Climbing Log'!AG99,'RC Lookup'!$G$3:$H$5,2,FALSE)),0)*VLOOKUP(AE$7,'RC Lookup'!$D$3:$E$18,2,FALSE)</f>
        <v>0</v>
      </c>
      <c r="AH99" s="26">
        <f>_xlfn.IFNA(IF(LEFT('Rock Climbing Log'!AH99)="C",_xlfn.IFNA(VLOOKUP('Rock Climbing Log'!AH99,'RC Lookup'!$A$3:$B$9,2,FALSE),0.5),VLOOKUP('Rock Climbing Log'!AH99,'RC Lookup'!$G$3:$H$5,2,FALSE)),0)*VLOOKUP(AH$7,'RC Lookup'!$D$3:$E$18,2,FALSE)</f>
        <v>0</v>
      </c>
      <c r="AI99" s="26">
        <f>_xlfn.IFNA(IF(LEFT('Rock Climbing Log'!AI99)="C",_xlfn.IFNA(VLOOKUP('Rock Climbing Log'!AI99,'RC Lookup'!$A$3:$B$9,2,FALSE),0.5),VLOOKUP('Rock Climbing Log'!AI99,'RC Lookup'!$G$3:$H$5,2,FALSE)),0)*VLOOKUP(AH$7,'RC Lookup'!$D$3:$E$18,2,FALSE)</f>
        <v>0</v>
      </c>
      <c r="AJ99" s="26">
        <f>_xlfn.IFNA(IF(LEFT('Rock Climbing Log'!AJ99)="C",_xlfn.IFNA(VLOOKUP('Rock Climbing Log'!AJ99,'RC Lookup'!$A$3:$B$9,2,FALSE),0.5),VLOOKUP('Rock Climbing Log'!AJ99,'RC Lookup'!$G$3:$H$5,2,FALSE)),0)*VLOOKUP(AH$7,'RC Lookup'!$D$3:$E$18,2,FALSE)</f>
        <v>0</v>
      </c>
      <c r="AK99" s="26">
        <f>_xlfn.IFNA(IF(LEFT('Rock Climbing Log'!AK99)="C",_xlfn.IFNA(VLOOKUP('Rock Climbing Log'!AK99,'RC Lookup'!$A$3:$B$9,2,FALSE),0.5),VLOOKUP('Rock Climbing Log'!AK99,'RC Lookup'!$G$3:$H$5,2,FALSE)),0)*VLOOKUP(AK$7,'RC Lookup'!$D$3:$E$18,2,FALSE)</f>
        <v>110.15194611444596</v>
      </c>
      <c r="AL99" s="26">
        <f>_xlfn.IFNA(IF(LEFT('Rock Climbing Log'!AL99)="C",_xlfn.IFNA(VLOOKUP('Rock Climbing Log'!AL99,'RC Lookup'!$A$3:$B$9,2,FALSE),0.5),VLOOKUP('Rock Climbing Log'!AL99,'RC Lookup'!$G$3:$H$5,2,FALSE)),0)*VLOOKUP(AK$7,'RC Lookup'!$D$3:$E$18,2,FALSE)</f>
        <v>0</v>
      </c>
      <c r="AM99" s="26">
        <f>_xlfn.IFNA(IF(LEFT('Rock Climbing Log'!AM99)="C",_xlfn.IFNA(VLOOKUP('Rock Climbing Log'!AM99,'RC Lookup'!$A$3:$B$9,2,FALSE),0.5),VLOOKUP('Rock Climbing Log'!AM99,'RC Lookup'!$G$3:$H$5,2,FALSE)),0)*VLOOKUP(AK$7,'RC Lookup'!$D$3:$E$18,2,FALSE)</f>
        <v>0</v>
      </c>
      <c r="AN99" s="26">
        <f>_xlfn.IFNA(IF(LEFT('Rock Climbing Log'!AN99)="C",_xlfn.IFNA(VLOOKUP('Rock Climbing Log'!AN99,'RC Lookup'!$A$3:$B$9,2,FALSE),0.5),VLOOKUP('Rock Climbing Log'!AN99,'RC Lookup'!$G$3:$H$5,2,FALSE)),0)*VLOOKUP(AN$7,'RC Lookup'!$D$3:$E$18,2,FALSE)</f>
        <v>115.27621464769001</v>
      </c>
      <c r="AO99" s="26">
        <f>_xlfn.IFNA(IF(LEFT('Rock Climbing Log'!AO99)="C",_xlfn.IFNA(VLOOKUP('Rock Climbing Log'!AO99,'RC Lookup'!$A$3:$B$9,2,FALSE),0.5),VLOOKUP('Rock Climbing Log'!AO99,'RC Lookup'!$G$3:$H$5,2,FALSE)),0)*VLOOKUP(AN$7,'RC Lookup'!$D$3:$E$18,2,FALSE)</f>
        <v>93.373733864628917</v>
      </c>
      <c r="AP99" s="26">
        <f>_xlfn.IFNA(IF(LEFT('Rock Climbing Log'!AP99)="C",_xlfn.IFNA(VLOOKUP('Rock Climbing Log'!AP99,'RC Lookup'!$A$3:$B$9,2,FALSE),0.5),VLOOKUP('Rock Climbing Log'!AP99,'RC Lookup'!$G$3:$H$5,2,FALSE)),0)*VLOOKUP(AN$7,'RC Lookup'!$D$3:$E$18,2,FALSE)</f>
        <v>0</v>
      </c>
      <c r="AQ99" s="26">
        <f>_xlfn.IFNA(IF(LEFT('Rock Climbing Log'!AQ99)="C",_xlfn.IFNA(VLOOKUP('Rock Climbing Log'!AQ99,'RC Lookup'!$A$3:$B$9,2,FALSE),0.5),VLOOKUP('Rock Climbing Log'!AQ99,'RC Lookup'!$G$3:$H$5,2,FALSE)),0)*VLOOKUP(AQ$7,'RC Lookup'!$D$3:$E$18,2,FALSE)</f>
        <v>0</v>
      </c>
      <c r="AR99" s="26">
        <f>_xlfn.IFNA(IF(LEFT('Rock Climbing Log'!AR99)="C",_xlfn.IFNA(VLOOKUP('Rock Climbing Log'!AR99,'RC Lookup'!$A$3:$B$9,2,FALSE),0.5),VLOOKUP('Rock Climbing Log'!AR99,'RC Lookup'!$G$3:$H$5,2,FALSE)),0)*VLOOKUP(AQ$7,'RC Lookup'!$D$3:$E$18,2,FALSE)</f>
        <v>0</v>
      </c>
      <c r="AS99" s="26">
        <f>_xlfn.IFNA(IF(LEFT('Rock Climbing Log'!AS99)="C",_xlfn.IFNA(VLOOKUP('Rock Climbing Log'!AS99,'RC Lookup'!$A$3:$B$9,2,FALSE),0.5),VLOOKUP('Rock Climbing Log'!AS99,'RC Lookup'!$G$3:$H$5,2,FALSE)),0)*VLOOKUP(AQ$7,'RC Lookup'!$D$3:$E$18,2,FALSE)</f>
        <v>0</v>
      </c>
      <c r="AT99" s="26">
        <f>_xlfn.IFNA(IF(LEFT('Rock Climbing Log'!AT99)="C",_xlfn.IFNA(VLOOKUP('Rock Climbing Log'!AT99,'RC Lookup'!$A$3:$B$9,2,FALSE),0.5),VLOOKUP('Rock Climbing Log'!AT99,'RC Lookup'!$G$3:$H$5,2,FALSE)),0)*VLOOKUP(AT$7,'RC Lookup'!$D$3:$E$18,2,FALSE)</f>
        <v>0</v>
      </c>
      <c r="AU99" s="26">
        <f>_xlfn.IFNA(IF(LEFT('Rock Climbing Log'!AU99)="C",_xlfn.IFNA(VLOOKUP('Rock Climbing Log'!AU99,'RC Lookup'!$A$3:$B$9,2,FALSE),0.5),VLOOKUP('Rock Climbing Log'!AU99,'RC Lookup'!$G$3:$H$5,2,FALSE)),0)*VLOOKUP(AT$7,'RC Lookup'!$D$3:$E$18,2,FALSE)</f>
        <v>0</v>
      </c>
      <c r="AV99" s="26">
        <f>_xlfn.IFNA(IF(LEFT('Rock Climbing Log'!AV99)="C",_xlfn.IFNA(VLOOKUP('Rock Climbing Log'!AV99,'RC Lookup'!$A$3:$B$9,2,FALSE),0.5),VLOOKUP('Rock Climbing Log'!AV99,'RC Lookup'!$G$3:$H$5,2,FALSE)),0)*VLOOKUP(AT$7,'RC Lookup'!$D$3:$E$18,2,FALSE)</f>
        <v>0</v>
      </c>
      <c r="AW99" s="30">
        <f t="shared" ca="1" si="3"/>
        <v>318.80189462676492</v>
      </c>
      <c r="AX99" s="30">
        <f ca="1">_xlfn.IFNA(VLOOKUP(SUMPRODUCT(LARGE(($C$8:$C99=Table1[[#This Row],[Climber]])*$A$8:$A99,1)),$A$8:$AW99,MATCH($AW$7,$A$7:$AW$7,FALSE),FALSE),0)/LEFT($AX$7,FIND(" ",$AX$7))+_xlfn.IFNA(VLOOKUP(SUMPRODUCT(LARGE(($C$8:$C99=Table1[[#This Row],[Climber]])*$A$8:$A99,MIN(2,COUNTIFS($C$8:$C99,$C99)))),$A$8:$AW99,MATCH($AW$7,$A$7:$AW$7,FALSE),FALSE),0)/LEFT($AX$7,FIND(" ",$AX$7))+_xlfn.IFNA(VLOOKUP(SUMPRODUCT(LARGE(($C$8:$C99=Table1[[#This Row],[Climber]])*$A$8:$A99,MIN(3,COUNTIFS($C$8:$C99,$C99)))),$A$8:$AW99,MATCH($AW$7,$A$7:$AW$7,FALSE),FALSE),0)/LEFT($AX$7,FIND(" ",$AX$7))</f>
        <v>264.62951121101844</v>
      </c>
      <c r="AY99" s="30">
        <f ca="1">_xlfn.IFNA(VLOOKUP(SUMPRODUCT(LARGE(($C$8:$C99=Table1[[#This Row],[Climber]])*$A$8:$A99,1)),$A$8:$AW99,MATCH($AW$7,$A$7:$AW$7,FALSE),FALSE),0)/LEFT($AY$7,FIND(" ",$AY$7))+_xlfn.IFNA(VLOOKUP(SUMPRODUCT(LARGE(($C$8:$C99=Table1[[#This Row],[Climber]])*$A$8:$A99,MIN(2,COUNTIFS($C$8:$C99,$C99)))),$A$8:$AW99,MATCH($AW$7,$A$7:$AW$7,FALSE),FALSE),0)/LEFT($AY$7,FIND(" ",$AY$7))+_xlfn.IFNA(VLOOKUP(SUMPRODUCT(LARGE(($C$8:$C99=Table1[[#This Row],[Climber]])*$A$8:$A99,MIN(3,COUNTIFS($C$8:$C99,$C99)))),$A$8:$AW99,MATCH($AW$7,$A$7:$AW$7,FALSE),FALSE),0)/LEFT($AY$7,FIND(" ",$AY$7))+_xlfn.IFNA(VLOOKUP(SUMPRODUCT(LARGE(($C$8:$C99=Table1[[#This Row],[Climber]])*$A$8:$A99,MIN(4,COUNTIFS($C$8:$C99,$C99)))),$A$8:$AW99,MATCH($AW$7,$A$7:$AW$7,FALSE),FALSE),0)/LEFT($AY$7,FIND(" ",$AY$7))+_xlfn.IFNA(VLOOKUP(SUMPRODUCT(LARGE(($C$8:$C99=Table1[[#This Row],[Climber]])*$A$8:$A99,MIN(5,COUNTIFS($C$8:$C99,$C99)))),$A$8:$AW99,MATCH($AW$7,$A$7:$AW$7,FALSE),FALSE),0)/LEFT($AY$7,FIND(" ",$AY$7))</f>
        <v>252.13745732117678</v>
      </c>
      <c r="AZ99" s="30">
        <f ca="1">(_xlfn.IFNA(VLOOKUP(SUMPRODUCT(LARGE(($C$8:$C99=Table1[[#This Row],[Climber]])*$A$8:$A99,4)),$A$8:$AW99,MATCH($AW$7,$A$7:$AW$7,FALSE),FALSE),0)+_xlfn.IFNA(VLOOKUP(SUMPRODUCT(LARGE(($C$8:$C99=Table1[[#This Row],[Climber]])*$A$8:$A99,5)),$A$8:$AW99,MATCH($AW$7,$A$7:$AW$7,FALSE),FALSE),0)+_xlfn.IFNA(VLOOKUP(SUMPRODUCT(LARGE(($C$8:$C99=Table1[[#This Row],[Climber]])*$A$8:$A99,6)),$A$8:$AW99,MATCH($AW$7,$A$7:$AW$7,FALSE),FALSE),0))/3</f>
        <v>253.36486186063254</v>
      </c>
      <c r="BA99" s="46">
        <f ca="1">_xlfn.MAXIFS(INDIRECT("$AW"&amp;IF(SUMPRODUCT(LARGE(($C$8:$C99=$C99)*$A$8:$A99,LEFT($BA$7,FIND(" ",$BA$7)-1)))=0,8,SUMPRODUCT(LARGE(($C$8:$C99=$C99)*$A$8:$A99,LEFT($BA$7,FIND(" ",$BA$7)-1)))+7)&amp;":$AW"&amp;ROW()),INDIRECT("$C"&amp;IF(SUMPRODUCT(LARGE(($C$8:$C99=$C99)*$A$8:$A99,LEFT($BA$7,FIND(" ",$BA$7)-1)))=0,8,SUMPRODUCT(LARGE(($C$8:$C99=$C99)*$A$8:$A99,LEFT($BA$7,FIND(" ",$BA$7)-1)))+7)&amp;":$C"&amp;ROW()),$C99)</f>
        <v>318.80189462676492</v>
      </c>
      <c r="BB99" s="46" t="str">
        <f ca="1">VLOOKUP(MAX(BG99,$AX99),'RC Lookup'!$G$14:$J$20,2,TRUE)</f>
        <v>T5</v>
      </c>
      <c r="BC99" s="46">
        <f ca="1">_xlfn.IFNA(VLOOKUP(VLOOKUP($C99,'RC Lookup'!$O$3:$P$50,2,FALSE),'RC Lookup'!$H$14:$J$23,2,FALSE),0)*AW99</f>
        <v>96.47337333333337</v>
      </c>
      <c r="BD99" s="6">
        <f ca="1">_xlfn.IFNA(VLOOKUP(SUMPRODUCT(LARGE(($C$8:$C99=Table1[[#This Row],[Climber]])*$A$8:$A99,1)),$A$8:$BC99,55,FALSE),0)/LEFT($AX$7,FIND(" ",$AX$7))+_xlfn.IFNA(VLOOKUP(SUMPRODUCT(LARGE(($C$8:$C99=Table1[[#This Row],[Climber]])*$A$8:$A99,MIN(2,COUNTIFS($C$8:$C99,$C99)))),$A$8:$BC99,55,FALSE),0)/LEFT($AX$7,FIND(" ",$AX$7))+_xlfn.IFNA(VLOOKUP(SUMPRODUCT(LARGE(($C$8:$C99=Table1[[#This Row],[Climber]])*$A$8:$A99,MIN(3,COUNTIFS($C$8:$C99,$C99)))),$A$8:$BC99,55,FALSE),0)/LEFT($AX$7,FIND(" ",$AX$7))</f>
        <v>80.080144002804076</v>
      </c>
      <c r="BE99" s="6">
        <f ca="1">(_xlfn.IFNA(VLOOKUP(SUMPRODUCT(LARGE(($C$8:$C99=Table1[[#This Row],[Climber]])*$A$8:$A99,4)),$A$8:$BD99,55,FALSE),0)+_xlfn.IFNA(VLOOKUP(SUMPRODUCT(LARGE(($C$8:$C99=Table1[[#This Row],[Climber]])*$A$8:$A99,5)),$A$8:$BD99,55,FALSE),0)+_xlfn.IFNA(VLOOKUP(SUMPRODUCT(LARGE(($C$8:$C99=Table1[[#This Row],[Climber]])*$A$8:$A99,6)),$A$8:$BD99,55,FALSE),0))/3</f>
        <v>76.671322598147256</v>
      </c>
      <c r="BF99" s="46">
        <f ca="1">_xlfn.MAXIFS(INDIRECT("$BC"&amp;IF(SUMPRODUCT(LARGE(($C$8:$C99=$C99)*$A$8:$A99,LEFT($BA$7,FIND(" ",$BA$7)-1)))=0,8,SUMPRODUCT(LARGE(($C$8:$C99=$C99)*$A$8:$A99,LEFT($BA$7,FIND(" ",$BA$7)-1)))+7)&amp;":$BC"&amp;ROW()),INDIRECT("$C"&amp;IF(SUMPRODUCT(LARGE(($C$8:$C99=$C99)*$A$8:$A99,LEFT($BA$7,FIND(" ",$BA$7)-1)))=0,8,SUMPRODUCT(LARGE(($C$8:$C99=$C99)*$A$8:$A99,LEFT($BA$7,FIND(" ",$BA$7)-1)))+7)&amp;":$C"&amp;ROW()),$C99)</f>
        <v>96.47337333333337</v>
      </c>
      <c r="BG99" s="46">
        <f t="array" aca="1" ref="BG99" ca="1">IFERROR(SUMPRODUCT(LARGE(($C$8:$C99=Table1[[#This Row],[Climber]])*$AW$8:$AW99,ROW(INDIRECT("1:5")))),AW99)/MIN(COUNTIFS($C$8:$C99,C99),5)</f>
        <v>296.58468330830721</v>
      </c>
    </row>
    <row r="100" spans="1:59" x14ac:dyDescent="0.3">
      <c r="A100" s="125">
        <f t="shared" si="1"/>
        <v>93</v>
      </c>
      <c r="B100" s="25">
        <f>'Rock Climbing Log'!B100</f>
        <v>43187</v>
      </c>
      <c r="C100" s="126" t="str">
        <f>'Rock Climbing Log'!C100</f>
        <v>Edwin</v>
      </c>
      <c r="D100" s="26">
        <f>_xlfn.IFNA(IF(LEFT('Rock Climbing Log'!D100)="C",_xlfn.IFNA(VLOOKUP('Rock Climbing Log'!D100,'RC Lookup'!$A$3:$B$9,2,FALSE),0.5),VLOOKUP('Rock Climbing Log'!D100,'RC Lookup'!$G$3:$H$5,2,FALSE)),0)*VLOOKUP(D$7,'RC Lookup'!$D$3:$E$18,2,FALSE)</f>
        <v>0</v>
      </c>
      <c r="E100" s="26">
        <f>_xlfn.IFNA(IF(LEFT('Rock Climbing Log'!E100)="C",_xlfn.IFNA(VLOOKUP('Rock Climbing Log'!E100,'RC Lookup'!$A$3:$B$9,2,FALSE),0.5),VLOOKUP('Rock Climbing Log'!E100,'RC Lookup'!$G$3:$H$5,2,FALSE)),0)*VLOOKUP(D$7,'RC Lookup'!$D$3:$E$18,2,FALSE)</f>
        <v>0</v>
      </c>
      <c r="F100" s="26">
        <f>_xlfn.IFNA(IF(LEFT('Rock Climbing Log'!F100)="C",_xlfn.IFNA(VLOOKUP('Rock Climbing Log'!F100,'RC Lookup'!$A$3:$B$9,2,FALSE),0.5),VLOOKUP('Rock Climbing Log'!F100,'RC Lookup'!$G$3:$H$5,2,FALSE)),0)*VLOOKUP(D$7,'RC Lookup'!$D$3:$E$18,2,FALSE)</f>
        <v>0</v>
      </c>
      <c r="G100" s="26">
        <f>_xlfn.IFNA(IF(LEFT('Rock Climbing Log'!G100)="C",_xlfn.IFNA(VLOOKUP('Rock Climbing Log'!G100,'RC Lookup'!$A$3:$B$9,2,FALSE),0.5),VLOOKUP('Rock Climbing Log'!G100,'RC Lookup'!$G$3:$H$5,2,FALSE)),0)*VLOOKUP(G$7,'RC Lookup'!$D$3:$E$18,2,FALSE)</f>
        <v>0</v>
      </c>
      <c r="H100" s="26">
        <f>_xlfn.IFNA(IF(LEFT('Rock Climbing Log'!H100)="C",_xlfn.IFNA(VLOOKUP('Rock Climbing Log'!H100,'RC Lookup'!$A$3:$B$9,2,FALSE),0.5),VLOOKUP('Rock Climbing Log'!H100,'RC Lookup'!$G$3:$H$5,2,FALSE)),0)*VLOOKUP(G$7,'RC Lookup'!$D$3:$E$18,2,FALSE)</f>
        <v>0</v>
      </c>
      <c r="I100" s="26">
        <f>_xlfn.IFNA(IF(LEFT('Rock Climbing Log'!I100)="C",_xlfn.IFNA(VLOOKUP('Rock Climbing Log'!I100,'RC Lookup'!$A$3:$B$9,2,FALSE),0.5),VLOOKUP('Rock Climbing Log'!I100,'RC Lookup'!$G$3:$H$5,2,FALSE)),0)*VLOOKUP(G$7,'RC Lookup'!$D$3:$E$18,2,FALSE)</f>
        <v>0</v>
      </c>
      <c r="J100" s="26">
        <f>_xlfn.IFNA(IF(LEFT('Rock Climbing Log'!J100)="C",_xlfn.IFNA(VLOOKUP('Rock Climbing Log'!J100,'RC Lookup'!$A$3:$B$9,2,FALSE),0.5),VLOOKUP('Rock Climbing Log'!J100,'RC Lookup'!$G$3:$H$5,2,FALSE)),0)*VLOOKUP(J$7,'RC Lookup'!$D$3:$E$18,2,FALSE)</f>
        <v>0</v>
      </c>
      <c r="K100" s="26">
        <f>_xlfn.IFNA(IF(LEFT('Rock Climbing Log'!K100)="C",_xlfn.IFNA(VLOOKUP('Rock Climbing Log'!K100,'RC Lookup'!$A$3:$B$9,2,FALSE),0.5),VLOOKUP('Rock Climbing Log'!K100,'RC Lookup'!$G$3:$H$5,2,FALSE)),0)*VLOOKUP(J$7,'RC Lookup'!$D$3:$E$18,2,FALSE)</f>
        <v>0</v>
      </c>
      <c r="L100" s="26">
        <f>_xlfn.IFNA(IF(LEFT('Rock Climbing Log'!L100)="C",_xlfn.IFNA(VLOOKUP('Rock Climbing Log'!L100,'RC Lookup'!$A$3:$B$9,2,FALSE),0.5),VLOOKUP('Rock Climbing Log'!L100,'RC Lookup'!$G$3:$H$5,2,FALSE)),0)*VLOOKUP(J$7,'RC Lookup'!$D$3:$E$18,2,FALSE)</f>
        <v>0</v>
      </c>
      <c r="M100" s="26">
        <f>_xlfn.IFNA(IF(LEFT('Rock Climbing Log'!M100)="C",_xlfn.IFNA(VLOOKUP('Rock Climbing Log'!M100,'RC Lookup'!$A$3:$B$9,2,FALSE),0.5),VLOOKUP('Rock Climbing Log'!M100,'RC Lookup'!$G$3:$H$5,2,FALSE)),0)*VLOOKUP(M$7,'RC Lookup'!$D$3:$E$18,2,FALSE)</f>
        <v>0</v>
      </c>
      <c r="N100" s="26">
        <f>_xlfn.IFNA(IF(LEFT('Rock Climbing Log'!N100)="C",_xlfn.IFNA(VLOOKUP('Rock Climbing Log'!N100,'RC Lookup'!$A$3:$B$9,2,FALSE),0.5),VLOOKUP('Rock Climbing Log'!N100,'RC Lookup'!$G$3:$H$5,2,FALSE)),0)*VLOOKUP(M$7,'RC Lookup'!$D$3:$E$18,2,FALSE)</f>
        <v>0</v>
      </c>
      <c r="O100" s="26">
        <f>_xlfn.IFNA(IF(LEFT('Rock Climbing Log'!O100)="C",_xlfn.IFNA(VLOOKUP('Rock Climbing Log'!O100,'RC Lookup'!$A$3:$B$9,2,FALSE),0.5),VLOOKUP('Rock Climbing Log'!O100,'RC Lookup'!$G$3:$H$5,2,FALSE)),0)*VLOOKUP(M$7,'RC Lookup'!$D$3:$E$18,2,FALSE)</f>
        <v>0</v>
      </c>
      <c r="P100" s="26">
        <f>_xlfn.IFNA(IF(LEFT('Rock Climbing Log'!P100)="C",_xlfn.IFNA(VLOOKUP('Rock Climbing Log'!P100,'RC Lookup'!$A$3:$B$9,2,FALSE),0.5),VLOOKUP('Rock Climbing Log'!P100,'RC Lookup'!$G$3:$H$5,2,FALSE)),0)*VLOOKUP(P$7,'RC Lookup'!$D$3:$E$18,2,FALSE)</f>
        <v>0</v>
      </c>
      <c r="Q100" s="26">
        <f>_xlfn.IFNA(IF(LEFT('Rock Climbing Log'!Q100)="C",_xlfn.IFNA(VLOOKUP('Rock Climbing Log'!Q100,'RC Lookup'!$A$3:$B$9,2,FALSE),0.5),VLOOKUP('Rock Climbing Log'!Q100,'RC Lookup'!$G$3:$H$5,2,FALSE)),0)*VLOOKUP(P$7,'RC Lookup'!$D$3:$E$18,2,FALSE)</f>
        <v>0</v>
      </c>
      <c r="R100" s="26">
        <f>_xlfn.IFNA(IF(LEFT('Rock Climbing Log'!R100)="C",_xlfn.IFNA(VLOOKUP('Rock Climbing Log'!R100,'RC Lookup'!$A$3:$B$9,2,FALSE),0.5),VLOOKUP('Rock Climbing Log'!R100,'RC Lookup'!$G$3:$H$5,2,FALSE)),0)*VLOOKUP(P$7,'RC Lookup'!$D$3:$E$18,2,FALSE)</f>
        <v>0</v>
      </c>
      <c r="S100" s="26">
        <f>_xlfn.IFNA(IF(LEFT('Rock Climbing Log'!S100)="C",_xlfn.IFNA(VLOOKUP('Rock Climbing Log'!S100,'RC Lookup'!$A$3:$B$9,2,FALSE),0.5),VLOOKUP('Rock Climbing Log'!S100,'RC Lookup'!$G$3:$H$5,2,FALSE)),0)*VLOOKUP(S$7,'RC Lookup'!$D$3:$E$18,2,FALSE)</f>
        <v>0</v>
      </c>
      <c r="T100" s="26">
        <f>_xlfn.IFNA(IF(LEFT('Rock Climbing Log'!T100)="C",_xlfn.IFNA(VLOOKUP('Rock Climbing Log'!T100,'RC Lookup'!$A$3:$B$9,2,FALSE),0.5),VLOOKUP('Rock Climbing Log'!T100,'RC Lookup'!$G$3:$H$5,2,FALSE)),0)*VLOOKUP(S$7,'RC Lookup'!$D$3:$E$18,2,FALSE)</f>
        <v>0</v>
      </c>
      <c r="U100" s="26">
        <f>_xlfn.IFNA(IF(LEFT('Rock Climbing Log'!U100)="C",_xlfn.IFNA(VLOOKUP('Rock Climbing Log'!U100,'RC Lookup'!$A$3:$B$9,2,FALSE),0.5),VLOOKUP('Rock Climbing Log'!U100,'RC Lookup'!$G$3:$H$5,2,FALSE)),0)*VLOOKUP(S$7,'RC Lookup'!$D$3:$E$18,2,FALSE)</f>
        <v>0</v>
      </c>
      <c r="V100" s="26">
        <f>_xlfn.IFNA(IF(LEFT('Rock Climbing Log'!V100)="C",_xlfn.IFNA(VLOOKUP('Rock Climbing Log'!V100,'RC Lookup'!$A$3:$B$9,2,FALSE),0.5),VLOOKUP('Rock Climbing Log'!V100,'RC Lookup'!$G$3:$H$5,2,FALSE)),0)*VLOOKUP(V$7,'RC Lookup'!$D$3:$E$18,2,FALSE)</f>
        <v>35.256745742400021</v>
      </c>
      <c r="W100" s="26">
        <f>_xlfn.IFNA(IF(LEFT('Rock Climbing Log'!W100)="C",_xlfn.IFNA(VLOOKUP('Rock Climbing Log'!W100,'RC Lookup'!$A$3:$B$9,2,FALSE),0.5),VLOOKUP('Rock Climbing Log'!W100,'RC Lookup'!$G$3:$H$5,2,FALSE)),0)*VLOOKUP(V$7,'RC Lookup'!$D$3:$E$18,2,FALSE)</f>
        <v>0</v>
      </c>
      <c r="X100" s="26">
        <f>_xlfn.IFNA(IF(LEFT('Rock Climbing Log'!X100)="C",_xlfn.IFNA(VLOOKUP('Rock Climbing Log'!X100,'RC Lookup'!$A$3:$B$9,2,FALSE),0.5),VLOOKUP('Rock Climbing Log'!X100,'RC Lookup'!$G$3:$H$5,2,FALSE)),0)*VLOOKUP(V$7,'RC Lookup'!$D$3:$E$18,2,FALSE)</f>
        <v>0</v>
      </c>
      <c r="Y100" s="26">
        <f>_xlfn.IFNA(IF(LEFT('Rock Climbing Log'!Y100)="C",_xlfn.IFNA(VLOOKUP('Rock Climbing Log'!Y100,'RC Lookup'!$A$3:$B$9,2,FALSE),0.5),VLOOKUP('Rock Climbing Log'!Y100,'RC Lookup'!$G$3:$H$5,2,FALSE)),0)*VLOOKUP(Y$7,'RC Lookup'!$D$3:$E$18,2,FALSE)</f>
        <v>0</v>
      </c>
      <c r="Z100" s="26">
        <f>_xlfn.IFNA(IF(LEFT('Rock Climbing Log'!Z100)="C",_xlfn.IFNA(VLOOKUP('Rock Climbing Log'!Z100,'RC Lookup'!$A$3:$B$9,2,FALSE),0.5),VLOOKUP('Rock Climbing Log'!Z100,'RC Lookup'!$G$3:$H$5,2,FALSE)),0)*VLOOKUP(Y$7,'RC Lookup'!$D$3:$E$18,2,FALSE)</f>
        <v>0</v>
      </c>
      <c r="AA100" s="26">
        <f>_xlfn.IFNA(IF(LEFT('Rock Climbing Log'!AA100)="C",_xlfn.IFNA(VLOOKUP('Rock Climbing Log'!AA100,'RC Lookup'!$A$3:$B$9,2,FALSE),0.5),VLOOKUP('Rock Climbing Log'!AA100,'RC Lookup'!$G$3:$H$5,2,FALSE)),0)*VLOOKUP(Y$7,'RC Lookup'!$D$3:$E$18,2,FALSE)</f>
        <v>0</v>
      </c>
      <c r="AB100" s="26">
        <f>_xlfn.IFNA(IF(LEFT('Rock Climbing Log'!AB100)="C",_xlfn.IFNA(VLOOKUP('Rock Climbing Log'!AB100,'RC Lookup'!$A$3:$B$9,2,FALSE),0.5),VLOOKUP('Rock Climbing Log'!AB100,'RC Lookup'!$G$3:$H$5,2,FALSE)),0)*VLOOKUP(AB$7,'RC Lookup'!$D$3:$E$18,2,FALSE)</f>
        <v>0</v>
      </c>
      <c r="AC100" s="26">
        <f>_xlfn.IFNA(IF(LEFT('Rock Climbing Log'!AC100)="C",_xlfn.IFNA(VLOOKUP('Rock Climbing Log'!AC100,'RC Lookup'!$A$3:$B$9,2,FALSE),0.5),VLOOKUP('Rock Climbing Log'!AC100,'RC Lookup'!$G$3:$H$5,2,FALSE)),0)*VLOOKUP(AB$7,'RC Lookup'!$D$3:$E$18,2,FALSE)</f>
        <v>0</v>
      </c>
      <c r="AD100" s="26">
        <f>_xlfn.IFNA(IF(LEFT('Rock Climbing Log'!AD100)="C",_xlfn.IFNA(VLOOKUP('Rock Climbing Log'!AD100,'RC Lookup'!$A$3:$B$9,2,FALSE),0.5),VLOOKUP('Rock Climbing Log'!AD100,'RC Lookup'!$G$3:$H$5,2,FALSE)),0)*VLOOKUP(AB$7,'RC Lookup'!$D$3:$E$18,2,FALSE)</f>
        <v>0</v>
      </c>
      <c r="AE100" s="26">
        <f>_xlfn.IFNA(IF(LEFT('Rock Climbing Log'!AE100)="C",_xlfn.IFNA(VLOOKUP('Rock Climbing Log'!AE100,'RC Lookup'!$A$3:$B$9,2,FALSE),0.5),VLOOKUP('Rock Climbing Log'!AE100,'RC Lookup'!$G$3:$H$5,2,FALSE)),0)*VLOOKUP(AE$7,'RC Lookup'!$D$3:$E$18,2,FALSE)</f>
        <v>54.972814196015648</v>
      </c>
      <c r="AF100" s="26">
        <f>_xlfn.IFNA(IF(LEFT('Rock Climbing Log'!AF100)="C",_xlfn.IFNA(VLOOKUP('Rock Climbing Log'!AF100,'RC Lookup'!$A$3:$B$9,2,FALSE),0.5),VLOOKUP('Rock Climbing Log'!AF100,'RC Lookup'!$G$3:$H$5,2,FALSE)),0)*VLOOKUP(AE$7,'RC Lookup'!$D$3:$E$18,2,FALSE)</f>
        <v>0</v>
      </c>
      <c r="AG100" s="26">
        <f>_xlfn.IFNA(IF(LEFT('Rock Climbing Log'!AG100)="C",_xlfn.IFNA(VLOOKUP('Rock Climbing Log'!AG100,'RC Lookup'!$A$3:$B$9,2,FALSE),0.5),VLOOKUP('Rock Climbing Log'!AG100,'RC Lookup'!$G$3:$H$5,2,FALSE)),0)*VLOOKUP(AE$7,'RC Lookup'!$D$3:$E$18,2,FALSE)</f>
        <v>0</v>
      </c>
      <c r="AH100" s="26">
        <f>_xlfn.IFNA(IF(LEFT('Rock Climbing Log'!AH100)="C",_xlfn.IFNA(VLOOKUP('Rock Climbing Log'!AH100,'RC Lookup'!$A$3:$B$9,2,FALSE),0.5),VLOOKUP('Rock Climbing Log'!AH100,'RC Lookup'!$G$3:$H$5,2,FALSE)),0)*VLOOKUP(AH$7,'RC Lookup'!$D$3:$E$18,2,FALSE)</f>
        <v>43.028103950955455</v>
      </c>
      <c r="AI100" s="26">
        <f>_xlfn.IFNA(IF(LEFT('Rock Climbing Log'!AI100)="C",_xlfn.IFNA(VLOOKUP('Rock Climbing Log'!AI100,'RC Lookup'!$A$3:$B$9,2,FALSE),0.5),VLOOKUP('Rock Climbing Log'!AI100,'RC Lookup'!$G$3:$H$5,2,FALSE)),0)*VLOOKUP(AH$7,'RC Lookup'!$D$3:$E$18,2,FALSE)</f>
        <v>0</v>
      </c>
      <c r="AJ100" s="26">
        <f>_xlfn.IFNA(IF(LEFT('Rock Climbing Log'!AJ100)="C",_xlfn.IFNA(VLOOKUP('Rock Climbing Log'!AJ100,'RC Lookup'!$A$3:$B$9,2,FALSE),0.5),VLOOKUP('Rock Climbing Log'!AJ100,'RC Lookup'!$G$3:$H$5,2,FALSE)),0)*VLOOKUP(AH$7,'RC Lookup'!$D$3:$E$18,2,FALSE)</f>
        <v>0</v>
      </c>
      <c r="AK100" s="26">
        <f>_xlfn.IFNA(IF(LEFT('Rock Climbing Log'!AK100)="C",_xlfn.IFNA(VLOOKUP('Rock Climbing Log'!AK100,'RC Lookup'!$A$3:$B$9,2,FALSE),0.5),VLOOKUP('Rock Climbing Log'!AK100,'RC Lookup'!$G$3:$H$5,2,FALSE)),0)*VLOOKUP(AK$7,'RC Lookup'!$D$3:$E$18,2,FALSE)</f>
        <v>0</v>
      </c>
      <c r="AL100" s="26">
        <f>_xlfn.IFNA(IF(LEFT('Rock Climbing Log'!AL100)="C",_xlfn.IFNA(VLOOKUP('Rock Climbing Log'!AL100,'RC Lookup'!$A$3:$B$9,2,FALSE),0.5),VLOOKUP('Rock Climbing Log'!AL100,'RC Lookup'!$G$3:$H$5,2,FALSE)),0)*VLOOKUP(AK$7,'RC Lookup'!$D$3:$E$18,2,FALSE)</f>
        <v>0</v>
      </c>
      <c r="AM100" s="26">
        <f>_xlfn.IFNA(IF(LEFT('Rock Climbing Log'!AM100)="C",_xlfn.IFNA(VLOOKUP('Rock Climbing Log'!AM100,'RC Lookup'!$A$3:$B$9,2,FALSE),0.5),VLOOKUP('Rock Climbing Log'!AM100,'RC Lookup'!$G$3:$H$5,2,FALSE)),0)*VLOOKUP(AK$7,'RC Lookup'!$D$3:$E$18,2,FALSE)</f>
        <v>0</v>
      </c>
      <c r="AN100" s="26">
        <f>_xlfn.IFNA(IF(LEFT('Rock Climbing Log'!AN100)="C",_xlfn.IFNA(VLOOKUP('Rock Climbing Log'!AN100,'RC Lookup'!$A$3:$B$9,2,FALSE),0.5),VLOOKUP('Rock Climbing Log'!AN100,'RC Lookup'!$G$3:$H$5,2,FALSE)),0)*VLOOKUP(AN$7,'RC Lookup'!$D$3:$E$18,2,FALSE)</f>
        <v>0</v>
      </c>
      <c r="AO100" s="26">
        <f>_xlfn.IFNA(IF(LEFT('Rock Climbing Log'!AO100)="C",_xlfn.IFNA(VLOOKUP('Rock Climbing Log'!AO100,'RC Lookup'!$A$3:$B$9,2,FALSE),0.5),VLOOKUP('Rock Climbing Log'!AO100,'RC Lookup'!$G$3:$H$5,2,FALSE)),0)*VLOOKUP(AN$7,'RC Lookup'!$D$3:$E$18,2,FALSE)</f>
        <v>0</v>
      </c>
      <c r="AP100" s="26">
        <f>_xlfn.IFNA(IF(LEFT('Rock Climbing Log'!AP100)="C",_xlfn.IFNA(VLOOKUP('Rock Climbing Log'!AP100,'RC Lookup'!$A$3:$B$9,2,FALSE),0.5),VLOOKUP('Rock Climbing Log'!AP100,'RC Lookup'!$G$3:$H$5,2,FALSE)),0)*VLOOKUP(AN$7,'RC Lookup'!$D$3:$E$18,2,FALSE)</f>
        <v>0</v>
      </c>
      <c r="AQ100" s="26">
        <f>_xlfn.IFNA(IF(LEFT('Rock Climbing Log'!AQ100)="C",_xlfn.IFNA(VLOOKUP('Rock Climbing Log'!AQ100,'RC Lookup'!$A$3:$B$9,2,FALSE),0.5),VLOOKUP('Rock Climbing Log'!AQ100,'RC Lookup'!$G$3:$H$5,2,FALSE)),0)*VLOOKUP(AQ$7,'RC Lookup'!$D$3:$E$18,2,FALSE)</f>
        <v>0</v>
      </c>
      <c r="AR100" s="26">
        <f>_xlfn.IFNA(IF(LEFT('Rock Climbing Log'!AR100)="C",_xlfn.IFNA(VLOOKUP('Rock Climbing Log'!AR100,'RC Lookup'!$A$3:$B$9,2,FALSE),0.5),VLOOKUP('Rock Climbing Log'!AR100,'RC Lookup'!$G$3:$H$5,2,FALSE)),0)*VLOOKUP(AQ$7,'RC Lookup'!$D$3:$E$18,2,FALSE)</f>
        <v>0</v>
      </c>
      <c r="AS100" s="26">
        <f>_xlfn.IFNA(IF(LEFT('Rock Climbing Log'!AS100)="C",_xlfn.IFNA(VLOOKUP('Rock Climbing Log'!AS100,'RC Lookup'!$A$3:$B$9,2,FALSE),0.5),VLOOKUP('Rock Climbing Log'!AS100,'RC Lookup'!$G$3:$H$5,2,FALSE)),0)*VLOOKUP(AQ$7,'RC Lookup'!$D$3:$E$18,2,FALSE)</f>
        <v>0</v>
      </c>
      <c r="AT100" s="26">
        <f>_xlfn.IFNA(IF(LEFT('Rock Climbing Log'!AT100)="C",_xlfn.IFNA(VLOOKUP('Rock Climbing Log'!AT100,'RC Lookup'!$A$3:$B$9,2,FALSE),0.5),VLOOKUP('Rock Climbing Log'!AT100,'RC Lookup'!$G$3:$H$5,2,FALSE)),0)*VLOOKUP(AT$7,'RC Lookup'!$D$3:$E$18,2,FALSE)</f>
        <v>0</v>
      </c>
      <c r="AU100" s="26">
        <f>_xlfn.IFNA(IF(LEFT('Rock Climbing Log'!AU100)="C",_xlfn.IFNA(VLOOKUP('Rock Climbing Log'!AU100,'RC Lookup'!$A$3:$B$9,2,FALSE),0.5),VLOOKUP('Rock Climbing Log'!AU100,'RC Lookup'!$G$3:$H$5,2,FALSE)),0)*VLOOKUP(AT$7,'RC Lookup'!$D$3:$E$18,2,FALSE)</f>
        <v>0</v>
      </c>
      <c r="AV100" s="26">
        <f>_xlfn.IFNA(IF(LEFT('Rock Climbing Log'!AV100)="C",_xlfn.IFNA(VLOOKUP('Rock Climbing Log'!AV100,'RC Lookup'!$A$3:$B$9,2,FALSE),0.5),VLOOKUP('Rock Climbing Log'!AV100,'RC Lookup'!$G$3:$H$5,2,FALSE)),0)*VLOOKUP(AT$7,'RC Lookup'!$D$3:$E$18,2,FALSE)</f>
        <v>0</v>
      </c>
      <c r="AW100" s="30">
        <f t="shared" ca="1" si="3"/>
        <v>133.25766388937112</v>
      </c>
      <c r="AX100" s="30">
        <f ca="1">_xlfn.IFNA(VLOOKUP(SUMPRODUCT(LARGE(($C$8:$C100=Table1[[#This Row],[Climber]])*$A$8:$A100,1)),$A$8:$AW100,MATCH($AW$7,$A$7:$AW$7,FALSE),FALSE),0)/LEFT($AX$7,FIND(" ",$AX$7))+_xlfn.IFNA(VLOOKUP(SUMPRODUCT(LARGE(($C$8:$C100=Table1[[#This Row],[Climber]])*$A$8:$A100,MIN(2,COUNTIFS($C$8:$C100,$C100)))),$A$8:$AW100,MATCH($AW$7,$A$7:$AW$7,FALSE),FALSE),0)/LEFT($AX$7,FIND(" ",$AX$7))+_xlfn.IFNA(VLOOKUP(SUMPRODUCT(LARGE(($C$8:$C100=Table1[[#This Row],[Climber]])*$A$8:$A100,MIN(3,COUNTIFS($C$8:$C100,$C100)))),$A$8:$AW100,MATCH($AW$7,$A$7:$AW$7,FALSE),FALSE),0)/LEFT($AX$7,FIND(" ",$AX$7))</f>
        <v>117.52316551744224</v>
      </c>
      <c r="AY100" s="30">
        <f ca="1">_xlfn.IFNA(VLOOKUP(SUMPRODUCT(LARGE(($C$8:$C100=Table1[[#This Row],[Climber]])*$A$8:$A100,1)),$A$8:$AW100,MATCH($AW$7,$A$7:$AW$7,FALSE),FALSE),0)/LEFT($AY$7,FIND(" ",$AY$7))+_xlfn.IFNA(VLOOKUP(SUMPRODUCT(LARGE(($C$8:$C100=Table1[[#This Row],[Climber]])*$A$8:$A100,MIN(2,COUNTIFS($C$8:$C100,$C100)))),$A$8:$AW100,MATCH($AW$7,$A$7:$AW$7,FALSE),FALSE),0)/LEFT($AY$7,FIND(" ",$AY$7))+_xlfn.IFNA(VLOOKUP(SUMPRODUCT(LARGE(($C$8:$C100=Table1[[#This Row],[Climber]])*$A$8:$A100,MIN(3,COUNTIFS($C$8:$C100,$C100)))),$A$8:$AW100,MATCH($AW$7,$A$7:$AW$7,FALSE),FALSE),0)/LEFT($AY$7,FIND(" ",$AY$7))+_xlfn.IFNA(VLOOKUP(SUMPRODUCT(LARGE(($C$8:$C100=Table1[[#This Row],[Climber]])*$A$8:$A100,MIN(4,COUNTIFS($C$8:$C100,$C100)))),$A$8:$AW100,MATCH($AW$7,$A$7:$AW$7,FALSE),FALSE),0)/LEFT($AY$7,FIND(" ",$AY$7))+_xlfn.IFNA(VLOOKUP(SUMPRODUCT(LARGE(($C$8:$C100=Table1[[#This Row],[Climber]])*$A$8:$A100,MIN(5,COUNTIFS($C$8:$C100,$C100)))),$A$8:$AW100,MATCH($AW$7,$A$7:$AW$7,FALSE),FALSE),0)/LEFT($AY$7,FIND(" ",$AY$7))</f>
        <v>115.63701125367773</v>
      </c>
      <c r="AZ100" s="30">
        <f ca="1">(_xlfn.IFNA(VLOOKUP(SUMPRODUCT(LARGE(($C$8:$C100=Table1[[#This Row],[Climber]])*$A$8:$A100,4)),$A$8:$AW100,MATCH($AW$7,$A$7:$AW$7,FALSE),FALSE),0)+_xlfn.IFNA(VLOOKUP(SUMPRODUCT(LARGE(($C$8:$C100=Table1[[#This Row],[Climber]])*$A$8:$A100,5)),$A$8:$AW100,MATCH($AW$7,$A$7:$AW$7,FALSE),FALSE),0)+_xlfn.IFNA(VLOOKUP(SUMPRODUCT(LARGE(($C$8:$C100=Table1[[#This Row],[Climber]])*$A$8:$A100,6)),$A$8:$AW100,MATCH($AW$7,$A$7:$AW$7,FALSE),FALSE),0))/3</f>
        <v>106.79241161172581</v>
      </c>
      <c r="BA100" s="46">
        <f ca="1">_xlfn.MAXIFS(INDIRECT("$AW"&amp;IF(SUMPRODUCT(LARGE(($C$8:$C100=$C100)*$A$8:$A100,LEFT($BA$7,FIND(" ",$BA$7)-1)))=0,8,SUMPRODUCT(LARGE(($C$8:$C100=$C100)*$A$8:$A100,LEFT($BA$7,FIND(" ",$BA$7)-1)))+7)&amp;":$AW"&amp;ROW()),INDIRECT("$C"&amp;IF(SUMPRODUCT(LARGE(($C$8:$C100=$C100)*$A$8:$A100,LEFT($BA$7,FIND(" ",$BA$7)-1)))=0,8,SUMPRODUCT(LARGE(($C$8:$C100=$C100)*$A$8:$A100,LEFT($BA$7,FIND(" ",$BA$7)-1)))+7)&amp;":$C"&amp;ROW()),$C100)</f>
        <v>133.25766388937112</v>
      </c>
      <c r="BB100" s="46" t="str">
        <f ca="1">VLOOKUP(MAX(BG100,$AX100),'RC Lookup'!$G$14:$J$20,2,TRUE)</f>
        <v>T3</v>
      </c>
      <c r="BC100" s="46">
        <f ca="1">_xlfn.IFNA(VLOOKUP(VLOOKUP($C100,'RC Lookup'!$O$3:$P$50,2,FALSE),'RC Lookup'!$H$14:$J$23,2,FALSE),0)*AW100</f>
        <v>102.2628775896104</v>
      </c>
      <c r="BD100" s="6">
        <f ca="1">_xlfn.IFNA(VLOOKUP(SUMPRODUCT(LARGE(($C$8:$C100=Table1[[#This Row],[Climber]])*$A$8:$A100,1)),$A$8:$BC100,55,FALSE),0)/LEFT($AX$7,FIND(" ",$AX$7))+_xlfn.IFNA(VLOOKUP(SUMPRODUCT(LARGE(($C$8:$C100=Table1[[#This Row],[Climber]])*$A$8:$A100,MIN(2,COUNTIFS($C$8:$C100,$C100)))),$A$8:$BC100,55,FALSE),0)/LEFT($AX$7,FIND(" ",$AX$7))+_xlfn.IFNA(VLOOKUP(SUMPRODUCT(LARGE(($C$8:$C100=Table1[[#This Row],[Climber]])*$A$8:$A100,MIN(3,COUNTIFS($C$8:$C100,$C100)))),$A$8:$BC100,55,FALSE),0)/LEFT($AX$7,FIND(" ",$AX$7))</f>
        <v>90.188111801443</v>
      </c>
      <c r="BE100" s="6">
        <f ca="1">(_xlfn.IFNA(VLOOKUP(SUMPRODUCT(LARGE(($C$8:$C100=Table1[[#This Row],[Climber]])*$A$8:$A100,4)),$A$8:$BD100,55,FALSE),0)+_xlfn.IFNA(VLOOKUP(SUMPRODUCT(LARGE(($C$8:$C100=Table1[[#This Row],[Climber]])*$A$8:$A100,5)),$A$8:$BD100,55,FALSE),0)+_xlfn.IFNA(VLOOKUP(SUMPRODUCT(LARGE(($C$8:$C100=Table1[[#This Row],[Climber]])*$A$8:$A100,6)),$A$8:$BD100,55,FALSE),0))/3</f>
        <v>81.953255050423223</v>
      </c>
      <c r="BF100" s="46">
        <f ca="1">_xlfn.MAXIFS(INDIRECT("$BC"&amp;IF(SUMPRODUCT(LARGE(($C$8:$C100=$C100)*$A$8:$A100,LEFT($BA$7,FIND(" ",$BA$7)-1)))=0,8,SUMPRODUCT(LARGE(($C$8:$C100=$C100)*$A$8:$A100,LEFT($BA$7,FIND(" ",$BA$7)-1)))+7)&amp;":$BC"&amp;ROW()),INDIRECT("$C"&amp;IF(SUMPRODUCT(LARGE(($C$8:$C100=$C100)*$A$8:$A100,LEFT($BA$7,FIND(" ",$BA$7)-1)))=0,8,SUMPRODUCT(LARGE(($C$8:$C100=$C100)*$A$8:$A100,LEFT($BA$7,FIND(" ",$BA$7)-1)))+7)&amp;":$C"&amp;ROW()),$C100)</f>
        <v>102.2628775896104</v>
      </c>
      <c r="BG100" s="46">
        <f t="array" aca="1" ref="BG100" ca="1">IFERROR(SUMPRODUCT(LARGE(($C$8:$C100=Table1[[#This Row],[Climber]])*$AW$8:$AW100,ROW(INDIRECT("1:5")))),AW100)/MIN(COUNTIFS($C$8:$C100,C100),5)</f>
        <v>118.77373716307454</v>
      </c>
    </row>
    <row r="101" spans="1:59" x14ac:dyDescent="0.3">
      <c r="A101" s="125">
        <f t="shared" si="1"/>
        <v>94</v>
      </c>
      <c r="B101" s="25">
        <f>'Rock Climbing Log'!B101</f>
        <v>43189</v>
      </c>
      <c r="C101" s="126" t="str">
        <f>'Rock Climbing Log'!C101</f>
        <v>Lester</v>
      </c>
      <c r="D101" s="26">
        <f>_xlfn.IFNA(IF(LEFT('Rock Climbing Log'!D101)="C",_xlfn.IFNA(VLOOKUP('Rock Climbing Log'!D101,'RC Lookup'!$A$3:$B$9,2,FALSE),0.5),VLOOKUP('Rock Climbing Log'!D101,'RC Lookup'!$G$3:$H$5,2,FALSE)),0)*VLOOKUP(D$7,'RC Lookup'!$D$3:$E$18,2,FALSE)</f>
        <v>0</v>
      </c>
      <c r="E101" s="26">
        <f>_xlfn.IFNA(IF(LEFT('Rock Climbing Log'!E101)="C",_xlfn.IFNA(VLOOKUP('Rock Climbing Log'!E101,'RC Lookup'!$A$3:$B$9,2,FALSE),0.5),VLOOKUP('Rock Climbing Log'!E101,'RC Lookup'!$G$3:$H$5,2,FALSE)),0)*VLOOKUP(D$7,'RC Lookup'!$D$3:$E$18,2,FALSE)</f>
        <v>0</v>
      </c>
      <c r="F101" s="26">
        <f>_xlfn.IFNA(IF(LEFT('Rock Climbing Log'!F101)="C",_xlfn.IFNA(VLOOKUP('Rock Climbing Log'!F101,'RC Lookup'!$A$3:$B$9,2,FALSE),0.5),VLOOKUP('Rock Climbing Log'!F101,'RC Lookup'!$G$3:$H$5,2,FALSE)),0)*VLOOKUP(D$7,'RC Lookup'!$D$3:$E$18,2,FALSE)</f>
        <v>0</v>
      </c>
      <c r="G101" s="26">
        <f>_xlfn.IFNA(IF(LEFT('Rock Climbing Log'!G101)="C",_xlfn.IFNA(VLOOKUP('Rock Climbing Log'!G101,'RC Lookup'!$A$3:$B$9,2,FALSE),0.5),VLOOKUP('Rock Climbing Log'!G101,'RC Lookup'!$G$3:$H$5,2,FALSE)),0)*VLOOKUP(G$7,'RC Lookup'!$D$3:$E$18,2,FALSE)</f>
        <v>0</v>
      </c>
      <c r="H101" s="26">
        <f>_xlfn.IFNA(IF(LEFT('Rock Climbing Log'!H101)="C",_xlfn.IFNA(VLOOKUP('Rock Climbing Log'!H101,'RC Lookup'!$A$3:$B$9,2,FALSE),0.5),VLOOKUP('Rock Climbing Log'!H101,'RC Lookup'!$G$3:$H$5,2,FALSE)),0)*VLOOKUP(G$7,'RC Lookup'!$D$3:$E$18,2,FALSE)</f>
        <v>0</v>
      </c>
      <c r="I101" s="26">
        <f>_xlfn.IFNA(IF(LEFT('Rock Climbing Log'!I101)="C",_xlfn.IFNA(VLOOKUP('Rock Climbing Log'!I101,'RC Lookup'!$A$3:$B$9,2,FALSE),0.5),VLOOKUP('Rock Climbing Log'!I101,'RC Lookup'!$G$3:$H$5,2,FALSE)),0)*VLOOKUP(G$7,'RC Lookup'!$D$3:$E$18,2,FALSE)</f>
        <v>0</v>
      </c>
      <c r="J101" s="26">
        <f>_xlfn.IFNA(IF(LEFT('Rock Climbing Log'!J101)="C",_xlfn.IFNA(VLOOKUP('Rock Climbing Log'!J101,'RC Lookup'!$A$3:$B$9,2,FALSE),0.5),VLOOKUP('Rock Climbing Log'!J101,'RC Lookup'!$G$3:$H$5,2,FALSE)),0)*VLOOKUP(J$7,'RC Lookup'!$D$3:$E$18,2,FALSE)</f>
        <v>0</v>
      </c>
      <c r="K101" s="26">
        <f>_xlfn.IFNA(IF(LEFT('Rock Climbing Log'!K101)="C",_xlfn.IFNA(VLOOKUP('Rock Climbing Log'!K101,'RC Lookup'!$A$3:$B$9,2,FALSE),0.5),VLOOKUP('Rock Climbing Log'!K101,'RC Lookup'!$G$3:$H$5,2,FALSE)),0)*VLOOKUP(J$7,'RC Lookup'!$D$3:$E$18,2,FALSE)</f>
        <v>0</v>
      </c>
      <c r="L101" s="26">
        <f>_xlfn.IFNA(IF(LEFT('Rock Climbing Log'!L101)="C",_xlfn.IFNA(VLOOKUP('Rock Climbing Log'!L101,'RC Lookup'!$A$3:$B$9,2,FALSE),0.5),VLOOKUP('Rock Climbing Log'!L101,'RC Lookup'!$G$3:$H$5,2,FALSE)),0)*VLOOKUP(J$7,'RC Lookup'!$D$3:$E$18,2,FALSE)</f>
        <v>0</v>
      </c>
      <c r="M101" s="26">
        <f>_xlfn.IFNA(IF(LEFT('Rock Climbing Log'!M101)="C",_xlfn.IFNA(VLOOKUP('Rock Climbing Log'!M101,'RC Lookup'!$A$3:$B$9,2,FALSE),0.5),VLOOKUP('Rock Climbing Log'!M101,'RC Lookup'!$G$3:$H$5,2,FALSE)),0)*VLOOKUP(M$7,'RC Lookup'!$D$3:$E$18,2,FALSE)</f>
        <v>0</v>
      </c>
      <c r="N101" s="26">
        <f>_xlfn.IFNA(IF(LEFT('Rock Climbing Log'!N101)="C",_xlfn.IFNA(VLOOKUP('Rock Climbing Log'!N101,'RC Lookup'!$A$3:$B$9,2,FALSE),0.5),VLOOKUP('Rock Climbing Log'!N101,'RC Lookup'!$G$3:$H$5,2,FALSE)),0)*VLOOKUP(M$7,'RC Lookup'!$D$3:$E$18,2,FALSE)</f>
        <v>0</v>
      </c>
      <c r="O101" s="26">
        <f>_xlfn.IFNA(IF(LEFT('Rock Climbing Log'!O101)="C",_xlfn.IFNA(VLOOKUP('Rock Climbing Log'!O101,'RC Lookup'!$A$3:$B$9,2,FALSE),0.5),VLOOKUP('Rock Climbing Log'!O101,'RC Lookup'!$G$3:$H$5,2,FALSE)),0)*VLOOKUP(M$7,'RC Lookup'!$D$3:$E$18,2,FALSE)</f>
        <v>0</v>
      </c>
      <c r="P101" s="26">
        <f>_xlfn.IFNA(IF(LEFT('Rock Climbing Log'!P101)="C",_xlfn.IFNA(VLOOKUP('Rock Climbing Log'!P101,'RC Lookup'!$A$3:$B$9,2,FALSE),0.5),VLOOKUP('Rock Climbing Log'!P101,'RC Lookup'!$G$3:$H$5,2,FALSE)),0)*VLOOKUP(P$7,'RC Lookup'!$D$3:$E$18,2,FALSE)</f>
        <v>0</v>
      </c>
      <c r="Q101" s="26">
        <f>_xlfn.IFNA(IF(LEFT('Rock Climbing Log'!Q101)="C",_xlfn.IFNA(VLOOKUP('Rock Climbing Log'!Q101,'RC Lookup'!$A$3:$B$9,2,FALSE),0.5),VLOOKUP('Rock Climbing Log'!Q101,'RC Lookup'!$G$3:$H$5,2,FALSE)),0)*VLOOKUP(P$7,'RC Lookup'!$D$3:$E$18,2,FALSE)</f>
        <v>0</v>
      </c>
      <c r="R101" s="26">
        <f>_xlfn.IFNA(IF(LEFT('Rock Climbing Log'!R101)="C",_xlfn.IFNA(VLOOKUP('Rock Climbing Log'!R101,'RC Lookup'!$A$3:$B$9,2,FALSE),0.5),VLOOKUP('Rock Climbing Log'!R101,'RC Lookup'!$G$3:$H$5,2,FALSE)),0)*VLOOKUP(P$7,'RC Lookup'!$D$3:$E$18,2,FALSE)</f>
        <v>0</v>
      </c>
      <c r="S101" s="26">
        <f>_xlfn.IFNA(IF(LEFT('Rock Climbing Log'!S101)="C",_xlfn.IFNA(VLOOKUP('Rock Climbing Log'!S101,'RC Lookup'!$A$3:$B$9,2,FALSE),0.5),VLOOKUP('Rock Climbing Log'!S101,'RC Lookup'!$G$3:$H$5,2,FALSE)),0)*VLOOKUP(S$7,'RC Lookup'!$D$3:$E$18,2,FALSE)</f>
        <v>0</v>
      </c>
      <c r="T101" s="26">
        <f>_xlfn.IFNA(IF(LEFT('Rock Climbing Log'!T101)="C",_xlfn.IFNA(VLOOKUP('Rock Climbing Log'!T101,'RC Lookup'!$A$3:$B$9,2,FALSE),0.5),VLOOKUP('Rock Climbing Log'!T101,'RC Lookup'!$G$3:$H$5,2,FALSE)),0)*VLOOKUP(S$7,'RC Lookup'!$D$3:$E$18,2,FALSE)</f>
        <v>0</v>
      </c>
      <c r="U101" s="26">
        <f>_xlfn.IFNA(IF(LEFT('Rock Climbing Log'!U101)="C",_xlfn.IFNA(VLOOKUP('Rock Climbing Log'!U101,'RC Lookup'!$A$3:$B$9,2,FALSE),0.5),VLOOKUP('Rock Climbing Log'!U101,'RC Lookup'!$G$3:$H$5,2,FALSE)),0)*VLOOKUP(S$7,'RC Lookup'!$D$3:$E$18,2,FALSE)</f>
        <v>0</v>
      </c>
      <c r="V101" s="26">
        <f>_xlfn.IFNA(IF(LEFT('Rock Climbing Log'!V101)="C",_xlfn.IFNA(VLOOKUP('Rock Climbing Log'!V101,'RC Lookup'!$A$3:$B$9,2,FALSE),0.5),VLOOKUP('Rock Climbing Log'!V101,'RC Lookup'!$G$3:$H$5,2,FALSE)),0)*VLOOKUP(V$7,'RC Lookup'!$D$3:$E$18,2,FALSE)</f>
        <v>35.256745742400021</v>
      </c>
      <c r="W101" s="26">
        <f>_xlfn.IFNA(IF(LEFT('Rock Climbing Log'!W101)="C",_xlfn.IFNA(VLOOKUP('Rock Climbing Log'!W101,'RC Lookup'!$A$3:$B$9,2,FALSE),0.5),VLOOKUP('Rock Climbing Log'!W101,'RC Lookup'!$G$3:$H$5,2,FALSE)),0)*VLOOKUP(V$7,'RC Lookup'!$D$3:$E$18,2,FALSE)</f>
        <v>0</v>
      </c>
      <c r="X101" s="26">
        <f>_xlfn.IFNA(IF(LEFT('Rock Climbing Log'!X101)="C",_xlfn.IFNA(VLOOKUP('Rock Climbing Log'!X101,'RC Lookup'!$A$3:$B$9,2,FALSE),0.5),VLOOKUP('Rock Climbing Log'!X101,'RC Lookup'!$G$3:$H$5,2,FALSE)),0)*VLOOKUP(V$7,'RC Lookup'!$D$3:$E$18,2,FALSE)</f>
        <v>0</v>
      </c>
      <c r="Y101" s="26">
        <f>_xlfn.IFNA(IF(LEFT('Rock Climbing Log'!Y101)="C",_xlfn.IFNA(VLOOKUP('Rock Climbing Log'!Y101,'RC Lookup'!$A$3:$B$9,2,FALSE),0.5),VLOOKUP('Rock Climbing Log'!Y101,'RC Lookup'!$G$3:$H$5,2,FALSE)),0)*VLOOKUP(Y$7,'RC Lookup'!$D$3:$E$18,2,FALSE)</f>
        <v>0</v>
      </c>
      <c r="Z101" s="26">
        <f>_xlfn.IFNA(IF(LEFT('Rock Climbing Log'!Z101)="C",_xlfn.IFNA(VLOOKUP('Rock Climbing Log'!Z101,'RC Lookup'!$A$3:$B$9,2,FALSE),0.5),VLOOKUP('Rock Climbing Log'!Z101,'RC Lookup'!$G$3:$H$5,2,FALSE)),0)*VLOOKUP(Y$7,'RC Lookup'!$D$3:$E$18,2,FALSE)</f>
        <v>0</v>
      </c>
      <c r="AA101" s="26">
        <f>_xlfn.IFNA(IF(LEFT('Rock Climbing Log'!AA101)="C",_xlfn.IFNA(VLOOKUP('Rock Climbing Log'!AA101,'RC Lookup'!$A$3:$B$9,2,FALSE),0.5),VLOOKUP('Rock Climbing Log'!AA101,'RC Lookup'!$G$3:$H$5,2,FALSE)),0)*VLOOKUP(Y$7,'RC Lookup'!$D$3:$E$18,2,FALSE)</f>
        <v>0</v>
      </c>
      <c r="AB101" s="26">
        <f>_xlfn.IFNA(IF(LEFT('Rock Climbing Log'!AB101)="C",_xlfn.IFNA(VLOOKUP('Rock Climbing Log'!AB101,'RC Lookup'!$A$3:$B$9,2,FALSE),0.5),VLOOKUP('Rock Climbing Log'!AB101,'RC Lookup'!$G$3:$H$5,2,FALSE)),0)*VLOOKUP(AB$7,'RC Lookup'!$D$3:$E$18,2,FALSE)</f>
        <v>0</v>
      </c>
      <c r="AC101" s="26">
        <f>_xlfn.IFNA(IF(LEFT('Rock Climbing Log'!AC101)="C",_xlfn.IFNA(VLOOKUP('Rock Climbing Log'!AC101,'RC Lookup'!$A$3:$B$9,2,FALSE),0.5),VLOOKUP('Rock Climbing Log'!AC101,'RC Lookup'!$G$3:$H$5,2,FALSE)),0)*VLOOKUP(AB$7,'RC Lookup'!$D$3:$E$18,2,FALSE)</f>
        <v>0</v>
      </c>
      <c r="AD101" s="26">
        <f>_xlfn.IFNA(IF(LEFT('Rock Climbing Log'!AD101)="C",_xlfn.IFNA(VLOOKUP('Rock Climbing Log'!AD101,'RC Lookup'!$A$3:$B$9,2,FALSE),0.5),VLOOKUP('Rock Climbing Log'!AD101,'RC Lookup'!$G$3:$H$5,2,FALSE)),0)*VLOOKUP(AB$7,'RC Lookup'!$D$3:$E$18,2,FALSE)</f>
        <v>0</v>
      </c>
      <c r="AE101" s="26">
        <f>_xlfn.IFNA(IF(LEFT('Rock Climbing Log'!AE101)="C",_xlfn.IFNA(VLOOKUP('Rock Climbing Log'!AE101,'RC Lookup'!$A$3:$B$9,2,FALSE),0.5),VLOOKUP('Rock Climbing Log'!AE101,'RC Lookup'!$G$3:$H$5,2,FALSE)),0)*VLOOKUP(AE$7,'RC Lookup'!$D$3:$E$18,2,FALSE)</f>
        <v>67.867671846932893</v>
      </c>
      <c r="AF101" s="26">
        <f>_xlfn.IFNA(IF(LEFT('Rock Climbing Log'!AF101)="C",_xlfn.IFNA(VLOOKUP('Rock Climbing Log'!AF101,'RC Lookup'!$A$3:$B$9,2,FALSE),0.5),VLOOKUP('Rock Climbing Log'!AF101,'RC Lookup'!$G$3:$H$5,2,FALSE)),0)*VLOOKUP(AE$7,'RC Lookup'!$D$3:$E$18,2,FALSE)</f>
        <v>0</v>
      </c>
      <c r="AG101" s="26">
        <f>_xlfn.IFNA(IF(LEFT('Rock Climbing Log'!AG101)="C",_xlfn.IFNA(VLOOKUP('Rock Climbing Log'!AG101,'RC Lookup'!$A$3:$B$9,2,FALSE),0.5),VLOOKUP('Rock Climbing Log'!AG101,'RC Lookup'!$G$3:$H$5,2,FALSE)),0)*VLOOKUP(AE$7,'RC Lookup'!$D$3:$E$18,2,FALSE)</f>
        <v>0</v>
      </c>
      <c r="AH101" s="26">
        <f>_xlfn.IFNA(IF(LEFT('Rock Climbing Log'!AH101)="C",_xlfn.IFNA(VLOOKUP('Rock Climbing Log'!AH101,'RC Lookup'!$A$3:$B$9,2,FALSE),0.5),VLOOKUP('Rock Climbing Log'!AH101,'RC Lookup'!$G$3:$H$5,2,FALSE)),0)*VLOOKUP(AH$7,'RC Lookup'!$D$3:$E$18,2,FALSE)</f>
        <v>0</v>
      </c>
      <c r="AI101" s="26">
        <f>_xlfn.IFNA(IF(LEFT('Rock Climbing Log'!AI101)="C",_xlfn.IFNA(VLOOKUP('Rock Climbing Log'!AI101,'RC Lookup'!$A$3:$B$9,2,FALSE),0.5),VLOOKUP('Rock Climbing Log'!AI101,'RC Lookup'!$G$3:$H$5,2,FALSE)),0)*VLOOKUP(AH$7,'RC Lookup'!$D$3:$E$18,2,FALSE)</f>
        <v>0</v>
      </c>
      <c r="AJ101" s="26">
        <f>_xlfn.IFNA(IF(LEFT('Rock Climbing Log'!AJ101)="C",_xlfn.IFNA(VLOOKUP('Rock Climbing Log'!AJ101,'RC Lookup'!$A$3:$B$9,2,FALSE),0.5),VLOOKUP('Rock Climbing Log'!AJ101,'RC Lookup'!$G$3:$H$5,2,FALSE)),0)*VLOOKUP(AH$7,'RC Lookup'!$D$3:$E$18,2,FALSE)</f>
        <v>0</v>
      </c>
      <c r="AK101" s="26">
        <f>_xlfn.IFNA(IF(LEFT('Rock Climbing Log'!AK101)="C",_xlfn.IFNA(VLOOKUP('Rock Climbing Log'!AK101,'RC Lookup'!$A$3:$B$9,2,FALSE),0.5),VLOOKUP('Rock Climbing Log'!AK101,'RC Lookup'!$G$3:$H$5,2,FALSE)),0)*VLOOKUP(AK$7,'RC Lookup'!$D$3:$E$18,2,FALSE)</f>
        <v>0</v>
      </c>
      <c r="AL101" s="26">
        <f>_xlfn.IFNA(IF(LEFT('Rock Climbing Log'!AL101)="C",_xlfn.IFNA(VLOOKUP('Rock Climbing Log'!AL101,'RC Lookup'!$A$3:$B$9,2,FALSE),0.5),VLOOKUP('Rock Climbing Log'!AL101,'RC Lookup'!$G$3:$H$5,2,FALSE)),0)*VLOOKUP(AK$7,'RC Lookup'!$D$3:$E$18,2,FALSE)</f>
        <v>0</v>
      </c>
      <c r="AM101" s="26">
        <f>_xlfn.IFNA(IF(LEFT('Rock Climbing Log'!AM101)="C",_xlfn.IFNA(VLOOKUP('Rock Climbing Log'!AM101,'RC Lookup'!$A$3:$B$9,2,FALSE),0.5),VLOOKUP('Rock Climbing Log'!AM101,'RC Lookup'!$G$3:$H$5,2,FALSE)),0)*VLOOKUP(AK$7,'RC Lookup'!$D$3:$E$18,2,FALSE)</f>
        <v>0</v>
      </c>
      <c r="AN101" s="26">
        <f>_xlfn.IFNA(IF(LEFT('Rock Climbing Log'!AN101)="C",_xlfn.IFNA(VLOOKUP('Rock Climbing Log'!AN101,'RC Lookup'!$A$3:$B$9,2,FALSE),0.5),VLOOKUP('Rock Climbing Log'!AN101,'RC Lookup'!$G$3:$H$5,2,FALSE)),0)*VLOOKUP(AN$7,'RC Lookup'!$D$3:$E$18,2,FALSE)</f>
        <v>0</v>
      </c>
      <c r="AO101" s="26">
        <f>_xlfn.IFNA(IF(LEFT('Rock Climbing Log'!AO101)="C",_xlfn.IFNA(VLOOKUP('Rock Climbing Log'!AO101,'RC Lookup'!$A$3:$B$9,2,FALSE),0.5),VLOOKUP('Rock Climbing Log'!AO101,'RC Lookup'!$G$3:$H$5,2,FALSE)),0)*VLOOKUP(AN$7,'RC Lookup'!$D$3:$E$18,2,FALSE)</f>
        <v>0</v>
      </c>
      <c r="AP101" s="26">
        <f>_xlfn.IFNA(IF(LEFT('Rock Climbing Log'!AP101)="C",_xlfn.IFNA(VLOOKUP('Rock Climbing Log'!AP101,'RC Lookup'!$A$3:$B$9,2,FALSE),0.5),VLOOKUP('Rock Climbing Log'!AP101,'RC Lookup'!$G$3:$H$5,2,FALSE)),0)*VLOOKUP(AN$7,'RC Lookup'!$D$3:$E$18,2,FALSE)</f>
        <v>0</v>
      </c>
      <c r="AQ101" s="26">
        <f>_xlfn.IFNA(IF(LEFT('Rock Climbing Log'!AQ101)="C",_xlfn.IFNA(VLOOKUP('Rock Climbing Log'!AQ101,'RC Lookup'!$A$3:$B$9,2,FALSE),0.5),VLOOKUP('Rock Climbing Log'!AQ101,'RC Lookup'!$G$3:$H$5,2,FALSE)),0)*VLOOKUP(AQ$7,'RC Lookup'!$D$3:$E$18,2,FALSE)</f>
        <v>0</v>
      </c>
      <c r="AR101" s="26">
        <f>_xlfn.IFNA(IF(LEFT('Rock Climbing Log'!AR101)="C",_xlfn.IFNA(VLOOKUP('Rock Climbing Log'!AR101,'RC Lookup'!$A$3:$B$9,2,FALSE),0.5),VLOOKUP('Rock Climbing Log'!AR101,'RC Lookup'!$G$3:$H$5,2,FALSE)),0)*VLOOKUP(AQ$7,'RC Lookup'!$D$3:$E$18,2,FALSE)</f>
        <v>0</v>
      </c>
      <c r="AS101" s="26">
        <f>_xlfn.IFNA(IF(LEFT('Rock Climbing Log'!AS101)="C",_xlfn.IFNA(VLOOKUP('Rock Climbing Log'!AS101,'RC Lookup'!$A$3:$B$9,2,FALSE),0.5),VLOOKUP('Rock Climbing Log'!AS101,'RC Lookup'!$G$3:$H$5,2,FALSE)),0)*VLOOKUP(AQ$7,'RC Lookup'!$D$3:$E$18,2,FALSE)</f>
        <v>0</v>
      </c>
      <c r="AT101" s="26">
        <f>_xlfn.IFNA(IF(LEFT('Rock Climbing Log'!AT101)="C",_xlfn.IFNA(VLOOKUP('Rock Climbing Log'!AT101,'RC Lookup'!$A$3:$B$9,2,FALSE),0.5),VLOOKUP('Rock Climbing Log'!AT101,'RC Lookup'!$G$3:$H$5,2,FALSE)),0)*VLOOKUP(AT$7,'RC Lookup'!$D$3:$E$18,2,FALSE)</f>
        <v>244.2239037199673</v>
      </c>
      <c r="AU101" s="26">
        <f>_xlfn.IFNA(IF(LEFT('Rock Climbing Log'!AU101)="C",_xlfn.IFNA(VLOOKUP('Rock Climbing Log'!AU101,'RC Lookup'!$A$3:$B$9,2,FALSE),0.5),VLOOKUP('Rock Climbing Log'!AU101,'RC Lookup'!$G$3:$H$5,2,FALSE)),0)*VLOOKUP(AT$7,'RC Lookup'!$D$3:$E$18,2,FALSE)</f>
        <v>0</v>
      </c>
      <c r="AV101" s="26">
        <f>_xlfn.IFNA(IF(LEFT('Rock Climbing Log'!AV101)="C",_xlfn.IFNA(VLOOKUP('Rock Climbing Log'!AV101,'RC Lookup'!$A$3:$B$9,2,FALSE),0.5),VLOOKUP('Rock Climbing Log'!AV101,'RC Lookup'!$G$3:$H$5,2,FALSE)),0)*VLOOKUP(AT$7,'RC Lookup'!$D$3:$E$18,2,FALSE)</f>
        <v>0</v>
      </c>
      <c r="AW101" s="30">
        <f t="shared" ca="1" si="3"/>
        <v>347.34832130930022</v>
      </c>
      <c r="AX101" s="30">
        <f ca="1">_xlfn.IFNA(VLOOKUP(SUMPRODUCT(LARGE(($C$8:$C101=Table1[[#This Row],[Climber]])*$A$8:$A101,1)),$A$8:$AW101,MATCH($AW$7,$A$7:$AW$7,FALSE),FALSE),0)/LEFT($AX$7,FIND(" ",$AX$7))+_xlfn.IFNA(VLOOKUP(SUMPRODUCT(LARGE(($C$8:$C101=Table1[[#This Row],[Climber]])*$A$8:$A101,MIN(2,COUNTIFS($C$8:$C101,$C101)))),$A$8:$AW101,MATCH($AW$7,$A$7:$AW$7,FALSE),FALSE),0)/LEFT($AX$7,FIND(" ",$AX$7))+_xlfn.IFNA(VLOOKUP(SUMPRODUCT(LARGE(($C$8:$C101=Table1[[#This Row],[Climber]])*$A$8:$A101,MIN(3,COUNTIFS($C$8:$C101,$C101)))),$A$8:$AW101,MATCH($AW$7,$A$7:$AW$7,FALSE),FALSE),0)/LEFT($AX$7,FIND(" ",$AX$7))</f>
        <v>305.38493933452651</v>
      </c>
      <c r="AY101" s="30">
        <f ca="1">_xlfn.IFNA(VLOOKUP(SUMPRODUCT(LARGE(($C$8:$C101=Table1[[#This Row],[Climber]])*$A$8:$A101,1)),$A$8:$AW101,MATCH($AW$7,$A$7:$AW$7,FALSE),FALSE),0)/LEFT($AY$7,FIND(" ",$AY$7))+_xlfn.IFNA(VLOOKUP(SUMPRODUCT(LARGE(($C$8:$C101=Table1[[#This Row],[Climber]])*$A$8:$A101,MIN(2,COUNTIFS($C$8:$C101,$C101)))),$A$8:$AW101,MATCH($AW$7,$A$7:$AW$7,FALSE),FALSE),0)/LEFT($AY$7,FIND(" ",$AY$7))+_xlfn.IFNA(VLOOKUP(SUMPRODUCT(LARGE(($C$8:$C101=Table1[[#This Row],[Climber]])*$A$8:$A101,MIN(3,COUNTIFS($C$8:$C101,$C101)))),$A$8:$AW101,MATCH($AW$7,$A$7:$AW$7,FALSE),FALSE),0)/LEFT($AY$7,FIND(" ",$AY$7))+_xlfn.IFNA(VLOOKUP(SUMPRODUCT(LARGE(($C$8:$C101=Table1[[#This Row],[Climber]])*$A$8:$A101,MIN(4,COUNTIFS($C$8:$C101,$C101)))),$A$8:$AW101,MATCH($AW$7,$A$7:$AW$7,FALSE),FALSE),0)/LEFT($AY$7,FIND(" ",$AY$7))+_xlfn.IFNA(VLOOKUP(SUMPRODUCT(LARGE(($C$8:$C101=Table1[[#This Row],[Climber]])*$A$8:$A101,MIN(5,COUNTIFS($C$8:$C101,$C101)))),$A$8:$AW101,MATCH($AW$7,$A$7:$AW$7,FALSE),FALSE),0)/LEFT($AY$7,FIND(" ",$AY$7))</f>
        <v>272.95300698428611</v>
      </c>
      <c r="AZ101" s="30">
        <f ca="1">(_xlfn.IFNA(VLOOKUP(SUMPRODUCT(LARGE(($C$8:$C101=Table1[[#This Row],[Climber]])*$A$8:$A101,4)),$A$8:$AW101,MATCH($AW$7,$A$7:$AW$7,FALSE),FALSE),0)+_xlfn.IFNA(VLOOKUP(SUMPRODUCT(LARGE(($C$8:$C101=Table1[[#This Row],[Climber]])*$A$8:$A101,5)),$A$8:$AW101,MATCH($AW$7,$A$7:$AW$7,FALSE),FALSE),0)+_xlfn.IFNA(VLOOKUP(SUMPRODUCT(LARGE(($C$8:$C101=Table1[[#This Row],[Climber]])*$A$8:$A101,6)),$A$8:$AW101,MATCH($AW$7,$A$7:$AW$7,FALSE),FALSE),0))/3</f>
        <v>230.62692997053489</v>
      </c>
      <c r="BA101" s="46">
        <f ca="1">_xlfn.MAXIFS(INDIRECT("$AW"&amp;IF(SUMPRODUCT(LARGE(($C$8:$C101=$C101)*$A$8:$A101,LEFT($BA$7,FIND(" ",$BA$7)-1)))=0,8,SUMPRODUCT(LARGE(($C$8:$C101=$C101)*$A$8:$A101,LEFT($BA$7,FIND(" ",$BA$7)-1)))+7)&amp;":$AW"&amp;ROW()),INDIRECT("$C"&amp;IF(SUMPRODUCT(LARGE(($C$8:$C101=$C101)*$A$8:$A101,LEFT($BA$7,FIND(" ",$BA$7)-1)))=0,8,SUMPRODUCT(LARGE(($C$8:$C101=$C101)*$A$8:$A101,LEFT($BA$7,FIND(" ",$BA$7)-1)))+7)&amp;":$C"&amp;ROW()),$C101)</f>
        <v>347.34832130930022</v>
      </c>
      <c r="BB101" s="46" t="str">
        <f ca="1">VLOOKUP(MAX(BG101,$AX101),'RC Lookup'!$G$14:$J$20,2,TRUE)</f>
        <v>T5</v>
      </c>
      <c r="BC101" s="46">
        <f ca="1">_xlfn.IFNA(VLOOKUP(VLOOKUP($C101,'RC Lookup'!$O$3:$P$50,2,FALSE),'RC Lookup'!$H$14:$J$23,2,FALSE),0)*AW101</f>
        <v>105.11187305712281</v>
      </c>
      <c r="BD101" s="6">
        <f ca="1">_xlfn.IFNA(VLOOKUP(SUMPRODUCT(LARGE(($C$8:$C101=Table1[[#This Row],[Climber]])*$A$8:$A101,1)),$A$8:$BC101,55,FALSE),0)/LEFT($AX$7,FIND(" ",$AX$7))+_xlfn.IFNA(VLOOKUP(SUMPRODUCT(LARGE(($C$8:$C101=Table1[[#This Row],[Climber]])*$A$8:$A101,MIN(2,COUNTIFS($C$8:$C101,$C101)))),$A$8:$BC101,55,FALSE),0)/LEFT($AX$7,FIND(" ",$AX$7))+_xlfn.IFNA(VLOOKUP(SUMPRODUCT(LARGE(($C$8:$C101=Table1[[#This Row],[Climber]])*$A$8:$A101,MIN(3,COUNTIFS($C$8:$C101,$C101)))),$A$8:$BC101,55,FALSE),0)/LEFT($AX$7,FIND(" ",$AX$7))</f>
        <v>92.413237685707614</v>
      </c>
      <c r="BE101" s="6">
        <f ca="1">(_xlfn.IFNA(VLOOKUP(SUMPRODUCT(LARGE(($C$8:$C101=Table1[[#This Row],[Climber]])*$A$8:$A101,4)),$A$8:$BD101,55,FALSE),0)+_xlfn.IFNA(VLOOKUP(SUMPRODUCT(LARGE(($C$8:$C101=Table1[[#This Row],[Climber]])*$A$8:$A101,5)),$A$8:$BD101,55,FALSE),0)+_xlfn.IFNA(VLOOKUP(SUMPRODUCT(LARGE(($C$8:$C101=Table1[[#This Row],[Climber]])*$A$8:$A101,6)),$A$8:$BD101,55,FALSE),0))/3</f>
        <v>69.790544820369476</v>
      </c>
      <c r="BF101" s="46">
        <f ca="1">_xlfn.MAXIFS(INDIRECT("$BC"&amp;IF(SUMPRODUCT(LARGE(($C$8:$C101=$C101)*$A$8:$A101,LEFT($BA$7,FIND(" ",$BA$7)-1)))=0,8,SUMPRODUCT(LARGE(($C$8:$C101=$C101)*$A$8:$A101,LEFT($BA$7,FIND(" ",$BA$7)-1)))+7)&amp;":$BC"&amp;ROW()),INDIRECT("$C"&amp;IF(SUMPRODUCT(LARGE(($C$8:$C101=$C101)*$A$8:$A101,LEFT($BA$7,FIND(" ",$BA$7)-1)))=0,8,SUMPRODUCT(LARGE(($C$8:$C101=$C101)*$A$8:$A101,LEFT($BA$7,FIND(" ",$BA$7)-1)))+7)&amp;":$C"&amp;ROW()),$C101)</f>
        <v>105.11187305712281</v>
      </c>
      <c r="BG101" s="46">
        <f t="array" aca="1" ref="BG101" ca="1">IFERROR(SUMPRODUCT(LARGE(($C$8:$C101=Table1[[#This Row],[Climber]])*$AW$8:$AW101,ROW(INDIRECT("1:5")))),AW101)/MIN(COUNTIFS($C$8:$C101,C101),5)</f>
        <v>310.62307367729119</v>
      </c>
    </row>
    <row r="102" spans="1:59" x14ac:dyDescent="0.3">
      <c r="A102" s="125">
        <f t="shared" si="1"/>
        <v>95</v>
      </c>
      <c r="B102" s="25">
        <f>'Rock Climbing Log'!B102</f>
        <v>43189</v>
      </c>
      <c r="C102" s="126" t="str">
        <f>'Rock Climbing Log'!C102</f>
        <v>Angel</v>
      </c>
      <c r="D102" s="26">
        <f>_xlfn.IFNA(IF(LEFT('Rock Climbing Log'!D102)="C",_xlfn.IFNA(VLOOKUP('Rock Climbing Log'!D102,'RC Lookup'!$A$3:$B$9,2,FALSE),0.5),VLOOKUP('Rock Climbing Log'!D102,'RC Lookup'!$G$3:$H$5,2,FALSE)),0)*VLOOKUP(D$7,'RC Lookup'!$D$3:$E$18,2,FALSE)</f>
        <v>0</v>
      </c>
      <c r="E102" s="26">
        <f>_xlfn.IFNA(IF(LEFT('Rock Climbing Log'!E102)="C",_xlfn.IFNA(VLOOKUP('Rock Climbing Log'!E102,'RC Lookup'!$A$3:$B$9,2,FALSE),0.5),VLOOKUP('Rock Climbing Log'!E102,'RC Lookup'!$G$3:$H$5,2,FALSE)),0)*VLOOKUP(D$7,'RC Lookup'!$D$3:$E$18,2,FALSE)</f>
        <v>0</v>
      </c>
      <c r="F102" s="26">
        <f>_xlfn.IFNA(IF(LEFT('Rock Climbing Log'!F102)="C",_xlfn.IFNA(VLOOKUP('Rock Climbing Log'!F102,'RC Lookup'!$A$3:$B$9,2,FALSE),0.5),VLOOKUP('Rock Climbing Log'!F102,'RC Lookup'!$G$3:$H$5,2,FALSE)),0)*VLOOKUP(D$7,'RC Lookup'!$D$3:$E$18,2,FALSE)</f>
        <v>0</v>
      </c>
      <c r="G102" s="26">
        <f>_xlfn.IFNA(IF(LEFT('Rock Climbing Log'!G102)="C",_xlfn.IFNA(VLOOKUP('Rock Climbing Log'!G102,'RC Lookup'!$A$3:$B$9,2,FALSE),0.5),VLOOKUP('Rock Climbing Log'!G102,'RC Lookup'!$G$3:$H$5,2,FALSE)),0)*VLOOKUP(G$7,'RC Lookup'!$D$3:$E$18,2,FALSE)</f>
        <v>0</v>
      </c>
      <c r="H102" s="26">
        <f>_xlfn.IFNA(IF(LEFT('Rock Climbing Log'!H102)="C",_xlfn.IFNA(VLOOKUP('Rock Climbing Log'!H102,'RC Lookup'!$A$3:$B$9,2,FALSE),0.5),VLOOKUP('Rock Climbing Log'!H102,'RC Lookup'!$G$3:$H$5,2,FALSE)),0)*VLOOKUP(G$7,'RC Lookup'!$D$3:$E$18,2,FALSE)</f>
        <v>0</v>
      </c>
      <c r="I102" s="26">
        <f>_xlfn.IFNA(IF(LEFT('Rock Climbing Log'!I102)="C",_xlfn.IFNA(VLOOKUP('Rock Climbing Log'!I102,'RC Lookup'!$A$3:$B$9,2,FALSE),0.5),VLOOKUP('Rock Climbing Log'!I102,'RC Lookup'!$G$3:$H$5,2,FALSE)),0)*VLOOKUP(G$7,'RC Lookup'!$D$3:$E$18,2,FALSE)</f>
        <v>0</v>
      </c>
      <c r="J102" s="26">
        <f>_xlfn.IFNA(IF(LEFT('Rock Climbing Log'!J102)="C",_xlfn.IFNA(VLOOKUP('Rock Climbing Log'!J102,'RC Lookup'!$A$3:$B$9,2,FALSE),0.5),VLOOKUP('Rock Climbing Log'!J102,'RC Lookup'!$G$3:$H$5,2,FALSE)),0)*VLOOKUP(J$7,'RC Lookup'!$D$3:$E$18,2,FALSE)</f>
        <v>0</v>
      </c>
      <c r="K102" s="26">
        <f>_xlfn.IFNA(IF(LEFT('Rock Climbing Log'!K102)="C",_xlfn.IFNA(VLOOKUP('Rock Climbing Log'!K102,'RC Lookup'!$A$3:$B$9,2,FALSE),0.5),VLOOKUP('Rock Climbing Log'!K102,'RC Lookup'!$G$3:$H$5,2,FALSE)),0)*VLOOKUP(J$7,'RC Lookup'!$D$3:$E$18,2,FALSE)</f>
        <v>0</v>
      </c>
      <c r="L102" s="26">
        <f>_xlfn.IFNA(IF(LEFT('Rock Climbing Log'!L102)="C",_xlfn.IFNA(VLOOKUP('Rock Climbing Log'!L102,'RC Lookup'!$A$3:$B$9,2,FALSE),0.5),VLOOKUP('Rock Climbing Log'!L102,'RC Lookup'!$G$3:$H$5,2,FALSE)),0)*VLOOKUP(J$7,'RC Lookup'!$D$3:$E$18,2,FALSE)</f>
        <v>0</v>
      </c>
      <c r="M102" s="26">
        <f>_xlfn.IFNA(IF(LEFT('Rock Climbing Log'!M102)="C",_xlfn.IFNA(VLOOKUP('Rock Climbing Log'!M102,'RC Lookup'!$A$3:$B$9,2,FALSE),0.5),VLOOKUP('Rock Climbing Log'!M102,'RC Lookup'!$G$3:$H$5,2,FALSE)),0)*VLOOKUP(M$7,'RC Lookup'!$D$3:$E$18,2,FALSE)</f>
        <v>0</v>
      </c>
      <c r="N102" s="26">
        <f>_xlfn.IFNA(IF(LEFT('Rock Climbing Log'!N102)="C",_xlfn.IFNA(VLOOKUP('Rock Climbing Log'!N102,'RC Lookup'!$A$3:$B$9,2,FALSE),0.5),VLOOKUP('Rock Climbing Log'!N102,'RC Lookup'!$G$3:$H$5,2,FALSE)),0)*VLOOKUP(M$7,'RC Lookup'!$D$3:$E$18,2,FALSE)</f>
        <v>0</v>
      </c>
      <c r="O102" s="26">
        <f>_xlfn.IFNA(IF(LEFT('Rock Climbing Log'!O102)="C",_xlfn.IFNA(VLOOKUP('Rock Climbing Log'!O102,'RC Lookup'!$A$3:$B$9,2,FALSE),0.5),VLOOKUP('Rock Climbing Log'!O102,'RC Lookup'!$G$3:$H$5,2,FALSE)),0)*VLOOKUP(M$7,'RC Lookup'!$D$3:$E$18,2,FALSE)</f>
        <v>0</v>
      </c>
      <c r="P102" s="26">
        <f>_xlfn.IFNA(IF(LEFT('Rock Climbing Log'!P102)="C",_xlfn.IFNA(VLOOKUP('Rock Climbing Log'!P102,'RC Lookup'!$A$3:$B$9,2,FALSE),0.5),VLOOKUP('Rock Climbing Log'!P102,'RC Lookup'!$G$3:$H$5,2,FALSE)),0)*VLOOKUP(P$7,'RC Lookup'!$D$3:$E$18,2,FALSE)</f>
        <v>0</v>
      </c>
      <c r="Q102" s="26">
        <f>_xlfn.IFNA(IF(LEFT('Rock Climbing Log'!Q102)="C",_xlfn.IFNA(VLOOKUP('Rock Climbing Log'!Q102,'RC Lookup'!$A$3:$B$9,2,FALSE),0.5),VLOOKUP('Rock Climbing Log'!Q102,'RC Lookup'!$G$3:$H$5,2,FALSE)),0)*VLOOKUP(P$7,'RC Lookup'!$D$3:$E$18,2,FALSE)</f>
        <v>0</v>
      </c>
      <c r="R102" s="26">
        <f>_xlfn.IFNA(IF(LEFT('Rock Climbing Log'!R102)="C",_xlfn.IFNA(VLOOKUP('Rock Climbing Log'!R102,'RC Lookup'!$A$3:$B$9,2,FALSE),0.5),VLOOKUP('Rock Climbing Log'!R102,'RC Lookup'!$G$3:$H$5,2,FALSE)),0)*VLOOKUP(P$7,'RC Lookup'!$D$3:$E$18,2,FALSE)</f>
        <v>0</v>
      </c>
      <c r="S102" s="26">
        <f>_xlfn.IFNA(IF(LEFT('Rock Climbing Log'!S102)="C",_xlfn.IFNA(VLOOKUP('Rock Climbing Log'!S102,'RC Lookup'!$A$3:$B$9,2,FALSE),0.5),VLOOKUP('Rock Climbing Log'!S102,'RC Lookup'!$G$3:$H$5,2,FALSE)),0)*VLOOKUP(S$7,'RC Lookup'!$D$3:$E$18,2,FALSE)</f>
        <v>0</v>
      </c>
      <c r="T102" s="26">
        <f>_xlfn.IFNA(IF(LEFT('Rock Climbing Log'!T102)="C",_xlfn.IFNA(VLOOKUP('Rock Climbing Log'!T102,'RC Lookup'!$A$3:$B$9,2,FALSE),0.5),VLOOKUP('Rock Climbing Log'!T102,'RC Lookup'!$G$3:$H$5,2,FALSE)),0)*VLOOKUP(S$7,'RC Lookup'!$D$3:$E$18,2,FALSE)</f>
        <v>0</v>
      </c>
      <c r="U102" s="26">
        <f>_xlfn.IFNA(IF(LEFT('Rock Climbing Log'!U102)="C",_xlfn.IFNA(VLOOKUP('Rock Climbing Log'!U102,'RC Lookup'!$A$3:$B$9,2,FALSE),0.5),VLOOKUP('Rock Climbing Log'!U102,'RC Lookup'!$G$3:$H$5,2,FALSE)),0)*VLOOKUP(S$7,'RC Lookup'!$D$3:$E$18,2,FALSE)</f>
        <v>0</v>
      </c>
      <c r="V102" s="26">
        <f>_xlfn.IFNA(IF(LEFT('Rock Climbing Log'!V102)="C",_xlfn.IFNA(VLOOKUP('Rock Climbing Log'!V102,'RC Lookup'!$A$3:$B$9,2,FALSE),0.5),VLOOKUP('Rock Climbing Log'!V102,'RC Lookup'!$G$3:$H$5,2,FALSE)),0)*VLOOKUP(V$7,'RC Lookup'!$D$3:$E$18,2,FALSE)</f>
        <v>35.256745742400021</v>
      </c>
      <c r="W102" s="26">
        <f>_xlfn.IFNA(IF(LEFT('Rock Climbing Log'!W102)="C",_xlfn.IFNA(VLOOKUP('Rock Climbing Log'!W102,'RC Lookup'!$A$3:$B$9,2,FALSE),0.5),VLOOKUP('Rock Climbing Log'!W102,'RC Lookup'!$G$3:$H$5,2,FALSE)),0)*VLOOKUP(V$7,'RC Lookup'!$D$3:$E$18,2,FALSE)</f>
        <v>0</v>
      </c>
      <c r="X102" s="26">
        <f>_xlfn.IFNA(IF(LEFT('Rock Climbing Log'!X102)="C",_xlfn.IFNA(VLOOKUP('Rock Climbing Log'!X102,'RC Lookup'!$A$3:$B$9,2,FALSE),0.5),VLOOKUP('Rock Climbing Log'!X102,'RC Lookup'!$G$3:$H$5,2,FALSE)),0)*VLOOKUP(V$7,'RC Lookup'!$D$3:$E$18,2,FALSE)</f>
        <v>0</v>
      </c>
      <c r="Y102" s="26">
        <f>_xlfn.IFNA(IF(LEFT('Rock Climbing Log'!Y102)="C",_xlfn.IFNA(VLOOKUP('Rock Climbing Log'!Y102,'RC Lookup'!$A$3:$B$9,2,FALSE),0.5),VLOOKUP('Rock Climbing Log'!Y102,'RC Lookup'!$G$3:$H$5,2,FALSE)),0)*VLOOKUP(Y$7,'RC Lookup'!$D$3:$E$18,2,FALSE)</f>
        <v>0</v>
      </c>
      <c r="Z102" s="26">
        <f>_xlfn.IFNA(IF(LEFT('Rock Climbing Log'!Z102)="C",_xlfn.IFNA(VLOOKUP('Rock Climbing Log'!Z102,'RC Lookup'!$A$3:$B$9,2,FALSE),0.5),VLOOKUP('Rock Climbing Log'!Z102,'RC Lookup'!$G$3:$H$5,2,FALSE)),0)*VLOOKUP(Y$7,'RC Lookup'!$D$3:$E$18,2,FALSE)</f>
        <v>0</v>
      </c>
      <c r="AA102" s="26">
        <f>_xlfn.IFNA(IF(LEFT('Rock Climbing Log'!AA102)="C",_xlfn.IFNA(VLOOKUP('Rock Climbing Log'!AA102,'RC Lookup'!$A$3:$B$9,2,FALSE),0.5),VLOOKUP('Rock Climbing Log'!AA102,'RC Lookup'!$G$3:$H$5,2,FALSE)),0)*VLOOKUP(Y$7,'RC Lookup'!$D$3:$E$18,2,FALSE)</f>
        <v>0</v>
      </c>
      <c r="AB102" s="26">
        <f>_xlfn.IFNA(IF(LEFT('Rock Climbing Log'!AB102)="C",_xlfn.IFNA(VLOOKUP('Rock Climbing Log'!AB102,'RC Lookup'!$A$3:$B$9,2,FALSE),0.5),VLOOKUP('Rock Climbing Log'!AB102,'RC Lookup'!$G$3:$H$5,2,FALSE)),0)*VLOOKUP(AB$7,'RC Lookup'!$D$3:$E$18,2,FALSE)</f>
        <v>43.768164168802265</v>
      </c>
      <c r="AC102" s="26">
        <f>_xlfn.IFNA(IF(LEFT('Rock Climbing Log'!AC102)="C",_xlfn.IFNA(VLOOKUP('Rock Climbing Log'!AC102,'RC Lookup'!$A$3:$B$9,2,FALSE),0.5),VLOOKUP('Rock Climbing Log'!AC102,'RC Lookup'!$G$3:$H$5,2,FALSE)),0)*VLOOKUP(AB$7,'RC Lookup'!$D$3:$E$18,2,FALSE)</f>
        <v>54.034770578768224</v>
      </c>
      <c r="AD102" s="26">
        <f>_xlfn.IFNA(IF(LEFT('Rock Climbing Log'!AD102)="C",_xlfn.IFNA(VLOOKUP('Rock Climbing Log'!AD102,'RC Lookup'!$A$3:$B$9,2,FALSE),0.5),VLOOKUP('Rock Climbing Log'!AD102,'RC Lookup'!$G$3:$H$5,2,FALSE)),0)*VLOOKUP(AB$7,'RC Lookup'!$D$3:$E$18,2,FALSE)</f>
        <v>0</v>
      </c>
      <c r="AE102" s="26">
        <f>_xlfn.IFNA(IF(LEFT('Rock Climbing Log'!AE102)="C",_xlfn.IFNA(VLOOKUP('Rock Climbing Log'!AE102,'RC Lookup'!$A$3:$B$9,2,FALSE),0.5),VLOOKUP('Rock Climbing Log'!AE102,'RC Lookup'!$G$3:$H$5,2,FALSE)),0)*VLOOKUP(AE$7,'RC Lookup'!$D$3:$E$18,2,FALSE)</f>
        <v>40.075181548895415</v>
      </c>
      <c r="AF102" s="26">
        <f>_xlfn.IFNA(IF(LEFT('Rock Climbing Log'!AF102)="C",_xlfn.IFNA(VLOOKUP('Rock Climbing Log'!AF102,'RC Lookup'!$A$3:$B$9,2,FALSE),0.5),VLOOKUP('Rock Climbing Log'!AF102,'RC Lookup'!$G$3:$H$5,2,FALSE)),0)*VLOOKUP(AE$7,'RC Lookup'!$D$3:$E$18,2,FALSE)</f>
        <v>0</v>
      </c>
      <c r="AG102" s="26">
        <f>_xlfn.IFNA(IF(LEFT('Rock Climbing Log'!AG102)="C",_xlfn.IFNA(VLOOKUP('Rock Climbing Log'!AG102,'RC Lookup'!$A$3:$B$9,2,FALSE),0.5),VLOOKUP('Rock Climbing Log'!AG102,'RC Lookup'!$G$3:$H$5,2,FALSE)),0)*VLOOKUP(AE$7,'RC Lookup'!$D$3:$E$18,2,FALSE)</f>
        <v>0</v>
      </c>
      <c r="AH102" s="26">
        <f>_xlfn.IFNA(IF(LEFT('Rock Climbing Log'!AH102)="C",_xlfn.IFNA(VLOOKUP('Rock Climbing Log'!AH102,'RC Lookup'!$A$3:$B$9,2,FALSE),0.5),VLOOKUP('Rock Climbing Log'!AH102,'RC Lookup'!$G$3:$H$5,2,FALSE)),0)*VLOOKUP(AH$7,'RC Lookup'!$D$3:$E$18,2,FALSE)</f>
        <v>0</v>
      </c>
      <c r="AI102" s="26">
        <f>_xlfn.IFNA(IF(LEFT('Rock Climbing Log'!AI102)="C",_xlfn.IFNA(VLOOKUP('Rock Climbing Log'!AI102,'RC Lookup'!$A$3:$B$9,2,FALSE),0.5),VLOOKUP('Rock Climbing Log'!AI102,'RC Lookup'!$G$3:$H$5,2,FALSE)),0)*VLOOKUP(AH$7,'RC Lookup'!$D$3:$E$18,2,FALSE)</f>
        <v>0</v>
      </c>
      <c r="AJ102" s="26">
        <f>_xlfn.IFNA(IF(LEFT('Rock Climbing Log'!AJ102)="C",_xlfn.IFNA(VLOOKUP('Rock Climbing Log'!AJ102,'RC Lookup'!$A$3:$B$9,2,FALSE),0.5),VLOOKUP('Rock Climbing Log'!AJ102,'RC Lookup'!$G$3:$H$5,2,FALSE)),0)*VLOOKUP(AH$7,'RC Lookup'!$D$3:$E$18,2,FALSE)</f>
        <v>0</v>
      </c>
      <c r="AK102" s="26">
        <f>_xlfn.IFNA(IF(LEFT('Rock Climbing Log'!AK102)="C",_xlfn.IFNA(VLOOKUP('Rock Climbing Log'!AK102,'RC Lookup'!$A$3:$B$9,2,FALSE),0.5),VLOOKUP('Rock Climbing Log'!AK102,'RC Lookup'!$G$3:$H$5,2,FALSE)),0)*VLOOKUP(AK$7,'RC Lookup'!$D$3:$E$18,2,FALSE)</f>
        <v>0</v>
      </c>
      <c r="AL102" s="26">
        <f>_xlfn.IFNA(IF(LEFT('Rock Climbing Log'!AL102)="C",_xlfn.IFNA(VLOOKUP('Rock Climbing Log'!AL102,'RC Lookup'!$A$3:$B$9,2,FALSE),0.5),VLOOKUP('Rock Climbing Log'!AL102,'RC Lookup'!$G$3:$H$5,2,FALSE)),0)*VLOOKUP(AK$7,'RC Lookup'!$D$3:$E$18,2,FALSE)</f>
        <v>0</v>
      </c>
      <c r="AM102" s="26">
        <f>_xlfn.IFNA(IF(LEFT('Rock Climbing Log'!AM102)="C",_xlfn.IFNA(VLOOKUP('Rock Climbing Log'!AM102,'RC Lookup'!$A$3:$B$9,2,FALSE),0.5),VLOOKUP('Rock Climbing Log'!AM102,'RC Lookup'!$G$3:$H$5,2,FALSE)),0)*VLOOKUP(AK$7,'RC Lookup'!$D$3:$E$18,2,FALSE)</f>
        <v>0</v>
      </c>
      <c r="AN102" s="26">
        <f>_xlfn.IFNA(IF(LEFT('Rock Climbing Log'!AN102)="C",_xlfn.IFNA(VLOOKUP('Rock Climbing Log'!AN102,'RC Lookup'!$A$3:$B$9,2,FALSE),0.5),VLOOKUP('Rock Climbing Log'!AN102,'RC Lookup'!$G$3:$H$5,2,FALSE)),0)*VLOOKUP(AN$7,'RC Lookup'!$D$3:$E$18,2,FALSE)</f>
        <v>0</v>
      </c>
      <c r="AO102" s="26">
        <f>_xlfn.IFNA(IF(LEFT('Rock Climbing Log'!AO102)="C",_xlfn.IFNA(VLOOKUP('Rock Climbing Log'!AO102,'RC Lookup'!$A$3:$B$9,2,FALSE),0.5),VLOOKUP('Rock Climbing Log'!AO102,'RC Lookup'!$G$3:$H$5,2,FALSE)),0)*VLOOKUP(AN$7,'RC Lookup'!$D$3:$E$18,2,FALSE)</f>
        <v>0</v>
      </c>
      <c r="AP102" s="26">
        <f>_xlfn.IFNA(IF(LEFT('Rock Climbing Log'!AP102)="C",_xlfn.IFNA(VLOOKUP('Rock Climbing Log'!AP102,'RC Lookup'!$A$3:$B$9,2,FALSE),0.5),VLOOKUP('Rock Climbing Log'!AP102,'RC Lookup'!$G$3:$H$5,2,FALSE)),0)*VLOOKUP(AN$7,'RC Lookup'!$D$3:$E$18,2,FALSE)</f>
        <v>0</v>
      </c>
      <c r="AQ102" s="26">
        <f>_xlfn.IFNA(IF(LEFT('Rock Climbing Log'!AQ102)="C",_xlfn.IFNA(VLOOKUP('Rock Climbing Log'!AQ102,'RC Lookup'!$A$3:$B$9,2,FALSE),0.5),VLOOKUP('Rock Climbing Log'!AQ102,'RC Lookup'!$G$3:$H$5,2,FALSE)),0)*VLOOKUP(AQ$7,'RC Lookup'!$D$3:$E$18,2,FALSE)</f>
        <v>0</v>
      </c>
      <c r="AR102" s="26">
        <f>_xlfn.IFNA(IF(LEFT('Rock Climbing Log'!AR102)="C",_xlfn.IFNA(VLOOKUP('Rock Climbing Log'!AR102,'RC Lookup'!$A$3:$B$9,2,FALSE),0.5),VLOOKUP('Rock Climbing Log'!AR102,'RC Lookup'!$G$3:$H$5,2,FALSE)),0)*VLOOKUP(AQ$7,'RC Lookup'!$D$3:$E$18,2,FALSE)</f>
        <v>0</v>
      </c>
      <c r="AS102" s="26">
        <f>_xlfn.IFNA(IF(LEFT('Rock Climbing Log'!AS102)="C",_xlfn.IFNA(VLOOKUP('Rock Climbing Log'!AS102,'RC Lookup'!$A$3:$B$9,2,FALSE),0.5),VLOOKUP('Rock Climbing Log'!AS102,'RC Lookup'!$G$3:$H$5,2,FALSE)),0)*VLOOKUP(AQ$7,'RC Lookup'!$D$3:$E$18,2,FALSE)</f>
        <v>0</v>
      </c>
      <c r="AT102" s="26">
        <f>_xlfn.IFNA(IF(LEFT('Rock Climbing Log'!AT102)="C",_xlfn.IFNA(VLOOKUP('Rock Climbing Log'!AT102,'RC Lookup'!$A$3:$B$9,2,FALSE),0.5),VLOOKUP('Rock Climbing Log'!AT102,'RC Lookup'!$G$3:$H$5,2,FALSE)),0)*VLOOKUP(AT$7,'RC Lookup'!$D$3:$E$18,2,FALSE)</f>
        <v>0</v>
      </c>
      <c r="AU102" s="26">
        <f>_xlfn.IFNA(IF(LEFT('Rock Climbing Log'!AU102)="C",_xlfn.IFNA(VLOOKUP('Rock Climbing Log'!AU102,'RC Lookup'!$A$3:$B$9,2,FALSE),0.5),VLOOKUP('Rock Climbing Log'!AU102,'RC Lookup'!$G$3:$H$5,2,FALSE)),0)*VLOOKUP(AT$7,'RC Lookup'!$D$3:$E$18,2,FALSE)</f>
        <v>0</v>
      </c>
      <c r="AV102" s="26">
        <f>_xlfn.IFNA(IF(LEFT('Rock Climbing Log'!AV102)="C",_xlfn.IFNA(VLOOKUP('Rock Climbing Log'!AV102,'RC Lookup'!$A$3:$B$9,2,FALSE),0.5),VLOOKUP('Rock Climbing Log'!AV102,'RC Lookup'!$G$3:$H$5,2,FALSE)),0)*VLOOKUP(AT$7,'RC Lookup'!$D$3:$E$18,2,FALSE)</f>
        <v>0</v>
      </c>
      <c r="AW102" s="30">
        <f t="shared" ca="1" si="3"/>
        <v>137.87811629646592</v>
      </c>
      <c r="AX102" s="30">
        <f ca="1">_xlfn.IFNA(VLOOKUP(SUMPRODUCT(LARGE(($C$8:$C102=Table1[[#This Row],[Climber]])*$A$8:$A102,1)),$A$8:$AW102,MATCH($AW$7,$A$7:$AW$7,FALSE),FALSE),0)/LEFT($AX$7,FIND(" ",$AX$7))+_xlfn.IFNA(VLOOKUP(SUMPRODUCT(LARGE(($C$8:$C102=Table1[[#This Row],[Climber]])*$A$8:$A102,MIN(2,COUNTIFS($C$8:$C102,$C102)))),$A$8:$AW102,MATCH($AW$7,$A$7:$AW$7,FALSE),FALSE),0)/LEFT($AX$7,FIND(" ",$AX$7))+_xlfn.IFNA(VLOOKUP(SUMPRODUCT(LARGE(($C$8:$C102=Table1[[#This Row],[Climber]])*$A$8:$A102,MIN(3,COUNTIFS($C$8:$C102,$C102)))),$A$8:$AW102,MATCH($AW$7,$A$7:$AW$7,FALSE),FALSE),0)/LEFT($AX$7,FIND(" ",$AX$7))</f>
        <v>125.19130358334183</v>
      </c>
      <c r="AY102" s="30">
        <f ca="1">_xlfn.IFNA(VLOOKUP(SUMPRODUCT(LARGE(($C$8:$C102=Table1[[#This Row],[Climber]])*$A$8:$A102,1)),$A$8:$AW102,MATCH($AW$7,$A$7:$AW$7,FALSE),FALSE),0)/LEFT($AY$7,FIND(" ",$AY$7))+_xlfn.IFNA(VLOOKUP(SUMPRODUCT(LARGE(($C$8:$C102=Table1[[#This Row],[Climber]])*$A$8:$A102,MIN(2,COUNTIFS($C$8:$C102,$C102)))),$A$8:$AW102,MATCH($AW$7,$A$7:$AW$7,FALSE),FALSE),0)/LEFT($AY$7,FIND(" ",$AY$7))+_xlfn.IFNA(VLOOKUP(SUMPRODUCT(LARGE(($C$8:$C102=Table1[[#This Row],[Climber]])*$A$8:$A102,MIN(3,COUNTIFS($C$8:$C102,$C102)))),$A$8:$AW102,MATCH($AW$7,$A$7:$AW$7,FALSE),FALSE),0)/LEFT($AY$7,FIND(" ",$AY$7))+_xlfn.IFNA(VLOOKUP(SUMPRODUCT(LARGE(($C$8:$C102=Table1[[#This Row],[Climber]])*$A$8:$A102,MIN(4,COUNTIFS($C$8:$C102,$C102)))),$A$8:$AW102,MATCH($AW$7,$A$7:$AW$7,FALSE),FALSE),0)/LEFT($AY$7,FIND(" ",$AY$7))+_xlfn.IFNA(VLOOKUP(SUMPRODUCT(LARGE(($C$8:$C102=Table1[[#This Row],[Climber]])*$A$8:$A102,MIN(5,COUNTIFS($C$8:$C102,$C102)))),$A$8:$AW102,MATCH($AW$7,$A$7:$AW$7,FALSE),FALSE),0)/LEFT($AY$7,FIND(" ",$AY$7))</f>
        <v>123.0327287594333</v>
      </c>
      <c r="AZ102" s="30">
        <f ca="1">(_xlfn.IFNA(VLOOKUP(SUMPRODUCT(LARGE(($C$8:$C102=Table1[[#This Row],[Climber]])*$A$8:$A102,4)),$A$8:$AW102,MATCH($AW$7,$A$7:$AW$7,FALSE),FALSE),0)+_xlfn.IFNA(VLOOKUP(SUMPRODUCT(LARGE(($C$8:$C102=Table1[[#This Row],[Climber]])*$A$8:$A102,5)),$A$8:$AW102,MATCH($AW$7,$A$7:$AW$7,FALSE),FALSE),0)+_xlfn.IFNA(VLOOKUP(SUMPRODUCT(LARGE(($C$8:$C102=Table1[[#This Row],[Climber]])*$A$8:$A102,6)),$A$8:$AW102,MATCH($AW$7,$A$7:$AW$7,FALSE),FALSE),0))/3</f>
        <v>110.03524151064703</v>
      </c>
      <c r="BA102" s="46">
        <f ca="1">_xlfn.MAXIFS(INDIRECT("$AW"&amp;IF(SUMPRODUCT(LARGE(($C$8:$C102=$C102)*$A$8:$A102,LEFT($BA$7,FIND(" ",$BA$7)-1)))=0,8,SUMPRODUCT(LARGE(($C$8:$C102=$C102)*$A$8:$A102,LEFT($BA$7,FIND(" ",$BA$7)-1)))+7)&amp;":$AW"&amp;ROW()),INDIRECT("$C"&amp;IF(SUMPRODUCT(LARGE(($C$8:$C102=$C102)*$A$8:$A102,LEFT($BA$7,FIND(" ",$BA$7)-1)))=0,8,SUMPRODUCT(LARGE(($C$8:$C102=$C102)*$A$8:$A102,LEFT($BA$7,FIND(" ",$BA$7)-1)))+7)&amp;":$C"&amp;ROW()),$C102)</f>
        <v>137.87811629646592</v>
      </c>
      <c r="BB102" s="46" t="str">
        <f ca="1">VLOOKUP(MAX(BG102,$AX102),'RC Lookup'!$G$14:$J$20,2,TRUE)</f>
        <v>T3</v>
      </c>
      <c r="BC102" s="46">
        <f ca="1">_xlfn.IFNA(VLOOKUP(VLOOKUP($C102,'RC Lookup'!$O$3:$P$50,2,FALSE),'RC Lookup'!$H$14:$J$23,2,FALSE),0)*AW102</f>
        <v>229.76813947667526</v>
      </c>
      <c r="BD102" s="6">
        <f ca="1">_xlfn.IFNA(VLOOKUP(SUMPRODUCT(LARGE(($C$8:$C102=Table1[[#This Row],[Climber]])*$A$8:$A102,1)),$A$8:$BC102,55,FALSE),0)/LEFT($AX$7,FIND(" ",$AX$7))+_xlfn.IFNA(VLOOKUP(SUMPRODUCT(LARGE(($C$8:$C102=Table1[[#This Row],[Climber]])*$A$8:$A102,MIN(2,COUNTIFS($C$8:$C102,$C102)))),$A$8:$BC102,55,FALSE),0)/LEFT($AX$7,FIND(" ",$AX$7))+_xlfn.IFNA(VLOOKUP(SUMPRODUCT(LARGE(($C$8:$C102=Table1[[#This Row],[Climber]])*$A$8:$A102,MIN(3,COUNTIFS($C$8:$C102,$C102)))),$A$8:$BC102,55,FALSE),0)/LEFT($AX$7,FIND(" ",$AX$7))</f>
        <v>208.62609437710589</v>
      </c>
      <c r="BE102" s="6">
        <f ca="1">(_xlfn.IFNA(VLOOKUP(SUMPRODUCT(LARGE(($C$8:$C102=Table1[[#This Row],[Climber]])*$A$8:$A102,4)),$A$8:$BD102,55,FALSE),0)+_xlfn.IFNA(VLOOKUP(SUMPRODUCT(LARGE(($C$8:$C102=Table1[[#This Row],[Climber]])*$A$8:$A102,5)),$A$8:$BD102,55,FALSE),0)+_xlfn.IFNA(VLOOKUP(SUMPRODUCT(LARGE(($C$8:$C102=Table1[[#This Row],[Climber]])*$A$8:$A102,6)),$A$8:$BD102,55,FALSE),0))/3</f>
        <v>183.36914804090657</v>
      </c>
      <c r="BF102" s="46">
        <f ca="1">_xlfn.MAXIFS(INDIRECT("$BC"&amp;IF(SUMPRODUCT(LARGE(($C$8:$C102=$C102)*$A$8:$A102,LEFT($BA$7,FIND(" ",$BA$7)-1)))=0,8,SUMPRODUCT(LARGE(($C$8:$C102=$C102)*$A$8:$A102,LEFT($BA$7,FIND(" ",$BA$7)-1)))+7)&amp;":$BC"&amp;ROW()),INDIRECT("$C"&amp;IF(SUMPRODUCT(LARGE(($C$8:$C102=$C102)*$A$8:$A102,LEFT($BA$7,FIND(" ",$BA$7)-1)))=0,8,SUMPRODUCT(LARGE(($C$8:$C102=$C102)*$A$8:$A102,LEFT($BA$7,FIND(" ",$BA$7)-1)))+7)&amp;":$C"&amp;ROW()),$C102)</f>
        <v>229.76813947667526</v>
      </c>
      <c r="BG102" s="46">
        <f t="array" aca="1" ref="BG102" ca="1">IFERROR(SUMPRODUCT(LARGE(($C$8:$C102=Table1[[#This Row],[Climber]])*$AW$8:$AW102,ROW(INDIRECT("1:5")))),AW102)/MIN(COUNTIFS($C$8:$C102,C102),5)</f>
        <v>123.03272875943328</v>
      </c>
    </row>
    <row r="103" spans="1:59" x14ac:dyDescent="0.3">
      <c r="A103" s="125">
        <f t="shared" si="1"/>
        <v>96</v>
      </c>
      <c r="B103" s="25">
        <f>'Rock Climbing Log'!B103</f>
        <v>43189</v>
      </c>
      <c r="C103" s="126" t="str">
        <f>'Rock Climbing Log'!C103</f>
        <v>Edwin</v>
      </c>
      <c r="D103" s="26">
        <f>_xlfn.IFNA(IF(LEFT('Rock Climbing Log'!D103)="C",_xlfn.IFNA(VLOOKUP('Rock Climbing Log'!D103,'RC Lookup'!$A$3:$B$9,2,FALSE),0.5),VLOOKUP('Rock Climbing Log'!D103,'RC Lookup'!$G$3:$H$5,2,FALSE)),0)*VLOOKUP(D$7,'RC Lookup'!$D$3:$E$18,2,FALSE)</f>
        <v>0</v>
      </c>
      <c r="E103" s="26">
        <f>_xlfn.IFNA(IF(LEFT('Rock Climbing Log'!E103)="C",_xlfn.IFNA(VLOOKUP('Rock Climbing Log'!E103,'RC Lookup'!$A$3:$B$9,2,FALSE),0.5),VLOOKUP('Rock Climbing Log'!E103,'RC Lookup'!$G$3:$H$5,2,FALSE)),0)*VLOOKUP(D$7,'RC Lookup'!$D$3:$E$18,2,FALSE)</f>
        <v>0</v>
      </c>
      <c r="F103" s="26">
        <f>_xlfn.IFNA(IF(LEFT('Rock Climbing Log'!F103)="C",_xlfn.IFNA(VLOOKUP('Rock Climbing Log'!F103,'RC Lookup'!$A$3:$B$9,2,FALSE),0.5),VLOOKUP('Rock Climbing Log'!F103,'RC Lookup'!$G$3:$H$5,2,FALSE)),0)*VLOOKUP(D$7,'RC Lookup'!$D$3:$E$18,2,FALSE)</f>
        <v>0</v>
      </c>
      <c r="G103" s="26">
        <f>_xlfn.IFNA(IF(LEFT('Rock Climbing Log'!G103)="C",_xlfn.IFNA(VLOOKUP('Rock Climbing Log'!G103,'RC Lookup'!$A$3:$B$9,2,FALSE),0.5),VLOOKUP('Rock Climbing Log'!G103,'RC Lookup'!$G$3:$H$5,2,FALSE)),0)*VLOOKUP(G$7,'RC Lookup'!$D$3:$E$18,2,FALSE)</f>
        <v>0</v>
      </c>
      <c r="H103" s="26">
        <f>_xlfn.IFNA(IF(LEFT('Rock Climbing Log'!H103)="C",_xlfn.IFNA(VLOOKUP('Rock Climbing Log'!H103,'RC Lookup'!$A$3:$B$9,2,FALSE),0.5),VLOOKUP('Rock Climbing Log'!H103,'RC Lookup'!$G$3:$H$5,2,FALSE)),0)*VLOOKUP(G$7,'RC Lookup'!$D$3:$E$18,2,FALSE)</f>
        <v>0</v>
      </c>
      <c r="I103" s="26">
        <f>_xlfn.IFNA(IF(LEFT('Rock Climbing Log'!I103)="C",_xlfn.IFNA(VLOOKUP('Rock Climbing Log'!I103,'RC Lookup'!$A$3:$B$9,2,FALSE),0.5),VLOOKUP('Rock Climbing Log'!I103,'RC Lookup'!$G$3:$H$5,2,FALSE)),0)*VLOOKUP(G$7,'RC Lookup'!$D$3:$E$18,2,FALSE)</f>
        <v>0</v>
      </c>
      <c r="J103" s="26">
        <f>_xlfn.IFNA(IF(LEFT('Rock Climbing Log'!J103)="C",_xlfn.IFNA(VLOOKUP('Rock Climbing Log'!J103,'RC Lookup'!$A$3:$B$9,2,FALSE),0.5),VLOOKUP('Rock Climbing Log'!J103,'RC Lookup'!$G$3:$H$5,2,FALSE)),0)*VLOOKUP(J$7,'RC Lookup'!$D$3:$E$18,2,FALSE)</f>
        <v>0</v>
      </c>
      <c r="K103" s="26">
        <f>_xlfn.IFNA(IF(LEFT('Rock Climbing Log'!K103)="C",_xlfn.IFNA(VLOOKUP('Rock Climbing Log'!K103,'RC Lookup'!$A$3:$B$9,2,FALSE),0.5),VLOOKUP('Rock Climbing Log'!K103,'RC Lookup'!$G$3:$H$5,2,FALSE)),0)*VLOOKUP(J$7,'RC Lookup'!$D$3:$E$18,2,FALSE)</f>
        <v>0</v>
      </c>
      <c r="L103" s="26">
        <f>_xlfn.IFNA(IF(LEFT('Rock Climbing Log'!L103)="C",_xlfn.IFNA(VLOOKUP('Rock Climbing Log'!L103,'RC Lookup'!$A$3:$B$9,2,FALSE),0.5),VLOOKUP('Rock Climbing Log'!L103,'RC Lookup'!$G$3:$H$5,2,FALSE)),0)*VLOOKUP(J$7,'RC Lookup'!$D$3:$E$18,2,FALSE)</f>
        <v>0</v>
      </c>
      <c r="M103" s="26">
        <f>_xlfn.IFNA(IF(LEFT('Rock Climbing Log'!M103)="C",_xlfn.IFNA(VLOOKUP('Rock Climbing Log'!M103,'RC Lookup'!$A$3:$B$9,2,FALSE),0.5),VLOOKUP('Rock Climbing Log'!M103,'RC Lookup'!$G$3:$H$5,2,FALSE)),0)*VLOOKUP(M$7,'RC Lookup'!$D$3:$E$18,2,FALSE)</f>
        <v>0</v>
      </c>
      <c r="N103" s="26">
        <f>_xlfn.IFNA(IF(LEFT('Rock Climbing Log'!N103)="C",_xlfn.IFNA(VLOOKUP('Rock Climbing Log'!N103,'RC Lookup'!$A$3:$B$9,2,FALSE),0.5),VLOOKUP('Rock Climbing Log'!N103,'RC Lookup'!$G$3:$H$5,2,FALSE)),0)*VLOOKUP(M$7,'RC Lookup'!$D$3:$E$18,2,FALSE)</f>
        <v>0</v>
      </c>
      <c r="O103" s="26">
        <f>_xlfn.IFNA(IF(LEFT('Rock Climbing Log'!O103)="C",_xlfn.IFNA(VLOOKUP('Rock Climbing Log'!O103,'RC Lookup'!$A$3:$B$9,2,FALSE),0.5),VLOOKUP('Rock Climbing Log'!O103,'RC Lookup'!$G$3:$H$5,2,FALSE)),0)*VLOOKUP(M$7,'RC Lookup'!$D$3:$E$18,2,FALSE)</f>
        <v>0</v>
      </c>
      <c r="P103" s="26">
        <f>_xlfn.IFNA(IF(LEFT('Rock Climbing Log'!P103)="C",_xlfn.IFNA(VLOOKUP('Rock Climbing Log'!P103,'RC Lookup'!$A$3:$B$9,2,FALSE),0.5),VLOOKUP('Rock Climbing Log'!P103,'RC Lookup'!$G$3:$H$5,2,FALSE)),0)*VLOOKUP(P$7,'RC Lookup'!$D$3:$E$18,2,FALSE)</f>
        <v>0</v>
      </c>
      <c r="Q103" s="26">
        <f>_xlfn.IFNA(IF(LEFT('Rock Climbing Log'!Q103)="C",_xlfn.IFNA(VLOOKUP('Rock Climbing Log'!Q103,'RC Lookup'!$A$3:$B$9,2,FALSE),0.5),VLOOKUP('Rock Climbing Log'!Q103,'RC Lookup'!$G$3:$H$5,2,FALSE)),0)*VLOOKUP(P$7,'RC Lookup'!$D$3:$E$18,2,FALSE)</f>
        <v>0</v>
      </c>
      <c r="R103" s="26">
        <f>_xlfn.IFNA(IF(LEFT('Rock Climbing Log'!R103)="C",_xlfn.IFNA(VLOOKUP('Rock Climbing Log'!R103,'RC Lookup'!$A$3:$B$9,2,FALSE),0.5),VLOOKUP('Rock Climbing Log'!R103,'RC Lookup'!$G$3:$H$5,2,FALSE)),0)*VLOOKUP(P$7,'RC Lookup'!$D$3:$E$18,2,FALSE)</f>
        <v>0</v>
      </c>
      <c r="S103" s="26">
        <f>_xlfn.IFNA(IF(LEFT('Rock Climbing Log'!S103)="C",_xlfn.IFNA(VLOOKUP('Rock Climbing Log'!S103,'RC Lookup'!$A$3:$B$9,2,FALSE),0.5),VLOOKUP('Rock Climbing Log'!S103,'RC Lookup'!$G$3:$H$5,2,FALSE)),0)*VLOOKUP(S$7,'RC Lookup'!$D$3:$E$18,2,FALSE)</f>
        <v>0</v>
      </c>
      <c r="T103" s="26">
        <f>_xlfn.IFNA(IF(LEFT('Rock Climbing Log'!T103)="C",_xlfn.IFNA(VLOOKUP('Rock Climbing Log'!T103,'RC Lookup'!$A$3:$B$9,2,FALSE),0.5),VLOOKUP('Rock Climbing Log'!T103,'RC Lookup'!$G$3:$H$5,2,FALSE)),0)*VLOOKUP(S$7,'RC Lookup'!$D$3:$E$18,2,FALSE)</f>
        <v>0</v>
      </c>
      <c r="U103" s="26">
        <f>_xlfn.IFNA(IF(LEFT('Rock Climbing Log'!U103)="C",_xlfn.IFNA(VLOOKUP('Rock Climbing Log'!U103,'RC Lookup'!$A$3:$B$9,2,FALSE),0.5),VLOOKUP('Rock Climbing Log'!U103,'RC Lookup'!$G$3:$H$5,2,FALSE)),0)*VLOOKUP(S$7,'RC Lookup'!$D$3:$E$18,2,FALSE)</f>
        <v>0</v>
      </c>
      <c r="V103" s="26">
        <f>_xlfn.IFNA(IF(LEFT('Rock Climbing Log'!V103)="C",_xlfn.IFNA(VLOOKUP('Rock Climbing Log'!V103,'RC Lookup'!$A$3:$B$9,2,FALSE),0.5),VLOOKUP('Rock Climbing Log'!V103,'RC Lookup'!$G$3:$H$5,2,FALSE)),0)*VLOOKUP(V$7,'RC Lookup'!$D$3:$E$18,2,FALSE)</f>
        <v>35.256745742400021</v>
      </c>
      <c r="W103" s="26">
        <f>_xlfn.IFNA(IF(LEFT('Rock Climbing Log'!W103)="C",_xlfn.IFNA(VLOOKUP('Rock Climbing Log'!W103,'RC Lookup'!$A$3:$B$9,2,FALSE),0.5),VLOOKUP('Rock Climbing Log'!W103,'RC Lookup'!$G$3:$H$5,2,FALSE)),0)*VLOOKUP(V$7,'RC Lookup'!$D$3:$E$18,2,FALSE)</f>
        <v>0</v>
      </c>
      <c r="X103" s="26">
        <f>_xlfn.IFNA(IF(LEFT('Rock Climbing Log'!X103)="C",_xlfn.IFNA(VLOOKUP('Rock Climbing Log'!X103,'RC Lookup'!$A$3:$B$9,2,FALSE),0.5),VLOOKUP('Rock Climbing Log'!X103,'RC Lookup'!$G$3:$H$5,2,FALSE)),0)*VLOOKUP(V$7,'RC Lookup'!$D$3:$E$18,2,FALSE)</f>
        <v>0</v>
      </c>
      <c r="Y103" s="26">
        <f>_xlfn.IFNA(IF(LEFT('Rock Climbing Log'!Y103)="C",_xlfn.IFNA(VLOOKUP('Rock Climbing Log'!Y103,'RC Lookup'!$A$3:$B$9,2,FALSE),0.5),VLOOKUP('Rock Climbing Log'!Y103,'RC Lookup'!$G$3:$H$5,2,FALSE)),0)*VLOOKUP(Y$7,'RC Lookup'!$D$3:$E$18,2,FALSE)</f>
        <v>0</v>
      </c>
      <c r="Z103" s="26">
        <f>_xlfn.IFNA(IF(LEFT('Rock Climbing Log'!Z103)="C",_xlfn.IFNA(VLOOKUP('Rock Climbing Log'!Z103,'RC Lookup'!$A$3:$B$9,2,FALSE),0.5),VLOOKUP('Rock Climbing Log'!Z103,'RC Lookup'!$G$3:$H$5,2,FALSE)),0)*VLOOKUP(Y$7,'RC Lookup'!$D$3:$E$18,2,FALSE)</f>
        <v>0</v>
      </c>
      <c r="AA103" s="26">
        <f>_xlfn.IFNA(IF(LEFT('Rock Climbing Log'!AA103)="C",_xlfn.IFNA(VLOOKUP('Rock Climbing Log'!AA103,'RC Lookup'!$A$3:$B$9,2,FALSE),0.5),VLOOKUP('Rock Climbing Log'!AA103,'RC Lookup'!$G$3:$H$5,2,FALSE)),0)*VLOOKUP(Y$7,'RC Lookup'!$D$3:$E$18,2,FALSE)</f>
        <v>0</v>
      </c>
      <c r="AB103" s="26">
        <f>_xlfn.IFNA(IF(LEFT('Rock Climbing Log'!AB103)="C",_xlfn.IFNA(VLOOKUP('Rock Climbing Log'!AB103,'RC Lookup'!$A$3:$B$9,2,FALSE),0.5),VLOOKUP('Rock Climbing Log'!AB103,'RC Lookup'!$G$3:$H$5,2,FALSE)),0)*VLOOKUP(AB$7,'RC Lookup'!$D$3:$E$18,2,FALSE)</f>
        <v>54.034770578768224</v>
      </c>
      <c r="AC103" s="26">
        <f>_xlfn.IFNA(IF(LEFT('Rock Climbing Log'!AC103)="C",_xlfn.IFNA(VLOOKUP('Rock Climbing Log'!AC103,'RC Lookup'!$A$3:$B$9,2,FALSE),0.5),VLOOKUP('Rock Climbing Log'!AC103,'RC Lookup'!$G$3:$H$5,2,FALSE)),0)*VLOOKUP(AB$7,'RC Lookup'!$D$3:$E$18,2,FALSE)</f>
        <v>0</v>
      </c>
      <c r="AD103" s="26">
        <f>_xlfn.IFNA(IF(LEFT('Rock Climbing Log'!AD103)="C",_xlfn.IFNA(VLOOKUP('Rock Climbing Log'!AD103,'RC Lookup'!$A$3:$B$9,2,FALSE),0.5),VLOOKUP('Rock Climbing Log'!AD103,'RC Lookup'!$G$3:$H$5,2,FALSE)),0)*VLOOKUP(AB$7,'RC Lookup'!$D$3:$E$18,2,FALSE)</f>
        <v>0</v>
      </c>
      <c r="AE103" s="26">
        <f>_xlfn.IFNA(IF(LEFT('Rock Climbing Log'!AE103)="C",_xlfn.IFNA(VLOOKUP('Rock Climbing Log'!AE103,'RC Lookup'!$A$3:$B$9,2,FALSE),0.5),VLOOKUP('Rock Climbing Log'!AE103,'RC Lookup'!$G$3:$H$5,2,FALSE)),0)*VLOOKUP(AE$7,'RC Lookup'!$D$3:$E$18,2,FALSE)</f>
        <v>44.52797949877268</v>
      </c>
      <c r="AF103" s="26">
        <f>_xlfn.IFNA(IF(LEFT('Rock Climbing Log'!AF103)="C",_xlfn.IFNA(VLOOKUP('Rock Climbing Log'!AF103,'RC Lookup'!$A$3:$B$9,2,FALSE),0.5),VLOOKUP('Rock Climbing Log'!AF103,'RC Lookup'!$G$3:$H$5,2,FALSE)),0)*VLOOKUP(AE$7,'RC Lookup'!$D$3:$E$18,2,FALSE)</f>
        <v>0</v>
      </c>
      <c r="AG103" s="26">
        <f>_xlfn.IFNA(IF(LEFT('Rock Climbing Log'!AG103)="C",_xlfn.IFNA(VLOOKUP('Rock Climbing Log'!AG103,'RC Lookup'!$A$3:$B$9,2,FALSE),0.5),VLOOKUP('Rock Climbing Log'!AG103,'RC Lookup'!$G$3:$H$5,2,FALSE)),0)*VLOOKUP(AE$7,'RC Lookup'!$D$3:$E$18,2,FALSE)</f>
        <v>0</v>
      </c>
      <c r="AH103" s="26">
        <f>_xlfn.IFNA(IF(LEFT('Rock Climbing Log'!AH103)="C",_xlfn.IFNA(VLOOKUP('Rock Climbing Log'!AH103,'RC Lookup'!$A$3:$B$9,2,FALSE),0.5),VLOOKUP('Rock Climbing Log'!AH103,'RC Lookup'!$G$3:$H$5,2,FALSE)),0)*VLOOKUP(AH$7,'RC Lookup'!$D$3:$E$18,2,FALSE)</f>
        <v>0</v>
      </c>
      <c r="AI103" s="26">
        <f>_xlfn.IFNA(IF(LEFT('Rock Climbing Log'!AI103)="C",_xlfn.IFNA(VLOOKUP('Rock Climbing Log'!AI103,'RC Lookup'!$A$3:$B$9,2,FALSE),0.5),VLOOKUP('Rock Climbing Log'!AI103,'RC Lookup'!$G$3:$H$5,2,FALSE)),0)*VLOOKUP(AH$7,'RC Lookup'!$D$3:$E$18,2,FALSE)</f>
        <v>0</v>
      </c>
      <c r="AJ103" s="26">
        <f>_xlfn.IFNA(IF(LEFT('Rock Climbing Log'!AJ103)="C",_xlfn.IFNA(VLOOKUP('Rock Climbing Log'!AJ103,'RC Lookup'!$A$3:$B$9,2,FALSE),0.5),VLOOKUP('Rock Climbing Log'!AJ103,'RC Lookup'!$G$3:$H$5,2,FALSE)),0)*VLOOKUP(AH$7,'RC Lookup'!$D$3:$E$18,2,FALSE)</f>
        <v>0</v>
      </c>
      <c r="AK103" s="26">
        <f>_xlfn.IFNA(IF(LEFT('Rock Climbing Log'!AK103)="C",_xlfn.IFNA(VLOOKUP('Rock Climbing Log'!AK103,'RC Lookup'!$A$3:$B$9,2,FALSE),0.5),VLOOKUP('Rock Climbing Log'!AK103,'RC Lookup'!$G$3:$H$5,2,FALSE)),0)*VLOOKUP(AK$7,'RC Lookup'!$D$3:$E$18,2,FALSE)</f>
        <v>0</v>
      </c>
      <c r="AL103" s="26">
        <f>_xlfn.IFNA(IF(LEFT('Rock Climbing Log'!AL103)="C",_xlfn.IFNA(VLOOKUP('Rock Climbing Log'!AL103,'RC Lookup'!$A$3:$B$9,2,FALSE),0.5),VLOOKUP('Rock Climbing Log'!AL103,'RC Lookup'!$G$3:$H$5,2,FALSE)),0)*VLOOKUP(AK$7,'RC Lookup'!$D$3:$E$18,2,FALSE)</f>
        <v>0</v>
      </c>
      <c r="AM103" s="26">
        <f>_xlfn.IFNA(IF(LEFT('Rock Climbing Log'!AM103)="C",_xlfn.IFNA(VLOOKUP('Rock Climbing Log'!AM103,'RC Lookup'!$A$3:$B$9,2,FALSE),0.5),VLOOKUP('Rock Climbing Log'!AM103,'RC Lookup'!$G$3:$H$5,2,FALSE)),0)*VLOOKUP(AK$7,'RC Lookup'!$D$3:$E$18,2,FALSE)</f>
        <v>0</v>
      </c>
      <c r="AN103" s="26">
        <f>_xlfn.IFNA(IF(LEFT('Rock Climbing Log'!AN103)="C",_xlfn.IFNA(VLOOKUP('Rock Climbing Log'!AN103,'RC Lookup'!$A$3:$B$9,2,FALSE),0.5),VLOOKUP('Rock Climbing Log'!AN103,'RC Lookup'!$G$3:$H$5,2,FALSE)),0)*VLOOKUP(AN$7,'RC Lookup'!$D$3:$E$18,2,FALSE)</f>
        <v>0</v>
      </c>
      <c r="AO103" s="26">
        <f>_xlfn.IFNA(IF(LEFT('Rock Climbing Log'!AO103)="C",_xlfn.IFNA(VLOOKUP('Rock Climbing Log'!AO103,'RC Lookup'!$A$3:$B$9,2,FALSE),0.5),VLOOKUP('Rock Climbing Log'!AO103,'RC Lookup'!$G$3:$H$5,2,FALSE)),0)*VLOOKUP(AN$7,'RC Lookup'!$D$3:$E$18,2,FALSE)</f>
        <v>0</v>
      </c>
      <c r="AP103" s="26">
        <f>_xlfn.IFNA(IF(LEFT('Rock Climbing Log'!AP103)="C",_xlfn.IFNA(VLOOKUP('Rock Climbing Log'!AP103,'RC Lookup'!$A$3:$B$9,2,FALSE),0.5),VLOOKUP('Rock Climbing Log'!AP103,'RC Lookup'!$G$3:$H$5,2,FALSE)),0)*VLOOKUP(AN$7,'RC Lookup'!$D$3:$E$18,2,FALSE)</f>
        <v>0</v>
      </c>
      <c r="AQ103" s="26">
        <f>_xlfn.IFNA(IF(LEFT('Rock Climbing Log'!AQ103)="C",_xlfn.IFNA(VLOOKUP('Rock Climbing Log'!AQ103,'RC Lookup'!$A$3:$B$9,2,FALSE),0.5),VLOOKUP('Rock Climbing Log'!AQ103,'RC Lookup'!$G$3:$H$5,2,FALSE)),0)*VLOOKUP(AQ$7,'RC Lookup'!$D$3:$E$18,2,FALSE)</f>
        <v>0</v>
      </c>
      <c r="AR103" s="26">
        <f>_xlfn.IFNA(IF(LEFT('Rock Climbing Log'!AR103)="C",_xlfn.IFNA(VLOOKUP('Rock Climbing Log'!AR103,'RC Lookup'!$A$3:$B$9,2,FALSE),0.5),VLOOKUP('Rock Climbing Log'!AR103,'RC Lookup'!$G$3:$H$5,2,FALSE)),0)*VLOOKUP(AQ$7,'RC Lookup'!$D$3:$E$18,2,FALSE)</f>
        <v>0</v>
      </c>
      <c r="AS103" s="26">
        <f>_xlfn.IFNA(IF(LEFT('Rock Climbing Log'!AS103)="C",_xlfn.IFNA(VLOOKUP('Rock Climbing Log'!AS103,'RC Lookup'!$A$3:$B$9,2,FALSE),0.5),VLOOKUP('Rock Climbing Log'!AS103,'RC Lookup'!$G$3:$H$5,2,FALSE)),0)*VLOOKUP(AQ$7,'RC Lookup'!$D$3:$E$18,2,FALSE)</f>
        <v>0</v>
      </c>
      <c r="AT103" s="26">
        <f>_xlfn.IFNA(IF(LEFT('Rock Climbing Log'!AT103)="C",_xlfn.IFNA(VLOOKUP('Rock Climbing Log'!AT103,'RC Lookup'!$A$3:$B$9,2,FALSE),0.5),VLOOKUP('Rock Climbing Log'!AT103,'RC Lookup'!$G$3:$H$5,2,FALSE)),0)*VLOOKUP(AT$7,'RC Lookup'!$D$3:$E$18,2,FALSE)</f>
        <v>0</v>
      </c>
      <c r="AU103" s="26">
        <f>_xlfn.IFNA(IF(LEFT('Rock Climbing Log'!AU103)="C",_xlfn.IFNA(VLOOKUP('Rock Climbing Log'!AU103,'RC Lookup'!$A$3:$B$9,2,FALSE),0.5),VLOOKUP('Rock Climbing Log'!AU103,'RC Lookup'!$G$3:$H$5,2,FALSE)),0)*VLOOKUP(AT$7,'RC Lookup'!$D$3:$E$18,2,FALSE)</f>
        <v>0</v>
      </c>
      <c r="AV103" s="26">
        <f>_xlfn.IFNA(IF(LEFT('Rock Climbing Log'!AV103)="C",_xlfn.IFNA(VLOOKUP('Rock Climbing Log'!AV103,'RC Lookup'!$A$3:$B$9,2,FALSE),0.5),VLOOKUP('Rock Climbing Log'!AV103,'RC Lookup'!$G$3:$H$5,2,FALSE)),0)*VLOOKUP(AT$7,'RC Lookup'!$D$3:$E$18,2,FALSE)</f>
        <v>0</v>
      </c>
      <c r="AW103" s="30">
        <f t="shared" ca="1" si="3"/>
        <v>133.81949581994093</v>
      </c>
      <c r="AX103" s="30">
        <f ca="1">_xlfn.IFNA(VLOOKUP(SUMPRODUCT(LARGE(($C$8:$C103=Table1[[#This Row],[Climber]])*$A$8:$A103,1)),$A$8:$AW103,MATCH($AW$7,$A$7:$AW$7,FALSE),FALSE),0)/LEFT($AX$7,FIND(" ",$AX$7))+_xlfn.IFNA(VLOOKUP(SUMPRODUCT(LARGE(($C$8:$C103=Table1[[#This Row],[Climber]])*$A$8:$A103,MIN(2,COUNTIFS($C$8:$C103,$C103)))),$A$8:$AW103,MATCH($AW$7,$A$7:$AW$7,FALSE),FALSE),0)/LEFT($AX$7,FIND(" ",$AX$7))+_xlfn.IFNA(VLOOKUP(SUMPRODUCT(LARGE(($C$8:$C103=Table1[[#This Row],[Climber]])*$A$8:$A103,MIN(3,COUNTIFS($C$8:$C103,$C103)))),$A$8:$AW103,MATCH($AW$7,$A$7:$AW$7,FALSE),FALSE),0)/LEFT($AX$7,FIND(" ",$AX$7))</f>
        <v>124.28246564550403</v>
      </c>
      <c r="AY103" s="30">
        <f ca="1">_xlfn.IFNA(VLOOKUP(SUMPRODUCT(LARGE(($C$8:$C103=Table1[[#This Row],[Climber]])*$A$8:$A103,1)),$A$8:$AW103,MATCH($AW$7,$A$7:$AW$7,FALSE),FALSE),0)/LEFT($AY$7,FIND(" ",$AY$7))+_xlfn.IFNA(VLOOKUP(SUMPRODUCT(LARGE(($C$8:$C103=Table1[[#This Row],[Climber]])*$A$8:$A103,MIN(2,COUNTIFS($C$8:$C103,$C103)))),$A$8:$AW103,MATCH($AW$7,$A$7:$AW$7,FALSE),FALSE),0)/LEFT($AY$7,FIND(" ",$AY$7))+_xlfn.IFNA(VLOOKUP(SUMPRODUCT(LARGE(($C$8:$C103=Table1[[#This Row],[Climber]])*$A$8:$A103,MIN(3,COUNTIFS($C$8:$C103,$C103)))),$A$8:$AW103,MATCH($AW$7,$A$7:$AW$7,FALSE),FALSE),0)/LEFT($AY$7,FIND(" ",$AY$7))+_xlfn.IFNA(VLOOKUP(SUMPRODUCT(LARGE(($C$8:$C103=Table1[[#This Row],[Climber]])*$A$8:$A103,MIN(4,COUNTIFS($C$8:$C103,$C103)))),$A$8:$AW103,MATCH($AW$7,$A$7:$AW$7,FALSE),FALSE),0)/LEFT($AY$7,FIND(" ",$AY$7))+_xlfn.IFNA(VLOOKUP(SUMPRODUCT(LARGE(($C$8:$C103=Table1[[#This Row],[Climber]])*$A$8:$A103,MIN(5,COUNTIFS($C$8:$C103,$C103)))),$A$8:$AW103,MATCH($AW$7,$A$7:$AW$7,FALSE),FALSE),0)/LEFT($AY$7,FIND(" ",$AY$7))</f>
        <v>122.89473506282908</v>
      </c>
      <c r="AZ103" s="30">
        <f ca="1">(_xlfn.IFNA(VLOOKUP(SUMPRODUCT(LARGE(($C$8:$C103=Table1[[#This Row],[Climber]])*$A$8:$A103,4)),$A$8:$AW103,MATCH($AW$7,$A$7:$AW$7,FALSE),FALSE),0)+_xlfn.IFNA(VLOOKUP(SUMPRODUCT(LARGE(($C$8:$C103=Table1[[#This Row],[Climber]])*$A$8:$A103,5)),$A$8:$AW103,MATCH($AW$7,$A$7:$AW$7,FALSE),FALSE),0)+_xlfn.IFNA(VLOOKUP(SUMPRODUCT(LARGE(($C$8:$C103=Table1[[#This Row],[Climber]])*$A$8:$A103,6)),$A$8:$AW103,MATCH($AW$7,$A$7:$AW$7,FALSE),FALSE),0))/3</f>
        <v>113.05238505060582</v>
      </c>
      <c r="BA103" s="46">
        <f ca="1">_xlfn.MAXIFS(INDIRECT("$AW"&amp;IF(SUMPRODUCT(LARGE(($C$8:$C103=$C103)*$A$8:$A103,LEFT($BA$7,FIND(" ",$BA$7)-1)))=0,8,SUMPRODUCT(LARGE(($C$8:$C103=$C103)*$A$8:$A103,LEFT($BA$7,FIND(" ",$BA$7)-1)))+7)&amp;":$AW"&amp;ROW()),INDIRECT("$C"&amp;IF(SUMPRODUCT(LARGE(($C$8:$C103=$C103)*$A$8:$A103,LEFT($BA$7,FIND(" ",$BA$7)-1)))=0,8,SUMPRODUCT(LARGE(($C$8:$C103=$C103)*$A$8:$A103,LEFT($BA$7,FIND(" ",$BA$7)-1)))+7)&amp;":$C"&amp;ROW()),$C103)</f>
        <v>133.81949581994093</v>
      </c>
      <c r="BB103" s="46" t="str">
        <f ca="1">VLOOKUP(MAX(BG103,$AX103),'RC Lookup'!$G$14:$J$20,2,TRUE)</f>
        <v>T3</v>
      </c>
      <c r="BC103" s="46">
        <f ca="1">_xlfn.IFNA(VLOOKUP(VLOOKUP($C103,'RC Lookup'!$O$3:$P$50,2,FALSE),'RC Lookup'!$H$14:$J$23,2,FALSE),0)*AW103</f>
        <v>102.69403140294374</v>
      </c>
      <c r="BD103" s="6">
        <f ca="1">_xlfn.IFNA(VLOOKUP(SUMPRODUCT(LARGE(($C$8:$C103=Table1[[#This Row],[Climber]])*$A$8:$A103,1)),$A$8:$BC103,55,FALSE),0)/LEFT($AX$7,FIND(" ",$AX$7))+_xlfn.IFNA(VLOOKUP(SUMPRODUCT(LARGE(($C$8:$C103=Table1[[#This Row],[Climber]])*$A$8:$A103,MIN(2,COUNTIFS($C$8:$C103,$C103)))),$A$8:$BC103,55,FALSE),0)/LEFT($AX$7,FIND(" ",$AX$7))+_xlfn.IFNA(VLOOKUP(SUMPRODUCT(LARGE(($C$8:$C103=Table1[[#This Row],[Climber]])*$A$8:$A103,MIN(3,COUNTIFS($C$8:$C103,$C103)))),$A$8:$BC103,55,FALSE),0)/LEFT($AX$7,FIND(" ",$AX$7))</f>
        <v>95.37524672046176</v>
      </c>
      <c r="BE103" s="6">
        <f ca="1">(_xlfn.IFNA(VLOOKUP(SUMPRODUCT(LARGE(($C$8:$C103=Table1[[#This Row],[Climber]])*$A$8:$A103,4)),$A$8:$BD103,55,FALSE),0)+_xlfn.IFNA(VLOOKUP(SUMPRODUCT(LARGE(($C$8:$C103=Table1[[#This Row],[Climber]])*$A$8:$A103,5)),$A$8:$BD103,55,FALSE),0)+_xlfn.IFNA(VLOOKUP(SUMPRODUCT(LARGE(($C$8:$C103=Table1[[#This Row],[Climber]])*$A$8:$A103,6)),$A$8:$BD103,55,FALSE),0))/3</f>
        <v>86.757203122226841</v>
      </c>
      <c r="BF103" s="46">
        <f ca="1">_xlfn.MAXIFS(INDIRECT("$BC"&amp;IF(SUMPRODUCT(LARGE(($C$8:$C103=$C103)*$A$8:$A103,LEFT($BA$7,FIND(" ",$BA$7)-1)))=0,8,SUMPRODUCT(LARGE(($C$8:$C103=$C103)*$A$8:$A103,LEFT($BA$7,FIND(" ",$BA$7)-1)))+7)&amp;":$BC"&amp;ROW()),INDIRECT("$C"&amp;IF(SUMPRODUCT(LARGE(($C$8:$C103=$C103)*$A$8:$A103,LEFT($BA$7,FIND(" ",$BA$7)-1)))=0,8,SUMPRODUCT(LARGE(($C$8:$C103=$C103)*$A$8:$A103,LEFT($BA$7,FIND(" ",$BA$7)-1)))+7)&amp;":$C"&amp;ROW()),$C103)</f>
        <v>102.69403140294374</v>
      </c>
      <c r="BG103" s="46">
        <f t="array" aca="1" ref="BG103" ca="1">IFERROR(SUMPRODUCT(LARGE(($C$8:$C103=Table1[[#This Row],[Climber]])*$AW$8:$AW103,ROW(INDIRECT("1:5")))),AW103)/MIN(COUNTIFS($C$8:$C103,C103),5)</f>
        <v>124.3835888816227</v>
      </c>
    </row>
    <row r="104" spans="1:59" x14ac:dyDescent="0.3">
      <c r="A104" s="125">
        <f t="shared" si="1"/>
        <v>97</v>
      </c>
      <c r="B104" s="25">
        <f>'Rock Climbing Log'!B104</f>
        <v>43189</v>
      </c>
      <c r="C104" s="126" t="str">
        <f>'Rock Climbing Log'!C104</f>
        <v>Benjie</v>
      </c>
      <c r="D104" s="26">
        <f>_xlfn.IFNA(IF(LEFT('Rock Climbing Log'!D104)="C",_xlfn.IFNA(VLOOKUP('Rock Climbing Log'!D104,'RC Lookup'!$A$3:$B$9,2,FALSE),0.5),VLOOKUP('Rock Climbing Log'!D104,'RC Lookup'!$G$3:$H$5,2,FALSE)),0)*VLOOKUP(D$7,'RC Lookup'!$D$3:$E$18,2,FALSE)</f>
        <v>0</v>
      </c>
      <c r="E104" s="26">
        <f>_xlfn.IFNA(IF(LEFT('Rock Climbing Log'!E104)="C",_xlfn.IFNA(VLOOKUP('Rock Climbing Log'!E104,'RC Lookup'!$A$3:$B$9,2,FALSE),0.5),VLOOKUP('Rock Climbing Log'!E104,'RC Lookup'!$G$3:$H$5,2,FALSE)),0)*VLOOKUP(D$7,'RC Lookup'!$D$3:$E$18,2,FALSE)</f>
        <v>0</v>
      </c>
      <c r="F104" s="26">
        <f>_xlfn.IFNA(IF(LEFT('Rock Climbing Log'!F104)="C",_xlfn.IFNA(VLOOKUP('Rock Climbing Log'!F104,'RC Lookup'!$A$3:$B$9,2,FALSE),0.5),VLOOKUP('Rock Climbing Log'!F104,'RC Lookup'!$G$3:$H$5,2,FALSE)),0)*VLOOKUP(D$7,'RC Lookup'!$D$3:$E$18,2,FALSE)</f>
        <v>0</v>
      </c>
      <c r="G104" s="26">
        <f>_xlfn.IFNA(IF(LEFT('Rock Climbing Log'!G104)="C",_xlfn.IFNA(VLOOKUP('Rock Climbing Log'!G104,'RC Lookup'!$A$3:$B$9,2,FALSE),0.5),VLOOKUP('Rock Climbing Log'!G104,'RC Lookup'!$G$3:$H$5,2,FALSE)),0)*VLOOKUP(G$7,'RC Lookup'!$D$3:$E$18,2,FALSE)</f>
        <v>0</v>
      </c>
      <c r="H104" s="26">
        <f>_xlfn.IFNA(IF(LEFT('Rock Climbing Log'!H104)="C",_xlfn.IFNA(VLOOKUP('Rock Climbing Log'!H104,'RC Lookup'!$A$3:$B$9,2,FALSE),0.5),VLOOKUP('Rock Climbing Log'!H104,'RC Lookup'!$G$3:$H$5,2,FALSE)),0)*VLOOKUP(G$7,'RC Lookup'!$D$3:$E$18,2,FALSE)</f>
        <v>0</v>
      </c>
      <c r="I104" s="26">
        <f>_xlfn.IFNA(IF(LEFT('Rock Climbing Log'!I104)="C",_xlfn.IFNA(VLOOKUP('Rock Climbing Log'!I104,'RC Lookup'!$A$3:$B$9,2,FALSE),0.5),VLOOKUP('Rock Climbing Log'!I104,'RC Lookup'!$G$3:$H$5,2,FALSE)),0)*VLOOKUP(G$7,'RC Lookup'!$D$3:$E$18,2,FALSE)</f>
        <v>0</v>
      </c>
      <c r="J104" s="26">
        <f>_xlfn.IFNA(IF(LEFT('Rock Climbing Log'!J104)="C",_xlfn.IFNA(VLOOKUP('Rock Climbing Log'!J104,'RC Lookup'!$A$3:$B$9,2,FALSE),0.5),VLOOKUP('Rock Climbing Log'!J104,'RC Lookup'!$G$3:$H$5,2,FALSE)),0)*VLOOKUP(J$7,'RC Lookup'!$D$3:$E$18,2,FALSE)</f>
        <v>0</v>
      </c>
      <c r="K104" s="26">
        <f>_xlfn.IFNA(IF(LEFT('Rock Climbing Log'!K104)="C",_xlfn.IFNA(VLOOKUP('Rock Climbing Log'!K104,'RC Lookup'!$A$3:$B$9,2,FALSE),0.5),VLOOKUP('Rock Climbing Log'!K104,'RC Lookup'!$G$3:$H$5,2,FALSE)),0)*VLOOKUP(J$7,'RC Lookup'!$D$3:$E$18,2,FALSE)</f>
        <v>0</v>
      </c>
      <c r="L104" s="26">
        <f>_xlfn.IFNA(IF(LEFT('Rock Climbing Log'!L104)="C",_xlfn.IFNA(VLOOKUP('Rock Climbing Log'!L104,'RC Lookup'!$A$3:$B$9,2,FALSE),0.5),VLOOKUP('Rock Climbing Log'!L104,'RC Lookup'!$G$3:$H$5,2,FALSE)),0)*VLOOKUP(J$7,'RC Lookup'!$D$3:$E$18,2,FALSE)</f>
        <v>0</v>
      </c>
      <c r="M104" s="26">
        <f>_xlfn.IFNA(IF(LEFT('Rock Climbing Log'!M104)="C",_xlfn.IFNA(VLOOKUP('Rock Climbing Log'!M104,'RC Lookup'!$A$3:$B$9,2,FALSE),0.5),VLOOKUP('Rock Climbing Log'!M104,'RC Lookup'!$G$3:$H$5,2,FALSE)),0)*VLOOKUP(M$7,'RC Lookup'!$D$3:$E$18,2,FALSE)</f>
        <v>0</v>
      </c>
      <c r="N104" s="26">
        <f>_xlfn.IFNA(IF(LEFT('Rock Climbing Log'!N104)="C",_xlfn.IFNA(VLOOKUP('Rock Climbing Log'!N104,'RC Lookup'!$A$3:$B$9,2,FALSE),0.5),VLOOKUP('Rock Climbing Log'!N104,'RC Lookup'!$G$3:$H$5,2,FALSE)),0)*VLOOKUP(M$7,'RC Lookup'!$D$3:$E$18,2,FALSE)</f>
        <v>0</v>
      </c>
      <c r="O104" s="26">
        <f>_xlfn.IFNA(IF(LEFT('Rock Climbing Log'!O104)="C",_xlfn.IFNA(VLOOKUP('Rock Climbing Log'!O104,'RC Lookup'!$A$3:$B$9,2,FALSE),0.5),VLOOKUP('Rock Climbing Log'!O104,'RC Lookup'!$G$3:$H$5,2,FALSE)),0)*VLOOKUP(M$7,'RC Lookup'!$D$3:$E$18,2,FALSE)</f>
        <v>0</v>
      </c>
      <c r="P104" s="26">
        <f>_xlfn.IFNA(IF(LEFT('Rock Climbing Log'!P104)="C",_xlfn.IFNA(VLOOKUP('Rock Climbing Log'!P104,'RC Lookup'!$A$3:$B$9,2,FALSE),0.5),VLOOKUP('Rock Climbing Log'!P104,'RC Lookup'!$G$3:$H$5,2,FALSE)),0)*VLOOKUP(P$7,'RC Lookup'!$D$3:$E$18,2,FALSE)</f>
        <v>23.922990000000006</v>
      </c>
      <c r="Q104" s="26">
        <f>_xlfn.IFNA(IF(LEFT('Rock Climbing Log'!Q104)="C",_xlfn.IFNA(VLOOKUP('Rock Climbing Log'!Q104,'RC Lookup'!$A$3:$B$9,2,FALSE),0.5),VLOOKUP('Rock Climbing Log'!Q104,'RC Lookup'!$G$3:$H$5,2,FALSE)),0)*VLOOKUP(P$7,'RC Lookup'!$D$3:$E$18,2,FALSE)</f>
        <v>0</v>
      </c>
      <c r="R104" s="26">
        <f>_xlfn.IFNA(IF(LEFT('Rock Climbing Log'!R104)="C",_xlfn.IFNA(VLOOKUP('Rock Climbing Log'!R104,'RC Lookup'!$A$3:$B$9,2,FALSE),0.5),VLOOKUP('Rock Climbing Log'!R104,'RC Lookup'!$G$3:$H$5,2,FALSE)),0)*VLOOKUP(P$7,'RC Lookup'!$D$3:$E$18,2,FALSE)</f>
        <v>0</v>
      </c>
      <c r="S104" s="26">
        <f>_xlfn.IFNA(IF(LEFT('Rock Climbing Log'!S104)="C",_xlfn.IFNA(VLOOKUP('Rock Climbing Log'!S104,'RC Lookup'!$A$3:$B$9,2,FALSE),0.5),VLOOKUP('Rock Climbing Log'!S104,'RC Lookup'!$G$3:$H$5,2,FALSE)),0)*VLOOKUP(S$7,'RC Lookup'!$D$3:$E$18,2,FALSE)</f>
        <v>0</v>
      </c>
      <c r="T104" s="26">
        <f>_xlfn.IFNA(IF(LEFT('Rock Climbing Log'!T104)="C",_xlfn.IFNA(VLOOKUP('Rock Climbing Log'!T104,'RC Lookup'!$A$3:$B$9,2,FALSE),0.5),VLOOKUP('Rock Climbing Log'!T104,'RC Lookup'!$G$3:$H$5,2,FALSE)),0)*VLOOKUP(S$7,'RC Lookup'!$D$3:$E$18,2,FALSE)</f>
        <v>0</v>
      </c>
      <c r="U104" s="26">
        <f>_xlfn.IFNA(IF(LEFT('Rock Climbing Log'!U104)="C",_xlfn.IFNA(VLOOKUP('Rock Climbing Log'!U104,'RC Lookup'!$A$3:$B$9,2,FALSE),0.5),VLOOKUP('Rock Climbing Log'!U104,'RC Lookup'!$G$3:$H$5,2,FALSE)),0)*VLOOKUP(S$7,'RC Lookup'!$D$3:$E$18,2,FALSE)</f>
        <v>0</v>
      </c>
      <c r="V104" s="26">
        <f>_xlfn.IFNA(IF(LEFT('Rock Climbing Log'!V104)="C",_xlfn.IFNA(VLOOKUP('Rock Climbing Log'!V104,'RC Lookup'!$A$3:$B$9,2,FALSE),0.5),VLOOKUP('Rock Climbing Log'!V104,'RC Lookup'!$G$3:$H$5,2,FALSE)),0)*VLOOKUP(V$7,'RC Lookup'!$D$3:$E$18,2,FALSE)</f>
        <v>0</v>
      </c>
      <c r="W104" s="26">
        <f>_xlfn.IFNA(IF(LEFT('Rock Climbing Log'!W104)="C",_xlfn.IFNA(VLOOKUP('Rock Climbing Log'!W104,'RC Lookup'!$A$3:$B$9,2,FALSE),0.5),VLOOKUP('Rock Climbing Log'!W104,'RC Lookup'!$G$3:$H$5,2,FALSE)),0)*VLOOKUP(V$7,'RC Lookup'!$D$3:$E$18,2,FALSE)</f>
        <v>0</v>
      </c>
      <c r="X104" s="26">
        <f>_xlfn.IFNA(IF(LEFT('Rock Climbing Log'!X104)="C",_xlfn.IFNA(VLOOKUP('Rock Climbing Log'!X104,'RC Lookup'!$A$3:$B$9,2,FALSE),0.5),VLOOKUP('Rock Climbing Log'!X104,'RC Lookup'!$G$3:$H$5,2,FALSE)),0)*VLOOKUP(V$7,'RC Lookup'!$D$3:$E$18,2,FALSE)</f>
        <v>0</v>
      </c>
      <c r="Y104" s="26">
        <f>_xlfn.IFNA(IF(LEFT('Rock Climbing Log'!Y104)="C",_xlfn.IFNA(VLOOKUP('Rock Climbing Log'!Y104,'RC Lookup'!$A$3:$B$9,2,FALSE),0.5),VLOOKUP('Rock Climbing Log'!Y104,'RC Lookup'!$G$3:$H$5,2,FALSE)),0)*VLOOKUP(Y$7,'RC Lookup'!$D$3:$E$18,2,FALSE)</f>
        <v>0</v>
      </c>
      <c r="Z104" s="26">
        <f>_xlfn.IFNA(IF(LEFT('Rock Climbing Log'!Z104)="C",_xlfn.IFNA(VLOOKUP('Rock Climbing Log'!Z104,'RC Lookup'!$A$3:$B$9,2,FALSE),0.5),VLOOKUP('Rock Climbing Log'!Z104,'RC Lookup'!$G$3:$H$5,2,FALSE)),0)*VLOOKUP(Y$7,'RC Lookup'!$D$3:$E$18,2,FALSE)</f>
        <v>0</v>
      </c>
      <c r="AA104" s="26">
        <f>_xlfn.IFNA(IF(LEFT('Rock Climbing Log'!AA104)="C",_xlfn.IFNA(VLOOKUP('Rock Climbing Log'!AA104,'RC Lookup'!$A$3:$B$9,2,FALSE),0.5),VLOOKUP('Rock Climbing Log'!AA104,'RC Lookup'!$G$3:$H$5,2,FALSE)),0)*VLOOKUP(Y$7,'RC Lookup'!$D$3:$E$18,2,FALSE)</f>
        <v>0</v>
      </c>
      <c r="AB104" s="26">
        <f>_xlfn.IFNA(IF(LEFT('Rock Climbing Log'!AB104)="C",_xlfn.IFNA(VLOOKUP('Rock Climbing Log'!AB104,'RC Lookup'!$A$3:$B$9,2,FALSE),0.5),VLOOKUP('Rock Climbing Log'!AB104,'RC Lookup'!$G$3:$H$5,2,FALSE)),0)*VLOOKUP(AB$7,'RC Lookup'!$D$3:$E$18,2,FALSE)</f>
        <v>0</v>
      </c>
      <c r="AC104" s="26">
        <f>_xlfn.IFNA(IF(LEFT('Rock Climbing Log'!AC104)="C",_xlfn.IFNA(VLOOKUP('Rock Climbing Log'!AC104,'RC Lookup'!$A$3:$B$9,2,FALSE),0.5),VLOOKUP('Rock Climbing Log'!AC104,'RC Lookup'!$G$3:$H$5,2,FALSE)),0)*VLOOKUP(AB$7,'RC Lookup'!$D$3:$E$18,2,FALSE)</f>
        <v>0</v>
      </c>
      <c r="AD104" s="26">
        <f>_xlfn.IFNA(IF(LEFT('Rock Climbing Log'!AD104)="C",_xlfn.IFNA(VLOOKUP('Rock Climbing Log'!AD104,'RC Lookup'!$A$3:$B$9,2,FALSE),0.5),VLOOKUP('Rock Climbing Log'!AD104,'RC Lookup'!$G$3:$H$5,2,FALSE)),0)*VLOOKUP(AB$7,'RC Lookup'!$D$3:$E$18,2,FALSE)</f>
        <v>0</v>
      </c>
      <c r="AE104" s="26">
        <f>_xlfn.IFNA(IF(LEFT('Rock Climbing Log'!AE104)="C",_xlfn.IFNA(VLOOKUP('Rock Climbing Log'!AE104,'RC Lookup'!$A$3:$B$9,2,FALSE),0.5),VLOOKUP('Rock Climbing Log'!AE104,'RC Lookup'!$G$3:$H$5,2,FALSE)),0)*VLOOKUP(AE$7,'RC Lookup'!$D$3:$E$18,2,FALSE)</f>
        <v>33.933835923466447</v>
      </c>
      <c r="AF104" s="26">
        <f>_xlfn.IFNA(IF(LEFT('Rock Climbing Log'!AF104)="C",_xlfn.IFNA(VLOOKUP('Rock Climbing Log'!AF104,'RC Lookup'!$A$3:$B$9,2,FALSE),0.5),VLOOKUP('Rock Climbing Log'!AF104,'RC Lookup'!$G$3:$H$5,2,FALSE)),0)*VLOOKUP(AE$7,'RC Lookup'!$D$3:$E$18,2,FALSE)</f>
        <v>33.933835923466447</v>
      </c>
      <c r="AG104" s="26">
        <f>_xlfn.IFNA(IF(LEFT('Rock Climbing Log'!AG104)="C",_xlfn.IFNA(VLOOKUP('Rock Climbing Log'!AG104,'RC Lookup'!$A$3:$B$9,2,FALSE),0.5),VLOOKUP('Rock Climbing Log'!AG104,'RC Lookup'!$G$3:$H$5,2,FALSE)),0)*VLOOKUP(AE$7,'RC Lookup'!$D$3:$E$18,2,FALSE)</f>
        <v>0</v>
      </c>
      <c r="AH104" s="26">
        <f>_xlfn.IFNA(IF(LEFT('Rock Climbing Log'!AH104)="C",_xlfn.IFNA(VLOOKUP('Rock Climbing Log'!AH104,'RC Lookup'!$A$3:$B$9,2,FALSE),0.5),VLOOKUP('Rock Climbing Log'!AH104,'RC Lookup'!$G$3:$H$5,2,FALSE)),0)*VLOOKUP(AH$7,'RC Lookup'!$D$3:$E$18,2,FALSE)</f>
        <v>0</v>
      </c>
      <c r="AI104" s="26">
        <f>_xlfn.IFNA(IF(LEFT('Rock Climbing Log'!AI104)="C",_xlfn.IFNA(VLOOKUP('Rock Climbing Log'!AI104,'RC Lookup'!$A$3:$B$9,2,FALSE),0.5),VLOOKUP('Rock Climbing Log'!AI104,'RC Lookup'!$G$3:$H$5,2,FALSE)),0)*VLOOKUP(AH$7,'RC Lookup'!$D$3:$E$18,2,FALSE)</f>
        <v>0</v>
      </c>
      <c r="AJ104" s="26">
        <f>_xlfn.IFNA(IF(LEFT('Rock Climbing Log'!AJ104)="C",_xlfn.IFNA(VLOOKUP('Rock Climbing Log'!AJ104,'RC Lookup'!$A$3:$B$9,2,FALSE),0.5),VLOOKUP('Rock Climbing Log'!AJ104,'RC Lookup'!$G$3:$H$5,2,FALSE)),0)*VLOOKUP(AH$7,'RC Lookup'!$D$3:$E$18,2,FALSE)</f>
        <v>0</v>
      </c>
      <c r="AK104" s="26">
        <f>_xlfn.IFNA(IF(LEFT('Rock Climbing Log'!AK104)="C",_xlfn.IFNA(VLOOKUP('Rock Climbing Log'!AK104,'RC Lookup'!$A$3:$B$9,2,FALSE),0.5),VLOOKUP('Rock Climbing Log'!AK104,'RC Lookup'!$G$3:$H$5,2,FALSE)),0)*VLOOKUP(AK$7,'RC Lookup'!$D$3:$E$18,2,FALSE)</f>
        <v>0</v>
      </c>
      <c r="AL104" s="26">
        <f>_xlfn.IFNA(IF(LEFT('Rock Climbing Log'!AL104)="C",_xlfn.IFNA(VLOOKUP('Rock Climbing Log'!AL104,'RC Lookup'!$A$3:$B$9,2,FALSE),0.5),VLOOKUP('Rock Climbing Log'!AL104,'RC Lookup'!$G$3:$H$5,2,FALSE)),0)*VLOOKUP(AK$7,'RC Lookup'!$D$3:$E$18,2,FALSE)</f>
        <v>0</v>
      </c>
      <c r="AM104" s="26">
        <f>_xlfn.IFNA(IF(LEFT('Rock Climbing Log'!AM104)="C",_xlfn.IFNA(VLOOKUP('Rock Climbing Log'!AM104,'RC Lookup'!$A$3:$B$9,2,FALSE),0.5),VLOOKUP('Rock Climbing Log'!AM104,'RC Lookup'!$G$3:$H$5,2,FALSE)),0)*VLOOKUP(AK$7,'RC Lookup'!$D$3:$E$18,2,FALSE)</f>
        <v>0</v>
      </c>
      <c r="AN104" s="26">
        <f>_xlfn.IFNA(IF(LEFT('Rock Climbing Log'!AN104)="C",_xlfn.IFNA(VLOOKUP('Rock Climbing Log'!AN104,'RC Lookup'!$A$3:$B$9,2,FALSE),0.5),VLOOKUP('Rock Climbing Log'!AN104,'RC Lookup'!$G$3:$H$5,2,FALSE)),0)*VLOOKUP(AN$7,'RC Lookup'!$D$3:$E$18,2,FALSE)</f>
        <v>0</v>
      </c>
      <c r="AO104" s="26">
        <f>_xlfn.IFNA(IF(LEFT('Rock Climbing Log'!AO104)="C",_xlfn.IFNA(VLOOKUP('Rock Climbing Log'!AO104,'RC Lookup'!$A$3:$B$9,2,FALSE),0.5),VLOOKUP('Rock Climbing Log'!AO104,'RC Lookup'!$G$3:$H$5,2,FALSE)),0)*VLOOKUP(AN$7,'RC Lookup'!$D$3:$E$18,2,FALSE)</f>
        <v>0</v>
      </c>
      <c r="AP104" s="26">
        <f>_xlfn.IFNA(IF(LEFT('Rock Climbing Log'!AP104)="C",_xlfn.IFNA(VLOOKUP('Rock Climbing Log'!AP104,'RC Lookup'!$A$3:$B$9,2,FALSE),0.5),VLOOKUP('Rock Climbing Log'!AP104,'RC Lookup'!$G$3:$H$5,2,FALSE)),0)*VLOOKUP(AN$7,'RC Lookup'!$D$3:$E$18,2,FALSE)</f>
        <v>0</v>
      </c>
      <c r="AQ104" s="26">
        <f>_xlfn.IFNA(IF(LEFT('Rock Climbing Log'!AQ104)="C",_xlfn.IFNA(VLOOKUP('Rock Climbing Log'!AQ104,'RC Lookup'!$A$3:$B$9,2,FALSE),0.5),VLOOKUP('Rock Climbing Log'!AQ104,'RC Lookup'!$G$3:$H$5,2,FALSE)),0)*VLOOKUP(AQ$7,'RC Lookup'!$D$3:$E$18,2,FALSE)</f>
        <v>0</v>
      </c>
      <c r="AR104" s="26">
        <f>_xlfn.IFNA(IF(LEFT('Rock Climbing Log'!AR104)="C",_xlfn.IFNA(VLOOKUP('Rock Climbing Log'!AR104,'RC Lookup'!$A$3:$B$9,2,FALSE),0.5),VLOOKUP('Rock Climbing Log'!AR104,'RC Lookup'!$G$3:$H$5,2,FALSE)),0)*VLOOKUP(AQ$7,'RC Lookup'!$D$3:$E$18,2,FALSE)</f>
        <v>0</v>
      </c>
      <c r="AS104" s="26">
        <f>_xlfn.IFNA(IF(LEFT('Rock Climbing Log'!AS104)="C",_xlfn.IFNA(VLOOKUP('Rock Climbing Log'!AS104,'RC Lookup'!$A$3:$B$9,2,FALSE),0.5),VLOOKUP('Rock Climbing Log'!AS104,'RC Lookup'!$G$3:$H$5,2,FALSE)),0)*VLOOKUP(AQ$7,'RC Lookup'!$D$3:$E$18,2,FALSE)</f>
        <v>0</v>
      </c>
      <c r="AT104" s="26">
        <f>_xlfn.IFNA(IF(LEFT('Rock Climbing Log'!AT104)="C",_xlfn.IFNA(VLOOKUP('Rock Climbing Log'!AT104,'RC Lookup'!$A$3:$B$9,2,FALSE),0.5),VLOOKUP('Rock Climbing Log'!AT104,'RC Lookup'!$G$3:$H$5,2,FALSE)),0)*VLOOKUP(AT$7,'RC Lookup'!$D$3:$E$18,2,FALSE)</f>
        <v>0</v>
      </c>
      <c r="AU104" s="26">
        <f>_xlfn.IFNA(IF(LEFT('Rock Climbing Log'!AU104)="C",_xlfn.IFNA(VLOOKUP('Rock Climbing Log'!AU104,'RC Lookup'!$A$3:$B$9,2,FALSE),0.5),VLOOKUP('Rock Climbing Log'!AU104,'RC Lookup'!$G$3:$H$5,2,FALSE)),0)*VLOOKUP(AT$7,'RC Lookup'!$D$3:$E$18,2,FALSE)</f>
        <v>0</v>
      </c>
      <c r="AV104" s="26">
        <f>_xlfn.IFNA(IF(LEFT('Rock Climbing Log'!AV104)="C",_xlfn.IFNA(VLOOKUP('Rock Climbing Log'!AV104,'RC Lookup'!$A$3:$B$9,2,FALSE),0.5),VLOOKUP('Rock Climbing Log'!AV104,'RC Lookup'!$G$3:$H$5,2,FALSE)),0)*VLOOKUP(AT$7,'RC Lookup'!$D$3:$E$18,2,FALSE)</f>
        <v>0</v>
      </c>
      <c r="AW104" s="30">
        <f t="shared" ref="AW104:AW135" ca="1" si="4">SUMPRODUCT(LARGE($D104:$AV104,ROW(INDIRECT("1:3"))))</f>
        <v>91.790661846932892</v>
      </c>
      <c r="AX104" s="30">
        <f ca="1">_xlfn.IFNA(VLOOKUP(SUMPRODUCT(LARGE(($C$8:$C104=Table1[[#This Row],[Climber]])*$A$8:$A104,1)),$A$8:$AW104,MATCH($AW$7,$A$7:$AW$7,FALSE),FALSE),0)/LEFT($AX$7,FIND(" ",$AX$7))+_xlfn.IFNA(VLOOKUP(SUMPRODUCT(LARGE(($C$8:$C104=Table1[[#This Row],[Climber]])*$A$8:$A104,MIN(2,COUNTIFS($C$8:$C104,$C104)))),$A$8:$AW104,MATCH($AW$7,$A$7:$AW$7,FALSE),FALSE),0)/LEFT($AX$7,FIND(" ",$AX$7))+_xlfn.IFNA(VLOOKUP(SUMPRODUCT(LARGE(($C$8:$C104=Table1[[#This Row],[Climber]])*$A$8:$A104,MIN(3,COUNTIFS($C$8:$C104,$C104)))),$A$8:$AW104,MATCH($AW$7,$A$7:$AW$7,FALSE),FALSE),0)/LEFT($AX$7,FIND(" ",$AX$7))</f>
        <v>54.878880615644299</v>
      </c>
      <c r="AY104" s="30">
        <f ca="1">_xlfn.IFNA(VLOOKUP(SUMPRODUCT(LARGE(($C$8:$C104=Table1[[#This Row],[Climber]])*$A$8:$A104,1)),$A$8:$AW104,MATCH($AW$7,$A$7:$AW$7,FALSE),FALSE),0)/LEFT($AY$7,FIND(" ",$AY$7))+_xlfn.IFNA(VLOOKUP(SUMPRODUCT(LARGE(($C$8:$C104=Table1[[#This Row],[Climber]])*$A$8:$A104,MIN(2,COUNTIFS($C$8:$C104,$C104)))),$A$8:$AW104,MATCH($AW$7,$A$7:$AW$7,FALSE),FALSE),0)/LEFT($AY$7,FIND(" ",$AY$7))+_xlfn.IFNA(VLOOKUP(SUMPRODUCT(LARGE(($C$8:$C104=Table1[[#This Row],[Climber]])*$A$8:$A104,MIN(3,COUNTIFS($C$8:$C104,$C104)))),$A$8:$AW104,MATCH($AW$7,$A$7:$AW$7,FALSE),FALSE),0)/LEFT($AY$7,FIND(" ",$AY$7))+_xlfn.IFNA(VLOOKUP(SUMPRODUCT(LARGE(($C$8:$C104=Table1[[#This Row],[Climber]])*$A$8:$A104,MIN(4,COUNTIFS($C$8:$C104,$C104)))),$A$8:$AW104,MATCH($AW$7,$A$7:$AW$7,FALSE),FALSE),0)/LEFT($AY$7,FIND(" ",$AY$7))+_xlfn.IFNA(VLOOKUP(SUMPRODUCT(LARGE(($C$8:$C104=Table1[[#This Row],[Climber]])*$A$8:$A104,MIN(5,COUNTIFS($C$8:$C104,$C104)))),$A$8:$AW104,MATCH($AW$7,$A$7:$AW$7,FALSE),FALSE),0)/LEFT($AY$7,FIND(" ",$AY$7))</f>
        <v>47.496524369386584</v>
      </c>
      <c r="AZ104" s="30">
        <f>(_xlfn.IFNA(VLOOKUP(SUMPRODUCT(LARGE(($C$8:$C104=Table1[[#This Row],[Climber]])*$A$8:$A104,4)),$A$8:$AW104,MATCH($AW$7,$A$7:$AW$7,FALSE),FALSE),0)+_xlfn.IFNA(VLOOKUP(SUMPRODUCT(LARGE(($C$8:$C104=Table1[[#This Row],[Climber]])*$A$8:$A104,5)),$A$8:$AW104,MATCH($AW$7,$A$7:$AW$7,FALSE),FALSE),0)+_xlfn.IFNA(VLOOKUP(SUMPRODUCT(LARGE(($C$8:$C104=Table1[[#This Row],[Climber]])*$A$8:$A104,6)),$A$8:$AW104,MATCH($AW$7,$A$7:$AW$7,FALSE),FALSE),0))/3</f>
        <v>0</v>
      </c>
      <c r="BA104" s="46">
        <f ca="1">_xlfn.MAXIFS(INDIRECT("$AW"&amp;IF(SUMPRODUCT(LARGE(($C$8:$C104=$C104)*$A$8:$A104,LEFT($BA$7,FIND(" ",$BA$7)-1)))=0,8,SUMPRODUCT(LARGE(($C$8:$C104=$C104)*$A$8:$A104,LEFT($BA$7,FIND(" ",$BA$7)-1)))+7)&amp;":$AW"&amp;ROW()),INDIRECT("$C"&amp;IF(SUMPRODUCT(LARGE(($C$8:$C104=$C104)*$A$8:$A104,LEFT($BA$7,FIND(" ",$BA$7)-1)))=0,8,SUMPRODUCT(LARGE(($C$8:$C104=$C104)*$A$8:$A104,LEFT($BA$7,FIND(" ",$BA$7)-1)))+7)&amp;":$C"&amp;ROW()),$C104)</f>
        <v>91.790661846932892</v>
      </c>
      <c r="BB104" s="46" t="str">
        <f ca="1">VLOOKUP(MAX(BG104,$AX104),'RC Lookup'!$G$14:$J$20,2,TRUE)</f>
        <v>T2</v>
      </c>
      <c r="BC104" s="46">
        <f ca="1">_xlfn.IFNA(VLOOKUP(VLOOKUP($C104,'RC Lookup'!$O$3:$P$50,2,FALSE),'RC Lookup'!$H$14:$J$23,2,FALSE),0)*AW104</f>
        <v>105.87534866988081</v>
      </c>
      <c r="BD104" s="6">
        <f ca="1">_xlfn.IFNA(VLOOKUP(SUMPRODUCT(LARGE(($C$8:$C104=Table1[[#This Row],[Climber]])*$A$8:$A104,1)),$A$8:$BC104,55,FALSE),0)/LEFT($AX$7,FIND(" ",$AX$7))+_xlfn.IFNA(VLOOKUP(SUMPRODUCT(LARGE(($C$8:$C104=Table1[[#This Row],[Climber]])*$A$8:$A104,MIN(2,COUNTIFS($C$8:$C104,$C104)))),$A$8:$BC104,55,FALSE),0)/LEFT($AX$7,FIND(" ",$AX$7))+_xlfn.IFNA(VLOOKUP(SUMPRODUCT(LARGE(($C$8:$C104=Table1[[#This Row],[Climber]])*$A$8:$A104,MIN(3,COUNTIFS($C$8:$C104,$C104)))),$A$8:$BC104,55,FALSE),0)/LEFT($AX$7,FIND(" ",$AX$7))</f>
        <v>63.299691960857679</v>
      </c>
      <c r="BE104" s="6">
        <f>(_xlfn.IFNA(VLOOKUP(SUMPRODUCT(LARGE(($C$8:$C104=Table1[[#This Row],[Climber]])*$A$8:$A104,4)),$A$8:$BD104,55,FALSE),0)+_xlfn.IFNA(VLOOKUP(SUMPRODUCT(LARGE(($C$8:$C104=Table1[[#This Row],[Climber]])*$A$8:$A104,5)),$A$8:$BD104,55,FALSE),0)+_xlfn.IFNA(VLOOKUP(SUMPRODUCT(LARGE(($C$8:$C104=Table1[[#This Row],[Climber]])*$A$8:$A104,6)),$A$8:$BD104,55,FALSE),0))/3</f>
        <v>0</v>
      </c>
      <c r="BF104" s="46">
        <f ca="1">_xlfn.MAXIFS(INDIRECT("$BC"&amp;IF(SUMPRODUCT(LARGE(($C$8:$C104=$C104)*$A$8:$A104,LEFT($BA$7,FIND(" ",$BA$7)-1)))=0,8,SUMPRODUCT(LARGE(($C$8:$C104=$C104)*$A$8:$A104,LEFT($BA$7,FIND(" ",$BA$7)-1)))+7)&amp;":$BC"&amp;ROW()),INDIRECT("$C"&amp;IF(SUMPRODUCT(LARGE(($C$8:$C104=$C104)*$A$8:$A104,LEFT($BA$7,FIND(" ",$BA$7)-1)))=0,8,SUMPRODUCT(LARGE(($C$8:$C104=$C104)*$A$8:$A104,LEFT($BA$7,FIND(" ",$BA$7)-1)))+7)&amp;":$C"&amp;ROW()),$C104)</f>
        <v>105.87534866988081</v>
      </c>
      <c r="BG104" s="46">
        <f t="array" aca="1" ref="BG104" ca="1">IFERROR(SUMPRODUCT(LARGE(($C$8:$C104=Table1[[#This Row],[Climber]])*$AW$8:$AW104,ROW(INDIRECT("1:5")))),AW104)/MIN(COUNTIFS($C$8:$C104,C104),5)</f>
        <v>64.106825923466445</v>
      </c>
    </row>
    <row r="105" spans="1:59" x14ac:dyDescent="0.3">
      <c r="A105" s="125">
        <f t="shared" si="1"/>
        <v>98</v>
      </c>
      <c r="B105" s="25">
        <f>'Rock Climbing Log'!B105</f>
        <v>43212</v>
      </c>
      <c r="C105" s="126" t="str">
        <f>'Rock Climbing Log'!C105</f>
        <v>Lester</v>
      </c>
      <c r="D105" s="26">
        <f>_xlfn.IFNA(IF(LEFT('Rock Climbing Log'!D105)="C",_xlfn.IFNA(VLOOKUP('Rock Climbing Log'!D105,'RC Lookup'!$A$3:$B$9,2,FALSE),0.5),VLOOKUP('Rock Climbing Log'!D105,'RC Lookup'!$G$3:$H$5,2,FALSE)),0)*VLOOKUP(D$7,'RC Lookup'!$D$3:$E$18,2,FALSE)</f>
        <v>0</v>
      </c>
      <c r="E105" s="26">
        <f>_xlfn.IFNA(IF(LEFT('Rock Climbing Log'!E105)="C",_xlfn.IFNA(VLOOKUP('Rock Climbing Log'!E105,'RC Lookup'!$A$3:$B$9,2,FALSE),0.5),VLOOKUP('Rock Climbing Log'!E105,'RC Lookup'!$G$3:$H$5,2,FALSE)),0)*VLOOKUP(D$7,'RC Lookup'!$D$3:$E$18,2,FALSE)</f>
        <v>0</v>
      </c>
      <c r="F105" s="26">
        <f>_xlfn.IFNA(IF(LEFT('Rock Climbing Log'!F105)="C",_xlfn.IFNA(VLOOKUP('Rock Climbing Log'!F105,'RC Lookup'!$A$3:$B$9,2,FALSE),0.5),VLOOKUP('Rock Climbing Log'!F105,'RC Lookup'!$G$3:$H$5,2,FALSE)),0)*VLOOKUP(D$7,'RC Lookup'!$D$3:$E$18,2,FALSE)</f>
        <v>0</v>
      </c>
      <c r="G105" s="26">
        <f>_xlfn.IFNA(IF(LEFT('Rock Climbing Log'!G105)="C",_xlfn.IFNA(VLOOKUP('Rock Climbing Log'!G105,'RC Lookup'!$A$3:$B$9,2,FALSE),0.5),VLOOKUP('Rock Climbing Log'!G105,'RC Lookup'!$G$3:$H$5,2,FALSE)),0)*VLOOKUP(G$7,'RC Lookup'!$D$3:$E$18,2,FALSE)</f>
        <v>0</v>
      </c>
      <c r="H105" s="26">
        <f>_xlfn.IFNA(IF(LEFT('Rock Climbing Log'!H105)="C",_xlfn.IFNA(VLOOKUP('Rock Climbing Log'!H105,'RC Lookup'!$A$3:$B$9,2,FALSE),0.5),VLOOKUP('Rock Climbing Log'!H105,'RC Lookup'!$G$3:$H$5,2,FALSE)),0)*VLOOKUP(G$7,'RC Lookup'!$D$3:$E$18,2,FALSE)</f>
        <v>0</v>
      </c>
      <c r="I105" s="26">
        <f>_xlfn.IFNA(IF(LEFT('Rock Climbing Log'!I105)="C",_xlfn.IFNA(VLOOKUP('Rock Climbing Log'!I105,'RC Lookup'!$A$3:$B$9,2,FALSE),0.5),VLOOKUP('Rock Climbing Log'!I105,'RC Lookup'!$G$3:$H$5,2,FALSE)),0)*VLOOKUP(G$7,'RC Lookup'!$D$3:$E$18,2,FALSE)</f>
        <v>0</v>
      </c>
      <c r="J105" s="26">
        <f>_xlfn.IFNA(IF(LEFT('Rock Climbing Log'!J105)="C",_xlfn.IFNA(VLOOKUP('Rock Climbing Log'!J105,'RC Lookup'!$A$3:$B$9,2,FALSE),0.5),VLOOKUP('Rock Climbing Log'!J105,'RC Lookup'!$G$3:$H$5,2,FALSE)),0)*VLOOKUP(J$7,'RC Lookup'!$D$3:$E$18,2,FALSE)</f>
        <v>0</v>
      </c>
      <c r="K105" s="26">
        <f>_xlfn.IFNA(IF(LEFT('Rock Climbing Log'!K105)="C",_xlfn.IFNA(VLOOKUP('Rock Climbing Log'!K105,'RC Lookup'!$A$3:$B$9,2,FALSE),0.5),VLOOKUP('Rock Climbing Log'!K105,'RC Lookup'!$G$3:$H$5,2,FALSE)),0)*VLOOKUP(J$7,'RC Lookup'!$D$3:$E$18,2,FALSE)</f>
        <v>0</v>
      </c>
      <c r="L105" s="26">
        <f>_xlfn.IFNA(IF(LEFT('Rock Climbing Log'!L105)="C",_xlfn.IFNA(VLOOKUP('Rock Climbing Log'!L105,'RC Lookup'!$A$3:$B$9,2,FALSE),0.5),VLOOKUP('Rock Climbing Log'!L105,'RC Lookup'!$G$3:$H$5,2,FALSE)),0)*VLOOKUP(J$7,'RC Lookup'!$D$3:$E$18,2,FALSE)</f>
        <v>0</v>
      </c>
      <c r="M105" s="26">
        <f>_xlfn.IFNA(IF(LEFT('Rock Climbing Log'!M105)="C",_xlfn.IFNA(VLOOKUP('Rock Climbing Log'!M105,'RC Lookup'!$A$3:$B$9,2,FALSE),0.5),VLOOKUP('Rock Climbing Log'!M105,'RC Lookup'!$G$3:$H$5,2,FALSE)),0)*VLOOKUP(M$7,'RC Lookup'!$D$3:$E$18,2,FALSE)</f>
        <v>20.002500000000001</v>
      </c>
      <c r="N105" s="26">
        <f>_xlfn.IFNA(IF(LEFT('Rock Climbing Log'!N105)="C",_xlfn.IFNA(VLOOKUP('Rock Climbing Log'!N105,'RC Lookup'!$A$3:$B$9,2,FALSE),0.5),VLOOKUP('Rock Climbing Log'!N105,'RC Lookup'!$G$3:$H$5,2,FALSE)),0)*VLOOKUP(M$7,'RC Lookup'!$D$3:$E$18,2,FALSE)</f>
        <v>0</v>
      </c>
      <c r="O105" s="26">
        <f>_xlfn.IFNA(IF(LEFT('Rock Climbing Log'!O105)="C",_xlfn.IFNA(VLOOKUP('Rock Climbing Log'!O105,'RC Lookup'!$A$3:$B$9,2,FALSE),0.5),VLOOKUP('Rock Climbing Log'!O105,'RC Lookup'!$G$3:$H$5,2,FALSE)),0)*VLOOKUP(M$7,'RC Lookup'!$D$3:$E$18,2,FALSE)</f>
        <v>0</v>
      </c>
      <c r="P105" s="26">
        <f>_xlfn.IFNA(IF(LEFT('Rock Climbing Log'!P105)="C",_xlfn.IFNA(VLOOKUP('Rock Climbing Log'!P105,'RC Lookup'!$A$3:$B$9,2,FALSE),0.5),VLOOKUP('Rock Climbing Log'!P105,'RC Lookup'!$G$3:$H$5,2,FALSE)),0)*VLOOKUP(P$7,'RC Lookup'!$D$3:$E$18,2,FALSE)</f>
        <v>0</v>
      </c>
      <c r="Q105" s="26">
        <f>_xlfn.IFNA(IF(LEFT('Rock Climbing Log'!Q105)="C",_xlfn.IFNA(VLOOKUP('Rock Climbing Log'!Q105,'RC Lookup'!$A$3:$B$9,2,FALSE),0.5),VLOOKUP('Rock Climbing Log'!Q105,'RC Lookup'!$G$3:$H$5,2,FALSE)),0)*VLOOKUP(P$7,'RC Lookup'!$D$3:$E$18,2,FALSE)</f>
        <v>0</v>
      </c>
      <c r="R105" s="26">
        <f>_xlfn.IFNA(IF(LEFT('Rock Climbing Log'!R105)="C",_xlfn.IFNA(VLOOKUP('Rock Climbing Log'!R105,'RC Lookup'!$A$3:$B$9,2,FALSE),0.5),VLOOKUP('Rock Climbing Log'!R105,'RC Lookup'!$G$3:$H$5,2,FALSE)),0)*VLOOKUP(P$7,'RC Lookup'!$D$3:$E$18,2,FALSE)</f>
        <v>0</v>
      </c>
      <c r="S105" s="26">
        <f>_xlfn.IFNA(IF(LEFT('Rock Climbing Log'!S105)="C",_xlfn.IFNA(VLOOKUP('Rock Climbing Log'!S105,'RC Lookup'!$A$3:$B$9,2,FALSE),0.5),VLOOKUP('Rock Climbing Log'!S105,'RC Lookup'!$G$3:$H$5,2,FALSE)),0)*VLOOKUP(S$7,'RC Lookup'!$D$3:$E$18,2,FALSE)</f>
        <v>0</v>
      </c>
      <c r="T105" s="26">
        <f>_xlfn.IFNA(IF(LEFT('Rock Climbing Log'!T105)="C",_xlfn.IFNA(VLOOKUP('Rock Climbing Log'!T105,'RC Lookup'!$A$3:$B$9,2,FALSE),0.5),VLOOKUP('Rock Climbing Log'!T105,'RC Lookup'!$G$3:$H$5,2,FALSE)),0)*VLOOKUP(S$7,'RC Lookup'!$D$3:$E$18,2,FALSE)</f>
        <v>0</v>
      </c>
      <c r="U105" s="26">
        <f>_xlfn.IFNA(IF(LEFT('Rock Climbing Log'!U105)="C",_xlfn.IFNA(VLOOKUP('Rock Climbing Log'!U105,'RC Lookup'!$A$3:$B$9,2,FALSE),0.5),VLOOKUP('Rock Climbing Log'!U105,'RC Lookup'!$G$3:$H$5,2,FALSE)),0)*VLOOKUP(S$7,'RC Lookup'!$D$3:$E$18,2,FALSE)</f>
        <v>0</v>
      </c>
      <c r="V105" s="26">
        <f>_xlfn.IFNA(IF(LEFT('Rock Climbing Log'!V105)="C",_xlfn.IFNA(VLOOKUP('Rock Climbing Log'!V105,'RC Lookup'!$A$3:$B$9,2,FALSE),0.5),VLOOKUP('Rock Climbing Log'!V105,'RC Lookup'!$G$3:$H$5,2,FALSE)),0)*VLOOKUP(V$7,'RC Lookup'!$D$3:$E$18,2,FALSE)</f>
        <v>0</v>
      </c>
      <c r="W105" s="26">
        <f>_xlfn.IFNA(IF(LEFT('Rock Climbing Log'!W105)="C",_xlfn.IFNA(VLOOKUP('Rock Climbing Log'!W105,'RC Lookup'!$A$3:$B$9,2,FALSE),0.5),VLOOKUP('Rock Climbing Log'!W105,'RC Lookup'!$G$3:$H$5,2,FALSE)),0)*VLOOKUP(V$7,'RC Lookup'!$D$3:$E$18,2,FALSE)</f>
        <v>0</v>
      </c>
      <c r="X105" s="26">
        <f>_xlfn.IFNA(IF(LEFT('Rock Climbing Log'!X105)="C",_xlfn.IFNA(VLOOKUP('Rock Climbing Log'!X105,'RC Lookup'!$A$3:$B$9,2,FALSE),0.5),VLOOKUP('Rock Climbing Log'!X105,'RC Lookup'!$G$3:$H$5,2,FALSE)),0)*VLOOKUP(V$7,'RC Lookup'!$D$3:$E$18,2,FALSE)</f>
        <v>0</v>
      </c>
      <c r="Y105" s="26">
        <f>_xlfn.IFNA(IF(LEFT('Rock Climbing Log'!Y105)="C",_xlfn.IFNA(VLOOKUP('Rock Climbing Log'!Y105,'RC Lookup'!$A$3:$B$9,2,FALSE),0.5),VLOOKUP('Rock Climbing Log'!Y105,'RC Lookup'!$G$3:$H$5,2,FALSE)),0)*VLOOKUP(Y$7,'RC Lookup'!$D$3:$E$18,2,FALSE)</f>
        <v>0</v>
      </c>
      <c r="Z105" s="26">
        <f>_xlfn.IFNA(IF(LEFT('Rock Climbing Log'!Z105)="C",_xlfn.IFNA(VLOOKUP('Rock Climbing Log'!Z105,'RC Lookup'!$A$3:$B$9,2,FALSE),0.5),VLOOKUP('Rock Climbing Log'!Z105,'RC Lookup'!$G$3:$H$5,2,FALSE)),0)*VLOOKUP(Y$7,'RC Lookup'!$D$3:$E$18,2,FALSE)</f>
        <v>0</v>
      </c>
      <c r="AA105" s="26">
        <f>_xlfn.IFNA(IF(LEFT('Rock Climbing Log'!AA105)="C",_xlfn.IFNA(VLOOKUP('Rock Climbing Log'!AA105,'RC Lookup'!$A$3:$B$9,2,FALSE),0.5),VLOOKUP('Rock Climbing Log'!AA105,'RC Lookup'!$G$3:$H$5,2,FALSE)),0)*VLOOKUP(Y$7,'RC Lookup'!$D$3:$E$18,2,FALSE)</f>
        <v>0</v>
      </c>
      <c r="AB105" s="26">
        <f>_xlfn.IFNA(IF(LEFT('Rock Climbing Log'!AB105)="C",_xlfn.IFNA(VLOOKUP('Rock Climbing Log'!AB105,'RC Lookup'!$A$3:$B$9,2,FALSE),0.5),VLOOKUP('Rock Climbing Log'!AB105,'RC Lookup'!$G$3:$H$5,2,FALSE)),0)*VLOOKUP(AB$7,'RC Lookup'!$D$3:$E$18,2,FALSE)</f>
        <v>0</v>
      </c>
      <c r="AC105" s="26">
        <f>_xlfn.IFNA(IF(LEFT('Rock Climbing Log'!AC105)="C",_xlfn.IFNA(VLOOKUP('Rock Climbing Log'!AC105,'RC Lookup'!$A$3:$B$9,2,FALSE),0.5),VLOOKUP('Rock Climbing Log'!AC105,'RC Lookup'!$G$3:$H$5,2,FALSE)),0)*VLOOKUP(AB$7,'RC Lookup'!$D$3:$E$18,2,FALSE)</f>
        <v>0</v>
      </c>
      <c r="AD105" s="26">
        <f>_xlfn.IFNA(IF(LEFT('Rock Climbing Log'!AD105)="C",_xlfn.IFNA(VLOOKUP('Rock Climbing Log'!AD105,'RC Lookup'!$A$3:$B$9,2,FALSE),0.5),VLOOKUP('Rock Climbing Log'!AD105,'RC Lookup'!$G$3:$H$5,2,FALSE)),0)*VLOOKUP(AB$7,'RC Lookup'!$D$3:$E$18,2,FALSE)</f>
        <v>0</v>
      </c>
      <c r="AE105" s="26">
        <f>_xlfn.IFNA(IF(LEFT('Rock Climbing Log'!AE105)="C",_xlfn.IFNA(VLOOKUP('Rock Climbing Log'!AE105,'RC Lookup'!$A$3:$B$9,2,FALSE),0.5),VLOOKUP('Rock Climbing Log'!AE105,'RC Lookup'!$G$3:$H$5,2,FALSE)),0)*VLOOKUP(AE$7,'RC Lookup'!$D$3:$E$18,2,FALSE)</f>
        <v>67.867671846932893</v>
      </c>
      <c r="AF105" s="26">
        <f>_xlfn.IFNA(IF(LEFT('Rock Climbing Log'!AF105)="C",_xlfn.IFNA(VLOOKUP('Rock Climbing Log'!AF105,'RC Lookup'!$A$3:$B$9,2,FALSE),0.5),VLOOKUP('Rock Climbing Log'!AF105,'RC Lookup'!$G$3:$H$5,2,FALSE)),0)*VLOOKUP(AE$7,'RC Lookup'!$D$3:$E$18,2,FALSE)</f>
        <v>0</v>
      </c>
      <c r="AG105" s="26">
        <f>_xlfn.IFNA(IF(LEFT('Rock Climbing Log'!AG105)="C",_xlfn.IFNA(VLOOKUP('Rock Climbing Log'!AG105,'RC Lookup'!$A$3:$B$9,2,FALSE),0.5),VLOOKUP('Rock Climbing Log'!AG105,'RC Lookup'!$G$3:$H$5,2,FALSE)),0)*VLOOKUP(AE$7,'RC Lookup'!$D$3:$E$18,2,FALSE)</f>
        <v>0</v>
      </c>
      <c r="AH105" s="26">
        <f>_xlfn.IFNA(IF(LEFT('Rock Climbing Log'!AH105)="C",_xlfn.IFNA(VLOOKUP('Rock Climbing Log'!AH105,'RC Lookup'!$A$3:$B$9,2,FALSE),0.5),VLOOKUP('Rock Climbing Log'!AH105,'RC Lookup'!$G$3:$H$5,2,FALSE)),0)*VLOOKUP(AH$7,'RC Lookup'!$D$3:$E$18,2,FALSE)</f>
        <v>0</v>
      </c>
      <c r="AI105" s="26">
        <f>_xlfn.IFNA(IF(LEFT('Rock Climbing Log'!AI105)="C",_xlfn.IFNA(VLOOKUP('Rock Climbing Log'!AI105,'RC Lookup'!$A$3:$B$9,2,FALSE),0.5),VLOOKUP('Rock Climbing Log'!AI105,'RC Lookup'!$G$3:$H$5,2,FALSE)),0)*VLOOKUP(AH$7,'RC Lookup'!$D$3:$E$18,2,FALSE)</f>
        <v>0</v>
      </c>
      <c r="AJ105" s="26">
        <f>_xlfn.IFNA(IF(LEFT('Rock Climbing Log'!AJ105)="C",_xlfn.IFNA(VLOOKUP('Rock Climbing Log'!AJ105,'RC Lookup'!$A$3:$B$9,2,FALSE),0.5),VLOOKUP('Rock Climbing Log'!AJ105,'RC Lookup'!$G$3:$H$5,2,FALSE)),0)*VLOOKUP(AH$7,'RC Lookup'!$D$3:$E$18,2,FALSE)</f>
        <v>0</v>
      </c>
      <c r="AK105" s="26">
        <f>_xlfn.IFNA(IF(LEFT('Rock Climbing Log'!AK105)="C",_xlfn.IFNA(VLOOKUP('Rock Climbing Log'!AK105,'RC Lookup'!$A$3:$B$9,2,FALSE),0.5),VLOOKUP('Rock Climbing Log'!AK105,'RC Lookup'!$G$3:$H$5,2,FALSE)),0)*VLOOKUP(AK$7,'RC Lookup'!$D$3:$E$18,2,FALSE)</f>
        <v>0</v>
      </c>
      <c r="AL105" s="26">
        <f>_xlfn.IFNA(IF(LEFT('Rock Climbing Log'!AL105)="C",_xlfn.IFNA(VLOOKUP('Rock Climbing Log'!AL105,'RC Lookup'!$A$3:$B$9,2,FALSE),0.5),VLOOKUP('Rock Climbing Log'!AL105,'RC Lookup'!$G$3:$H$5,2,FALSE)),0)*VLOOKUP(AK$7,'RC Lookup'!$D$3:$E$18,2,FALSE)</f>
        <v>0</v>
      </c>
      <c r="AM105" s="26">
        <f>_xlfn.IFNA(IF(LEFT('Rock Climbing Log'!AM105)="C",_xlfn.IFNA(VLOOKUP('Rock Climbing Log'!AM105,'RC Lookup'!$A$3:$B$9,2,FALSE),0.5),VLOOKUP('Rock Climbing Log'!AM105,'RC Lookup'!$G$3:$H$5,2,FALSE)),0)*VLOOKUP(AK$7,'RC Lookup'!$D$3:$E$18,2,FALSE)</f>
        <v>0</v>
      </c>
      <c r="AN105" s="26">
        <f>_xlfn.IFNA(IF(LEFT('Rock Climbing Log'!AN105)="C",_xlfn.IFNA(VLOOKUP('Rock Climbing Log'!AN105,'RC Lookup'!$A$3:$B$9,2,FALSE),0.5),VLOOKUP('Rock Climbing Log'!AN105,'RC Lookup'!$G$3:$H$5,2,FALSE)),0)*VLOOKUP(AN$7,'RC Lookup'!$D$3:$E$18,2,FALSE)</f>
        <v>142.3163143798642</v>
      </c>
      <c r="AO105" s="26">
        <f>_xlfn.IFNA(IF(LEFT('Rock Climbing Log'!AO105)="C",_xlfn.IFNA(VLOOKUP('Rock Climbing Log'!AO105,'RC Lookup'!$A$3:$B$9,2,FALSE),0.5),VLOOKUP('Rock Climbing Log'!AO105,'RC Lookup'!$G$3:$H$5,2,FALSE)),0)*VLOOKUP(AN$7,'RC Lookup'!$D$3:$E$18,2,FALSE)</f>
        <v>103.74859318292101</v>
      </c>
      <c r="AP105" s="26">
        <f>_xlfn.IFNA(IF(LEFT('Rock Climbing Log'!AP105)="C",_xlfn.IFNA(VLOOKUP('Rock Climbing Log'!AP105,'RC Lookup'!$A$3:$B$9,2,FALSE),0.5),VLOOKUP('Rock Climbing Log'!AP105,'RC Lookup'!$G$3:$H$5,2,FALSE)),0)*VLOOKUP(AN$7,'RC Lookup'!$D$3:$E$18,2,FALSE)</f>
        <v>71.158157189932098</v>
      </c>
      <c r="AQ105" s="26">
        <f>_xlfn.IFNA(IF(LEFT('Rock Climbing Log'!AQ105)="C",_xlfn.IFNA(VLOOKUP('Rock Climbing Log'!AQ105,'RC Lookup'!$A$3:$B$9,2,FALSE),0.5),VLOOKUP('Rock Climbing Log'!AQ105,'RC Lookup'!$G$3:$H$5,2,FALSE)),0)*VLOOKUP(AQ$7,'RC Lookup'!$D$3:$E$18,2,FALSE)</f>
        <v>0</v>
      </c>
      <c r="AR105" s="26">
        <f>_xlfn.IFNA(IF(LEFT('Rock Climbing Log'!AR105)="C",_xlfn.IFNA(VLOOKUP('Rock Climbing Log'!AR105,'RC Lookup'!$A$3:$B$9,2,FALSE),0.5),VLOOKUP('Rock Climbing Log'!AR105,'RC Lookup'!$G$3:$H$5,2,FALSE)),0)*VLOOKUP(AQ$7,'RC Lookup'!$D$3:$E$18,2,FALSE)</f>
        <v>0</v>
      </c>
      <c r="AS105" s="26">
        <f>_xlfn.IFNA(IF(LEFT('Rock Climbing Log'!AS105)="C",_xlfn.IFNA(VLOOKUP('Rock Climbing Log'!AS105,'RC Lookup'!$A$3:$B$9,2,FALSE),0.5),VLOOKUP('Rock Climbing Log'!AS105,'RC Lookup'!$G$3:$H$5,2,FALSE)),0)*VLOOKUP(AQ$7,'RC Lookup'!$D$3:$E$18,2,FALSE)</f>
        <v>0</v>
      </c>
      <c r="AT105" s="26">
        <f>_xlfn.IFNA(IF(LEFT('Rock Climbing Log'!AT105)="C",_xlfn.IFNA(VLOOKUP('Rock Climbing Log'!AT105,'RC Lookup'!$A$3:$B$9,2,FALSE),0.5),VLOOKUP('Rock Climbing Log'!AT105,'RC Lookup'!$G$3:$H$5,2,FALSE)),0)*VLOOKUP(AT$7,'RC Lookup'!$D$3:$E$18,2,FALSE)</f>
        <v>0</v>
      </c>
      <c r="AU105" s="26">
        <f>_xlfn.IFNA(IF(LEFT('Rock Climbing Log'!AU105)="C",_xlfn.IFNA(VLOOKUP('Rock Climbing Log'!AU105,'RC Lookup'!$A$3:$B$9,2,FALSE),0.5),VLOOKUP('Rock Climbing Log'!AU105,'RC Lookup'!$G$3:$H$5,2,FALSE)),0)*VLOOKUP(AT$7,'RC Lookup'!$D$3:$E$18,2,FALSE)</f>
        <v>0</v>
      </c>
      <c r="AV105" s="26">
        <f>_xlfn.IFNA(IF(LEFT('Rock Climbing Log'!AV105)="C",_xlfn.IFNA(VLOOKUP('Rock Climbing Log'!AV105,'RC Lookup'!$A$3:$B$9,2,FALSE),0.5),VLOOKUP('Rock Climbing Log'!AV105,'RC Lookup'!$G$3:$H$5,2,FALSE)),0)*VLOOKUP(AT$7,'RC Lookup'!$D$3:$E$18,2,FALSE)</f>
        <v>0</v>
      </c>
      <c r="AW105" s="30">
        <f t="shared" ca="1" si="4"/>
        <v>317.22306475271728</v>
      </c>
      <c r="AX105" s="30">
        <f ca="1">_xlfn.IFNA(VLOOKUP(SUMPRODUCT(LARGE(($C$8:$C105=Table1[[#This Row],[Climber]])*$A$8:$A105,1)),$A$8:$AW105,MATCH($AW$7,$A$7:$AW$7,FALSE),FALSE),0)/LEFT($AX$7,FIND(" ",$AX$7))+_xlfn.IFNA(VLOOKUP(SUMPRODUCT(LARGE(($C$8:$C105=Table1[[#This Row],[Climber]])*$A$8:$A105,MIN(2,COUNTIFS($C$8:$C105,$C105)))),$A$8:$AW105,MATCH($AW$7,$A$7:$AW$7,FALSE),FALSE),0)/LEFT($AX$7,FIND(" ",$AX$7))+_xlfn.IFNA(VLOOKUP(SUMPRODUCT(LARGE(($C$8:$C105=Table1[[#This Row],[Climber]])*$A$8:$A105,MIN(3,COUNTIFS($C$8:$C105,$C105)))),$A$8:$AW105,MATCH($AW$7,$A$7:$AW$7,FALSE),FALSE),0)/LEFT($AX$7,FIND(" ",$AX$7))</f>
        <v>327.79109356292747</v>
      </c>
      <c r="AY105" s="30">
        <f ca="1">_xlfn.IFNA(VLOOKUP(SUMPRODUCT(LARGE(($C$8:$C105=Table1[[#This Row],[Climber]])*$A$8:$A105,1)),$A$8:$AW105,MATCH($AW$7,$A$7:$AW$7,FALSE),FALSE),0)/LEFT($AY$7,FIND(" ",$AY$7))+_xlfn.IFNA(VLOOKUP(SUMPRODUCT(LARGE(($C$8:$C105=Table1[[#This Row],[Climber]])*$A$8:$A105,MIN(2,COUNTIFS($C$8:$C105,$C105)))),$A$8:$AW105,MATCH($AW$7,$A$7:$AW$7,FALSE),FALSE),0)/LEFT($AY$7,FIND(" ",$AY$7))+_xlfn.IFNA(VLOOKUP(SUMPRODUCT(LARGE(($C$8:$C105=Table1[[#This Row],[Climber]])*$A$8:$A105,MIN(3,COUNTIFS($C$8:$C105,$C105)))),$A$8:$AW105,MATCH($AW$7,$A$7:$AW$7,FALSE),FALSE),0)/LEFT($AY$7,FIND(" ",$AY$7))+_xlfn.IFNA(VLOOKUP(SUMPRODUCT(LARGE(($C$8:$C105=Table1[[#This Row],[Climber]])*$A$8:$A105,MIN(4,COUNTIFS($C$8:$C105,$C105)))),$A$8:$AW105,MATCH($AW$7,$A$7:$AW$7,FALSE),FALSE),0)/LEFT($AY$7,FIND(" ",$AY$7))+_xlfn.IFNA(VLOOKUP(SUMPRODUCT(LARGE(($C$8:$C105=Table1[[#This Row],[Climber]])*$A$8:$A105,MIN(5,COUNTIFS($C$8:$C105,$C105)))),$A$8:$AW105,MATCH($AW$7,$A$7:$AW$7,FALSE),FALSE),0)/LEFT($AY$7,FIND(" ",$AY$7))</f>
        <v>291.69198393901456</v>
      </c>
      <c r="AZ105" s="30">
        <f ca="1">(_xlfn.IFNA(VLOOKUP(SUMPRODUCT(LARGE(($C$8:$C105=Table1[[#This Row],[Climber]])*$A$8:$A105,4)),$A$8:$AW105,MATCH($AW$7,$A$7:$AW$7,FALSE),FALSE),0)+_xlfn.IFNA(VLOOKUP(SUMPRODUCT(LARGE(($C$8:$C105=Table1[[#This Row],[Climber]])*$A$8:$A105,5)),$A$8:$AW105,MATCH($AW$7,$A$7:$AW$7,FALSE),FALSE),0)+_xlfn.IFNA(VLOOKUP(SUMPRODUCT(LARGE(($C$8:$C105=Table1[[#This Row],[Climber]])*$A$8:$A105,6)),$A$8:$AW105,MATCH($AW$7,$A$7:$AW$7,FALSE),FALSE),0))/3</f>
        <v>232.87160632845507</v>
      </c>
      <c r="BA105" s="46">
        <f ca="1">_xlfn.MAXIFS(INDIRECT("$AW"&amp;IF(SUMPRODUCT(LARGE(($C$8:$C105=$C105)*$A$8:$A105,LEFT($BA$7,FIND(" ",$BA$7)-1)))=0,8,SUMPRODUCT(LARGE(($C$8:$C105=$C105)*$A$8:$A105,LEFT($BA$7,FIND(" ",$BA$7)-1)))+7)&amp;":$AW"&amp;ROW()),INDIRECT("$C"&amp;IF(SUMPRODUCT(LARGE(($C$8:$C105=$C105)*$A$8:$A105,LEFT($BA$7,FIND(" ",$BA$7)-1)))=0,8,SUMPRODUCT(LARGE(($C$8:$C105=$C105)*$A$8:$A105,LEFT($BA$7,FIND(" ",$BA$7)-1)))+7)&amp;":$C"&amp;ROW()),$C105)</f>
        <v>347.34832130930022</v>
      </c>
      <c r="BB105" s="46" t="str">
        <f ca="1">VLOOKUP(MAX(BG105,$AX105),'RC Lookup'!$G$14:$J$20,2,TRUE)</f>
        <v>T5</v>
      </c>
      <c r="BC105" s="46">
        <f ca="1">_xlfn.IFNA(VLOOKUP(VLOOKUP($C105,'RC Lookup'!$O$3:$P$50,2,FALSE),'RC Lookup'!$H$14:$J$23,2,FALSE),0)*AW105</f>
        <v>95.99560000000001</v>
      </c>
      <c r="BD105" s="6">
        <f ca="1">_xlfn.IFNA(VLOOKUP(SUMPRODUCT(LARGE(($C$8:$C105=Table1[[#This Row],[Climber]])*$A$8:$A105,1)),$A$8:$BC105,55,FALSE),0)/LEFT($AX$7,FIND(" ",$AX$7))+_xlfn.IFNA(VLOOKUP(SUMPRODUCT(LARGE(($C$8:$C105=Table1[[#This Row],[Climber]])*$A$8:$A105,MIN(2,COUNTIFS($C$8:$C105,$C105)))),$A$8:$BC105,55,FALSE),0)/LEFT($AX$7,FIND(" ",$AX$7))+_xlfn.IFNA(VLOOKUP(SUMPRODUCT(LARGE(($C$8:$C105=Table1[[#This Row],[Climber]])*$A$8:$A105,MIN(3,COUNTIFS($C$8:$C105,$C105)))),$A$8:$BC105,55,FALSE),0)/LEFT($AX$7,FIND(" ",$AX$7))</f>
        <v>99.193615463485401</v>
      </c>
      <c r="BE105" s="6">
        <f ca="1">(_xlfn.IFNA(VLOOKUP(SUMPRODUCT(LARGE(($C$8:$C105=Table1[[#This Row],[Climber]])*$A$8:$A105,4)),$A$8:$BD105,55,FALSE),0)+_xlfn.IFNA(VLOOKUP(SUMPRODUCT(LARGE(($C$8:$C105=Table1[[#This Row],[Climber]])*$A$8:$A105,5)),$A$8:$BD105,55,FALSE),0)+_xlfn.IFNA(VLOOKUP(SUMPRODUCT(LARGE(($C$8:$C105=Table1[[#This Row],[Climber]])*$A$8:$A105,6)),$A$8:$BD105,55,FALSE),0))/3</f>
        <v>70.469811487036139</v>
      </c>
      <c r="BF105" s="46">
        <f ca="1">_xlfn.MAXIFS(INDIRECT("$BC"&amp;IF(SUMPRODUCT(LARGE(($C$8:$C105=$C105)*$A$8:$A105,LEFT($BA$7,FIND(" ",$BA$7)-1)))=0,8,SUMPRODUCT(LARGE(($C$8:$C105=$C105)*$A$8:$A105,LEFT($BA$7,FIND(" ",$BA$7)-1)))+7)&amp;":$BC"&amp;ROW()),INDIRECT("$C"&amp;IF(SUMPRODUCT(LARGE(($C$8:$C105=$C105)*$A$8:$A105,LEFT($BA$7,FIND(" ",$BA$7)-1)))=0,8,SUMPRODUCT(LARGE(($C$8:$C105=$C105)*$A$8:$A105,LEFT($BA$7,FIND(" ",$BA$7)-1)))+7)&amp;":$C"&amp;ROW()),$C105)</f>
        <v>105.11187305712281</v>
      </c>
      <c r="BG105" s="46">
        <f t="array" aca="1" ref="BG105" ca="1">IFERROR(SUMPRODUCT(LARGE(($C$8:$C105=Table1[[#This Row],[Climber]])*$AW$8:$AW105,ROW(INDIRECT("1:5")))),AW105)/MIN(COUNTIFS($C$8:$C105,C105),5)</f>
        <v>316.67197791417794</v>
      </c>
    </row>
    <row r="106" spans="1:59" x14ac:dyDescent="0.3">
      <c r="A106" s="125">
        <f t="shared" si="1"/>
        <v>99</v>
      </c>
      <c r="B106" s="25">
        <f>'Rock Climbing Log'!B106</f>
        <v>43212</v>
      </c>
      <c r="C106" s="126" t="str">
        <f>'Rock Climbing Log'!C106</f>
        <v>Edwin</v>
      </c>
      <c r="D106" s="26">
        <f>_xlfn.IFNA(IF(LEFT('Rock Climbing Log'!D106)="C",_xlfn.IFNA(VLOOKUP('Rock Climbing Log'!D106,'RC Lookup'!$A$3:$B$9,2,FALSE),0.5),VLOOKUP('Rock Climbing Log'!D106,'RC Lookup'!$G$3:$H$5,2,FALSE)),0)*VLOOKUP(D$7,'RC Lookup'!$D$3:$E$18,2,FALSE)</f>
        <v>0</v>
      </c>
      <c r="E106" s="26">
        <f>_xlfn.IFNA(IF(LEFT('Rock Climbing Log'!E106)="C",_xlfn.IFNA(VLOOKUP('Rock Climbing Log'!E106,'RC Lookup'!$A$3:$B$9,2,FALSE),0.5),VLOOKUP('Rock Climbing Log'!E106,'RC Lookup'!$G$3:$H$5,2,FALSE)),0)*VLOOKUP(D$7,'RC Lookup'!$D$3:$E$18,2,FALSE)</f>
        <v>0</v>
      </c>
      <c r="F106" s="26">
        <f>_xlfn.IFNA(IF(LEFT('Rock Climbing Log'!F106)="C",_xlfn.IFNA(VLOOKUP('Rock Climbing Log'!F106,'RC Lookup'!$A$3:$B$9,2,FALSE),0.5),VLOOKUP('Rock Climbing Log'!F106,'RC Lookup'!$G$3:$H$5,2,FALSE)),0)*VLOOKUP(D$7,'RC Lookup'!$D$3:$E$18,2,FALSE)</f>
        <v>0</v>
      </c>
      <c r="G106" s="26">
        <f>_xlfn.IFNA(IF(LEFT('Rock Climbing Log'!G106)="C",_xlfn.IFNA(VLOOKUP('Rock Climbing Log'!G106,'RC Lookup'!$A$3:$B$9,2,FALSE),0.5),VLOOKUP('Rock Climbing Log'!G106,'RC Lookup'!$G$3:$H$5,2,FALSE)),0)*VLOOKUP(G$7,'RC Lookup'!$D$3:$E$18,2,FALSE)</f>
        <v>0</v>
      </c>
      <c r="H106" s="26">
        <f>_xlfn.IFNA(IF(LEFT('Rock Climbing Log'!H106)="C",_xlfn.IFNA(VLOOKUP('Rock Climbing Log'!H106,'RC Lookup'!$A$3:$B$9,2,FALSE),0.5),VLOOKUP('Rock Climbing Log'!H106,'RC Lookup'!$G$3:$H$5,2,FALSE)),0)*VLOOKUP(G$7,'RC Lookup'!$D$3:$E$18,2,FALSE)</f>
        <v>0</v>
      </c>
      <c r="I106" s="26">
        <f>_xlfn.IFNA(IF(LEFT('Rock Climbing Log'!I106)="C",_xlfn.IFNA(VLOOKUP('Rock Climbing Log'!I106,'RC Lookup'!$A$3:$B$9,2,FALSE),0.5),VLOOKUP('Rock Climbing Log'!I106,'RC Lookup'!$G$3:$H$5,2,FALSE)),0)*VLOOKUP(G$7,'RC Lookup'!$D$3:$E$18,2,FALSE)</f>
        <v>0</v>
      </c>
      <c r="J106" s="26">
        <f>_xlfn.IFNA(IF(LEFT('Rock Climbing Log'!J106)="C",_xlfn.IFNA(VLOOKUP('Rock Climbing Log'!J106,'RC Lookup'!$A$3:$B$9,2,FALSE),0.5),VLOOKUP('Rock Climbing Log'!J106,'RC Lookup'!$G$3:$H$5,2,FALSE)),0)*VLOOKUP(J$7,'RC Lookup'!$D$3:$E$18,2,FALSE)</f>
        <v>0</v>
      </c>
      <c r="K106" s="26">
        <f>_xlfn.IFNA(IF(LEFT('Rock Climbing Log'!K106)="C",_xlfn.IFNA(VLOOKUP('Rock Climbing Log'!K106,'RC Lookup'!$A$3:$B$9,2,FALSE),0.5),VLOOKUP('Rock Climbing Log'!K106,'RC Lookup'!$G$3:$H$5,2,FALSE)),0)*VLOOKUP(J$7,'RC Lookup'!$D$3:$E$18,2,FALSE)</f>
        <v>0</v>
      </c>
      <c r="L106" s="26">
        <f>_xlfn.IFNA(IF(LEFT('Rock Climbing Log'!L106)="C",_xlfn.IFNA(VLOOKUP('Rock Climbing Log'!L106,'RC Lookup'!$A$3:$B$9,2,FALSE),0.5),VLOOKUP('Rock Climbing Log'!L106,'RC Lookup'!$G$3:$H$5,2,FALSE)),0)*VLOOKUP(J$7,'RC Lookup'!$D$3:$E$18,2,FALSE)</f>
        <v>0</v>
      </c>
      <c r="M106" s="26">
        <f>_xlfn.IFNA(IF(LEFT('Rock Climbing Log'!M106)="C",_xlfn.IFNA(VLOOKUP('Rock Climbing Log'!M106,'RC Lookup'!$A$3:$B$9,2,FALSE),0.5),VLOOKUP('Rock Climbing Log'!M106,'RC Lookup'!$G$3:$H$5,2,FALSE)),0)*VLOOKUP(M$7,'RC Lookup'!$D$3:$E$18,2,FALSE)</f>
        <v>20.002500000000001</v>
      </c>
      <c r="N106" s="26">
        <f>_xlfn.IFNA(IF(LEFT('Rock Climbing Log'!N106)="C",_xlfn.IFNA(VLOOKUP('Rock Climbing Log'!N106,'RC Lookup'!$A$3:$B$9,2,FALSE),0.5),VLOOKUP('Rock Climbing Log'!N106,'RC Lookup'!$G$3:$H$5,2,FALSE)),0)*VLOOKUP(M$7,'RC Lookup'!$D$3:$E$18,2,FALSE)</f>
        <v>0</v>
      </c>
      <c r="O106" s="26">
        <f>_xlfn.IFNA(IF(LEFT('Rock Climbing Log'!O106)="C",_xlfn.IFNA(VLOOKUP('Rock Climbing Log'!O106,'RC Lookup'!$A$3:$B$9,2,FALSE),0.5),VLOOKUP('Rock Climbing Log'!O106,'RC Lookup'!$G$3:$H$5,2,FALSE)),0)*VLOOKUP(M$7,'RC Lookup'!$D$3:$E$18,2,FALSE)</f>
        <v>0</v>
      </c>
      <c r="P106" s="26">
        <f>_xlfn.IFNA(IF(LEFT('Rock Climbing Log'!P106)="C",_xlfn.IFNA(VLOOKUP('Rock Climbing Log'!P106,'RC Lookup'!$A$3:$B$9,2,FALSE),0.5),VLOOKUP('Rock Climbing Log'!P106,'RC Lookup'!$G$3:$H$5,2,FALSE)),0)*VLOOKUP(P$7,'RC Lookup'!$D$3:$E$18,2,FALSE)</f>
        <v>0</v>
      </c>
      <c r="Q106" s="26">
        <f>_xlfn.IFNA(IF(LEFT('Rock Climbing Log'!Q106)="C",_xlfn.IFNA(VLOOKUP('Rock Climbing Log'!Q106,'RC Lookup'!$A$3:$B$9,2,FALSE),0.5),VLOOKUP('Rock Climbing Log'!Q106,'RC Lookup'!$G$3:$H$5,2,FALSE)),0)*VLOOKUP(P$7,'RC Lookup'!$D$3:$E$18,2,FALSE)</f>
        <v>0</v>
      </c>
      <c r="R106" s="26">
        <f>_xlfn.IFNA(IF(LEFT('Rock Climbing Log'!R106)="C",_xlfn.IFNA(VLOOKUP('Rock Climbing Log'!R106,'RC Lookup'!$A$3:$B$9,2,FALSE),0.5),VLOOKUP('Rock Climbing Log'!R106,'RC Lookup'!$G$3:$H$5,2,FALSE)),0)*VLOOKUP(P$7,'RC Lookup'!$D$3:$E$18,2,FALSE)</f>
        <v>0</v>
      </c>
      <c r="S106" s="26">
        <f>_xlfn.IFNA(IF(LEFT('Rock Climbing Log'!S106)="C",_xlfn.IFNA(VLOOKUP('Rock Climbing Log'!S106,'RC Lookup'!$A$3:$B$9,2,FALSE),0.5),VLOOKUP('Rock Climbing Log'!S106,'RC Lookup'!$G$3:$H$5,2,FALSE)),0)*VLOOKUP(S$7,'RC Lookup'!$D$3:$E$18,2,FALSE)</f>
        <v>0</v>
      </c>
      <c r="T106" s="26">
        <f>_xlfn.IFNA(IF(LEFT('Rock Climbing Log'!T106)="C",_xlfn.IFNA(VLOOKUP('Rock Climbing Log'!T106,'RC Lookup'!$A$3:$B$9,2,FALSE),0.5),VLOOKUP('Rock Climbing Log'!T106,'RC Lookup'!$G$3:$H$5,2,FALSE)),0)*VLOOKUP(S$7,'RC Lookup'!$D$3:$E$18,2,FALSE)</f>
        <v>0</v>
      </c>
      <c r="U106" s="26">
        <f>_xlfn.IFNA(IF(LEFT('Rock Climbing Log'!U106)="C",_xlfn.IFNA(VLOOKUP('Rock Climbing Log'!U106,'RC Lookup'!$A$3:$B$9,2,FALSE),0.5),VLOOKUP('Rock Climbing Log'!U106,'RC Lookup'!$G$3:$H$5,2,FALSE)),0)*VLOOKUP(S$7,'RC Lookup'!$D$3:$E$18,2,FALSE)</f>
        <v>0</v>
      </c>
      <c r="V106" s="26">
        <f>_xlfn.IFNA(IF(LEFT('Rock Climbing Log'!V106)="C",_xlfn.IFNA(VLOOKUP('Rock Climbing Log'!V106,'RC Lookup'!$A$3:$B$9,2,FALSE),0.5),VLOOKUP('Rock Climbing Log'!V106,'RC Lookup'!$G$3:$H$5,2,FALSE)),0)*VLOOKUP(V$7,'RC Lookup'!$D$3:$E$18,2,FALSE)</f>
        <v>35.256745742400021</v>
      </c>
      <c r="W106" s="26">
        <f>_xlfn.IFNA(IF(LEFT('Rock Climbing Log'!W106)="C",_xlfn.IFNA(VLOOKUP('Rock Climbing Log'!W106,'RC Lookup'!$A$3:$B$9,2,FALSE),0.5),VLOOKUP('Rock Climbing Log'!W106,'RC Lookup'!$G$3:$H$5,2,FALSE)),0)*VLOOKUP(V$7,'RC Lookup'!$D$3:$E$18,2,FALSE)</f>
        <v>0</v>
      </c>
      <c r="X106" s="26">
        <f>_xlfn.IFNA(IF(LEFT('Rock Climbing Log'!X106)="C",_xlfn.IFNA(VLOOKUP('Rock Climbing Log'!X106,'RC Lookup'!$A$3:$B$9,2,FALSE),0.5),VLOOKUP('Rock Climbing Log'!X106,'RC Lookup'!$G$3:$H$5,2,FALSE)),0)*VLOOKUP(V$7,'RC Lookup'!$D$3:$E$18,2,FALSE)</f>
        <v>0</v>
      </c>
      <c r="Y106" s="26">
        <f>_xlfn.IFNA(IF(LEFT('Rock Climbing Log'!Y106)="C",_xlfn.IFNA(VLOOKUP('Rock Climbing Log'!Y106,'RC Lookup'!$A$3:$B$9,2,FALSE),0.5),VLOOKUP('Rock Climbing Log'!Y106,'RC Lookup'!$G$3:$H$5,2,FALSE)),0)*VLOOKUP(Y$7,'RC Lookup'!$D$3:$E$18,2,FALSE)</f>
        <v>0</v>
      </c>
      <c r="Z106" s="26">
        <f>_xlfn.IFNA(IF(LEFT('Rock Climbing Log'!Z106)="C",_xlfn.IFNA(VLOOKUP('Rock Climbing Log'!Z106,'RC Lookup'!$A$3:$B$9,2,FALSE),0.5),VLOOKUP('Rock Climbing Log'!Z106,'RC Lookup'!$G$3:$H$5,2,FALSE)),0)*VLOOKUP(Y$7,'RC Lookup'!$D$3:$E$18,2,FALSE)</f>
        <v>0</v>
      </c>
      <c r="AA106" s="26">
        <f>_xlfn.IFNA(IF(LEFT('Rock Climbing Log'!AA106)="C",_xlfn.IFNA(VLOOKUP('Rock Climbing Log'!AA106,'RC Lookup'!$A$3:$B$9,2,FALSE),0.5),VLOOKUP('Rock Climbing Log'!AA106,'RC Lookup'!$G$3:$H$5,2,FALSE)),0)*VLOOKUP(Y$7,'RC Lookup'!$D$3:$E$18,2,FALSE)</f>
        <v>0</v>
      </c>
      <c r="AB106" s="26">
        <f>_xlfn.IFNA(IF(LEFT('Rock Climbing Log'!AB106)="C",_xlfn.IFNA(VLOOKUP('Rock Climbing Log'!AB106,'RC Lookup'!$A$3:$B$9,2,FALSE),0.5),VLOOKUP('Rock Climbing Log'!AB106,'RC Lookup'!$G$3:$H$5,2,FALSE)),0)*VLOOKUP(AB$7,'RC Lookup'!$D$3:$E$18,2,FALSE)</f>
        <v>0</v>
      </c>
      <c r="AC106" s="26">
        <f>_xlfn.IFNA(IF(LEFT('Rock Climbing Log'!AC106)="C",_xlfn.IFNA(VLOOKUP('Rock Climbing Log'!AC106,'RC Lookup'!$A$3:$B$9,2,FALSE),0.5),VLOOKUP('Rock Climbing Log'!AC106,'RC Lookup'!$G$3:$H$5,2,FALSE)),0)*VLOOKUP(AB$7,'RC Lookup'!$D$3:$E$18,2,FALSE)</f>
        <v>0</v>
      </c>
      <c r="AD106" s="26">
        <f>_xlfn.IFNA(IF(LEFT('Rock Climbing Log'!AD106)="C",_xlfn.IFNA(VLOOKUP('Rock Climbing Log'!AD106,'RC Lookup'!$A$3:$B$9,2,FALSE),0.5),VLOOKUP('Rock Climbing Log'!AD106,'RC Lookup'!$G$3:$H$5,2,FALSE)),0)*VLOOKUP(AB$7,'RC Lookup'!$D$3:$E$18,2,FALSE)</f>
        <v>0</v>
      </c>
      <c r="AE106" s="26">
        <f>_xlfn.IFNA(IF(LEFT('Rock Climbing Log'!AE106)="C",_xlfn.IFNA(VLOOKUP('Rock Climbing Log'!AE106,'RC Lookup'!$A$3:$B$9,2,FALSE),0.5),VLOOKUP('Rock Climbing Log'!AE106,'RC Lookup'!$G$3:$H$5,2,FALSE)),0)*VLOOKUP(AE$7,'RC Lookup'!$D$3:$E$18,2,FALSE)</f>
        <v>44.52797949877268</v>
      </c>
      <c r="AF106" s="26">
        <f>_xlfn.IFNA(IF(LEFT('Rock Climbing Log'!AF106)="C",_xlfn.IFNA(VLOOKUP('Rock Climbing Log'!AF106,'RC Lookup'!$A$3:$B$9,2,FALSE),0.5),VLOOKUP('Rock Climbing Log'!AF106,'RC Lookup'!$G$3:$H$5,2,FALSE)),0)*VLOOKUP(AE$7,'RC Lookup'!$D$3:$E$18,2,FALSE)</f>
        <v>44.52797949877268</v>
      </c>
      <c r="AG106" s="26">
        <f>_xlfn.IFNA(IF(LEFT('Rock Climbing Log'!AG106)="C",_xlfn.IFNA(VLOOKUP('Rock Climbing Log'!AG106,'RC Lookup'!$A$3:$B$9,2,FALSE),0.5),VLOOKUP('Rock Climbing Log'!AG106,'RC Lookup'!$G$3:$H$5,2,FALSE)),0)*VLOOKUP(AE$7,'RC Lookup'!$D$3:$E$18,2,FALSE)</f>
        <v>33.933835923466447</v>
      </c>
      <c r="AH106" s="26">
        <f>_xlfn.IFNA(IF(LEFT('Rock Climbing Log'!AH106)="C",_xlfn.IFNA(VLOOKUP('Rock Climbing Log'!AH106,'RC Lookup'!$A$3:$B$9,2,FALSE),0.5),VLOOKUP('Rock Climbing Log'!AH106,'RC Lookup'!$G$3:$H$5,2,FALSE)),0)*VLOOKUP(AH$7,'RC Lookup'!$D$3:$E$18,2,FALSE)</f>
        <v>0</v>
      </c>
      <c r="AI106" s="26">
        <f>_xlfn.IFNA(IF(LEFT('Rock Climbing Log'!AI106)="C",_xlfn.IFNA(VLOOKUP('Rock Climbing Log'!AI106,'RC Lookup'!$A$3:$B$9,2,FALSE),0.5),VLOOKUP('Rock Climbing Log'!AI106,'RC Lookup'!$G$3:$H$5,2,FALSE)),0)*VLOOKUP(AH$7,'RC Lookup'!$D$3:$E$18,2,FALSE)</f>
        <v>0</v>
      </c>
      <c r="AJ106" s="26">
        <f>_xlfn.IFNA(IF(LEFT('Rock Climbing Log'!AJ106)="C",_xlfn.IFNA(VLOOKUP('Rock Climbing Log'!AJ106,'RC Lookup'!$A$3:$B$9,2,FALSE),0.5),VLOOKUP('Rock Climbing Log'!AJ106,'RC Lookup'!$G$3:$H$5,2,FALSE)),0)*VLOOKUP(AH$7,'RC Lookup'!$D$3:$E$18,2,FALSE)</f>
        <v>0</v>
      </c>
      <c r="AK106" s="26">
        <f>_xlfn.IFNA(IF(LEFT('Rock Climbing Log'!AK106)="C",_xlfn.IFNA(VLOOKUP('Rock Climbing Log'!AK106,'RC Lookup'!$A$3:$B$9,2,FALSE),0.5),VLOOKUP('Rock Climbing Log'!AK106,'RC Lookup'!$G$3:$H$5,2,FALSE)),0)*VLOOKUP(AK$7,'RC Lookup'!$D$3:$E$18,2,FALSE)</f>
        <v>0</v>
      </c>
      <c r="AL106" s="26">
        <f>_xlfn.IFNA(IF(LEFT('Rock Climbing Log'!AL106)="C",_xlfn.IFNA(VLOOKUP('Rock Climbing Log'!AL106,'RC Lookup'!$A$3:$B$9,2,FALSE),0.5),VLOOKUP('Rock Climbing Log'!AL106,'RC Lookup'!$G$3:$H$5,2,FALSE)),0)*VLOOKUP(AK$7,'RC Lookup'!$D$3:$E$18,2,FALSE)</f>
        <v>0</v>
      </c>
      <c r="AM106" s="26">
        <f>_xlfn.IFNA(IF(LEFT('Rock Climbing Log'!AM106)="C",_xlfn.IFNA(VLOOKUP('Rock Climbing Log'!AM106,'RC Lookup'!$A$3:$B$9,2,FALSE),0.5),VLOOKUP('Rock Climbing Log'!AM106,'RC Lookup'!$G$3:$H$5,2,FALSE)),0)*VLOOKUP(AK$7,'RC Lookup'!$D$3:$E$18,2,FALSE)</f>
        <v>0</v>
      </c>
      <c r="AN106" s="26">
        <f>_xlfn.IFNA(IF(LEFT('Rock Climbing Log'!AN106)="C",_xlfn.IFNA(VLOOKUP('Rock Climbing Log'!AN106,'RC Lookup'!$A$3:$B$9,2,FALSE),0.5),VLOOKUP('Rock Climbing Log'!AN106,'RC Lookup'!$G$3:$H$5,2,FALSE)),0)*VLOOKUP(AN$7,'RC Lookup'!$D$3:$E$18,2,FALSE)</f>
        <v>0</v>
      </c>
      <c r="AO106" s="26">
        <f>_xlfn.IFNA(IF(LEFT('Rock Climbing Log'!AO106)="C",_xlfn.IFNA(VLOOKUP('Rock Climbing Log'!AO106,'RC Lookup'!$A$3:$B$9,2,FALSE),0.5),VLOOKUP('Rock Climbing Log'!AO106,'RC Lookup'!$G$3:$H$5,2,FALSE)),0)*VLOOKUP(AN$7,'RC Lookup'!$D$3:$E$18,2,FALSE)</f>
        <v>0</v>
      </c>
      <c r="AP106" s="26">
        <f>_xlfn.IFNA(IF(LEFT('Rock Climbing Log'!AP106)="C",_xlfn.IFNA(VLOOKUP('Rock Climbing Log'!AP106,'RC Lookup'!$A$3:$B$9,2,FALSE),0.5),VLOOKUP('Rock Climbing Log'!AP106,'RC Lookup'!$G$3:$H$5,2,FALSE)),0)*VLOOKUP(AN$7,'RC Lookup'!$D$3:$E$18,2,FALSE)</f>
        <v>0</v>
      </c>
      <c r="AQ106" s="26">
        <f>_xlfn.IFNA(IF(LEFT('Rock Climbing Log'!AQ106)="C",_xlfn.IFNA(VLOOKUP('Rock Climbing Log'!AQ106,'RC Lookup'!$A$3:$B$9,2,FALSE),0.5),VLOOKUP('Rock Climbing Log'!AQ106,'RC Lookup'!$G$3:$H$5,2,FALSE)),0)*VLOOKUP(AQ$7,'RC Lookup'!$D$3:$E$18,2,FALSE)</f>
        <v>0</v>
      </c>
      <c r="AR106" s="26">
        <f>_xlfn.IFNA(IF(LEFT('Rock Climbing Log'!AR106)="C",_xlfn.IFNA(VLOOKUP('Rock Climbing Log'!AR106,'RC Lookup'!$A$3:$B$9,2,FALSE),0.5),VLOOKUP('Rock Climbing Log'!AR106,'RC Lookup'!$G$3:$H$5,2,FALSE)),0)*VLOOKUP(AQ$7,'RC Lookup'!$D$3:$E$18,2,FALSE)</f>
        <v>0</v>
      </c>
      <c r="AS106" s="26">
        <f>_xlfn.IFNA(IF(LEFT('Rock Climbing Log'!AS106)="C",_xlfn.IFNA(VLOOKUP('Rock Climbing Log'!AS106,'RC Lookup'!$A$3:$B$9,2,FALSE),0.5),VLOOKUP('Rock Climbing Log'!AS106,'RC Lookup'!$G$3:$H$5,2,FALSE)),0)*VLOOKUP(AQ$7,'RC Lookup'!$D$3:$E$18,2,FALSE)</f>
        <v>0</v>
      </c>
      <c r="AT106" s="26">
        <f>_xlfn.IFNA(IF(LEFT('Rock Climbing Log'!AT106)="C",_xlfn.IFNA(VLOOKUP('Rock Climbing Log'!AT106,'RC Lookup'!$A$3:$B$9,2,FALSE),0.5),VLOOKUP('Rock Climbing Log'!AT106,'RC Lookup'!$G$3:$H$5,2,FALSE)),0)*VLOOKUP(AT$7,'RC Lookup'!$D$3:$E$18,2,FALSE)</f>
        <v>0</v>
      </c>
      <c r="AU106" s="26">
        <f>_xlfn.IFNA(IF(LEFT('Rock Climbing Log'!AU106)="C",_xlfn.IFNA(VLOOKUP('Rock Climbing Log'!AU106,'RC Lookup'!$A$3:$B$9,2,FALSE),0.5),VLOOKUP('Rock Climbing Log'!AU106,'RC Lookup'!$G$3:$H$5,2,FALSE)),0)*VLOOKUP(AT$7,'RC Lookup'!$D$3:$E$18,2,FALSE)</f>
        <v>0</v>
      </c>
      <c r="AV106" s="26">
        <f>_xlfn.IFNA(IF(LEFT('Rock Climbing Log'!AV106)="C",_xlfn.IFNA(VLOOKUP('Rock Climbing Log'!AV106,'RC Lookup'!$A$3:$B$9,2,FALSE),0.5),VLOOKUP('Rock Climbing Log'!AV106,'RC Lookup'!$G$3:$H$5,2,FALSE)),0)*VLOOKUP(AT$7,'RC Lookup'!$D$3:$E$18,2,FALSE)</f>
        <v>0</v>
      </c>
      <c r="AW106" s="30">
        <f t="shared" ca="1" si="4"/>
        <v>124.31270473994539</v>
      </c>
      <c r="AX106" s="30">
        <f ca="1">_xlfn.IFNA(VLOOKUP(SUMPRODUCT(LARGE(($C$8:$C106=Table1[[#This Row],[Climber]])*$A$8:$A106,1)),$A$8:$AW106,MATCH($AW$7,$A$7:$AW$7,FALSE),FALSE),0)/LEFT($AX$7,FIND(" ",$AX$7))+_xlfn.IFNA(VLOOKUP(SUMPRODUCT(LARGE(($C$8:$C106=Table1[[#This Row],[Climber]])*$A$8:$A106,MIN(2,COUNTIFS($C$8:$C106,$C106)))),$A$8:$AW106,MATCH($AW$7,$A$7:$AW$7,FALSE),FALSE),0)/LEFT($AX$7,FIND(" ",$AX$7))+_xlfn.IFNA(VLOOKUP(SUMPRODUCT(LARGE(($C$8:$C106=Table1[[#This Row],[Climber]])*$A$8:$A106,MIN(3,COUNTIFS($C$8:$C106,$C106)))),$A$8:$AW106,MATCH($AW$7,$A$7:$AW$7,FALSE),FALSE),0)/LEFT($AX$7,FIND(" ",$AX$7))</f>
        <v>130.46328814975249</v>
      </c>
      <c r="AY106" s="30">
        <f ca="1">_xlfn.IFNA(VLOOKUP(SUMPRODUCT(LARGE(($C$8:$C106=Table1[[#This Row],[Climber]])*$A$8:$A106,1)),$A$8:$AW106,MATCH($AW$7,$A$7:$AW$7,FALSE),FALSE),0)/LEFT($AY$7,FIND(" ",$AY$7))+_xlfn.IFNA(VLOOKUP(SUMPRODUCT(LARGE(($C$8:$C106=Table1[[#This Row],[Climber]])*$A$8:$A106,MIN(2,COUNTIFS($C$8:$C106,$C106)))),$A$8:$AW106,MATCH($AW$7,$A$7:$AW$7,FALSE),FALSE),0)/LEFT($AY$7,FIND(" ",$AY$7))+_xlfn.IFNA(VLOOKUP(SUMPRODUCT(LARGE(($C$8:$C106=Table1[[#This Row],[Climber]])*$A$8:$A106,MIN(3,COUNTIFS($C$8:$C106,$C106)))),$A$8:$AW106,MATCH($AW$7,$A$7:$AW$7,FALSE),FALSE),0)/LEFT($AY$7,FIND(" ",$AY$7))+_xlfn.IFNA(VLOOKUP(SUMPRODUCT(LARGE(($C$8:$C106=Table1[[#This Row],[Climber]])*$A$8:$A106,MIN(4,COUNTIFS($C$8:$C106,$C106)))),$A$8:$AW106,MATCH($AW$7,$A$7:$AW$7,FALSE),FALSE),0)/LEFT($AY$7,FIND(" ",$AY$7))+_xlfn.IFNA(VLOOKUP(SUMPRODUCT(LARGE(($C$8:$C106=Table1[[#This Row],[Climber]])*$A$8:$A106,MIN(5,COUNTIFS($C$8:$C106,$C106)))),$A$8:$AW106,MATCH($AW$7,$A$7:$AW$7,FALSE),FALSE),0)/LEFT($AY$7,FIND(" ",$AY$7))</f>
        <v>122.14033942244259</v>
      </c>
      <c r="AZ106" s="30">
        <f ca="1">(_xlfn.IFNA(VLOOKUP(SUMPRODUCT(LARGE(($C$8:$C106=Table1[[#This Row],[Climber]])*$A$8:$A106,4)),$A$8:$AW106,MATCH($AW$7,$A$7:$AW$7,FALSE),FALSE),0)+_xlfn.IFNA(VLOOKUP(SUMPRODUCT(LARGE(($C$8:$C106=Table1[[#This Row],[Climber]])*$A$8:$A106,5)),$A$8:$AW106,MATCH($AW$7,$A$7:$AW$7,FALSE),FALSE),0)+_xlfn.IFNA(VLOOKUP(SUMPRODUCT(LARGE(($C$8:$C106=Table1[[#This Row],[Climber]])*$A$8:$A106,6)),$A$8:$AW106,MATCH($AW$7,$A$7:$AW$7,FALSE),FALSE),0))/3</f>
        <v>115.79883853494444</v>
      </c>
      <c r="BA106" s="46">
        <f ca="1">_xlfn.MAXIFS(INDIRECT("$AW"&amp;IF(SUMPRODUCT(LARGE(($C$8:$C106=$C106)*$A$8:$A106,LEFT($BA$7,FIND(" ",$BA$7)-1)))=0,8,SUMPRODUCT(LARGE(($C$8:$C106=$C106)*$A$8:$A106,LEFT($BA$7,FIND(" ",$BA$7)-1)))+7)&amp;":$AW"&amp;ROW()),INDIRECT("$C"&amp;IF(SUMPRODUCT(LARGE(($C$8:$C106=$C106)*$A$8:$A106,LEFT($BA$7,FIND(" ",$BA$7)-1)))=0,8,SUMPRODUCT(LARGE(($C$8:$C106=$C106)*$A$8:$A106,LEFT($BA$7,FIND(" ",$BA$7)-1)))+7)&amp;":$C"&amp;ROW()),$C106)</f>
        <v>133.81949581994093</v>
      </c>
      <c r="BB106" s="46" t="str">
        <f ca="1">VLOOKUP(MAX(BG106,$AX106),'RC Lookup'!$G$14:$J$20,2,TRUE)</f>
        <v>T4</v>
      </c>
      <c r="BC106" s="46">
        <f ca="1">_xlfn.IFNA(VLOOKUP(VLOOKUP($C106,'RC Lookup'!$O$3:$P$50,2,FALSE),'RC Lookup'!$H$14:$J$23,2,FALSE),0)*AW106</f>
        <v>95.398452416277081</v>
      </c>
      <c r="BD106" s="6">
        <f ca="1">_xlfn.IFNA(VLOOKUP(SUMPRODUCT(LARGE(($C$8:$C106=Table1[[#This Row],[Climber]])*$A$8:$A106,1)),$A$8:$BC106,55,FALSE),0)/LEFT($AX$7,FIND(" ",$AX$7))+_xlfn.IFNA(VLOOKUP(SUMPRODUCT(LARGE(($C$8:$C106=Table1[[#This Row],[Climber]])*$A$8:$A106,MIN(2,COUNTIFS($C$8:$C106,$C106)))),$A$8:$BC106,55,FALSE),0)/LEFT($AX$7,FIND(" ",$AX$7))+_xlfn.IFNA(VLOOKUP(SUMPRODUCT(LARGE(($C$8:$C106=Table1[[#This Row],[Climber]])*$A$8:$A106,MIN(3,COUNTIFS($C$8:$C106,$C106)))),$A$8:$BC106,55,FALSE),0)/LEFT($AX$7,FIND(" ",$AX$7))</f>
        <v>100.11845380294375</v>
      </c>
      <c r="BE106" s="6">
        <f ca="1">(_xlfn.IFNA(VLOOKUP(SUMPRODUCT(LARGE(($C$8:$C106=Table1[[#This Row],[Climber]])*$A$8:$A106,4)),$A$8:$BD106,55,FALSE),0)+_xlfn.IFNA(VLOOKUP(SUMPRODUCT(LARGE(($C$8:$C106=Table1[[#This Row],[Climber]])*$A$8:$A106,5)),$A$8:$BD106,55,FALSE),0)+_xlfn.IFNA(VLOOKUP(SUMPRODUCT(LARGE(($C$8:$C106=Table1[[#This Row],[Climber]])*$A$8:$A106,6)),$A$8:$BD106,55,FALSE),0))/3</f>
        <v>88.864851029874742</v>
      </c>
      <c r="BF106" s="46">
        <f ca="1">_xlfn.MAXIFS(INDIRECT("$BC"&amp;IF(SUMPRODUCT(LARGE(($C$8:$C106=$C106)*$A$8:$A106,LEFT($BA$7,FIND(" ",$BA$7)-1)))=0,8,SUMPRODUCT(LARGE(($C$8:$C106=$C106)*$A$8:$A106,LEFT($BA$7,FIND(" ",$BA$7)-1)))+7)&amp;":$BC"&amp;ROW()),INDIRECT("$C"&amp;IF(SUMPRODUCT(LARGE(($C$8:$C106=$C106)*$A$8:$A106,LEFT($BA$7,FIND(" ",$BA$7)-1)))=0,8,SUMPRODUCT(LARGE(($C$8:$C106=$C106)*$A$8:$A106,LEFT($BA$7,FIND(" ",$BA$7)-1)))+7)&amp;":$C"&amp;ROW()),$C106)</f>
        <v>102.69403140294374</v>
      </c>
      <c r="BG106" s="46">
        <f t="array" aca="1" ref="BG106" ca="1">IFERROR(SUMPRODUCT(LARGE(($C$8:$C106=Table1[[#This Row],[Climber]])*$AW$8:$AW106,ROW(INDIRECT("1:5")))),AW106)/MIN(COUNTIFS($C$8:$C106,C106),5)</f>
        <v>126.60322856537815</v>
      </c>
    </row>
    <row r="107" spans="1:59" x14ac:dyDescent="0.3">
      <c r="A107" s="125">
        <f t="shared" si="1"/>
        <v>100</v>
      </c>
      <c r="B107" s="25">
        <f>'Rock Climbing Log'!B107</f>
        <v>43212</v>
      </c>
      <c r="C107" s="126" t="str">
        <f>'Rock Climbing Log'!C107</f>
        <v>Angel</v>
      </c>
      <c r="D107" s="26">
        <f>_xlfn.IFNA(IF(LEFT('Rock Climbing Log'!D107)="C",_xlfn.IFNA(VLOOKUP('Rock Climbing Log'!D107,'RC Lookup'!$A$3:$B$9,2,FALSE),0.5),VLOOKUP('Rock Climbing Log'!D107,'RC Lookup'!$G$3:$H$5,2,FALSE)),0)*VLOOKUP(D$7,'RC Lookup'!$D$3:$E$18,2,FALSE)</f>
        <v>0</v>
      </c>
      <c r="E107" s="26">
        <f>_xlfn.IFNA(IF(LEFT('Rock Climbing Log'!E107)="C",_xlfn.IFNA(VLOOKUP('Rock Climbing Log'!E107,'RC Lookup'!$A$3:$B$9,2,FALSE),0.5),VLOOKUP('Rock Climbing Log'!E107,'RC Lookup'!$G$3:$H$5,2,FALSE)),0)*VLOOKUP(D$7,'RC Lookup'!$D$3:$E$18,2,FALSE)</f>
        <v>0</v>
      </c>
      <c r="F107" s="26">
        <f>_xlfn.IFNA(IF(LEFT('Rock Climbing Log'!F107)="C",_xlfn.IFNA(VLOOKUP('Rock Climbing Log'!F107,'RC Lookup'!$A$3:$B$9,2,FALSE),0.5),VLOOKUP('Rock Climbing Log'!F107,'RC Lookup'!$G$3:$H$5,2,FALSE)),0)*VLOOKUP(D$7,'RC Lookup'!$D$3:$E$18,2,FALSE)</f>
        <v>0</v>
      </c>
      <c r="G107" s="26">
        <f>_xlfn.IFNA(IF(LEFT('Rock Climbing Log'!G107)="C",_xlfn.IFNA(VLOOKUP('Rock Climbing Log'!G107,'RC Lookup'!$A$3:$B$9,2,FALSE),0.5),VLOOKUP('Rock Climbing Log'!G107,'RC Lookup'!$G$3:$H$5,2,FALSE)),0)*VLOOKUP(G$7,'RC Lookup'!$D$3:$E$18,2,FALSE)</f>
        <v>0</v>
      </c>
      <c r="H107" s="26">
        <f>_xlfn.IFNA(IF(LEFT('Rock Climbing Log'!H107)="C",_xlfn.IFNA(VLOOKUP('Rock Climbing Log'!H107,'RC Lookup'!$A$3:$B$9,2,FALSE),0.5),VLOOKUP('Rock Climbing Log'!H107,'RC Lookup'!$G$3:$H$5,2,FALSE)),0)*VLOOKUP(G$7,'RC Lookup'!$D$3:$E$18,2,FALSE)</f>
        <v>0</v>
      </c>
      <c r="I107" s="26">
        <f>_xlfn.IFNA(IF(LEFT('Rock Climbing Log'!I107)="C",_xlfn.IFNA(VLOOKUP('Rock Climbing Log'!I107,'RC Lookup'!$A$3:$B$9,2,FALSE),0.5),VLOOKUP('Rock Climbing Log'!I107,'RC Lookup'!$G$3:$H$5,2,FALSE)),0)*VLOOKUP(G$7,'RC Lookup'!$D$3:$E$18,2,FALSE)</f>
        <v>0</v>
      </c>
      <c r="J107" s="26">
        <f>_xlfn.IFNA(IF(LEFT('Rock Climbing Log'!J107)="C",_xlfn.IFNA(VLOOKUP('Rock Climbing Log'!J107,'RC Lookup'!$A$3:$B$9,2,FALSE),0.5),VLOOKUP('Rock Climbing Log'!J107,'RC Lookup'!$G$3:$H$5,2,FALSE)),0)*VLOOKUP(J$7,'RC Lookup'!$D$3:$E$18,2,FALSE)</f>
        <v>0</v>
      </c>
      <c r="K107" s="26">
        <f>_xlfn.IFNA(IF(LEFT('Rock Climbing Log'!K107)="C",_xlfn.IFNA(VLOOKUP('Rock Climbing Log'!K107,'RC Lookup'!$A$3:$B$9,2,FALSE),0.5),VLOOKUP('Rock Climbing Log'!K107,'RC Lookup'!$G$3:$H$5,2,FALSE)),0)*VLOOKUP(J$7,'RC Lookup'!$D$3:$E$18,2,FALSE)</f>
        <v>0</v>
      </c>
      <c r="L107" s="26">
        <f>_xlfn.IFNA(IF(LEFT('Rock Climbing Log'!L107)="C",_xlfn.IFNA(VLOOKUP('Rock Climbing Log'!L107,'RC Lookup'!$A$3:$B$9,2,FALSE),0.5),VLOOKUP('Rock Climbing Log'!L107,'RC Lookup'!$G$3:$H$5,2,FALSE)),0)*VLOOKUP(J$7,'RC Lookup'!$D$3:$E$18,2,FALSE)</f>
        <v>0</v>
      </c>
      <c r="M107" s="26">
        <f>_xlfn.IFNA(IF(LEFT('Rock Climbing Log'!M107)="C",_xlfn.IFNA(VLOOKUP('Rock Climbing Log'!M107,'RC Lookup'!$A$3:$B$9,2,FALSE),0.5),VLOOKUP('Rock Climbing Log'!M107,'RC Lookup'!$G$3:$H$5,2,FALSE)),0)*VLOOKUP(M$7,'RC Lookup'!$D$3:$E$18,2,FALSE)</f>
        <v>20.002500000000001</v>
      </c>
      <c r="N107" s="26">
        <f>_xlfn.IFNA(IF(LEFT('Rock Climbing Log'!N107)="C",_xlfn.IFNA(VLOOKUP('Rock Climbing Log'!N107,'RC Lookup'!$A$3:$B$9,2,FALSE),0.5),VLOOKUP('Rock Climbing Log'!N107,'RC Lookup'!$G$3:$H$5,2,FALSE)),0)*VLOOKUP(M$7,'RC Lookup'!$D$3:$E$18,2,FALSE)</f>
        <v>0</v>
      </c>
      <c r="O107" s="26">
        <f>_xlfn.IFNA(IF(LEFT('Rock Climbing Log'!O107)="C",_xlfn.IFNA(VLOOKUP('Rock Climbing Log'!O107,'RC Lookup'!$A$3:$B$9,2,FALSE),0.5),VLOOKUP('Rock Climbing Log'!O107,'RC Lookup'!$G$3:$H$5,2,FALSE)),0)*VLOOKUP(M$7,'RC Lookup'!$D$3:$E$18,2,FALSE)</f>
        <v>0</v>
      </c>
      <c r="P107" s="26">
        <f>_xlfn.IFNA(IF(LEFT('Rock Climbing Log'!P107)="C",_xlfn.IFNA(VLOOKUP('Rock Climbing Log'!P107,'RC Lookup'!$A$3:$B$9,2,FALSE),0.5),VLOOKUP('Rock Climbing Log'!P107,'RC Lookup'!$G$3:$H$5,2,FALSE)),0)*VLOOKUP(P$7,'RC Lookup'!$D$3:$E$18,2,FALSE)</f>
        <v>0</v>
      </c>
      <c r="Q107" s="26">
        <f>_xlfn.IFNA(IF(LEFT('Rock Climbing Log'!Q107)="C",_xlfn.IFNA(VLOOKUP('Rock Climbing Log'!Q107,'RC Lookup'!$A$3:$B$9,2,FALSE),0.5),VLOOKUP('Rock Climbing Log'!Q107,'RC Lookup'!$G$3:$H$5,2,FALSE)),0)*VLOOKUP(P$7,'RC Lookup'!$D$3:$E$18,2,FALSE)</f>
        <v>0</v>
      </c>
      <c r="R107" s="26">
        <f>_xlfn.IFNA(IF(LEFT('Rock Climbing Log'!R107)="C",_xlfn.IFNA(VLOOKUP('Rock Climbing Log'!R107,'RC Lookup'!$A$3:$B$9,2,FALSE),0.5),VLOOKUP('Rock Climbing Log'!R107,'RC Lookup'!$G$3:$H$5,2,FALSE)),0)*VLOOKUP(P$7,'RC Lookup'!$D$3:$E$18,2,FALSE)</f>
        <v>0</v>
      </c>
      <c r="S107" s="26">
        <f>_xlfn.IFNA(IF(LEFT('Rock Climbing Log'!S107)="C",_xlfn.IFNA(VLOOKUP('Rock Climbing Log'!S107,'RC Lookup'!$A$3:$B$9,2,FALSE),0.5),VLOOKUP('Rock Climbing Log'!S107,'RC Lookup'!$G$3:$H$5,2,FALSE)),0)*VLOOKUP(S$7,'RC Lookup'!$D$3:$E$18,2,FALSE)</f>
        <v>0</v>
      </c>
      <c r="T107" s="26">
        <f>_xlfn.IFNA(IF(LEFT('Rock Climbing Log'!T107)="C",_xlfn.IFNA(VLOOKUP('Rock Climbing Log'!T107,'RC Lookup'!$A$3:$B$9,2,FALSE),0.5),VLOOKUP('Rock Climbing Log'!T107,'RC Lookup'!$G$3:$H$5,2,FALSE)),0)*VLOOKUP(S$7,'RC Lookup'!$D$3:$E$18,2,FALSE)</f>
        <v>0</v>
      </c>
      <c r="U107" s="26">
        <f>_xlfn.IFNA(IF(LEFT('Rock Climbing Log'!U107)="C",_xlfn.IFNA(VLOOKUP('Rock Climbing Log'!U107,'RC Lookup'!$A$3:$B$9,2,FALSE),0.5),VLOOKUP('Rock Climbing Log'!U107,'RC Lookup'!$G$3:$H$5,2,FALSE)),0)*VLOOKUP(S$7,'RC Lookup'!$D$3:$E$18,2,FALSE)</f>
        <v>0</v>
      </c>
      <c r="V107" s="26">
        <f>_xlfn.IFNA(IF(LEFT('Rock Climbing Log'!V107)="C",_xlfn.IFNA(VLOOKUP('Rock Climbing Log'!V107,'RC Lookup'!$A$3:$B$9,2,FALSE),0.5),VLOOKUP('Rock Climbing Log'!V107,'RC Lookup'!$G$3:$H$5,2,FALSE)),0)*VLOOKUP(V$7,'RC Lookup'!$D$3:$E$18,2,FALSE)</f>
        <v>35.256745742400021</v>
      </c>
      <c r="W107" s="26">
        <f>_xlfn.IFNA(IF(LEFT('Rock Climbing Log'!W107)="C",_xlfn.IFNA(VLOOKUP('Rock Climbing Log'!W107,'RC Lookup'!$A$3:$B$9,2,FALSE),0.5),VLOOKUP('Rock Climbing Log'!W107,'RC Lookup'!$G$3:$H$5,2,FALSE)),0)*VLOOKUP(V$7,'RC Lookup'!$D$3:$E$18,2,FALSE)</f>
        <v>0</v>
      </c>
      <c r="X107" s="26">
        <f>_xlfn.IFNA(IF(LEFT('Rock Climbing Log'!X107)="C",_xlfn.IFNA(VLOOKUP('Rock Climbing Log'!X107,'RC Lookup'!$A$3:$B$9,2,FALSE),0.5),VLOOKUP('Rock Climbing Log'!X107,'RC Lookup'!$G$3:$H$5,2,FALSE)),0)*VLOOKUP(V$7,'RC Lookup'!$D$3:$E$18,2,FALSE)</f>
        <v>0</v>
      </c>
      <c r="Y107" s="26">
        <f>_xlfn.IFNA(IF(LEFT('Rock Climbing Log'!Y107)="C",_xlfn.IFNA(VLOOKUP('Rock Climbing Log'!Y107,'RC Lookup'!$A$3:$B$9,2,FALSE),0.5),VLOOKUP('Rock Climbing Log'!Y107,'RC Lookup'!$G$3:$H$5,2,FALSE)),0)*VLOOKUP(Y$7,'RC Lookup'!$D$3:$E$18,2,FALSE)</f>
        <v>0</v>
      </c>
      <c r="Z107" s="26">
        <f>_xlfn.IFNA(IF(LEFT('Rock Climbing Log'!Z107)="C",_xlfn.IFNA(VLOOKUP('Rock Climbing Log'!Z107,'RC Lookup'!$A$3:$B$9,2,FALSE),0.5),VLOOKUP('Rock Climbing Log'!Z107,'RC Lookup'!$G$3:$H$5,2,FALSE)),0)*VLOOKUP(Y$7,'RC Lookup'!$D$3:$E$18,2,FALSE)</f>
        <v>0</v>
      </c>
      <c r="AA107" s="26">
        <f>_xlfn.IFNA(IF(LEFT('Rock Climbing Log'!AA107)="C",_xlfn.IFNA(VLOOKUP('Rock Climbing Log'!AA107,'RC Lookup'!$A$3:$B$9,2,FALSE),0.5),VLOOKUP('Rock Climbing Log'!AA107,'RC Lookup'!$G$3:$H$5,2,FALSE)),0)*VLOOKUP(Y$7,'RC Lookup'!$D$3:$E$18,2,FALSE)</f>
        <v>0</v>
      </c>
      <c r="AB107" s="26">
        <f>_xlfn.IFNA(IF(LEFT('Rock Climbing Log'!AB107)="C",_xlfn.IFNA(VLOOKUP('Rock Climbing Log'!AB107,'RC Lookup'!$A$3:$B$9,2,FALSE),0.5),VLOOKUP('Rock Climbing Log'!AB107,'RC Lookup'!$G$3:$H$5,2,FALSE)),0)*VLOOKUP(AB$7,'RC Lookup'!$D$3:$E$18,2,FALSE)</f>
        <v>0</v>
      </c>
      <c r="AC107" s="26">
        <f>_xlfn.IFNA(IF(LEFT('Rock Climbing Log'!AC107)="C",_xlfn.IFNA(VLOOKUP('Rock Climbing Log'!AC107,'RC Lookup'!$A$3:$B$9,2,FALSE),0.5),VLOOKUP('Rock Climbing Log'!AC107,'RC Lookup'!$G$3:$H$5,2,FALSE)),0)*VLOOKUP(AB$7,'RC Lookup'!$D$3:$E$18,2,FALSE)</f>
        <v>0</v>
      </c>
      <c r="AD107" s="26">
        <f>_xlfn.IFNA(IF(LEFT('Rock Climbing Log'!AD107)="C",_xlfn.IFNA(VLOOKUP('Rock Climbing Log'!AD107,'RC Lookup'!$A$3:$B$9,2,FALSE),0.5),VLOOKUP('Rock Climbing Log'!AD107,'RC Lookup'!$G$3:$H$5,2,FALSE)),0)*VLOOKUP(AB$7,'RC Lookup'!$D$3:$E$18,2,FALSE)</f>
        <v>0</v>
      </c>
      <c r="AE107" s="26">
        <f>_xlfn.IFNA(IF(LEFT('Rock Climbing Log'!AE107)="C",_xlfn.IFNA(VLOOKUP('Rock Climbing Log'!AE107,'RC Lookup'!$A$3:$B$9,2,FALSE),0.5),VLOOKUP('Rock Climbing Log'!AE107,'RC Lookup'!$G$3:$H$5,2,FALSE)),0)*VLOOKUP(AE$7,'RC Lookup'!$D$3:$E$18,2,FALSE)</f>
        <v>49.475532776414084</v>
      </c>
      <c r="AF107" s="26">
        <f>_xlfn.IFNA(IF(LEFT('Rock Climbing Log'!AF107)="C",_xlfn.IFNA(VLOOKUP('Rock Climbing Log'!AF107,'RC Lookup'!$A$3:$B$9,2,FALSE),0.5),VLOOKUP('Rock Climbing Log'!AF107,'RC Lookup'!$G$3:$H$5,2,FALSE)),0)*VLOOKUP(AE$7,'RC Lookup'!$D$3:$E$18,2,FALSE)</f>
        <v>49.475532776414084</v>
      </c>
      <c r="AG107" s="26">
        <f>_xlfn.IFNA(IF(LEFT('Rock Climbing Log'!AG107)="C",_xlfn.IFNA(VLOOKUP('Rock Climbing Log'!AG107,'RC Lookup'!$A$3:$B$9,2,FALSE),0.5),VLOOKUP('Rock Climbing Log'!AG107,'RC Lookup'!$G$3:$H$5,2,FALSE)),0)*VLOOKUP(AE$7,'RC Lookup'!$D$3:$E$18,2,FALSE)</f>
        <v>33.933835923466447</v>
      </c>
      <c r="AH107" s="26">
        <f>_xlfn.IFNA(IF(LEFT('Rock Climbing Log'!AH107)="C",_xlfn.IFNA(VLOOKUP('Rock Climbing Log'!AH107,'RC Lookup'!$A$3:$B$9,2,FALSE),0.5),VLOOKUP('Rock Climbing Log'!AH107,'RC Lookup'!$G$3:$H$5,2,FALSE)),0)*VLOOKUP(AH$7,'RC Lookup'!$D$3:$E$18,2,FALSE)</f>
        <v>0</v>
      </c>
      <c r="AI107" s="26">
        <f>_xlfn.IFNA(IF(LEFT('Rock Climbing Log'!AI107)="C",_xlfn.IFNA(VLOOKUP('Rock Climbing Log'!AI107,'RC Lookup'!$A$3:$B$9,2,FALSE),0.5),VLOOKUP('Rock Climbing Log'!AI107,'RC Lookup'!$G$3:$H$5,2,FALSE)),0)*VLOOKUP(AH$7,'RC Lookup'!$D$3:$E$18,2,FALSE)</f>
        <v>0</v>
      </c>
      <c r="AJ107" s="26">
        <f>_xlfn.IFNA(IF(LEFT('Rock Climbing Log'!AJ107)="C",_xlfn.IFNA(VLOOKUP('Rock Climbing Log'!AJ107,'RC Lookup'!$A$3:$B$9,2,FALSE),0.5),VLOOKUP('Rock Climbing Log'!AJ107,'RC Lookup'!$G$3:$H$5,2,FALSE)),0)*VLOOKUP(AH$7,'RC Lookup'!$D$3:$E$18,2,FALSE)</f>
        <v>0</v>
      </c>
      <c r="AK107" s="26">
        <f>_xlfn.IFNA(IF(LEFT('Rock Climbing Log'!AK107)="C",_xlfn.IFNA(VLOOKUP('Rock Climbing Log'!AK107,'RC Lookup'!$A$3:$B$9,2,FALSE),0.5),VLOOKUP('Rock Climbing Log'!AK107,'RC Lookup'!$G$3:$H$5,2,FALSE)),0)*VLOOKUP(AK$7,'RC Lookup'!$D$3:$E$18,2,FALSE)</f>
        <v>0</v>
      </c>
      <c r="AL107" s="26">
        <f>_xlfn.IFNA(IF(LEFT('Rock Climbing Log'!AL107)="C",_xlfn.IFNA(VLOOKUP('Rock Climbing Log'!AL107,'RC Lookup'!$A$3:$B$9,2,FALSE),0.5),VLOOKUP('Rock Climbing Log'!AL107,'RC Lookup'!$G$3:$H$5,2,FALSE)),0)*VLOOKUP(AK$7,'RC Lookup'!$D$3:$E$18,2,FALSE)</f>
        <v>0</v>
      </c>
      <c r="AM107" s="26">
        <f>_xlfn.IFNA(IF(LEFT('Rock Climbing Log'!AM107)="C",_xlfn.IFNA(VLOOKUP('Rock Climbing Log'!AM107,'RC Lookup'!$A$3:$B$9,2,FALSE),0.5),VLOOKUP('Rock Climbing Log'!AM107,'RC Lookup'!$G$3:$H$5,2,FALSE)),0)*VLOOKUP(AK$7,'RC Lookup'!$D$3:$E$18,2,FALSE)</f>
        <v>0</v>
      </c>
      <c r="AN107" s="26">
        <f>_xlfn.IFNA(IF(LEFT('Rock Climbing Log'!AN107)="C",_xlfn.IFNA(VLOOKUP('Rock Climbing Log'!AN107,'RC Lookup'!$A$3:$B$9,2,FALSE),0.5),VLOOKUP('Rock Climbing Log'!AN107,'RC Lookup'!$G$3:$H$5,2,FALSE)),0)*VLOOKUP(AN$7,'RC Lookup'!$D$3:$E$18,2,FALSE)</f>
        <v>0</v>
      </c>
      <c r="AO107" s="26">
        <f>_xlfn.IFNA(IF(LEFT('Rock Climbing Log'!AO107)="C",_xlfn.IFNA(VLOOKUP('Rock Climbing Log'!AO107,'RC Lookup'!$A$3:$B$9,2,FALSE),0.5),VLOOKUP('Rock Climbing Log'!AO107,'RC Lookup'!$G$3:$H$5,2,FALSE)),0)*VLOOKUP(AN$7,'RC Lookup'!$D$3:$E$18,2,FALSE)</f>
        <v>0</v>
      </c>
      <c r="AP107" s="26">
        <f>_xlfn.IFNA(IF(LEFT('Rock Climbing Log'!AP107)="C",_xlfn.IFNA(VLOOKUP('Rock Climbing Log'!AP107,'RC Lookup'!$A$3:$B$9,2,FALSE),0.5),VLOOKUP('Rock Climbing Log'!AP107,'RC Lookup'!$G$3:$H$5,2,FALSE)),0)*VLOOKUP(AN$7,'RC Lookup'!$D$3:$E$18,2,FALSE)</f>
        <v>0</v>
      </c>
      <c r="AQ107" s="26">
        <f>_xlfn.IFNA(IF(LEFT('Rock Climbing Log'!AQ107)="C",_xlfn.IFNA(VLOOKUP('Rock Climbing Log'!AQ107,'RC Lookup'!$A$3:$B$9,2,FALSE),0.5),VLOOKUP('Rock Climbing Log'!AQ107,'RC Lookup'!$G$3:$H$5,2,FALSE)),0)*VLOOKUP(AQ$7,'RC Lookup'!$D$3:$E$18,2,FALSE)</f>
        <v>0</v>
      </c>
      <c r="AR107" s="26">
        <f>_xlfn.IFNA(IF(LEFT('Rock Climbing Log'!AR107)="C",_xlfn.IFNA(VLOOKUP('Rock Climbing Log'!AR107,'RC Lookup'!$A$3:$B$9,2,FALSE),0.5),VLOOKUP('Rock Climbing Log'!AR107,'RC Lookup'!$G$3:$H$5,2,FALSE)),0)*VLOOKUP(AQ$7,'RC Lookup'!$D$3:$E$18,2,FALSE)</f>
        <v>0</v>
      </c>
      <c r="AS107" s="26">
        <f>_xlfn.IFNA(IF(LEFT('Rock Climbing Log'!AS107)="C",_xlfn.IFNA(VLOOKUP('Rock Climbing Log'!AS107,'RC Lookup'!$A$3:$B$9,2,FALSE),0.5),VLOOKUP('Rock Climbing Log'!AS107,'RC Lookup'!$G$3:$H$5,2,FALSE)),0)*VLOOKUP(AQ$7,'RC Lookup'!$D$3:$E$18,2,FALSE)</f>
        <v>0</v>
      </c>
      <c r="AT107" s="26">
        <f>_xlfn.IFNA(IF(LEFT('Rock Climbing Log'!AT107)="C",_xlfn.IFNA(VLOOKUP('Rock Climbing Log'!AT107,'RC Lookup'!$A$3:$B$9,2,FALSE),0.5),VLOOKUP('Rock Climbing Log'!AT107,'RC Lookup'!$G$3:$H$5,2,FALSE)),0)*VLOOKUP(AT$7,'RC Lookup'!$D$3:$E$18,2,FALSE)</f>
        <v>0</v>
      </c>
      <c r="AU107" s="26">
        <f>_xlfn.IFNA(IF(LEFT('Rock Climbing Log'!AU107)="C",_xlfn.IFNA(VLOOKUP('Rock Climbing Log'!AU107,'RC Lookup'!$A$3:$B$9,2,FALSE),0.5),VLOOKUP('Rock Climbing Log'!AU107,'RC Lookup'!$G$3:$H$5,2,FALSE)),0)*VLOOKUP(AT$7,'RC Lookup'!$D$3:$E$18,2,FALSE)</f>
        <v>0</v>
      </c>
      <c r="AV107" s="26">
        <f>_xlfn.IFNA(IF(LEFT('Rock Climbing Log'!AV107)="C",_xlfn.IFNA(VLOOKUP('Rock Climbing Log'!AV107,'RC Lookup'!$A$3:$B$9,2,FALSE),0.5),VLOOKUP('Rock Climbing Log'!AV107,'RC Lookup'!$G$3:$H$5,2,FALSE)),0)*VLOOKUP(AT$7,'RC Lookup'!$D$3:$E$18,2,FALSE)</f>
        <v>0</v>
      </c>
      <c r="AW107" s="30">
        <f t="shared" ca="1" si="4"/>
        <v>134.2078112952282</v>
      </c>
      <c r="AX107" s="30">
        <f ca="1">_xlfn.IFNA(VLOOKUP(SUMPRODUCT(LARGE(($C$8:$C107=Table1[[#This Row],[Climber]])*$A$8:$A107,1)),$A$8:$AW107,MATCH($AW$7,$A$7:$AW$7,FALSE),FALSE),0)/LEFT($AX$7,FIND(" ",$AX$7))+_xlfn.IFNA(VLOOKUP(SUMPRODUCT(LARGE(($C$8:$C107=Table1[[#This Row],[Climber]])*$A$8:$A107,MIN(2,COUNTIFS($C$8:$C107,$C107)))),$A$8:$AW107,MATCH($AW$7,$A$7:$AW$7,FALSE),FALSE),0)/LEFT($AX$7,FIND(" ",$AX$7))+_xlfn.IFNA(VLOOKUP(SUMPRODUCT(LARGE(($C$8:$C107=Table1[[#This Row],[Climber]])*$A$8:$A107,MIN(3,COUNTIFS($C$8:$C107,$C107)))),$A$8:$AW107,MATCH($AW$7,$A$7:$AW$7,FALSE),FALSE),0)/LEFT($AX$7,FIND(" ",$AX$7))</f>
        <v>134.67049493935122</v>
      </c>
      <c r="AY107" s="30">
        <f ca="1">_xlfn.IFNA(VLOOKUP(SUMPRODUCT(LARGE(($C$8:$C107=Table1[[#This Row],[Climber]])*$A$8:$A107,1)),$A$8:$AW107,MATCH($AW$7,$A$7:$AW$7,FALSE),FALSE),0)/LEFT($AY$7,FIND(" ",$AY$7))+_xlfn.IFNA(VLOOKUP(SUMPRODUCT(LARGE(($C$8:$C107=Table1[[#This Row],[Climber]])*$A$8:$A107,MIN(2,COUNTIFS($C$8:$C107,$C107)))),$A$8:$AW107,MATCH($AW$7,$A$7:$AW$7,FALSE),FALSE),0)/LEFT($AY$7,FIND(" ",$AY$7))+_xlfn.IFNA(VLOOKUP(SUMPRODUCT(LARGE(($C$8:$C107=Table1[[#This Row],[Climber]])*$A$8:$A107,MIN(3,COUNTIFS($C$8:$C107,$C107)))),$A$8:$AW107,MATCH($AW$7,$A$7:$AW$7,FALSE),FALSE),0)/LEFT($AY$7,FIND(" ",$AY$7))+_xlfn.IFNA(VLOOKUP(SUMPRODUCT(LARGE(($C$8:$C107=Table1[[#This Row],[Climber]])*$A$8:$A107,MIN(4,COUNTIFS($C$8:$C107,$C107)))),$A$8:$AW107,MATCH($AW$7,$A$7:$AW$7,FALSE),FALSE),0)/LEFT($AY$7,FIND(" ",$AY$7))+_xlfn.IFNA(VLOOKUP(SUMPRODUCT(LARGE(($C$8:$C107=Table1[[#This Row],[Climber]])*$A$8:$A107,MIN(5,COUNTIFS($C$8:$C107,$C107)))),$A$8:$AW107,MATCH($AW$7,$A$7:$AW$7,FALSE),FALSE),0)/LEFT($AY$7,FIND(" ",$AY$7))</f>
        <v>124.96463860576529</v>
      </c>
      <c r="AZ107" s="30">
        <f ca="1">(_xlfn.IFNA(VLOOKUP(SUMPRODUCT(LARGE(($C$8:$C107=Table1[[#This Row],[Climber]])*$A$8:$A107,4)),$A$8:$AW107,MATCH($AW$7,$A$7:$AW$7,FALSE),FALSE),0)+_xlfn.IFNA(VLOOKUP(SUMPRODUCT(LARGE(($C$8:$C107=Table1[[#This Row],[Climber]])*$A$8:$A107,5)),$A$8:$AW107,MATCH($AW$7,$A$7:$AW$7,FALSE),FALSE),0)+_xlfn.IFNA(VLOOKUP(SUMPRODUCT(LARGE(($C$8:$C107=Table1[[#This Row],[Climber]])*$A$8:$A107,6)),$A$8:$AW107,MATCH($AW$7,$A$7:$AW$7,FALSE),FALSE),0))/3</f>
        <v>115.11999009144704</v>
      </c>
      <c r="BA107" s="46">
        <f ca="1">_xlfn.MAXIFS(INDIRECT("$AW"&amp;IF(SUMPRODUCT(LARGE(($C$8:$C107=$C107)*$A$8:$A107,LEFT($BA$7,FIND(" ",$BA$7)-1)))=0,8,SUMPRODUCT(LARGE(($C$8:$C107=$C107)*$A$8:$A107,LEFT($BA$7,FIND(" ",$BA$7)-1)))+7)&amp;":$AW"&amp;ROW()),INDIRECT("$C"&amp;IF(SUMPRODUCT(LARGE(($C$8:$C107=$C107)*$A$8:$A107,LEFT($BA$7,FIND(" ",$BA$7)-1)))=0,8,SUMPRODUCT(LARGE(($C$8:$C107=$C107)*$A$8:$A107,LEFT($BA$7,FIND(" ",$BA$7)-1)))+7)&amp;":$C"&amp;ROW()),$C107)</f>
        <v>137.87811629646592</v>
      </c>
      <c r="BB107" s="46" t="str">
        <f ca="1">VLOOKUP(MAX(BG107,$AX107),'RC Lookup'!$G$14:$J$20,2,TRUE)</f>
        <v>T4</v>
      </c>
      <c r="BC107" s="46">
        <f ca="1">_xlfn.IFNA(VLOOKUP(VLOOKUP($C107,'RC Lookup'!$O$3:$P$50,2,FALSE),'RC Lookup'!$H$14:$J$23,2,FALSE),0)*AW107</f>
        <v>223.65172902591874</v>
      </c>
      <c r="BD107" s="6">
        <f ca="1">_xlfn.IFNA(VLOOKUP(SUMPRODUCT(LARGE(($C$8:$C107=Table1[[#This Row],[Climber]])*$A$8:$A107,1)),$A$8:$BC107,55,FALSE),0)/LEFT($AX$7,FIND(" ",$AX$7))+_xlfn.IFNA(VLOOKUP(SUMPRODUCT(LARGE(($C$8:$C107=Table1[[#This Row],[Climber]])*$A$8:$A107,MIN(2,COUNTIFS($C$8:$C107,$C107)))),$A$8:$BC107,55,FALSE),0)/LEFT($AX$7,FIND(" ",$AX$7))+_xlfn.IFNA(VLOOKUP(SUMPRODUCT(LARGE(($C$8:$C107=Table1[[#This Row],[Climber]])*$A$8:$A107,MIN(3,COUNTIFS($C$8:$C107,$C107)))),$A$8:$BC107,55,FALSE),0)/LEFT($AX$7,FIND(" ",$AX$7))</f>
        <v>224.42277205241214</v>
      </c>
      <c r="BE107" s="6">
        <f ca="1">(_xlfn.IFNA(VLOOKUP(SUMPRODUCT(LARGE(($C$8:$C107=Table1[[#This Row],[Climber]])*$A$8:$A107,4)),$A$8:$BD107,55,FALSE),0)+_xlfn.IFNA(VLOOKUP(SUMPRODUCT(LARGE(($C$8:$C107=Table1[[#This Row],[Climber]])*$A$8:$A107,5)),$A$8:$BD107,55,FALSE),0)+_xlfn.IFNA(VLOOKUP(SUMPRODUCT(LARGE(($C$8:$C107=Table1[[#This Row],[Climber]])*$A$8:$A107,6)),$A$8:$BD107,55,FALSE),0))/3</f>
        <v>191.84266981868436</v>
      </c>
      <c r="BF107" s="46">
        <f ca="1">_xlfn.MAXIFS(INDIRECT("$BC"&amp;IF(SUMPRODUCT(LARGE(($C$8:$C107=$C107)*$A$8:$A107,LEFT($BA$7,FIND(" ",$BA$7)-1)))=0,8,SUMPRODUCT(LARGE(($C$8:$C107=$C107)*$A$8:$A107,LEFT($BA$7,FIND(" ",$BA$7)-1)))+7)&amp;":$BC"&amp;ROW()),INDIRECT("$C"&amp;IF(SUMPRODUCT(LARGE(($C$8:$C107=$C107)*$A$8:$A107,LEFT($BA$7,FIND(" ",$BA$7)-1)))=0,8,SUMPRODUCT(LARGE(($C$8:$C107=$C107)*$A$8:$A107,LEFT($BA$7,FIND(" ",$BA$7)-1)))+7)&amp;":$C"&amp;ROW()),$C107)</f>
        <v>229.76813947667526</v>
      </c>
      <c r="BG107" s="46">
        <f t="array" aca="1" ref="BG107" ca="1">IFERROR(SUMPRODUCT(LARGE(($C$8:$C107=Table1[[#This Row],[Climber]])*$AW$8:$AW107,ROW(INDIRECT("1:5")))),AW107)/MIN(COUNTIFS($C$8:$C107,C107),5)</f>
        <v>128.72024357303891</v>
      </c>
    </row>
    <row r="108" spans="1:59" x14ac:dyDescent="0.3">
      <c r="A108" s="125">
        <f t="shared" si="1"/>
        <v>101</v>
      </c>
      <c r="B108" s="25">
        <f>'Rock Climbing Log'!B108</f>
        <v>43219</v>
      </c>
      <c r="C108" s="126" t="str">
        <f>'Rock Climbing Log'!C108</f>
        <v>Lester</v>
      </c>
      <c r="D108" s="26">
        <f>_xlfn.IFNA(IF(LEFT('Rock Climbing Log'!D108)="C",_xlfn.IFNA(VLOOKUP('Rock Climbing Log'!D108,'RC Lookup'!$A$3:$B$9,2,FALSE),0.5),VLOOKUP('Rock Climbing Log'!D108,'RC Lookup'!$G$3:$H$5,2,FALSE)),0)*VLOOKUP(D$7,'RC Lookup'!$D$3:$E$18,2,FALSE)</f>
        <v>0</v>
      </c>
      <c r="E108" s="26">
        <f>_xlfn.IFNA(IF(LEFT('Rock Climbing Log'!E108)="C",_xlfn.IFNA(VLOOKUP('Rock Climbing Log'!E108,'RC Lookup'!$A$3:$B$9,2,FALSE),0.5),VLOOKUP('Rock Climbing Log'!E108,'RC Lookup'!$G$3:$H$5,2,FALSE)),0)*VLOOKUP(D$7,'RC Lookup'!$D$3:$E$18,2,FALSE)</f>
        <v>0</v>
      </c>
      <c r="F108" s="26">
        <f>_xlfn.IFNA(IF(LEFT('Rock Climbing Log'!F108)="C",_xlfn.IFNA(VLOOKUP('Rock Climbing Log'!F108,'RC Lookup'!$A$3:$B$9,2,FALSE),0.5),VLOOKUP('Rock Climbing Log'!F108,'RC Lookup'!$G$3:$H$5,2,FALSE)),0)*VLOOKUP(D$7,'RC Lookup'!$D$3:$E$18,2,FALSE)</f>
        <v>0</v>
      </c>
      <c r="G108" s="26">
        <f>_xlfn.IFNA(IF(LEFT('Rock Climbing Log'!G108)="C",_xlfn.IFNA(VLOOKUP('Rock Climbing Log'!G108,'RC Lookup'!$A$3:$B$9,2,FALSE),0.5),VLOOKUP('Rock Climbing Log'!G108,'RC Lookup'!$G$3:$H$5,2,FALSE)),0)*VLOOKUP(G$7,'RC Lookup'!$D$3:$E$18,2,FALSE)</f>
        <v>0</v>
      </c>
      <c r="H108" s="26">
        <f>_xlfn.IFNA(IF(LEFT('Rock Climbing Log'!H108)="C",_xlfn.IFNA(VLOOKUP('Rock Climbing Log'!H108,'RC Lookup'!$A$3:$B$9,2,FALSE),0.5),VLOOKUP('Rock Climbing Log'!H108,'RC Lookup'!$G$3:$H$5,2,FALSE)),0)*VLOOKUP(G$7,'RC Lookup'!$D$3:$E$18,2,FALSE)</f>
        <v>0</v>
      </c>
      <c r="I108" s="26">
        <f>_xlfn.IFNA(IF(LEFT('Rock Climbing Log'!I108)="C",_xlfn.IFNA(VLOOKUP('Rock Climbing Log'!I108,'RC Lookup'!$A$3:$B$9,2,FALSE),0.5),VLOOKUP('Rock Climbing Log'!I108,'RC Lookup'!$G$3:$H$5,2,FALSE)),0)*VLOOKUP(G$7,'RC Lookup'!$D$3:$E$18,2,FALSE)</f>
        <v>0</v>
      </c>
      <c r="J108" s="26">
        <f>_xlfn.IFNA(IF(LEFT('Rock Climbing Log'!J108)="C",_xlfn.IFNA(VLOOKUP('Rock Climbing Log'!J108,'RC Lookup'!$A$3:$B$9,2,FALSE),0.5),VLOOKUP('Rock Climbing Log'!J108,'RC Lookup'!$G$3:$H$5,2,FALSE)),0)*VLOOKUP(J$7,'RC Lookup'!$D$3:$E$18,2,FALSE)</f>
        <v>0</v>
      </c>
      <c r="K108" s="26">
        <f>_xlfn.IFNA(IF(LEFT('Rock Climbing Log'!K108)="C",_xlfn.IFNA(VLOOKUP('Rock Climbing Log'!K108,'RC Lookup'!$A$3:$B$9,2,FALSE),0.5),VLOOKUP('Rock Climbing Log'!K108,'RC Lookup'!$G$3:$H$5,2,FALSE)),0)*VLOOKUP(J$7,'RC Lookup'!$D$3:$E$18,2,FALSE)</f>
        <v>0</v>
      </c>
      <c r="L108" s="26">
        <f>_xlfn.IFNA(IF(LEFT('Rock Climbing Log'!L108)="C",_xlfn.IFNA(VLOOKUP('Rock Climbing Log'!L108,'RC Lookup'!$A$3:$B$9,2,FALSE),0.5),VLOOKUP('Rock Climbing Log'!L108,'RC Lookup'!$G$3:$H$5,2,FALSE)),0)*VLOOKUP(J$7,'RC Lookup'!$D$3:$E$18,2,FALSE)</f>
        <v>0</v>
      </c>
      <c r="M108" s="26">
        <f>_xlfn.IFNA(IF(LEFT('Rock Climbing Log'!M108)="C",_xlfn.IFNA(VLOOKUP('Rock Climbing Log'!M108,'RC Lookup'!$A$3:$B$9,2,FALSE),0.5),VLOOKUP('Rock Climbing Log'!M108,'RC Lookup'!$G$3:$H$5,2,FALSE)),0)*VLOOKUP(M$7,'RC Lookup'!$D$3:$E$18,2,FALSE)</f>
        <v>0</v>
      </c>
      <c r="N108" s="26">
        <f>_xlfn.IFNA(IF(LEFT('Rock Climbing Log'!N108)="C",_xlfn.IFNA(VLOOKUP('Rock Climbing Log'!N108,'RC Lookup'!$A$3:$B$9,2,FALSE),0.5),VLOOKUP('Rock Climbing Log'!N108,'RC Lookup'!$G$3:$H$5,2,FALSE)),0)*VLOOKUP(M$7,'RC Lookup'!$D$3:$E$18,2,FALSE)</f>
        <v>0</v>
      </c>
      <c r="O108" s="26">
        <f>_xlfn.IFNA(IF(LEFT('Rock Climbing Log'!O108)="C",_xlfn.IFNA(VLOOKUP('Rock Climbing Log'!O108,'RC Lookup'!$A$3:$B$9,2,FALSE),0.5),VLOOKUP('Rock Climbing Log'!O108,'RC Lookup'!$G$3:$H$5,2,FALSE)),0)*VLOOKUP(M$7,'RC Lookup'!$D$3:$E$18,2,FALSE)</f>
        <v>0</v>
      </c>
      <c r="P108" s="26">
        <f>_xlfn.IFNA(IF(LEFT('Rock Climbing Log'!P108)="C",_xlfn.IFNA(VLOOKUP('Rock Climbing Log'!P108,'RC Lookup'!$A$3:$B$9,2,FALSE),0.5),VLOOKUP('Rock Climbing Log'!P108,'RC Lookup'!$G$3:$H$5,2,FALSE)),0)*VLOOKUP(P$7,'RC Lookup'!$D$3:$E$18,2,FALSE)</f>
        <v>0</v>
      </c>
      <c r="Q108" s="26">
        <f>_xlfn.IFNA(IF(LEFT('Rock Climbing Log'!Q108)="C",_xlfn.IFNA(VLOOKUP('Rock Climbing Log'!Q108,'RC Lookup'!$A$3:$B$9,2,FALSE),0.5),VLOOKUP('Rock Climbing Log'!Q108,'RC Lookup'!$G$3:$H$5,2,FALSE)),0)*VLOOKUP(P$7,'RC Lookup'!$D$3:$E$18,2,FALSE)</f>
        <v>0</v>
      </c>
      <c r="R108" s="26">
        <f>_xlfn.IFNA(IF(LEFT('Rock Climbing Log'!R108)="C",_xlfn.IFNA(VLOOKUP('Rock Climbing Log'!R108,'RC Lookup'!$A$3:$B$9,2,FALSE),0.5),VLOOKUP('Rock Climbing Log'!R108,'RC Lookup'!$G$3:$H$5,2,FALSE)),0)*VLOOKUP(P$7,'RC Lookup'!$D$3:$E$18,2,FALSE)</f>
        <v>0</v>
      </c>
      <c r="S108" s="26">
        <f>_xlfn.IFNA(IF(LEFT('Rock Climbing Log'!S108)="C",_xlfn.IFNA(VLOOKUP('Rock Climbing Log'!S108,'RC Lookup'!$A$3:$B$9,2,FALSE),0.5),VLOOKUP('Rock Climbing Log'!S108,'RC Lookup'!$G$3:$H$5,2,FALSE)),0)*VLOOKUP(S$7,'RC Lookup'!$D$3:$E$18,2,FALSE)</f>
        <v>0</v>
      </c>
      <c r="T108" s="26">
        <f>_xlfn.IFNA(IF(LEFT('Rock Climbing Log'!T108)="C",_xlfn.IFNA(VLOOKUP('Rock Climbing Log'!T108,'RC Lookup'!$A$3:$B$9,2,FALSE),0.5),VLOOKUP('Rock Climbing Log'!T108,'RC Lookup'!$G$3:$H$5,2,FALSE)),0)*VLOOKUP(S$7,'RC Lookup'!$D$3:$E$18,2,FALSE)</f>
        <v>0</v>
      </c>
      <c r="U108" s="26">
        <f>_xlfn.IFNA(IF(LEFT('Rock Climbing Log'!U108)="C",_xlfn.IFNA(VLOOKUP('Rock Climbing Log'!U108,'RC Lookup'!$A$3:$B$9,2,FALSE),0.5),VLOOKUP('Rock Climbing Log'!U108,'RC Lookup'!$G$3:$H$5,2,FALSE)),0)*VLOOKUP(S$7,'RC Lookup'!$D$3:$E$18,2,FALSE)</f>
        <v>0</v>
      </c>
      <c r="V108" s="26">
        <f>_xlfn.IFNA(IF(LEFT('Rock Climbing Log'!V108)="C",_xlfn.IFNA(VLOOKUP('Rock Climbing Log'!V108,'RC Lookup'!$A$3:$B$9,2,FALSE),0.5),VLOOKUP('Rock Climbing Log'!V108,'RC Lookup'!$G$3:$H$5,2,FALSE)),0)*VLOOKUP(V$7,'RC Lookup'!$D$3:$E$18,2,FALSE)</f>
        <v>0</v>
      </c>
      <c r="W108" s="26">
        <f>_xlfn.IFNA(IF(LEFT('Rock Climbing Log'!W108)="C",_xlfn.IFNA(VLOOKUP('Rock Climbing Log'!W108,'RC Lookup'!$A$3:$B$9,2,FALSE),0.5),VLOOKUP('Rock Climbing Log'!W108,'RC Lookup'!$G$3:$H$5,2,FALSE)),0)*VLOOKUP(V$7,'RC Lookup'!$D$3:$E$18,2,FALSE)</f>
        <v>0</v>
      </c>
      <c r="X108" s="26">
        <f>_xlfn.IFNA(IF(LEFT('Rock Climbing Log'!X108)="C",_xlfn.IFNA(VLOOKUP('Rock Climbing Log'!X108,'RC Lookup'!$A$3:$B$9,2,FALSE),0.5),VLOOKUP('Rock Climbing Log'!X108,'RC Lookup'!$G$3:$H$5,2,FALSE)),0)*VLOOKUP(V$7,'RC Lookup'!$D$3:$E$18,2,FALSE)</f>
        <v>0</v>
      </c>
      <c r="Y108" s="26">
        <f>_xlfn.IFNA(IF(LEFT('Rock Climbing Log'!Y108)="C",_xlfn.IFNA(VLOOKUP('Rock Climbing Log'!Y108,'RC Lookup'!$A$3:$B$9,2,FALSE),0.5),VLOOKUP('Rock Climbing Log'!Y108,'RC Lookup'!$G$3:$H$5,2,FALSE)),0)*VLOOKUP(Y$7,'RC Lookup'!$D$3:$E$18,2,FALSE)</f>
        <v>0</v>
      </c>
      <c r="Z108" s="26">
        <f>_xlfn.IFNA(IF(LEFT('Rock Climbing Log'!Z108)="C",_xlfn.IFNA(VLOOKUP('Rock Climbing Log'!Z108,'RC Lookup'!$A$3:$B$9,2,FALSE),0.5),VLOOKUP('Rock Climbing Log'!Z108,'RC Lookup'!$G$3:$H$5,2,FALSE)),0)*VLOOKUP(Y$7,'RC Lookup'!$D$3:$E$18,2,FALSE)</f>
        <v>0</v>
      </c>
      <c r="AA108" s="26">
        <f>_xlfn.IFNA(IF(LEFT('Rock Climbing Log'!AA108)="C",_xlfn.IFNA(VLOOKUP('Rock Climbing Log'!AA108,'RC Lookup'!$A$3:$B$9,2,FALSE),0.5),VLOOKUP('Rock Climbing Log'!AA108,'RC Lookup'!$G$3:$H$5,2,FALSE)),0)*VLOOKUP(Y$7,'RC Lookup'!$D$3:$E$18,2,FALSE)</f>
        <v>0</v>
      </c>
      <c r="AB108" s="26">
        <f>_xlfn.IFNA(IF(LEFT('Rock Climbing Log'!AB108)="C",_xlfn.IFNA(VLOOKUP('Rock Climbing Log'!AB108,'RC Lookup'!$A$3:$B$9,2,FALSE),0.5),VLOOKUP('Rock Climbing Log'!AB108,'RC Lookup'!$G$3:$H$5,2,FALSE)),0)*VLOOKUP(AB$7,'RC Lookup'!$D$3:$E$18,2,FALSE)</f>
        <v>0</v>
      </c>
      <c r="AC108" s="26">
        <f>_xlfn.IFNA(IF(LEFT('Rock Climbing Log'!AC108)="C",_xlfn.IFNA(VLOOKUP('Rock Climbing Log'!AC108,'RC Lookup'!$A$3:$B$9,2,FALSE),0.5),VLOOKUP('Rock Climbing Log'!AC108,'RC Lookup'!$G$3:$H$5,2,FALSE)),0)*VLOOKUP(AB$7,'RC Lookup'!$D$3:$E$18,2,FALSE)</f>
        <v>0</v>
      </c>
      <c r="AD108" s="26">
        <f>_xlfn.IFNA(IF(LEFT('Rock Climbing Log'!AD108)="C",_xlfn.IFNA(VLOOKUP('Rock Climbing Log'!AD108,'RC Lookup'!$A$3:$B$9,2,FALSE),0.5),VLOOKUP('Rock Climbing Log'!AD108,'RC Lookup'!$G$3:$H$5,2,FALSE)),0)*VLOOKUP(AB$7,'RC Lookup'!$D$3:$E$18,2,FALSE)</f>
        <v>0</v>
      </c>
      <c r="AE108" s="26">
        <f>_xlfn.IFNA(IF(LEFT('Rock Climbing Log'!AE108)="C",_xlfn.IFNA(VLOOKUP('Rock Climbing Log'!AE108,'RC Lookup'!$A$3:$B$9,2,FALSE),0.5),VLOOKUP('Rock Climbing Log'!AE108,'RC Lookup'!$G$3:$H$5,2,FALSE)),0)*VLOOKUP(AE$7,'RC Lookup'!$D$3:$E$18,2,FALSE)</f>
        <v>67.867671846932893</v>
      </c>
      <c r="AF108" s="26">
        <f>_xlfn.IFNA(IF(LEFT('Rock Climbing Log'!AF108)="C",_xlfn.IFNA(VLOOKUP('Rock Climbing Log'!AF108,'RC Lookup'!$A$3:$B$9,2,FALSE),0.5),VLOOKUP('Rock Climbing Log'!AF108,'RC Lookup'!$G$3:$H$5,2,FALSE)),0)*VLOOKUP(AE$7,'RC Lookup'!$D$3:$E$18,2,FALSE)</f>
        <v>0</v>
      </c>
      <c r="AG108" s="26">
        <f>_xlfn.IFNA(IF(LEFT('Rock Climbing Log'!AG108)="C",_xlfn.IFNA(VLOOKUP('Rock Climbing Log'!AG108,'RC Lookup'!$A$3:$B$9,2,FALSE),0.5),VLOOKUP('Rock Climbing Log'!AG108,'RC Lookup'!$G$3:$H$5,2,FALSE)),0)*VLOOKUP(AE$7,'RC Lookup'!$D$3:$E$18,2,FALSE)</f>
        <v>0</v>
      </c>
      <c r="AH108" s="26">
        <f>_xlfn.IFNA(IF(LEFT('Rock Climbing Log'!AH108)="C",_xlfn.IFNA(VLOOKUP('Rock Climbing Log'!AH108,'RC Lookup'!$A$3:$B$9,2,FALSE),0.5),VLOOKUP('Rock Climbing Log'!AH108,'RC Lookup'!$G$3:$H$5,2,FALSE)),0)*VLOOKUP(AH$7,'RC Lookup'!$D$3:$E$18,2,FALSE)</f>
        <v>0</v>
      </c>
      <c r="AI108" s="26">
        <f>_xlfn.IFNA(IF(LEFT('Rock Climbing Log'!AI108)="C",_xlfn.IFNA(VLOOKUP('Rock Climbing Log'!AI108,'RC Lookup'!$A$3:$B$9,2,FALSE),0.5),VLOOKUP('Rock Climbing Log'!AI108,'RC Lookup'!$G$3:$H$5,2,FALSE)),0)*VLOOKUP(AH$7,'RC Lookup'!$D$3:$E$18,2,FALSE)</f>
        <v>0</v>
      </c>
      <c r="AJ108" s="26">
        <f>_xlfn.IFNA(IF(LEFT('Rock Climbing Log'!AJ108)="C",_xlfn.IFNA(VLOOKUP('Rock Climbing Log'!AJ108,'RC Lookup'!$A$3:$B$9,2,FALSE),0.5),VLOOKUP('Rock Climbing Log'!AJ108,'RC Lookup'!$G$3:$H$5,2,FALSE)),0)*VLOOKUP(AH$7,'RC Lookup'!$D$3:$E$18,2,FALSE)</f>
        <v>0</v>
      </c>
      <c r="AK108" s="26">
        <f>_xlfn.IFNA(IF(LEFT('Rock Climbing Log'!AK108)="C",_xlfn.IFNA(VLOOKUP('Rock Climbing Log'!AK108,'RC Lookup'!$A$3:$B$9,2,FALSE),0.5),VLOOKUP('Rock Climbing Log'!AK108,'RC Lookup'!$G$3:$H$5,2,FALSE)),0)*VLOOKUP(AK$7,'RC Lookup'!$D$3:$E$18,2,FALSE)</f>
        <v>99.136751503001364</v>
      </c>
      <c r="AL108" s="26">
        <f>_xlfn.IFNA(IF(LEFT('Rock Climbing Log'!AL108)="C",_xlfn.IFNA(VLOOKUP('Rock Climbing Log'!AL108,'RC Lookup'!$A$3:$B$9,2,FALSE),0.5),VLOOKUP('Rock Climbing Log'!AL108,'RC Lookup'!$G$3:$H$5,2,FALSE)),0)*VLOOKUP(AK$7,'RC Lookup'!$D$3:$E$18,2,FALSE)</f>
        <v>0</v>
      </c>
      <c r="AM108" s="26">
        <f>_xlfn.IFNA(IF(LEFT('Rock Climbing Log'!AM108)="C",_xlfn.IFNA(VLOOKUP('Rock Climbing Log'!AM108,'RC Lookup'!$A$3:$B$9,2,FALSE),0.5),VLOOKUP('Rock Climbing Log'!AM108,'RC Lookup'!$G$3:$H$5,2,FALSE)),0)*VLOOKUP(AK$7,'RC Lookup'!$D$3:$E$18,2,FALSE)</f>
        <v>0</v>
      </c>
      <c r="AN108" s="26">
        <f>_xlfn.IFNA(IF(LEFT('Rock Climbing Log'!AN108)="C",_xlfn.IFNA(VLOOKUP('Rock Climbing Log'!AN108,'RC Lookup'!$A$3:$B$9,2,FALSE),0.5),VLOOKUP('Rock Climbing Log'!AN108,'RC Lookup'!$G$3:$H$5,2,FALSE)),0)*VLOOKUP(AN$7,'RC Lookup'!$D$3:$E$18,2,FALSE)</f>
        <v>103.74859318292101</v>
      </c>
      <c r="AO108" s="26">
        <f>_xlfn.IFNA(IF(LEFT('Rock Climbing Log'!AO108)="C",_xlfn.IFNA(VLOOKUP('Rock Climbing Log'!AO108,'RC Lookup'!$A$3:$B$9,2,FALSE),0.5),VLOOKUP('Rock Climbing Log'!AO108,'RC Lookup'!$G$3:$H$5,2,FALSE)),0)*VLOOKUP(AN$7,'RC Lookup'!$D$3:$E$18,2,FALSE)</f>
        <v>0</v>
      </c>
      <c r="AP108" s="26">
        <f>_xlfn.IFNA(IF(LEFT('Rock Climbing Log'!AP108)="C",_xlfn.IFNA(VLOOKUP('Rock Climbing Log'!AP108,'RC Lookup'!$A$3:$B$9,2,FALSE),0.5),VLOOKUP('Rock Climbing Log'!AP108,'RC Lookup'!$G$3:$H$5,2,FALSE)),0)*VLOOKUP(AN$7,'RC Lookup'!$D$3:$E$18,2,FALSE)</f>
        <v>0</v>
      </c>
      <c r="AQ108" s="26">
        <f>_xlfn.IFNA(IF(LEFT('Rock Climbing Log'!AQ108)="C",_xlfn.IFNA(VLOOKUP('Rock Climbing Log'!AQ108,'RC Lookup'!$A$3:$B$9,2,FALSE),0.5),VLOOKUP('Rock Climbing Log'!AQ108,'RC Lookup'!$G$3:$H$5,2,FALSE)),0)*VLOOKUP(AQ$7,'RC Lookup'!$D$3:$E$18,2,FALSE)</f>
        <v>0</v>
      </c>
      <c r="AR108" s="26">
        <f>_xlfn.IFNA(IF(LEFT('Rock Climbing Log'!AR108)="C",_xlfn.IFNA(VLOOKUP('Rock Climbing Log'!AR108,'RC Lookup'!$A$3:$B$9,2,FALSE),0.5),VLOOKUP('Rock Climbing Log'!AR108,'RC Lookup'!$G$3:$H$5,2,FALSE)),0)*VLOOKUP(AQ$7,'RC Lookup'!$D$3:$E$18,2,FALSE)</f>
        <v>0</v>
      </c>
      <c r="AS108" s="26">
        <f>_xlfn.IFNA(IF(LEFT('Rock Climbing Log'!AS108)="C",_xlfn.IFNA(VLOOKUP('Rock Climbing Log'!AS108,'RC Lookup'!$A$3:$B$9,2,FALSE),0.5),VLOOKUP('Rock Climbing Log'!AS108,'RC Lookup'!$G$3:$H$5,2,FALSE)),0)*VLOOKUP(AQ$7,'RC Lookup'!$D$3:$E$18,2,FALSE)</f>
        <v>0</v>
      </c>
      <c r="AT108" s="26">
        <f>_xlfn.IFNA(IF(LEFT('Rock Climbing Log'!AT108)="C",_xlfn.IFNA(VLOOKUP('Rock Climbing Log'!AT108,'RC Lookup'!$A$3:$B$9,2,FALSE),0.5),VLOOKUP('Rock Climbing Log'!AT108,'RC Lookup'!$G$3:$H$5,2,FALSE)),0)*VLOOKUP(AT$7,'RC Lookup'!$D$3:$E$18,2,FALSE)</f>
        <v>0</v>
      </c>
      <c r="AU108" s="26">
        <f>_xlfn.IFNA(IF(LEFT('Rock Climbing Log'!AU108)="C",_xlfn.IFNA(VLOOKUP('Rock Climbing Log'!AU108,'RC Lookup'!$A$3:$B$9,2,FALSE),0.5),VLOOKUP('Rock Climbing Log'!AU108,'RC Lookup'!$G$3:$H$5,2,FALSE)),0)*VLOOKUP(AT$7,'RC Lookup'!$D$3:$E$18,2,FALSE)</f>
        <v>0</v>
      </c>
      <c r="AV108" s="26">
        <f>_xlfn.IFNA(IF(LEFT('Rock Climbing Log'!AV108)="C",_xlfn.IFNA(VLOOKUP('Rock Climbing Log'!AV108,'RC Lookup'!$A$3:$B$9,2,FALSE),0.5),VLOOKUP('Rock Climbing Log'!AV108,'RC Lookup'!$G$3:$H$5,2,FALSE)),0)*VLOOKUP(AT$7,'RC Lookup'!$D$3:$E$18,2,FALSE)</f>
        <v>0</v>
      </c>
      <c r="AW108" s="30">
        <f t="shared" ca="1" si="4"/>
        <v>270.75301653285527</v>
      </c>
      <c r="AX108" s="30">
        <f ca="1">_xlfn.IFNA(VLOOKUP(SUMPRODUCT(LARGE(($C$8:$C108=Table1[[#This Row],[Climber]])*$A$8:$A108,1)),$A$8:$AW108,MATCH($AW$7,$A$7:$AW$7,FALSE),FALSE),0)/LEFT($AX$7,FIND(" ",$AX$7))+_xlfn.IFNA(VLOOKUP(SUMPRODUCT(LARGE(($C$8:$C108=Table1[[#This Row],[Climber]])*$A$8:$A108,MIN(2,COUNTIFS($C$8:$C108,$C108)))),$A$8:$AW108,MATCH($AW$7,$A$7:$AW$7,FALSE),FALSE),0)/LEFT($AX$7,FIND(" ",$AX$7))+_xlfn.IFNA(VLOOKUP(SUMPRODUCT(LARGE(($C$8:$C108=Table1[[#This Row],[Climber]])*$A$8:$A108,MIN(3,COUNTIFS($C$8:$C108,$C108)))),$A$8:$AW108,MATCH($AW$7,$A$7:$AW$7,FALSE),FALSE),0)/LEFT($AX$7,FIND(" ",$AX$7))</f>
        <v>311.77480086495757</v>
      </c>
      <c r="AY108" s="30">
        <f ca="1">_xlfn.IFNA(VLOOKUP(SUMPRODUCT(LARGE(($C$8:$C108=Table1[[#This Row],[Climber]])*$A$8:$A108,1)),$A$8:$AW108,MATCH($AW$7,$A$7:$AW$7,FALSE),FALSE),0)/LEFT($AY$7,FIND(" ",$AY$7))+_xlfn.IFNA(VLOOKUP(SUMPRODUCT(LARGE(($C$8:$C108=Table1[[#This Row],[Climber]])*$A$8:$A108,MIN(2,COUNTIFS($C$8:$C108,$C108)))),$A$8:$AW108,MATCH($AW$7,$A$7:$AW$7,FALSE),FALSE),0)/LEFT($AY$7,FIND(" ",$AY$7))+_xlfn.IFNA(VLOOKUP(SUMPRODUCT(LARGE(($C$8:$C108=Table1[[#This Row],[Climber]])*$A$8:$A108,MIN(3,COUNTIFS($C$8:$C108,$C108)))),$A$8:$AW108,MATCH($AW$7,$A$7:$AW$7,FALSE),FALSE),0)/LEFT($AY$7,FIND(" ",$AY$7))+_xlfn.IFNA(VLOOKUP(SUMPRODUCT(LARGE(($C$8:$C108=Table1[[#This Row],[Climber]])*$A$8:$A108,MIN(4,COUNTIFS($C$8:$C108,$C108)))),$A$8:$AW108,MATCH($AW$7,$A$7:$AW$7,FALSE),FALSE),0)/LEFT($AY$7,FIND(" ",$AY$7))+_xlfn.IFNA(VLOOKUP(SUMPRODUCT(LARGE(($C$8:$C108=Table1[[#This Row],[Climber]])*$A$8:$A108,MIN(5,COUNTIFS($C$8:$C108,$C108)))),$A$8:$AW108,MATCH($AW$7,$A$7:$AW$7,FALSE),FALSE),0)/LEFT($AY$7,FIND(" ",$AY$7))</f>
        <v>300.82617985783048</v>
      </c>
      <c r="AZ108" s="30">
        <f ca="1">(_xlfn.IFNA(VLOOKUP(SUMPRODUCT(LARGE(($C$8:$C108=Table1[[#This Row],[Climber]])*$A$8:$A108,4)),$A$8:$AW108,MATCH($AW$7,$A$7:$AW$7,FALSE),FALSE),0)+_xlfn.IFNA(VLOOKUP(SUMPRODUCT(LARGE(($C$8:$C108=Table1[[#This Row],[Climber]])*$A$8:$A108,5)),$A$8:$AW108,MATCH($AW$7,$A$7:$AW$7,FALSE),FALSE),0)+_xlfn.IFNA(VLOOKUP(SUMPRODUCT(LARGE(($C$8:$C108=Table1[[#This Row],[Climber]])*$A$8:$A108,6)),$A$8:$AW108,MATCH($AW$7,$A$7:$AW$7,FALSE),FALSE),0))/3</f>
        <v>264.62951121101844</v>
      </c>
      <c r="BA108" s="46">
        <f ca="1">_xlfn.MAXIFS(INDIRECT("$AW"&amp;IF(SUMPRODUCT(LARGE(($C$8:$C108=$C108)*$A$8:$A108,LEFT($BA$7,FIND(" ",$BA$7)-1)))=0,8,SUMPRODUCT(LARGE(($C$8:$C108=$C108)*$A$8:$A108,LEFT($BA$7,FIND(" ",$BA$7)-1)))+7)&amp;":$AW"&amp;ROW()),INDIRECT("$C"&amp;IF(SUMPRODUCT(LARGE(($C$8:$C108=$C108)*$A$8:$A108,LEFT($BA$7,FIND(" ",$BA$7)-1)))=0,8,SUMPRODUCT(LARGE(($C$8:$C108=$C108)*$A$8:$A108,LEFT($BA$7,FIND(" ",$BA$7)-1)))+7)&amp;":$C"&amp;ROW()),$C108)</f>
        <v>347.34832130930022</v>
      </c>
      <c r="BB108" s="46" t="str">
        <f ca="1">VLOOKUP(MAX(BG108,$AX108),'RC Lookup'!$G$14:$J$20,2,TRUE)</f>
        <v>T5</v>
      </c>
      <c r="BC108" s="46">
        <f ca="1">_xlfn.IFNA(VLOOKUP(VLOOKUP($C108,'RC Lookup'!$O$3:$P$50,2,FALSE),'RC Lookup'!$H$14:$J$23,2,FALSE),0)*AW108</f>
        <v>81.93319200841222</v>
      </c>
      <c r="BD108" s="6">
        <f ca="1">_xlfn.IFNA(VLOOKUP(SUMPRODUCT(LARGE(($C$8:$C108=Table1[[#This Row],[Climber]])*$A$8:$A108,1)),$A$8:$BC108,55,FALSE),0)/LEFT($AX$7,FIND(" ",$AX$7))+_xlfn.IFNA(VLOOKUP(SUMPRODUCT(LARGE(($C$8:$C108=Table1[[#This Row],[Climber]])*$A$8:$A108,MIN(2,COUNTIFS($C$8:$C108,$C108)))),$A$8:$BC108,55,FALSE),0)/LEFT($AX$7,FIND(" ",$AX$7))+_xlfn.IFNA(VLOOKUP(SUMPRODUCT(LARGE(($C$8:$C108=Table1[[#This Row],[Climber]])*$A$8:$A108,MIN(3,COUNTIFS($C$8:$C108,$C108)))),$A$8:$BC108,55,FALSE),0)/LEFT($AX$7,FIND(" ",$AX$7))</f>
        <v>94.346888355178351</v>
      </c>
      <c r="BE108" s="6">
        <f ca="1">(_xlfn.IFNA(VLOOKUP(SUMPRODUCT(LARGE(($C$8:$C108=Table1[[#This Row],[Climber]])*$A$8:$A108,4)),$A$8:$BD108,55,FALSE),0)+_xlfn.IFNA(VLOOKUP(SUMPRODUCT(LARGE(($C$8:$C108=Table1[[#This Row],[Climber]])*$A$8:$A108,5)),$A$8:$BD108,55,FALSE),0)+_xlfn.IFNA(VLOOKUP(SUMPRODUCT(LARGE(($C$8:$C108=Table1[[#This Row],[Climber]])*$A$8:$A108,6)),$A$8:$BD108,55,FALSE),0))/3</f>
        <v>80.08014400280409</v>
      </c>
      <c r="BF108" s="46">
        <f ca="1">_xlfn.MAXIFS(INDIRECT("$BC"&amp;IF(SUMPRODUCT(LARGE(($C$8:$C108=$C108)*$A$8:$A108,LEFT($BA$7,FIND(" ",$BA$7)-1)))=0,8,SUMPRODUCT(LARGE(($C$8:$C108=$C108)*$A$8:$A108,LEFT($BA$7,FIND(" ",$BA$7)-1)))+7)&amp;":$BC"&amp;ROW()),INDIRECT("$C"&amp;IF(SUMPRODUCT(LARGE(($C$8:$C108=$C108)*$A$8:$A108,LEFT($BA$7,FIND(" ",$BA$7)-1)))=0,8,SUMPRODUCT(LARGE(($C$8:$C108=$C108)*$A$8:$A108,LEFT($BA$7,FIND(" ",$BA$7)-1)))+7)&amp;":$C"&amp;ROW()),$C108)</f>
        <v>105.11187305712281</v>
      </c>
      <c r="BG108" s="46">
        <f t="array" aca="1" ref="BG108" ca="1">IFERROR(SUMPRODUCT(LARGE(($C$8:$C108=Table1[[#This Row],[Climber]])*$AW$8:$AW108,ROW(INDIRECT("1:5")))),AW108)/MIN(COUNTIFS($C$8:$C108,C108),5)</f>
        <v>316.67197791417794</v>
      </c>
    </row>
    <row r="109" spans="1:59" x14ac:dyDescent="0.3">
      <c r="A109" s="125">
        <f t="shared" si="1"/>
        <v>102</v>
      </c>
      <c r="B109" s="25">
        <f>'Rock Climbing Log'!B109</f>
        <v>43219</v>
      </c>
      <c r="C109" s="126" t="str">
        <f>'Rock Climbing Log'!C109</f>
        <v>Edwin</v>
      </c>
      <c r="D109" s="26">
        <f>_xlfn.IFNA(IF(LEFT('Rock Climbing Log'!D109)="C",_xlfn.IFNA(VLOOKUP('Rock Climbing Log'!D109,'RC Lookup'!$A$3:$B$9,2,FALSE),0.5),VLOOKUP('Rock Climbing Log'!D109,'RC Lookup'!$G$3:$H$5,2,FALSE)),0)*VLOOKUP(D$7,'RC Lookup'!$D$3:$E$18,2,FALSE)</f>
        <v>0</v>
      </c>
      <c r="E109" s="26">
        <f>_xlfn.IFNA(IF(LEFT('Rock Climbing Log'!E109)="C",_xlfn.IFNA(VLOOKUP('Rock Climbing Log'!E109,'RC Lookup'!$A$3:$B$9,2,FALSE),0.5),VLOOKUP('Rock Climbing Log'!E109,'RC Lookup'!$G$3:$H$5,2,FALSE)),0)*VLOOKUP(D$7,'RC Lookup'!$D$3:$E$18,2,FALSE)</f>
        <v>0</v>
      </c>
      <c r="F109" s="26">
        <f>_xlfn.IFNA(IF(LEFT('Rock Climbing Log'!F109)="C",_xlfn.IFNA(VLOOKUP('Rock Climbing Log'!F109,'RC Lookup'!$A$3:$B$9,2,FALSE),0.5),VLOOKUP('Rock Climbing Log'!F109,'RC Lookup'!$G$3:$H$5,2,FALSE)),0)*VLOOKUP(D$7,'RC Lookup'!$D$3:$E$18,2,FALSE)</f>
        <v>0</v>
      </c>
      <c r="G109" s="26">
        <f>_xlfn.IFNA(IF(LEFT('Rock Climbing Log'!G109)="C",_xlfn.IFNA(VLOOKUP('Rock Climbing Log'!G109,'RC Lookup'!$A$3:$B$9,2,FALSE),0.5),VLOOKUP('Rock Climbing Log'!G109,'RC Lookup'!$G$3:$H$5,2,FALSE)),0)*VLOOKUP(G$7,'RC Lookup'!$D$3:$E$18,2,FALSE)</f>
        <v>0</v>
      </c>
      <c r="H109" s="26">
        <f>_xlfn.IFNA(IF(LEFT('Rock Climbing Log'!H109)="C",_xlfn.IFNA(VLOOKUP('Rock Climbing Log'!H109,'RC Lookup'!$A$3:$B$9,2,FALSE),0.5),VLOOKUP('Rock Climbing Log'!H109,'RC Lookup'!$G$3:$H$5,2,FALSE)),0)*VLOOKUP(G$7,'RC Lookup'!$D$3:$E$18,2,FALSE)</f>
        <v>0</v>
      </c>
      <c r="I109" s="26">
        <f>_xlfn.IFNA(IF(LEFT('Rock Climbing Log'!I109)="C",_xlfn.IFNA(VLOOKUP('Rock Climbing Log'!I109,'RC Lookup'!$A$3:$B$9,2,FALSE),0.5),VLOOKUP('Rock Climbing Log'!I109,'RC Lookup'!$G$3:$H$5,2,FALSE)),0)*VLOOKUP(G$7,'RC Lookup'!$D$3:$E$18,2,FALSE)</f>
        <v>0</v>
      </c>
      <c r="J109" s="26">
        <f>_xlfn.IFNA(IF(LEFT('Rock Climbing Log'!J109)="C",_xlfn.IFNA(VLOOKUP('Rock Climbing Log'!J109,'RC Lookup'!$A$3:$B$9,2,FALSE),0.5),VLOOKUP('Rock Climbing Log'!J109,'RC Lookup'!$G$3:$H$5,2,FALSE)),0)*VLOOKUP(J$7,'RC Lookup'!$D$3:$E$18,2,FALSE)</f>
        <v>0</v>
      </c>
      <c r="K109" s="26">
        <f>_xlfn.IFNA(IF(LEFT('Rock Climbing Log'!K109)="C",_xlfn.IFNA(VLOOKUP('Rock Climbing Log'!K109,'RC Lookup'!$A$3:$B$9,2,FALSE),0.5),VLOOKUP('Rock Climbing Log'!K109,'RC Lookup'!$G$3:$H$5,2,FALSE)),0)*VLOOKUP(J$7,'RC Lookup'!$D$3:$E$18,2,FALSE)</f>
        <v>0</v>
      </c>
      <c r="L109" s="26">
        <f>_xlfn.IFNA(IF(LEFT('Rock Climbing Log'!L109)="C",_xlfn.IFNA(VLOOKUP('Rock Climbing Log'!L109,'RC Lookup'!$A$3:$B$9,2,FALSE),0.5),VLOOKUP('Rock Climbing Log'!L109,'RC Lookup'!$G$3:$H$5,2,FALSE)),0)*VLOOKUP(J$7,'RC Lookup'!$D$3:$E$18,2,FALSE)</f>
        <v>0</v>
      </c>
      <c r="M109" s="26">
        <f>_xlfn.IFNA(IF(LEFT('Rock Climbing Log'!M109)="C",_xlfn.IFNA(VLOOKUP('Rock Climbing Log'!M109,'RC Lookup'!$A$3:$B$9,2,FALSE),0.5),VLOOKUP('Rock Climbing Log'!M109,'RC Lookup'!$G$3:$H$5,2,FALSE)),0)*VLOOKUP(M$7,'RC Lookup'!$D$3:$E$18,2,FALSE)</f>
        <v>0</v>
      </c>
      <c r="N109" s="26">
        <f>_xlfn.IFNA(IF(LEFT('Rock Climbing Log'!N109)="C",_xlfn.IFNA(VLOOKUP('Rock Climbing Log'!N109,'RC Lookup'!$A$3:$B$9,2,FALSE),0.5),VLOOKUP('Rock Climbing Log'!N109,'RC Lookup'!$G$3:$H$5,2,FALSE)),0)*VLOOKUP(M$7,'RC Lookup'!$D$3:$E$18,2,FALSE)</f>
        <v>0</v>
      </c>
      <c r="O109" s="26">
        <f>_xlfn.IFNA(IF(LEFT('Rock Climbing Log'!O109)="C",_xlfn.IFNA(VLOOKUP('Rock Climbing Log'!O109,'RC Lookup'!$A$3:$B$9,2,FALSE),0.5),VLOOKUP('Rock Climbing Log'!O109,'RC Lookup'!$G$3:$H$5,2,FALSE)),0)*VLOOKUP(M$7,'RC Lookup'!$D$3:$E$18,2,FALSE)</f>
        <v>0</v>
      </c>
      <c r="P109" s="26">
        <f>_xlfn.IFNA(IF(LEFT('Rock Climbing Log'!P109)="C",_xlfn.IFNA(VLOOKUP('Rock Climbing Log'!P109,'RC Lookup'!$A$3:$B$9,2,FALSE),0.5),VLOOKUP('Rock Climbing Log'!P109,'RC Lookup'!$G$3:$H$5,2,FALSE)),0)*VLOOKUP(P$7,'RC Lookup'!$D$3:$E$18,2,FALSE)</f>
        <v>0</v>
      </c>
      <c r="Q109" s="26">
        <f>_xlfn.IFNA(IF(LEFT('Rock Climbing Log'!Q109)="C",_xlfn.IFNA(VLOOKUP('Rock Climbing Log'!Q109,'RC Lookup'!$A$3:$B$9,2,FALSE),0.5),VLOOKUP('Rock Climbing Log'!Q109,'RC Lookup'!$G$3:$H$5,2,FALSE)),0)*VLOOKUP(P$7,'RC Lookup'!$D$3:$E$18,2,FALSE)</f>
        <v>0</v>
      </c>
      <c r="R109" s="26">
        <f>_xlfn.IFNA(IF(LEFT('Rock Climbing Log'!R109)="C",_xlfn.IFNA(VLOOKUP('Rock Climbing Log'!R109,'RC Lookup'!$A$3:$B$9,2,FALSE),0.5),VLOOKUP('Rock Climbing Log'!R109,'RC Lookup'!$G$3:$H$5,2,FALSE)),0)*VLOOKUP(P$7,'RC Lookup'!$D$3:$E$18,2,FALSE)</f>
        <v>0</v>
      </c>
      <c r="S109" s="26">
        <f>_xlfn.IFNA(IF(LEFT('Rock Climbing Log'!S109)="C",_xlfn.IFNA(VLOOKUP('Rock Climbing Log'!S109,'RC Lookup'!$A$3:$B$9,2,FALSE),0.5),VLOOKUP('Rock Climbing Log'!S109,'RC Lookup'!$G$3:$H$5,2,FALSE)),0)*VLOOKUP(S$7,'RC Lookup'!$D$3:$E$18,2,FALSE)</f>
        <v>0</v>
      </c>
      <c r="T109" s="26">
        <f>_xlfn.IFNA(IF(LEFT('Rock Climbing Log'!T109)="C",_xlfn.IFNA(VLOOKUP('Rock Climbing Log'!T109,'RC Lookup'!$A$3:$B$9,2,FALSE),0.5),VLOOKUP('Rock Climbing Log'!T109,'RC Lookup'!$G$3:$H$5,2,FALSE)),0)*VLOOKUP(S$7,'RC Lookup'!$D$3:$E$18,2,FALSE)</f>
        <v>0</v>
      </c>
      <c r="U109" s="26">
        <f>_xlfn.IFNA(IF(LEFT('Rock Climbing Log'!U109)="C",_xlfn.IFNA(VLOOKUP('Rock Climbing Log'!U109,'RC Lookup'!$A$3:$B$9,2,FALSE),0.5),VLOOKUP('Rock Climbing Log'!U109,'RC Lookup'!$G$3:$H$5,2,FALSE)),0)*VLOOKUP(S$7,'RC Lookup'!$D$3:$E$18,2,FALSE)</f>
        <v>0</v>
      </c>
      <c r="V109" s="26">
        <f>_xlfn.IFNA(IF(LEFT('Rock Climbing Log'!V109)="C",_xlfn.IFNA(VLOOKUP('Rock Climbing Log'!V109,'RC Lookup'!$A$3:$B$9,2,FALSE),0.5),VLOOKUP('Rock Climbing Log'!V109,'RC Lookup'!$G$3:$H$5,2,FALSE)),0)*VLOOKUP(V$7,'RC Lookup'!$D$3:$E$18,2,FALSE)</f>
        <v>35.256745742400021</v>
      </c>
      <c r="W109" s="26">
        <f>_xlfn.IFNA(IF(LEFT('Rock Climbing Log'!W109)="C",_xlfn.IFNA(VLOOKUP('Rock Climbing Log'!W109,'RC Lookup'!$A$3:$B$9,2,FALSE),0.5),VLOOKUP('Rock Climbing Log'!W109,'RC Lookup'!$G$3:$H$5,2,FALSE)),0)*VLOOKUP(V$7,'RC Lookup'!$D$3:$E$18,2,FALSE)</f>
        <v>0</v>
      </c>
      <c r="X109" s="26">
        <f>_xlfn.IFNA(IF(LEFT('Rock Climbing Log'!X109)="C",_xlfn.IFNA(VLOOKUP('Rock Climbing Log'!X109,'RC Lookup'!$A$3:$B$9,2,FALSE),0.5),VLOOKUP('Rock Climbing Log'!X109,'RC Lookup'!$G$3:$H$5,2,FALSE)),0)*VLOOKUP(V$7,'RC Lookup'!$D$3:$E$18,2,FALSE)</f>
        <v>0</v>
      </c>
      <c r="Y109" s="26">
        <f>_xlfn.IFNA(IF(LEFT('Rock Climbing Log'!Y109)="C",_xlfn.IFNA(VLOOKUP('Rock Climbing Log'!Y109,'RC Lookup'!$A$3:$B$9,2,FALSE),0.5),VLOOKUP('Rock Climbing Log'!Y109,'RC Lookup'!$G$3:$H$5,2,FALSE)),0)*VLOOKUP(Y$7,'RC Lookup'!$D$3:$E$18,2,FALSE)</f>
        <v>0</v>
      </c>
      <c r="Z109" s="26">
        <f>_xlfn.IFNA(IF(LEFT('Rock Climbing Log'!Z109)="C",_xlfn.IFNA(VLOOKUP('Rock Climbing Log'!Z109,'RC Lookup'!$A$3:$B$9,2,FALSE),0.5),VLOOKUP('Rock Climbing Log'!Z109,'RC Lookup'!$G$3:$H$5,2,FALSE)),0)*VLOOKUP(Y$7,'RC Lookup'!$D$3:$E$18,2,FALSE)</f>
        <v>0</v>
      </c>
      <c r="AA109" s="26">
        <f>_xlfn.IFNA(IF(LEFT('Rock Climbing Log'!AA109)="C",_xlfn.IFNA(VLOOKUP('Rock Climbing Log'!AA109,'RC Lookup'!$A$3:$B$9,2,FALSE),0.5),VLOOKUP('Rock Climbing Log'!AA109,'RC Lookup'!$G$3:$H$5,2,FALSE)),0)*VLOOKUP(Y$7,'RC Lookup'!$D$3:$E$18,2,FALSE)</f>
        <v>0</v>
      </c>
      <c r="AB109" s="26">
        <f>_xlfn.IFNA(IF(LEFT('Rock Climbing Log'!AB109)="C",_xlfn.IFNA(VLOOKUP('Rock Climbing Log'!AB109,'RC Lookup'!$A$3:$B$9,2,FALSE),0.5),VLOOKUP('Rock Climbing Log'!AB109,'RC Lookup'!$G$3:$H$5,2,FALSE)),0)*VLOOKUP(AB$7,'RC Lookup'!$D$3:$E$18,2,FALSE)</f>
        <v>0</v>
      </c>
      <c r="AC109" s="26">
        <f>_xlfn.IFNA(IF(LEFT('Rock Climbing Log'!AC109)="C",_xlfn.IFNA(VLOOKUP('Rock Climbing Log'!AC109,'RC Lookup'!$A$3:$B$9,2,FALSE),0.5),VLOOKUP('Rock Climbing Log'!AC109,'RC Lookup'!$G$3:$H$5,2,FALSE)),0)*VLOOKUP(AB$7,'RC Lookup'!$D$3:$E$18,2,FALSE)</f>
        <v>0</v>
      </c>
      <c r="AD109" s="26">
        <f>_xlfn.IFNA(IF(LEFT('Rock Climbing Log'!AD109)="C",_xlfn.IFNA(VLOOKUP('Rock Climbing Log'!AD109,'RC Lookup'!$A$3:$B$9,2,FALSE),0.5),VLOOKUP('Rock Climbing Log'!AD109,'RC Lookup'!$G$3:$H$5,2,FALSE)),0)*VLOOKUP(AB$7,'RC Lookup'!$D$3:$E$18,2,FALSE)</f>
        <v>0</v>
      </c>
      <c r="AE109" s="26">
        <f>_xlfn.IFNA(IF(LEFT('Rock Climbing Log'!AE109)="C",_xlfn.IFNA(VLOOKUP('Rock Climbing Log'!AE109,'RC Lookup'!$A$3:$B$9,2,FALSE),0.5),VLOOKUP('Rock Climbing Log'!AE109,'RC Lookup'!$G$3:$H$5,2,FALSE)),0)*VLOOKUP(AE$7,'RC Lookup'!$D$3:$E$18,2,FALSE)</f>
        <v>40.075181548895415</v>
      </c>
      <c r="AF109" s="26">
        <f>_xlfn.IFNA(IF(LEFT('Rock Climbing Log'!AF109)="C",_xlfn.IFNA(VLOOKUP('Rock Climbing Log'!AF109,'RC Lookup'!$A$3:$B$9,2,FALSE),0.5),VLOOKUP('Rock Climbing Log'!AF109,'RC Lookup'!$G$3:$H$5,2,FALSE)),0)*VLOOKUP(AE$7,'RC Lookup'!$D$3:$E$18,2,FALSE)</f>
        <v>33.933835923466447</v>
      </c>
      <c r="AG109" s="26">
        <f>_xlfn.IFNA(IF(LEFT('Rock Climbing Log'!AG109)="C",_xlfn.IFNA(VLOOKUP('Rock Climbing Log'!AG109,'RC Lookup'!$A$3:$B$9,2,FALSE),0.5),VLOOKUP('Rock Climbing Log'!AG109,'RC Lookup'!$G$3:$H$5,2,FALSE)),0)*VLOOKUP(AE$7,'RC Lookup'!$D$3:$E$18,2,FALSE)</f>
        <v>33.933835923466447</v>
      </c>
      <c r="AH109" s="26">
        <f>_xlfn.IFNA(IF(LEFT('Rock Climbing Log'!AH109)="C",_xlfn.IFNA(VLOOKUP('Rock Climbing Log'!AH109,'RC Lookup'!$A$3:$B$9,2,FALSE),0.5),VLOOKUP('Rock Climbing Log'!AH109,'RC Lookup'!$G$3:$H$5,2,FALSE)),0)*VLOOKUP(AH$7,'RC Lookup'!$D$3:$E$18,2,FALSE)</f>
        <v>0</v>
      </c>
      <c r="AI109" s="26">
        <f>_xlfn.IFNA(IF(LEFT('Rock Climbing Log'!AI109)="C",_xlfn.IFNA(VLOOKUP('Rock Climbing Log'!AI109,'RC Lookup'!$A$3:$B$9,2,FALSE),0.5),VLOOKUP('Rock Climbing Log'!AI109,'RC Lookup'!$G$3:$H$5,2,FALSE)),0)*VLOOKUP(AH$7,'RC Lookup'!$D$3:$E$18,2,FALSE)</f>
        <v>0</v>
      </c>
      <c r="AJ109" s="26">
        <f>_xlfn.IFNA(IF(LEFT('Rock Climbing Log'!AJ109)="C",_xlfn.IFNA(VLOOKUP('Rock Climbing Log'!AJ109,'RC Lookup'!$A$3:$B$9,2,FALSE),0.5),VLOOKUP('Rock Climbing Log'!AJ109,'RC Lookup'!$G$3:$H$5,2,FALSE)),0)*VLOOKUP(AH$7,'RC Lookup'!$D$3:$E$18,2,FALSE)</f>
        <v>0</v>
      </c>
      <c r="AK109" s="26">
        <f>_xlfn.IFNA(IF(LEFT('Rock Climbing Log'!AK109)="C",_xlfn.IFNA(VLOOKUP('Rock Climbing Log'!AK109,'RC Lookup'!$A$3:$B$9,2,FALSE),0.5),VLOOKUP('Rock Climbing Log'!AK109,'RC Lookup'!$G$3:$H$5,2,FALSE)),0)*VLOOKUP(AK$7,'RC Lookup'!$D$3:$E$18,2,FALSE)</f>
        <v>0</v>
      </c>
      <c r="AL109" s="26">
        <f>_xlfn.IFNA(IF(LEFT('Rock Climbing Log'!AL109)="C",_xlfn.IFNA(VLOOKUP('Rock Climbing Log'!AL109,'RC Lookup'!$A$3:$B$9,2,FALSE),0.5),VLOOKUP('Rock Climbing Log'!AL109,'RC Lookup'!$G$3:$H$5,2,FALSE)),0)*VLOOKUP(AK$7,'RC Lookup'!$D$3:$E$18,2,FALSE)</f>
        <v>0</v>
      </c>
      <c r="AM109" s="26">
        <f>_xlfn.IFNA(IF(LEFT('Rock Climbing Log'!AM109)="C",_xlfn.IFNA(VLOOKUP('Rock Climbing Log'!AM109,'RC Lookup'!$A$3:$B$9,2,FALSE),0.5),VLOOKUP('Rock Climbing Log'!AM109,'RC Lookup'!$G$3:$H$5,2,FALSE)),0)*VLOOKUP(AK$7,'RC Lookup'!$D$3:$E$18,2,FALSE)</f>
        <v>0</v>
      </c>
      <c r="AN109" s="26">
        <f>_xlfn.IFNA(IF(LEFT('Rock Climbing Log'!AN109)="C",_xlfn.IFNA(VLOOKUP('Rock Climbing Log'!AN109,'RC Lookup'!$A$3:$B$9,2,FALSE),0.5),VLOOKUP('Rock Climbing Log'!AN109,'RC Lookup'!$G$3:$H$5,2,FALSE)),0)*VLOOKUP(AN$7,'RC Lookup'!$D$3:$E$18,2,FALSE)</f>
        <v>0</v>
      </c>
      <c r="AO109" s="26">
        <f>_xlfn.IFNA(IF(LEFT('Rock Climbing Log'!AO109)="C",_xlfn.IFNA(VLOOKUP('Rock Climbing Log'!AO109,'RC Lookup'!$A$3:$B$9,2,FALSE),0.5),VLOOKUP('Rock Climbing Log'!AO109,'RC Lookup'!$G$3:$H$5,2,FALSE)),0)*VLOOKUP(AN$7,'RC Lookup'!$D$3:$E$18,2,FALSE)</f>
        <v>0</v>
      </c>
      <c r="AP109" s="26">
        <f>_xlfn.IFNA(IF(LEFT('Rock Climbing Log'!AP109)="C",_xlfn.IFNA(VLOOKUP('Rock Climbing Log'!AP109,'RC Lookup'!$A$3:$B$9,2,FALSE),0.5),VLOOKUP('Rock Climbing Log'!AP109,'RC Lookup'!$G$3:$H$5,2,FALSE)),0)*VLOOKUP(AN$7,'RC Lookup'!$D$3:$E$18,2,FALSE)</f>
        <v>0</v>
      </c>
      <c r="AQ109" s="26">
        <f>_xlfn.IFNA(IF(LEFT('Rock Climbing Log'!AQ109)="C",_xlfn.IFNA(VLOOKUP('Rock Climbing Log'!AQ109,'RC Lookup'!$A$3:$B$9,2,FALSE),0.5),VLOOKUP('Rock Climbing Log'!AQ109,'RC Lookup'!$G$3:$H$5,2,FALSE)),0)*VLOOKUP(AQ$7,'RC Lookup'!$D$3:$E$18,2,FALSE)</f>
        <v>0</v>
      </c>
      <c r="AR109" s="26">
        <f>_xlfn.IFNA(IF(LEFT('Rock Climbing Log'!AR109)="C",_xlfn.IFNA(VLOOKUP('Rock Climbing Log'!AR109,'RC Lookup'!$A$3:$B$9,2,FALSE),0.5),VLOOKUP('Rock Climbing Log'!AR109,'RC Lookup'!$G$3:$H$5,2,FALSE)),0)*VLOOKUP(AQ$7,'RC Lookup'!$D$3:$E$18,2,FALSE)</f>
        <v>0</v>
      </c>
      <c r="AS109" s="26">
        <f>_xlfn.IFNA(IF(LEFT('Rock Climbing Log'!AS109)="C",_xlfn.IFNA(VLOOKUP('Rock Climbing Log'!AS109,'RC Lookup'!$A$3:$B$9,2,FALSE),0.5),VLOOKUP('Rock Climbing Log'!AS109,'RC Lookup'!$G$3:$H$5,2,FALSE)),0)*VLOOKUP(AQ$7,'RC Lookup'!$D$3:$E$18,2,FALSE)</f>
        <v>0</v>
      </c>
      <c r="AT109" s="26">
        <f>_xlfn.IFNA(IF(LEFT('Rock Climbing Log'!AT109)="C",_xlfn.IFNA(VLOOKUP('Rock Climbing Log'!AT109,'RC Lookup'!$A$3:$B$9,2,FALSE),0.5),VLOOKUP('Rock Climbing Log'!AT109,'RC Lookup'!$G$3:$H$5,2,FALSE)),0)*VLOOKUP(AT$7,'RC Lookup'!$D$3:$E$18,2,FALSE)</f>
        <v>0</v>
      </c>
      <c r="AU109" s="26">
        <f>_xlfn.IFNA(IF(LEFT('Rock Climbing Log'!AU109)="C",_xlfn.IFNA(VLOOKUP('Rock Climbing Log'!AU109,'RC Lookup'!$A$3:$B$9,2,FALSE),0.5),VLOOKUP('Rock Climbing Log'!AU109,'RC Lookup'!$G$3:$H$5,2,FALSE)),0)*VLOOKUP(AT$7,'RC Lookup'!$D$3:$E$18,2,FALSE)</f>
        <v>0</v>
      </c>
      <c r="AV109" s="26">
        <f>_xlfn.IFNA(IF(LEFT('Rock Climbing Log'!AV109)="C",_xlfn.IFNA(VLOOKUP('Rock Climbing Log'!AV109,'RC Lookup'!$A$3:$B$9,2,FALSE),0.5),VLOOKUP('Rock Climbing Log'!AV109,'RC Lookup'!$G$3:$H$5,2,FALSE)),0)*VLOOKUP(AT$7,'RC Lookup'!$D$3:$E$18,2,FALSE)</f>
        <v>0</v>
      </c>
      <c r="AW109" s="30">
        <f t="shared" ca="1" si="4"/>
        <v>109.26576321476189</v>
      </c>
      <c r="AX109" s="30">
        <f ca="1">_xlfn.IFNA(VLOOKUP(SUMPRODUCT(LARGE(($C$8:$C109=Table1[[#This Row],[Climber]])*$A$8:$A109,1)),$A$8:$AW109,MATCH($AW$7,$A$7:$AW$7,FALSE),FALSE),0)/LEFT($AX$7,FIND(" ",$AX$7))+_xlfn.IFNA(VLOOKUP(SUMPRODUCT(LARGE(($C$8:$C109=Table1[[#This Row],[Climber]])*$A$8:$A109,MIN(2,COUNTIFS($C$8:$C109,$C109)))),$A$8:$AW109,MATCH($AW$7,$A$7:$AW$7,FALSE),FALSE),0)/LEFT($AX$7,FIND(" ",$AX$7))+_xlfn.IFNA(VLOOKUP(SUMPRODUCT(LARGE(($C$8:$C109=Table1[[#This Row],[Climber]])*$A$8:$A109,MIN(3,COUNTIFS($C$8:$C109,$C109)))),$A$8:$AW109,MATCH($AW$7,$A$7:$AW$7,FALSE),FALSE),0)/LEFT($AX$7,FIND(" ",$AX$7))</f>
        <v>122.46598792488274</v>
      </c>
      <c r="AY109" s="30">
        <f ca="1">_xlfn.IFNA(VLOOKUP(SUMPRODUCT(LARGE(($C$8:$C109=Table1[[#This Row],[Climber]])*$A$8:$A109,1)),$A$8:$AW109,MATCH($AW$7,$A$7:$AW$7,FALSE),FALSE),0)/LEFT($AY$7,FIND(" ",$AY$7))+_xlfn.IFNA(VLOOKUP(SUMPRODUCT(LARGE(($C$8:$C109=Table1[[#This Row],[Climber]])*$A$8:$A109,MIN(2,COUNTIFS($C$8:$C109,$C109)))),$A$8:$AW109,MATCH($AW$7,$A$7:$AW$7,FALSE),FALSE),0)/LEFT($AY$7,FIND(" ",$AY$7))+_xlfn.IFNA(VLOOKUP(SUMPRODUCT(LARGE(($C$8:$C109=Table1[[#This Row],[Climber]])*$A$8:$A109,MIN(3,COUNTIFS($C$8:$C109,$C109)))),$A$8:$AW109,MATCH($AW$7,$A$7:$AW$7,FALSE),FALSE),0)/LEFT($AY$7,FIND(" ",$AY$7))+_xlfn.IFNA(VLOOKUP(SUMPRODUCT(LARGE(($C$8:$C109=Table1[[#This Row],[Climber]])*$A$8:$A109,MIN(4,COUNTIFS($C$8:$C109,$C109)))),$A$8:$AW109,MATCH($AW$7,$A$7:$AW$7,FALSE),FALSE),0)/LEFT($AY$7,FIND(" ",$AY$7))+_xlfn.IFNA(VLOOKUP(SUMPRODUCT(LARGE(($C$8:$C109=Table1[[#This Row],[Climber]])*$A$8:$A109,MIN(5,COUNTIFS($C$8:$C109,$C109)))),$A$8:$AW109,MATCH($AW$7,$A$7:$AW$7,FALSE),FALSE),0)/LEFT($AY$7,FIND(" ",$AY$7))</f>
        <v>121.28517297824388</v>
      </c>
      <c r="AZ109" s="30">
        <f ca="1">(_xlfn.IFNA(VLOOKUP(SUMPRODUCT(LARGE(($C$8:$C109=Table1[[#This Row],[Climber]])*$A$8:$A109,4)),$A$8:$AW109,MATCH($AW$7,$A$7:$AW$7,FALSE),FALSE),0)+_xlfn.IFNA(VLOOKUP(SUMPRODUCT(LARGE(($C$8:$C109=Table1[[#This Row],[Climber]])*$A$8:$A109,5)),$A$8:$AW109,MATCH($AW$7,$A$7:$AW$7,FALSE),FALSE),0)+_xlfn.IFNA(VLOOKUP(SUMPRODUCT(LARGE(($C$8:$C109=Table1[[#This Row],[Climber]])*$A$8:$A109,6)),$A$8:$AW109,MATCH($AW$7,$A$7:$AW$7,FALSE),FALSE),0))/3</f>
        <v>117.52316551744222</v>
      </c>
      <c r="BA109" s="46">
        <f ca="1">_xlfn.MAXIFS(INDIRECT("$AW"&amp;IF(SUMPRODUCT(LARGE(($C$8:$C109=$C109)*$A$8:$A109,LEFT($BA$7,FIND(" ",$BA$7)-1)))=0,8,SUMPRODUCT(LARGE(($C$8:$C109=$C109)*$A$8:$A109,LEFT($BA$7,FIND(" ",$BA$7)-1)))+7)&amp;":$AW"&amp;ROW()),INDIRECT("$C"&amp;IF(SUMPRODUCT(LARGE(($C$8:$C109=$C109)*$A$8:$A109,LEFT($BA$7,FIND(" ",$BA$7)-1)))=0,8,SUMPRODUCT(LARGE(($C$8:$C109=$C109)*$A$8:$A109,LEFT($BA$7,FIND(" ",$BA$7)-1)))+7)&amp;":$C"&amp;ROW()),$C109)</f>
        <v>133.81949581994093</v>
      </c>
      <c r="BB109" s="46" t="str">
        <f ca="1">VLOOKUP(MAX(BG109,$AX109),'RC Lookup'!$G$14:$J$20,2,TRUE)</f>
        <v>T3</v>
      </c>
      <c r="BC109" s="46">
        <f ca="1">_xlfn.IFNA(VLOOKUP(VLOOKUP($C109,'RC Lookup'!$O$3:$P$50,2,FALSE),'RC Lookup'!$H$14:$J$23,2,FALSE),0)*AW109</f>
        <v>83.851322634943742</v>
      </c>
      <c r="BD109" s="6">
        <f ca="1">_xlfn.IFNA(VLOOKUP(SUMPRODUCT(LARGE(($C$8:$C109=Table1[[#This Row],[Climber]])*$A$8:$A109,1)),$A$8:$BC109,55,FALSE),0)/LEFT($AX$7,FIND(" ",$AX$7))+_xlfn.IFNA(VLOOKUP(SUMPRODUCT(LARGE(($C$8:$C109=Table1[[#This Row],[Climber]])*$A$8:$A109,MIN(2,COUNTIFS($C$8:$C109,$C109)))),$A$8:$BC109,55,FALSE),0)/LEFT($AX$7,FIND(" ",$AX$7))+_xlfn.IFNA(VLOOKUP(SUMPRODUCT(LARGE(($C$8:$C109=Table1[[#This Row],[Climber]])*$A$8:$A109,MIN(3,COUNTIFS($C$8:$C109,$C109)))),$A$8:$BC109,55,FALSE),0)/LEFT($AX$7,FIND(" ",$AX$7))</f>
        <v>93.981268818054843</v>
      </c>
      <c r="BE109" s="6">
        <f ca="1">(_xlfn.IFNA(VLOOKUP(SUMPRODUCT(LARGE(($C$8:$C109=Table1[[#This Row],[Climber]])*$A$8:$A109,4)),$A$8:$BD109,55,FALSE),0)+_xlfn.IFNA(VLOOKUP(SUMPRODUCT(LARGE(($C$8:$C109=Table1[[#This Row],[Climber]])*$A$8:$A109,5)),$A$8:$BD109,55,FALSE),0)+_xlfn.IFNA(VLOOKUP(SUMPRODUCT(LARGE(($C$8:$C109=Table1[[#This Row],[Climber]])*$A$8:$A109,6)),$A$8:$BD109,55,FALSE),0))/3</f>
        <v>90.188111801443014</v>
      </c>
      <c r="BF109" s="46">
        <f ca="1">_xlfn.MAXIFS(INDIRECT("$BC"&amp;IF(SUMPRODUCT(LARGE(($C$8:$C109=$C109)*$A$8:$A109,LEFT($BA$7,FIND(" ",$BA$7)-1)))=0,8,SUMPRODUCT(LARGE(($C$8:$C109=$C109)*$A$8:$A109,LEFT($BA$7,FIND(" ",$BA$7)-1)))+7)&amp;":$BC"&amp;ROW()),INDIRECT("$C"&amp;IF(SUMPRODUCT(LARGE(($C$8:$C109=$C109)*$A$8:$A109,LEFT($BA$7,FIND(" ",$BA$7)-1)))=0,8,SUMPRODUCT(LARGE(($C$8:$C109=$C109)*$A$8:$A109,LEFT($BA$7,FIND(" ",$BA$7)-1)))+7)&amp;":$C"&amp;ROW()),$C109)</f>
        <v>102.69403140294374</v>
      </c>
      <c r="BG109" s="46">
        <f t="array" aca="1" ref="BG109" ca="1">IFERROR(SUMPRODUCT(LARGE(($C$8:$C109=Table1[[#This Row],[Climber]])*$AW$8:$AW109,ROW(INDIRECT("1:5")))),AW109)/MIN(COUNTIFS($C$8:$C109,C109),5)</f>
        <v>126.60322856537815</v>
      </c>
    </row>
    <row r="110" spans="1:59" x14ac:dyDescent="0.3">
      <c r="A110" s="125">
        <f t="shared" si="1"/>
        <v>103</v>
      </c>
      <c r="B110" s="25">
        <f>'Rock Climbing Log'!B110</f>
        <v>43219</v>
      </c>
      <c r="C110" s="126" t="str">
        <f>'Rock Climbing Log'!C110</f>
        <v>Angel</v>
      </c>
      <c r="D110" s="26">
        <f>_xlfn.IFNA(IF(LEFT('Rock Climbing Log'!D110)="C",_xlfn.IFNA(VLOOKUP('Rock Climbing Log'!D110,'RC Lookup'!$A$3:$B$9,2,FALSE),0.5),VLOOKUP('Rock Climbing Log'!D110,'RC Lookup'!$G$3:$H$5,2,FALSE)),0)*VLOOKUP(D$7,'RC Lookup'!$D$3:$E$18,2,FALSE)</f>
        <v>0</v>
      </c>
      <c r="E110" s="26">
        <f>_xlfn.IFNA(IF(LEFT('Rock Climbing Log'!E110)="C",_xlfn.IFNA(VLOOKUP('Rock Climbing Log'!E110,'RC Lookup'!$A$3:$B$9,2,FALSE),0.5),VLOOKUP('Rock Climbing Log'!E110,'RC Lookup'!$G$3:$H$5,2,FALSE)),0)*VLOOKUP(D$7,'RC Lookup'!$D$3:$E$18,2,FALSE)</f>
        <v>0</v>
      </c>
      <c r="F110" s="26">
        <f>_xlfn.IFNA(IF(LEFT('Rock Climbing Log'!F110)="C",_xlfn.IFNA(VLOOKUP('Rock Climbing Log'!F110,'RC Lookup'!$A$3:$B$9,2,FALSE),0.5),VLOOKUP('Rock Climbing Log'!F110,'RC Lookup'!$G$3:$H$5,2,FALSE)),0)*VLOOKUP(D$7,'RC Lookup'!$D$3:$E$18,2,FALSE)</f>
        <v>0</v>
      </c>
      <c r="G110" s="26">
        <f>_xlfn.IFNA(IF(LEFT('Rock Climbing Log'!G110)="C",_xlfn.IFNA(VLOOKUP('Rock Climbing Log'!G110,'RC Lookup'!$A$3:$B$9,2,FALSE),0.5),VLOOKUP('Rock Climbing Log'!G110,'RC Lookup'!$G$3:$H$5,2,FALSE)),0)*VLOOKUP(G$7,'RC Lookup'!$D$3:$E$18,2,FALSE)</f>
        <v>0</v>
      </c>
      <c r="H110" s="26">
        <f>_xlfn.IFNA(IF(LEFT('Rock Climbing Log'!H110)="C",_xlfn.IFNA(VLOOKUP('Rock Climbing Log'!H110,'RC Lookup'!$A$3:$B$9,2,FALSE),0.5),VLOOKUP('Rock Climbing Log'!H110,'RC Lookup'!$G$3:$H$5,2,FALSE)),0)*VLOOKUP(G$7,'RC Lookup'!$D$3:$E$18,2,FALSE)</f>
        <v>0</v>
      </c>
      <c r="I110" s="26">
        <f>_xlfn.IFNA(IF(LEFT('Rock Climbing Log'!I110)="C",_xlfn.IFNA(VLOOKUP('Rock Climbing Log'!I110,'RC Lookup'!$A$3:$B$9,2,FALSE),0.5),VLOOKUP('Rock Climbing Log'!I110,'RC Lookup'!$G$3:$H$5,2,FALSE)),0)*VLOOKUP(G$7,'RC Lookup'!$D$3:$E$18,2,FALSE)</f>
        <v>0</v>
      </c>
      <c r="J110" s="26">
        <f>_xlfn.IFNA(IF(LEFT('Rock Climbing Log'!J110)="C",_xlfn.IFNA(VLOOKUP('Rock Climbing Log'!J110,'RC Lookup'!$A$3:$B$9,2,FALSE),0.5),VLOOKUP('Rock Climbing Log'!J110,'RC Lookup'!$G$3:$H$5,2,FALSE)),0)*VLOOKUP(J$7,'RC Lookup'!$D$3:$E$18,2,FALSE)</f>
        <v>0</v>
      </c>
      <c r="K110" s="26">
        <f>_xlfn.IFNA(IF(LEFT('Rock Climbing Log'!K110)="C",_xlfn.IFNA(VLOOKUP('Rock Climbing Log'!K110,'RC Lookup'!$A$3:$B$9,2,FALSE),0.5),VLOOKUP('Rock Climbing Log'!K110,'RC Lookup'!$G$3:$H$5,2,FALSE)),0)*VLOOKUP(J$7,'RC Lookup'!$D$3:$E$18,2,FALSE)</f>
        <v>0</v>
      </c>
      <c r="L110" s="26">
        <f>_xlfn.IFNA(IF(LEFT('Rock Climbing Log'!L110)="C",_xlfn.IFNA(VLOOKUP('Rock Climbing Log'!L110,'RC Lookup'!$A$3:$B$9,2,FALSE),0.5),VLOOKUP('Rock Climbing Log'!L110,'RC Lookup'!$G$3:$H$5,2,FALSE)),0)*VLOOKUP(J$7,'RC Lookup'!$D$3:$E$18,2,FALSE)</f>
        <v>0</v>
      </c>
      <c r="M110" s="26">
        <f>_xlfn.IFNA(IF(LEFT('Rock Climbing Log'!M110)="C",_xlfn.IFNA(VLOOKUP('Rock Climbing Log'!M110,'RC Lookup'!$A$3:$B$9,2,FALSE),0.5),VLOOKUP('Rock Climbing Log'!M110,'RC Lookup'!$G$3:$H$5,2,FALSE)),0)*VLOOKUP(M$7,'RC Lookup'!$D$3:$E$18,2,FALSE)</f>
        <v>0</v>
      </c>
      <c r="N110" s="26">
        <f>_xlfn.IFNA(IF(LEFT('Rock Climbing Log'!N110)="C",_xlfn.IFNA(VLOOKUP('Rock Climbing Log'!N110,'RC Lookup'!$A$3:$B$9,2,FALSE),0.5),VLOOKUP('Rock Climbing Log'!N110,'RC Lookup'!$G$3:$H$5,2,FALSE)),0)*VLOOKUP(M$7,'RC Lookup'!$D$3:$E$18,2,FALSE)</f>
        <v>0</v>
      </c>
      <c r="O110" s="26">
        <f>_xlfn.IFNA(IF(LEFT('Rock Climbing Log'!O110)="C",_xlfn.IFNA(VLOOKUP('Rock Climbing Log'!O110,'RC Lookup'!$A$3:$B$9,2,FALSE),0.5),VLOOKUP('Rock Climbing Log'!O110,'RC Lookup'!$G$3:$H$5,2,FALSE)),0)*VLOOKUP(M$7,'RC Lookup'!$D$3:$E$18,2,FALSE)</f>
        <v>0</v>
      </c>
      <c r="P110" s="26">
        <f>_xlfn.IFNA(IF(LEFT('Rock Climbing Log'!P110)="C",_xlfn.IFNA(VLOOKUP('Rock Climbing Log'!P110,'RC Lookup'!$A$3:$B$9,2,FALSE),0.5),VLOOKUP('Rock Climbing Log'!P110,'RC Lookup'!$G$3:$H$5,2,FALSE)),0)*VLOOKUP(P$7,'RC Lookup'!$D$3:$E$18,2,FALSE)</f>
        <v>0</v>
      </c>
      <c r="Q110" s="26">
        <f>_xlfn.IFNA(IF(LEFT('Rock Climbing Log'!Q110)="C",_xlfn.IFNA(VLOOKUP('Rock Climbing Log'!Q110,'RC Lookup'!$A$3:$B$9,2,FALSE),0.5),VLOOKUP('Rock Climbing Log'!Q110,'RC Lookup'!$G$3:$H$5,2,FALSE)),0)*VLOOKUP(P$7,'RC Lookup'!$D$3:$E$18,2,FALSE)</f>
        <v>0</v>
      </c>
      <c r="R110" s="26">
        <f>_xlfn.IFNA(IF(LEFT('Rock Climbing Log'!R110)="C",_xlfn.IFNA(VLOOKUP('Rock Climbing Log'!R110,'RC Lookup'!$A$3:$B$9,2,FALSE),0.5),VLOOKUP('Rock Climbing Log'!R110,'RC Lookup'!$G$3:$H$5,2,FALSE)),0)*VLOOKUP(P$7,'RC Lookup'!$D$3:$E$18,2,FALSE)</f>
        <v>0</v>
      </c>
      <c r="S110" s="26">
        <f>_xlfn.IFNA(IF(LEFT('Rock Climbing Log'!S110)="C",_xlfn.IFNA(VLOOKUP('Rock Climbing Log'!S110,'RC Lookup'!$A$3:$B$9,2,FALSE),0.5),VLOOKUP('Rock Climbing Log'!S110,'RC Lookup'!$G$3:$H$5,2,FALSE)),0)*VLOOKUP(S$7,'RC Lookup'!$D$3:$E$18,2,FALSE)</f>
        <v>0</v>
      </c>
      <c r="T110" s="26">
        <f>_xlfn.IFNA(IF(LEFT('Rock Climbing Log'!T110)="C",_xlfn.IFNA(VLOOKUP('Rock Climbing Log'!T110,'RC Lookup'!$A$3:$B$9,2,FALSE),0.5),VLOOKUP('Rock Climbing Log'!T110,'RC Lookup'!$G$3:$H$5,2,FALSE)),0)*VLOOKUP(S$7,'RC Lookup'!$D$3:$E$18,2,FALSE)</f>
        <v>0</v>
      </c>
      <c r="U110" s="26">
        <f>_xlfn.IFNA(IF(LEFT('Rock Climbing Log'!U110)="C",_xlfn.IFNA(VLOOKUP('Rock Climbing Log'!U110,'RC Lookup'!$A$3:$B$9,2,FALSE),0.5),VLOOKUP('Rock Climbing Log'!U110,'RC Lookup'!$G$3:$H$5,2,FALSE)),0)*VLOOKUP(S$7,'RC Lookup'!$D$3:$E$18,2,FALSE)</f>
        <v>0</v>
      </c>
      <c r="V110" s="26">
        <f>_xlfn.IFNA(IF(LEFT('Rock Climbing Log'!V110)="C",_xlfn.IFNA(VLOOKUP('Rock Climbing Log'!V110,'RC Lookup'!$A$3:$B$9,2,FALSE),0.5),VLOOKUP('Rock Climbing Log'!V110,'RC Lookup'!$G$3:$H$5,2,FALSE)),0)*VLOOKUP(V$7,'RC Lookup'!$D$3:$E$18,2,FALSE)</f>
        <v>35.256745742400021</v>
      </c>
      <c r="W110" s="26">
        <f>_xlfn.IFNA(IF(LEFT('Rock Climbing Log'!W110)="C",_xlfn.IFNA(VLOOKUP('Rock Climbing Log'!W110,'RC Lookup'!$A$3:$B$9,2,FALSE),0.5),VLOOKUP('Rock Climbing Log'!W110,'RC Lookup'!$G$3:$H$5,2,FALSE)),0)*VLOOKUP(V$7,'RC Lookup'!$D$3:$E$18,2,FALSE)</f>
        <v>0</v>
      </c>
      <c r="X110" s="26">
        <f>_xlfn.IFNA(IF(LEFT('Rock Climbing Log'!X110)="C",_xlfn.IFNA(VLOOKUP('Rock Climbing Log'!X110,'RC Lookup'!$A$3:$B$9,2,FALSE),0.5),VLOOKUP('Rock Climbing Log'!X110,'RC Lookup'!$G$3:$H$5,2,FALSE)),0)*VLOOKUP(V$7,'RC Lookup'!$D$3:$E$18,2,FALSE)</f>
        <v>0</v>
      </c>
      <c r="Y110" s="26">
        <f>_xlfn.IFNA(IF(LEFT('Rock Climbing Log'!Y110)="C",_xlfn.IFNA(VLOOKUP('Rock Climbing Log'!Y110,'RC Lookup'!$A$3:$B$9,2,FALSE),0.5),VLOOKUP('Rock Climbing Log'!Y110,'RC Lookup'!$G$3:$H$5,2,FALSE)),0)*VLOOKUP(Y$7,'RC Lookup'!$D$3:$E$18,2,FALSE)</f>
        <v>0</v>
      </c>
      <c r="Z110" s="26">
        <f>_xlfn.IFNA(IF(LEFT('Rock Climbing Log'!Z110)="C",_xlfn.IFNA(VLOOKUP('Rock Climbing Log'!Z110,'RC Lookup'!$A$3:$B$9,2,FALSE),0.5),VLOOKUP('Rock Climbing Log'!Z110,'RC Lookup'!$G$3:$H$5,2,FALSE)),0)*VLOOKUP(Y$7,'RC Lookup'!$D$3:$E$18,2,FALSE)</f>
        <v>0</v>
      </c>
      <c r="AA110" s="26">
        <f>_xlfn.IFNA(IF(LEFT('Rock Climbing Log'!AA110)="C",_xlfn.IFNA(VLOOKUP('Rock Climbing Log'!AA110,'RC Lookup'!$A$3:$B$9,2,FALSE),0.5),VLOOKUP('Rock Climbing Log'!AA110,'RC Lookup'!$G$3:$H$5,2,FALSE)),0)*VLOOKUP(Y$7,'RC Lookup'!$D$3:$E$18,2,FALSE)</f>
        <v>0</v>
      </c>
      <c r="AB110" s="26">
        <f>_xlfn.IFNA(IF(LEFT('Rock Climbing Log'!AB110)="C",_xlfn.IFNA(VLOOKUP('Rock Climbing Log'!AB110,'RC Lookup'!$A$3:$B$9,2,FALSE),0.5),VLOOKUP('Rock Climbing Log'!AB110,'RC Lookup'!$G$3:$H$5,2,FALSE)),0)*VLOOKUP(AB$7,'RC Lookup'!$D$3:$E$18,2,FALSE)</f>
        <v>0</v>
      </c>
      <c r="AC110" s="26">
        <f>_xlfn.IFNA(IF(LEFT('Rock Climbing Log'!AC110)="C",_xlfn.IFNA(VLOOKUP('Rock Climbing Log'!AC110,'RC Lookup'!$A$3:$B$9,2,FALSE),0.5),VLOOKUP('Rock Climbing Log'!AC110,'RC Lookup'!$G$3:$H$5,2,FALSE)),0)*VLOOKUP(AB$7,'RC Lookup'!$D$3:$E$18,2,FALSE)</f>
        <v>0</v>
      </c>
      <c r="AD110" s="26">
        <f>_xlfn.IFNA(IF(LEFT('Rock Climbing Log'!AD110)="C",_xlfn.IFNA(VLOOKUP('Rock Climbing Log'!AD110,'RC Lookup'!$A$3:$B$9,2,FALSE),0.5),VLOOKUP('Rock Climbing Log'!AD110,'RC Lookup'!$G$3:$H$5,2,FALSE)),0)*VLOOKUP(AB$7,'RC Lookup'!$D$3:$E$18,2,FALSE)</f>
        <v>0</v>
      </c>
      <c r="AE110" s="26">
        <f>_xlfn.IFNA(IF(LEFT('Rock Climbing Log'!AE110)="C",_xlfn.IFNA(VLOOKUP('Rock Climbing Log'!AE110,'RC Lookup'!$A$3:$B$9,2,FALSE),0.5),VLOOKUP('Rock Climbing Log'!AE110,'RC Lookup'!$G$3:$H$5,2,FALSE)),0)*VLOOKUP(AE$7,'RC Lookup'!$D$3:$E$18,2,FALSE)</f>
        <v>54.972814196015648</v>
      </c>
      <c r="AF110" s="26">
        <f>_xlfn.IFNA(IF(LEFT('Rock Climbing Log'!AF110)="C",_xlfn.IFNA(VLOOKUP('Rock Climbing Log'!AF110,'RC Lookup'!$A$3:$B$9,2,FALSE),0.5),VLOOKUP('Rock Climbing Log'!AF110,'RC Lookup'!$G$3:$H$5,2,FALSE)),0)*VLOOKUP(AE$7,'RC Lookup'!$D$3:$E$18,2,FALSE)</f>
        <v>40.075181548895415</v>
      </c>
      <c r="AG110" s="26">
        <f>_xlfn.IFNA(IF(LEFT('Rock Climbing Log'!AG110)="C",_xlfn.IFNA(VLOOKUP('Rock Climbing Log'!AG110,'RC Lookup'!$A$3:$B$9,2,FALSE),0.5),VLOOKUP('Rock Climbing Log'!AG110,'RC Lookup'!$G$3:$H$5,2,FALSE)),0)*VLOOKUP(AE$7,'RC Lookup'!$D$3:$E$18,2,FALSE)</f>
        <v>33.933835923466447</v>
      </c>
      <c r="AH110" s="26">
        <f>_xlfn.IFNA(IF(LEFT('Rock Climbing Log'!AH110)="C",_xlfn.IFNA(VLOOKUP('Rock Climbing Log'!AH110,'RC Lookup'!$A$3:$B$9,2,FALSE),0.5),VLOOKUP('Rock Climbing Log'!AH110,'RC Lookup'!$G$3:$H$5,2,FALSE)),0)*VLOOKUP(AH$7,'RC Lookup'!$D$3:$E$18,2,FALSE)</f>
        <v>0</v>
      </c>
      <c r="AI110" s="26">
        <f>_xlfn.IFNA(IF(LEFT('Rock Climbing Log'!AI110)="C",_xlfn.IFNA(VLOOKUP('Rock Climbing Log'!AI110,'RC Lookup'!$A$3:$B$9,2,FALSE),0.5),VLOOKUP('Rock Climbing Log'!AI110,'RC Lookup'!$G$3:$H$5,2,FALSE)),0)*VLOOKUP(AH$7,'RC Lookup'!$D$3:$E$18,2,FALSE)</f>
        <v>0</v>
      </c>
      <c r="AJ110" s="26">
        <f>_xlfn.IFNA(IF(LEFT('Rock Climbing Log'!AJ110)="C",_xlfn.IFNA(VLOOKUP('Rock Climbing Log'!AJ110,'RC Lookup'!$A$3:$B$9,2,FALSE),0.5),VLOOKUP('Rock Climbing Log'!AJ110,'RC Lookup'!$G$3:$H$5,2,FALSE)),0)*VLOOKUP(AH$7,'RC Lookup'!$D$3:$E$18,2,FALSE)</f>
        <v>0</v>
      </c>
      <c r="AK110" s="26">
        <f>_xlfn.IFNA(IF(LEFT('Rock Climbing Log'!AK110)="C",_xlfn.IFNA(VLOOKUP('Rock Climbing Log'!AK110,'RC Lookup'!$A$3:$B$9,2,FALSE),0.5),VLOOKUP('Rock Climbing Log'!AK110,'RC Lookup'!$G$3:$H$5,2,FALSE)),0)*VLOOKUP(AK$7,'RC Lookup'!$D$3:$E$18,2,FALSE)</f>
        <v>0</v>
      </c>
      <c r="AL110" s="26">
        <f>_xlfn.IFNA(IF(LEFT('Rock Climbing Log'!AL110)="C",_xlfn.IFNA(VLOOKUP('Rock Climbing Log'!AL110,'RC Lookup'!$A$3:$B$9,2,FALSE),0.5),VLOOKUP('Rock Climbing Log'!AL110,'RC Lookup'!$G$3:$H$5,2,FALSE)),0)*VLOOKUP(AK$7,'RC Lookup'!$D$3:$E$18,2,FALSE)</f>
        <v>0</v>
      </c>
      <c r="AM110" s="26">
        <f>_xlfn.IFNA(IF(LEFT('Rock Climbing Log'!AM110)="C",_xlfn.IFNA(VLOOKUP('Rock Climbing Log'!AM110,'RC Lookup'!$A$3:$B$9,2,FALSE),0.5),VLOOKUP('Rock Climbing Log'!AM110,'RC Lookup'!$G$3:$H$5,2,FALSE)),0)*VLOOKUP(AK$7,'RC Lookup'!$D$3:$E$18,2,FALSE)</f>
        <v>0</v>
      </c>
      <c r="AN110" s="26">
        <f>_xlfn.IFNA(IF(LEFT('Rock Climbing Log'!AN110)="C",_xlfn.IFNA(VLOOKUP('Rock Climbing Log'!AN110,'RC Lookup'!$A$3:$B$9,2,FALSE),0.5),VLOOKUP('Rock Climbing Log'!AN110,'RC Lookup'!$G$3:$H$5,2,FALSE)),0)*VLOOKUP(AN$7,'RC Lookup'!$D$3:$E$18,2,FALSE)</f>
        <v>0</v>
      </c>
      <c r="AO110" s="26">
        <f>_xlfn.IFNA(IF(LEFT('Rock Climbing Log'!AO110)="C",_xlfn.IFNA(VLOOKUP('Rock Climbing Log'!AO110,'RC Lookup'!$A$3:$B$9,2,FALSE),0.5),VLOOKUP('Rock Climbing Log'!AO110,'RC Lookup'!$G$3:$H$5,2,FALSE)),0)*VLOOKUP(AN$7,'RC Lookup'!$D$3:$E$18,2,FALSE)</f>
        <v>0</v>
      </c>
      <c r="AP110" s="26">
        <f>_xlfn.IFNA(IF(LEFT('Rock Climbing Log'!AP110)="C",_xlfn.IFNA(VLOOKUP('Rock Climbing Log'!AP110,'RC Lookup'!$A$3:$B$9,2,FALSE),0.5),VLOOKUP('Rock Climbing Log'!AP110,'RC Lookup'!$G$3:$H$5,2,FALSE)),0)*VLOOKUP(AN$7,'RC Lookup'!$D$3:$E$18,2,FALSE)</f>
        <v>0</v>
      </c>
      <c r="AQ110" s="26">
        <f>_xlfn.IFNA(IF(LEFT('Rock Climbing Log'!AQ110)="C",_xlfn.IFNA(VLOOKUP('Rock Climbing Log'!AQ110,'RC Lookup'!$A$3:$B$9,2,FALSE),0.5),VLOOKUP('Rock Climbing Log'!AQ110,'RC Lookup'!$G$3:$H$5,2,FALSE)),0)*VLOOKUP(AQ$7,'RC Lookup'!$D$3:$E$18,2,FALSE)</f>
        <v>0</v>
      </c>
      <c r="AR110" s="26">
        <f>_xlfn.IFNA(IF(LEFT('Rock Climbing Log'!AR110)="C",_xlfn.IFNA(VLOOKUP('Rock Climbing Log'!AR110,'RC Lookup'!$A$3:$B$9,2,FALSE),0.5),VLOOKUP('Rock Climbing Log'!AR110,'RC Lookup'!$G$3:$H$5,2,FALSE)),0)*VLOOKUP(AQ$7,'RC Lookup'!$D$3:$E$18,2,FALSE)</f>
        <v>0</v>
      </c>
      <c r="AS110" s="26">
        <f>_xlfn.IFNA(IF(LEFT('Rock Climbing Log'!AS110)="C",_xlfn.IFNA(VLOOKUP('Rock Climbing Log'!AS110,'RC Lookup'!$A$3:$B$9,2,FALSE),0.5),VLOOKUP('Rock Climbing Log'!AS110,'RC Lookup'!$G$3:$H$5,2,FALSE)),0)*VLOOKUP(AQ$7,'RC Lookup'!$D$3:$E$18,2,FALSE)</f>
        <v>0</v>
      </c>
      <c r="AT110" s="26">
        <f>_xlfn.IFNA(IF(LEFT('Rock Climbing Log'!AT110)="C",_xlfn.IFNA(VLOOKUP('Rock Climbing Log'!AT110,'RC Lookup'!$A$3:$B$9,2,FALSE),0.5),VLOOKUP('Rock Climbing Log'!AT110,'RC Lookup'!$G$3:$H$5,2,FALSE)),0)*VLOOKUP(AT$7,'RC Lookup'!$D$3:$E$18,2,FALSE)</f>
        <v>0</v>
      </c>
      <c r="AU110" s="26">
        <f>_xlfn.IFNA(IF(LEFT('Rock Climbing Log'!AU110)="C",_xlfn.IFNA(VLOOKUP('Rock Climbing Log'!AU110,'RC Lookup'!$A$3:$B$9,2,FALSE),0.5),VLOOKUP('Rock Climbing Log'!AU110,'RC Lookup'!$G$3:$H$5,2,FALSE)),0)*VLOOKUP(AT$7,'RC Lookup'!$D$3:$E$18,2,FALSE)</f>
        <v>0</v>
      </c>
      <c r="AV110" s="26">
        <f>_xlfn.IFNA(IF(LEFT('Rock Climbing Log'!AV110)="C",_xlfn.IFNA(VLOOKUP('Rock Climbing Log'!AV110,'RC Lookup'!$A$3:$B$9,2,FALSE),0.5),VLOOKUP('Rock Climbing Log'!AV110,'RC Lookup'!$G$3:$H$5,2,FALSE)),0)*VLOOKUP(AT$7,'RC Lookup'!$D$3:$E$18,2,FALSE)</f>
        <v>0</v>
      </c>
      <c r="AW110" s="30">
        <f t="shared" ca="1" si="4"/>
        <v>130.30474148731108</v>
      </c>
      <c r="AX110" s="30">
        <f ca="1">_xlfn.IFNA(VLOOKUP(SUMPRODUCT(LARGE(($C$8:$C110=Table1[[#This Row],[Climber]])*$A$8:$A110,1)),$A$8:$AW110,MATCH($AW$7,$A$7:$AW$7,FALSE),FALSE),0)/LEFT($AX$7,FIND(" ",$AX$7))+_xlfn.IFNA(VLOOKUP(SUMPRODUCT(LARGE(($C$8:$C110=Table1[[#This Row],[Climber]])*$A$8:$A110,MIN(2,COUNTIFS($C$8:$C110,$C110)))),$A$8:$AW110,MATCH($AW$7,$A$7:$AW$7,FALSE),FALSE),0)/LEFT($AX$7,FIND(" ",$AX$7))+_xlfn.IFNA(VLOOKUP(SUMPRODUCT(LARGE(($C$8:$C110=Table1[[#This Row],[Climber]])*$A$8:$A110,MIN(3,COUNTIFS($C$8:$C110,$C110)))),$A$8:$AW110,MATCH($AW$7,$A$7:$AW$7,FALSE),FALSE),0)/LEFT($AX$7,FIND(" ",$AX$7))</f>
        <v>134.13022302633507</v>
      </c>
      <c r="AY110" s="30">
        <f ca="1">_xlfn.IFNA(VLOOKUP(SUMPRODUCT(LARGE(($C$8:$C110=Table1[[#This Row],[Climber]])*$A$8:$A110,1)),$A$8:$AW110,MATCH($AW$7,$A$7:$AW$7,FALSE),FALSE),0)/LEFT($AY$7,FIND(" ",$AY$7))+_xlfn.IFNA(VLOOKUP(SUMPRODUCT(LARGE(($C$8:$C110=Table1[[#This Row],[Climber]])*$A$8:$A110,MIN(2,COUNTIFS($C$8:$C110,$C110)))),$A$8:$AW110,MATCH($AW$7,$A$7:$AW$7,FALSE),FALSE),0)/LEFT($AY$7,FIND(" ",$AY$7))+_xlfn.IFNA(VLOOKUP(SUMPRODUCT(LARGE(($C$8:$C110=Table1[[#This Row],[Climber]])*$A$8:$A110,MIN(3,COUNTIFS($C$8:$C110,$C110)))),$A$8:$AW110,MATCH($AW$7,$A$7:$AW$7,FALSE),FALSE),0)/LEFT($AY$7,FIND(" ",$AY$7))+_xlfn.IFNA(VLOOKUP(SUMPRODUCT(LARGE(($C$8:$C110=Table1[[#This Row],[Climber]])*$A$8:$A110,MIN(4,COUNTIFS($C$8:$C110,$C110)))),$A$8:$AW110,MATCH($AW$7,$A$7:$AW$7,FALSE),FALSE),0)/LEFT($AY$7,FIND(" ",$AY$7))+_xlfn.IFNA(VLOOKUP(SUMPRODUCT(LARGE(($C$8:$C110=Table1[[#This Row],[Climber]])*$A$8:$A110,MIN(5,COUNTIFS($C$8:$C110,$C110)))),$A$8:$AW110,MATCH($AW$7,$A$7:$AW$7,FALSE),FALSE),0)/LEFT($AY$7,FIND(" ",$AY$7))</f>
        <v>128.01729270651293</v>
      </c>
      <c r="AZ110" s="30">
        <f ca="1">(_xlfn.IFNA(VLOOKUP(SUMPRODUCT(LARGE(($C$8:$C110=Table1[[#This Row],[Climber]])*$A$8:$A110,4)),$A$8:$AW110,MATCH($AW$7,$A$7:$AW$7,FALSE),FALSE),0)+_xlfn.IFNA(VLOOKUP(SUMPRODUCT(LARGE(($C$8:$C110=Table1[[#This Row],[Climber]])*$A$8:$A110,5)),$A$8:$AW110,MATCH($AW$7,$A$7:$AW$7,FALSE),FALSE),0)+_xlfn.IFNA(VLOOKUP(SUMPRODUCT(LARGE(($C$8:$C110=Table1[[#This Row],[Climber]])*$A$8:$A110,6)),$A$8:$AW110,MATCH($AW$7,$A$7:$AW$7,FALSE),FALSE),0))/3</f>
        <v>117.57908847904412</v>
      </c>
      <c r="BA110" s="46">
        <f ca="1">_xlfn.MAXIFS(INDIRECT("$AW"&amp;IF(SUMPRODUCT(LARGE(($C$8:$C110=$C110)*$A$8:$A110,LEFT($BA$7,FIND(" ",$BA$7)-1)))=0,8,SUMPRODUCT(LARGE(($C$8:$C110=$C110)*$A$8:$A110,LEFT($BA$7,FIND(" ",$BA$7)-1)))+7)&amp;":$AW"&amp;ROW()),INDIRECT("$C"&amp;IF(SUMPRODUCT(LARGE(($C$8:$C110=$C110)*$A$8:$A110,LEFT($BA$7,FIND(" ",$BA$7)-1)))=0,8,SUMPRODUCT(LARGE(($C$8:$C110=$C110)*$A$8:$A110,LEFT($BA$7,FIND(" ",$BA$7)-1)))+7)&amp;":$C"&amp;ROW()),$C110)</f>
        <v>137.87811629646592</v>
      </c>
      <c r="BB110" s="46" t="str">
        <f ca="1">VLOOKUP(MAX(BG110,$AX110),'RC Lookup'!$G$14:$J$20,2,TRUE)</f>
        <v>T4</v>
      </c>
      <c r="BC110" s="46">
        <f ca="1">_xlfn.IFNA(VLOOKUP(VLOOKUP($C110,'RC Lookup'!$O$3:$P$50,2,FALSE),'RC Lookup'!$H$14:$J$23,2,FALSE),0)*AW110</f>
        <v>217.14742571730378</v>
      </c>
      <c r="BD110" s="6">
        <f ca="1">_xlfn.IFNA(VLOOKUP(SUMPRODUCT(LARGE(($C$8:$C110=Table1[[#This Row],[Climber]])*$A$8:$A110,1)),$A$8:$BC110,55,FALSE),0)/LEFT($AX$7,FIND(" ",$AX$7))+_xlfn.IFNA(VLOOKUP(SUMPRODUCT(LARGE(($C$8:$C110=Table1[[#This Row],[Climber]])*$A$8:$A110,MIN(2,COUNTIFS($C$8:$C110,$C110)))),$A$8:$BC110,55,FALSE),0)/LEFT($AX$7,FIND(" ",$AX$7))+_xlfn.IFNA(VLOOKUP(SUMPRODUCT(LARGE(($C$8:$C110=Table1[[#This Row],[Climber]])*$A$8:$A110,MIN(3,COUNTIFS($C$8:$C110,$C110)))),$A$8:$BC110,55,FALSE),0)/LEFT($AX$7,FIND(" ",$AX$7))</f>
        <v>223.52243140663256</v>
      </c>
      <c r="BE110" s="6">
        <f ca="1">(_xlfn.IFNA(VLOOKUP(SUMPRODUCT(LARGE(($C$8:$C110=Table1[[#This Row],[Climber]])*$A$8:$A110,4)),$A$8:$BD110,55,FALSE),0)+_xlfn.IFNA(VLOOKUP(SUMPRODUCT(LARGE(($C$8:$C110=Table1[[#This Row],[Climber]])*$A$8:$A110,5)),$A$8:$BD110,55,FALSE),0)+_xlfn.IFNA(VLOOKUP(SUMPRODUCT(LARGE(($C$8:$C110=Table1[[#This Row],[Climber]])*$A$8:$A110,6)),$A$8:$BD110,55,FALSE),0))/3</f>
        <v>195.94065488321311</v>
      </c>
      <c r="BF110" s="46">
        <f ca="1">_xlfn.MAXIFS(INDIRECT("$BC"&amp;IF(SUMPRODUCT(LARGE(($C$8:$C110=$C110)*$A$8:$A110,LEFT($BA$7,FIND(" ",$BA$7)-1)))=0,8,SUMPRODUCT(LARGE(($C$8:$C110=$C110)*$A$8:$A110,LEFT($BA$7,FIND(" ",$BA$7)-1)))+7)&amp;":$BC"&amp;ROW()),INDIRECT("$C"&amp;IF(SUMPRODUCT(LARGE(($C$8:$C110=$C110)*$A$8:$A110,LEFT($BA$7,FIND(" ",$BA$7)-1)))=0,8,SUMPRODUCT(LARGE(($C$8:$C110=$C110)*$A$8:$A110,LEFT($BA$7,FIND(" ",$BA$7)-1)))+7)&amp;":$C"&amp;ROW()),$C110)</f>
        <v>229.76813947667526</v>
      </c>
      <c r="BG110" s="46">
        <f t="array" aca="1" ref="BG110" ca="1">IFERROR(SUMPRODUCT(LARGE(($C$8:$C110=Table1[[#This Row],[Climber]])*$AW$8:$AW110,ROW(INDIRECT("1:5")))),AW110)/MIN(COUNTIFS($C$8:$C110,C110),5)</f>
        <v>131.77289767378659</v>
      </c>
    </row>
    <row r="111" spans="1:59" x14ac:dyDescent="0.3">
      <c r="A111" s="125">
        <f t="shared" si="1"/>
        <v>104</v>
      </c>
      <c r="B111" s="25">
        <f>'Rock Climbing Log'!B111</f>
        <v>0</v>
      </c>
      <c r="C111" s="126">
        <f>'Rock Climbing Log'!C111</f>
        <v>0</v>
      </c>
      <c r="D111" s="26">
        <f>_xlfn.IFNA(IF(LEFT('Rock Climbing Log'!D111)="C",_xlfn.IFNA(VLOOKUP('Rock Climbing Log'!D111,'RC Lookup'!$A$3:$B$9,2,FALSE),0.5),VLOOKUP('Rock Climbing Log'!D111,'RC Lookup'!$G$3:$H$5,2,FALSE)),0)*VLOOKUP(D$7,'RC Lookup'!$D$3:$E$18,2,FALSE)</f>
        <v>0</v>
      </c>
      <c r="E111" s="26">
        <f>_xlfn.IFNA(IF(LEFT('Rock Climbing Log'!E111)="C",_xlfn.IFNA(VLOOKUP('Rock Climbing Log'!E111,'RC Lookup'!$A$3:$B$9,2,FALSE),0.5),VLOOKUP('Rock Climbing Log'!E111,'RC Lookup'!$G$3:$H$5,2,FALSE)),0)*VLOOKUP(D$7,'RC Lookup'!$D$3:$E$18,2,FALSE)</f>
        <v>0</v>
      </c>
      <c r="F111" s="26">
        <f>_xlfn.IFNA(IF(LEFT('Rock Climbing Log'!F111)="C",_xlfn.IFNA(VLOOKUP('Rock Climbing Log'!F111,'RC Lookup'!$A$3:$B$9,2,FALSE),0.5),VLOOKUP('Rock Climbing Log'!F111,'RC Lookup'!$G$3:$H$5,2,FALSE)),0)*VLOOKUP(D$7,'RC Lookup'!$D$3:$E$18,2,FALSE)</f>
        <v>0</v>
      </c>
      <c r="G111" s="26">
        <f>_xlfn.IFNA(IF(LEFT('Rock Climbing Log'!G111)="C",_xlfn.IFNA(VLOOKUP('Rock Climbing Log'!G111,'RC Lookup'!$A$3:$B$9,2,FALSE),0.5),VLOOKUP('Rock Climbing Log'!G111,'RC Lookup'!$G$3:$H$5,2,FALSE)),0)*VLOOKUP(G$7,'RC Lookup'!$D$3:$E$18,2,FALSE)</f>
        <v>0</v>
      </c>
      <c r="H111" s="26">
        <f>_xlfn.IFNA(IF(LEFT('Rock Climbing Log'!H111)="C",_xlfn.IFNA(VLOOKUP('Rock Climbing Log'!H111,'RC Lookup'!$A$3:$B$9,2,FALSE),0.5),VLOOKUP('Rock Climbing Log'!H111,'RC Lookup'!$G$3:$H$5,2,FALSE)),0)*VLOOKUP(G$7,'RC Lookup'!$D$3:$E$18,2,FALSE)</f>
        <v>0</v>
      </c>
      <c r="I111" s="26">
        <f>_xlfn.IFNA(IF(LEFT('Rock Climbing Log'!I111)="C",_xlfn.IFNA(VLOOKUP('Rock Climbing Log'!I111,'RC Lookup'!$A$3:$B$9,2,FALSE),0.5),VLOOKUP('Rock Climbing Log'!I111,'RC Lookup'!$G$3:$H$5,2,FALSE)),0)*VLOOKUP(G$7,'RC Lookup'!$D$3:$E$18,2,FALSE)</f>
        <v>0</v>
      </c>
      <c r="J111" s="26">
        <f>_xlfn.IFNA(IF(LEFT('Rock Climbing Log'!J111)="C",_xlfn.IFNA(VLOOKUP('Rock Climbing Log'!J111,'RC Lookup'!$A$3:$B$9,2,FALSE),0.5),VLOOKUP('Rock Climbing Log'!J111,'RC Lookup'!$G$3:$H$5,2,FALSE)),0)*VLOOKUP(J$7,'RC Lookup'!$D$3:$E$18,2,FALSE)</f>
        <v>0</v>
      </c>
      <c r="K111" s="26">
        <f>_xlfn.IFNA(IF(LEFT('Rock Climbing Log'!K111)="C",_xlfn.IFNA(VLOOKUP('Rock Climbing Log'!K111,'RC Lookup'!$A$3:$B$9,2,FALSE),0.5),VLOOKUP('Rock Climbing Log'!K111,'RC Lookup'!$G$3:$H$5,2,FALSE)),0)*VLOOKUP(J$7,'RC Lookup'!$D$3:$E$18,2,FALSE)</f>
        <v>0</v>
      </c>
      <c r="L111" s="26">
        <f>_xlfn.IFNA(IF(LEFT('Rock Climbing Log'!L111)="C",_xlfn.IFNA(VLOOKUP('Rock Climbing Log'!L111,'RC Lookup'!$A$3:$B$9,2,FALSE),0.5),VLOOKUP('Rock Climbing Log'!L111,'RC Lookup'!$G$3:$H$5,2,FALSE)),0)*VLOOKUP(J$7,'RC Lookup'!$D$3:$E$18,2,FALSE)</f>
        <v>0</v>
      </c>
      <c r="M111" s="26">
        <f>_xlfn.IFNA(IF(LEFT('Rock Climbing Log'!M111)="C",_xlfn.IFNA(VLOOKUP('Rock Climbing Log'!M111,'RC Lookup'!$A$3:$B$9,2,FALSE),0.5),VLOOKUP('Rock Climbing Log'!M111,'RC Lookup'!$G$3:$H$5,2,FALSE)),0)*VLOOKUP(M$7,'RC Lookup'!$D$3:$E$18,2,FALSE)</f>
        <v>0</v>
      </c>
      <c r="N111" s="26">
        <f>_xlfn.IFNA(IF(LEFT('Rock Climbing Log'!N111)="C",_xlfn.IFNA(VLOOKUP('Rock Climbing Log'!N111,'RC Lookup'!$A$3:$B$9,2,FALSE),0.5),VLOOKUP('Rock Climbing Log'!N111,'RC Lookup'!$G$3:$H$5,2,FALSE)),0)*VLOOKUP(M$7,'RC Lookup'!$D$3:$E$18,2,FALSE)</f>
        <v>0</v>
      </c>
      <c r="O111" s="26">
        <f>_xlfn.IFNA(IF(LEFT('Rock Climbing Log'!O111)="C",_xlfn.IFNA(VLOOKUP('Rock Climbing Log'!O111,'RC Lookup'!$A$3:$B$9,2,FALSE),0.5),VLOOKUP('Rock Climbing Log'!O111,'RC Lookup'!$G$3:$H$5,2,FALSE)),0)*VLOOKUP(M$7,'RC Lookup'!$D$3:$E$18,2,FALSE)</f>
        <v>0</v>
      </c>
      <c r="P111" s="26">
        <f>_xlfn.IFNA(IF(LEFT('Rock Climbing Log'!P111)="C",_xlfn.IFNA(VLOOKUP('Rock Climbing Log'!P111,'RC Lookup'!$A$3:$B$9,2,FALSE),0.5),VLOOKUP('Rock Climbing Log'!P111,'RC Lookup'!$G$3:$H$5,2,FALSE)),0)*VLOOKUP(P$7,'RC Lookup'!$D$3:$E$18,2,FALSE)</f>
        <v>0</v>
      </c>
      <c r="Q111" s="26">
        <f>_xlfn.IFNA(IF(LEFT('Rock Climbing Log'!Q111)="C",_xlfn.IFNA(VLOOKUP('Rock Climbing Log'!Q111,'RC Lookup'!$A$3:$B$9,2,FALSE),0.5),VLOOKUP('Rock Climbing Log'!Q111,'RC Lookup'!$G$3:$H$5,2,FALSE)),0)*VLOOKUP(P$7,'RC Lookup'!$D$3:$E$18,2,FALSE)</f>
        <v>0</v>
      </c>
      <c r="R111" s="26">
        <f>_xlfn.IFNA(IF(LEFT('Rock Climbing Log'!R111)="C",_xlfn.IFNA(VLOOKUP('Rock Climbing Log'!R111,'RC Lookup'!$A$3:$B$9,2,FALSE),0.5),VLOOKUP('Rock Climbing Log'!R111,'RC Lookup'!$G$3:$H$5,2,FALSE)),0)*VLOOKUP(P$7,'RC Lookup'!$D$3:$E$18,2,FALSE)</f>
        <v>0</v>
      </c>
      <c r="S111" s="26">
        <f>_xlfn.IFNA(IF(LEFT('Rock Climbing Log'!S111)="C",_xlfn.IFNA(VLOOKUP('Rock Climbing Log'!S111,'RC Lookup'!$A$3:$B$9,2,FALSE),0.5),VLOOKUP('Rock Climbing Log'!S111,'RC Lookup'!$G$3:$H$5,2,FALSE)),0)*VLOOKUP(S$7,'RC Lookup'!$D$3:$E$18,2,FALSE)</f>
        <v>0</v>
      </c>
      <c r="T111" s="26">
        <f>_xlfn.IFNA(IF(LEFT('Rock Climbing Log'!T111)="C",_xlfn.IFNA(VLOOKUP('Rock Climbing Log'!T111,'RC Lookup'!$A$3:$B$9,2,FALSE),0.5),VLOOKUP('Rock Climbing Log'!T111,'RC Lookup'!$G$3:$H$5,2,FALSE)),0)*VLOOKUP(S$7,'RC Lookup'!$D$3:$E$18,2,FALSE)</f>
        <v>0</v>
      </c>
      <c r="U111" s="26">
        <f>_xlfn.IFNA(IF(LEFT('Rock Climbing Log'!U111)="C",_xlfn.IFNA(VLOOKUP('Rock Climbing Log'!U111,'RC Lookup'!$A$3:$B$9,2,FALSE),0.5),VLOOKUP('Rock Climbing Log'!U111,'RC Lookup'!$G$3:$H$5,2,FALSE)),0)*VLOOKUP(S$7,'RC Lookup'!$D$3:$E$18,2,FALSE)</f>
        <v>0</v>
      </c>
      <c r="V111" s="26">
        <f>_xlfn.IFNA(IF(LEFT('Rock Climbing Log'!V111)="C",_xlfn.IFNA(VLOOKUP('Rock Climbing Log'!V111,'RC Lookup'!$A$3:$B$9,2,FALSE),0.5),VLOOKUP('Rock Climbing Log'!V111,'RC Lookup'!$G$3:$H$5,2,FALSE)),0)*VLOOKUP(V$7,'RC Lookup'!$D$3:$E$18,2,FALSE)</f>
        <v>0</v>
      </c>
      <c r="W111" s="26">
        <f>_xlfn.IFNA(IF(LEFT('Rock Climbing Log'!W111)="C",_xlfn.IFNA(VLOOKUP('Rock Climbing Log'!W111,'RC Lookup'!$A$3:$B$9,2,FALSE),0.5),VLOOKUP('Rock Climbing Log'!W111,'RC Lookup'!$G$3:$H$5,2,FALSE)),0)*VLOOKUP(V$7,'RC Lookup'!$D$3:$E$18,2,FALSE)</f>
        <v>0</v>
      </c>
      <c r="X111" s="26">
        <f>_xlfn.IFNA(IF(LEFT('Rock Climbing Log'!X111)="C",_xlfn.IFNA(VLOOKUP('Rock Climbing Log'!X111,'RC Lookup'!$A$3:$B$9,2,FALSE),0.5),VLOOKUP('Rock Climbing Log'!X111,'RC Lookup'!$G$3:$H$5,2,FALSE)),0)*VLOOKUP(V$7,'RC Lookup'!$D$3:$E$18,2,FALSE)</f>
        <v>0</v>
      </c>
      <c r="Y111" s="26">
        <f>_xlfn.IFNA(IF(LEFT('Rock Climbing Log'!Y111)="C",_xlfn.IFNA(VLOOKUP('Rock Climbing Log'!Y111,'RC Lookup'!$A$3:$B$9,2,FALSE),0.5),VLOOKUP('Rock Climbing Log'!Y111,'RC Lookup'!$G$3:$H$5,2,FALSE)),0)*VLOOKUP(Y$7,'RC Lookup'!$D$3:$E$18,2,FALSE)</f>
        <v>0</v>
      </c>
      <c r="Z111" s="26">
        <f>_xlfn.IFNA(IF(LEFT('Rock Climbing Log'!Z111)="C",_xlfn.IFNA(VLOOKUP('Rock Climbing Log'!Z111,'RC Lookup'!$A$3:$B$9,2,FALSE),0.5),VLOOKUP('Rock Climbing Log'!Z111,'RC Lookup'!$G$3:$H$5,2,FALSE)),0)*VLOOKUP(Y$7,'RC Lookup'!$D$3:$E$18,2,FALSE)</f>
        <v>0</v>
      </c>
      <c r="AA111" s="26">
        <f>_xlfn.IFNA(IF(LEFT('Rock Climbing Log'!AA111)="C",_xlfn.IFNA(VLOOKUP('Rock Climbing Log'!AA111,'RC Lookup'!$A$3:$B$9,2,FALSE),0.5),VLOOKUP('Rock Climbing Log'!AA111,'RC Lookup'!$G$3:$H$5,2,FALSE)),0)*VLOOKUP(Y$7,'RC Lookup'!$D$3:$E$18,2,FALSE)</f>
        <v>0</v>
      </c>
      <c r="AB111" s="26">
        <f>_xlfn.IFNA(IF(LEFT('Rock Climbing Log'!AB111)="C",_xlfn.IFNA(VLOOKUP('Rock Climbing Log'!AB111,'RC Lookup'!$A$3:$B$9,2,FALSE),0.5),VLOOKUP('Rock Climbing Log'!AB111,'RC Lookup'!$G$3:$H$5,2,FALSE)),0)*VLOOKUP(AB$7,'RC Lookup'!$D$3:$E$18,2,FALSE)</f>
        <v>0</v>
      </c>
      <c r="AC111" s="26">
        <f>_xlfn.IFNA(IF(LEFT('Rock Climbing Log'!AC111)="C",_xlfn.IFNA(VLOOKUP('Rock Climbing Log'!AC111,'RC Lookup'!$A$3:$B$9,2,FALSE),0.5),VLOOKUP('Rock Climbing Log'!AC111,'RC Lookup'!$G$3:$H$5,2,FALSE)),0)*VLOOKUP(AB$7,'RC Lookup'!$D$3:$E$18,2,FALSE)</f>
        <v>0</v>
      </c>
      <c r="AD111" s="26">
        <f>_xlfn.IFNA(IF(LEFT('Rock Climbing Log'!AD111)="C",_xlfn.IFNA(VLOOKUP('Rock Climbing Log'!AD111,'RC Lookup'!$A$3:$B$9,2,FALSE),0.5),VLOOKUP('Rock Climbing Log'!AD111,'RC Lookup'!$G$3:$H$5,2,FALSE)),0)*VLOOKUP(AB$7,'RC Lookup'!$D$3:$E$18,2,FALSE)</f>
        <v>0</v>
      </c>
      <c r="AE111" s="26">
        <f>_xlfn.IFNA(IF(LEFT('Rock Climbing Log'!AE111)="C",_xlfn.IFNA(VLOOKUP('Rock Climbing Log'!AE111,'RC Lookup'!$A$3:$B$9,2,FALSE),0.5),VLOOKUP('Rock Climbing Log'!AE111,'RC Lookup'!$G$3:$H$5,2,FALSE)),0)*VLOOKUP(AE$7,'RC Lookup'!$D$3:$E$18,2,FALSE)</f>
        <v>0</v>
      </c>
      <c r="AF111" s="26">
        <f>_xlfn.IFNA(IF(LEFT('Rock Climbing Log'!AF111)="C",_xlfn.IFNA(VLOOKUP('Rock Climbing Log'!AF111,'RC Lookup'!$A$3:$B$9,2,FALSE),0.5),VLOOKUP('Rock Climbing Log'!AF111,'RC Lookup'!$G$3:$H$5,2,FALSE)),0)*VLOOKUP(AE$7,'RC Lookup'!$D$3:$E$18,2,FALSE)</f>
        <v>0</v>
      </c>
      <c r="AG111" s="26">
        <f>_xlfn.IFNA(IF(LEFT('Rock Climbing Log'!AG111)="C",_xlfn.IFNA(VLOOKUP('Rock Climbing Log'!AG111,'RC Lookup'!$A$3:$B$9,2,FALSE),0.5),VLOOKUP('Rock Climbing Log'!AG111,'RC Lookup'!$G$3:$H$5,2,FALSE)),0)*VLOOKUP(AE$7,'RC Lookup'!$D$3:$E$18,2,FALSE)</f>
        <v>0</v>
      </c>
      <c r="AH111" s="26">
        <f>_xlfn.IFNA(IF(LEFT('Rock Climbing Log'!AH111)="C",_xlfn.IFNA(VLOOKUP('Rock Climbing Log'!AH111,'RC Lookup'!$A$3:$B$9,2,FALSE),0.5),VLOOKUP('Rock Climbing Log'!AH111,'RC Lookup'!$G$3:$H$5,2,FALSE)),0)*VLOOKUP(AH$7,'RC Lookup'!$D$3:$E$18,2,FALSE)</f>
        <v>0</v>
      </c>
      <c r="AI111" s="26">
        <f>_xlfn.IFNA(IF(LEFT('Rock Climbing Log'!AI111)="C",_xlfn.IFNA(VLOOKUP('Rock Climbing Log'!AI111,'RC Lookup'!$A$3:$B$9,2,FALSE),0.5),VLOOKUP('Rock Climbing Log'!AI111,'RC Lookup'!$G$3:$H$5,2,FALSE)),0)*VLOOKUP(AH$7,'RC Lookup'!$D$3:$E$18,2,FALSE)</f>
        <v>0</v>
      </c>
      <c r="AJ111" s="26">
        <f>_xlfn.IFNA(IF(LEFT('Rock Climbing Log'!AJ111)="C",_xlfn.IFNA(VLOOKUP('Rock Climbing Log'!AJ111,'RC Lookup'!$A$3:$B$9,2,FALSE),0.5),VLOOKUP('Rock Climbing Log'!AJ111,'RC Lookup'!$G$3:$H$5,2,FALSE)),0)*VLOOKUP(AH$7,'RC Lookup'!$D$3:$E$18,2,FALSE)</f>
        <v>0</v>
      </c>
      <c r="AK111" s="26">
        <f>_xlfn.IFNA(IF(LEFT('Rock Climbing Log'!AK111)="C",_xlfn.IFNA(VLOOKUP('Rock Climbing Log'!AK111,'RC Lookup'!$A$3:$B$9,2,FALSE),0.5),VLOOKUP('Rock Climbing Log'!AK111,'RC Lookup'!$G$3:$H$5,2,FALSE)),0)*VLOOKUP(AK$7,'RC Lookup'!$D$3:$E$18,2,FALSE)</f>
        <v>0</v>
      </c>
      <c r="AL111" s="26">
        <f>_xlfn.IFNA(IF(LEFT('Rock Climbing Log'!AL111)="C",_xlfn.IFNA(VLOOKUP('Rock Climbing Log'!AL111,'RC Lookup'!$A$3:$B$9,2,FALSE),0.5),VLOOKUP('Rock Climbing Log'!AL111,'RC Lookup'!$G$3:$H$5,2,FALSE)),0)*VLOOKUP(AK$7,'RC Lookup'!$D$3:$E$18,2,FALSE)</f>
        <v>0</v>
      </c>
      <c r="AM111" s="26">
        <f>_xlfn.IFNA(IF(LEFT('Rock Climbing Log'!AM111)="C",_xlfn.IFNA(VLOOKUP('Rock Climbing Log'!AM111,'RC Lookup'!$A$3:$B$9,2,FALSE),0.5),VLOOKUP('Rock Climbing Log'!AM111,'RC Lookup'!$G$3:$H$5,2,FALSE)),0)*VLOOKUP(AK$7,'RC Lookup'!$D$3:$E$18,2,FALSE)</f>
        <v>0</v>
      </c>
      <c r="AN111" s="26">
        <f>_xlfn.IFNA(IF(LEFT('Rock Climbing Log'!AN111)="C",_xlfn.IFNA(VLOOKUP('Rock Climbing Log'!AN111,'RC Lookup'!$A$3:$B$9,2,FALSE),0.5),VLOOKUP('Rock Climbing Log'!AN111,'RC Lookup'!$G$3:$H$5,2,FALSE)),0)*VLOOKUP(AN$7,'RC Lookup'!$D$3:$E$18,2,FALSE)</f>
        <v>0</v>
      </c>
      <c r="AO111" s="26">
        <f>_xlfn.IFNA(IF(LEFT('Rock Climbing Log'!AO111)="C",_xlfn.IFNA(VLOOKUP('Rock Climbing Log'!AO111,'RC Lookup'!$A$3:$B$9,2,FALSE),0.5),VLOOKUP('Rock Climbing Log'!AO111,'RC Lookup'!$G$3:$H$5,2,FALSE)),0)*VLOOKUP(AN$7,'RC Lookup'!$D$3:$E$18,2,FALSE)</f>
        <v>0</v>
      </c>
      <c r="AP111" s="26">
        <f>_xlfn.IFNA(IF(LEFT('Rock Climbing Log'!AP111)="C",_xlfn.IFNA(VLOOKUP('Rock Climbing Log'!AP111,'RC Lookup'!$A$3:$B$9,2,FALSE),0.5),VLOOKUP('Rock Climbing Log'!AP111,'RC Lookup'!$G$3:$H$5,2,FALSE)),0)*VLOOKUP(AN$7,'RC Lookup'!$D$3:$E$18,2,FALSE)</f>
        <v>0</v>
      </c>
      <c r="AQ111" s="26">
        <f>_xlfn.IFNA(IF(LEFT('Rock Climbing Log'!AQ111)="C",_xlfn.IFNA(VLOOKUP('Rock Climbing Log'!AQ111,'RC Lookup'!$A$3:$B$9,2,FALSE),0.5),VLOOKUP('Rock Climbing Log'!AQ111,'RC Lookup'!$G$3:$H$5,2,FALSE)),0)*VLOOKUP(AQ$7,'RC Lookup'!$D$3:$E$18,2,FALSE)</f>
        <v>0</v>
      </c>
      <c r="AR111" s="26">
        <f>_xlfn.IFNA(IF(LEFT('Rock Climbing Log'!AR111)="C",_xlfn.IFNA(VLOOKUP('Rock Climbing Log'!AR111,'RC Lookup'!$A$3:$B$9,2,FALSE),0.5),VLOOKUP('Rock Climbing Log'!AR111,'RC Lookup'!$G$3:$H$5,2,FALSE)),0)*VLOOKUP(AQ$7,'RC Lookup'!$D$3:$E$18,2,FALSE)</f>
        <v>0</v>
      </c>
      <c r="AS111" s="26">
        <f>_xlfn.IFNA(IF(LEFT('Rock Climbing Log'!AS111)="C",_xlfn.IFNA(VLOOKUP('Rock Climbing Log'!AS111,'RC Lookup'!$A$3:$B$9,2,FALSE),0.5),VLOOKUP('Rock Climbing Log'!AS111,'RC Lookup'!$G$3:$H$5,2,FALSE)),0)*VLOOKUP(AQ$7,'RC Lookup'!$D$3:$E$18,2,FALSE)</f>
        <v>0</v>
      </c>
      <c r="AT111" s="26">
        <f>_xlfn.IFNA(IF(LEFT('Rock Climbing Log'!AT111)="C",_xlfn.IFNA(VLOOKUP('Rock Climbing Log'!AT111,'RC Lookup'!$A$3:$B$9,2,FALSE),0.5),VLOOKUP('Rock Climbing Log'!AT111,'RC Lookup'!$G$3:$H$5,2,FALSE)),0)*VLOOKUP(AT$7,'RC Lookup'!$D$3:$E$18,2,FALSE)</f>
        <v>0</v>
      </c>
      <c r="AU111" s="26">
        <f>_xlfn.IFNA(IF(LEFT('Rock Climbing Log'!AU111)="C",_xlfn.IFNA(VLOOKUP('Rock Climbing Log'!AU111,'RC Lookup'!$A$3:$B$9,2,FALSE),0.5),VLOOKUP('Rock Climbing Log'!AU111,'RC Lookup'!$G$3:$H$5,2,FALSE)),0)*VLOOKUP(AT$7,'RC Lookup'!$D$3:$E$18,2,FALSE)</f>
        <v>0</v>
      </c>
      <c r="AV111" s="26">
        <f>_xlfn.IFNA(IF(LEFT('Rock Climbing Log'!AV111)="C",_xlfn.IFNA(VLOOKUP('Rock Climbing Log'!AV111,'RC Lookup'!$A$3:$B$9,2,FALSE),0.5),VLOOKUP('Rock Climbing Log'!AV111,'RC Lookup'!$G$3:$H$5,2,FALSE)),0)*VLOOKUP(AT$7,'RC Lookup'!$D$3:$E$18,2,FALSE)</f>
        <v>0</v>
      </c>
      <c r="AW111" s="30">
        <f t="shared" ca="1" si="4"/>
        <v>0</v>
      </c>
      <c r="AX111" s="30">
        <f ca="1">_xlfn.IFNA(VLOOKUP(SUMPRODUCT(LARGE(($C$8:$C111=Table1[[#This Row],[Climber]])*$A$8:$A111,1)),$A$8:$AW111,MATCH($AW$7,$A$7:$AW$7,FALSE),FALSE),0)/LEFT($AX$7,FIND(" ",$AX$7))+_xlfn.IFNA(VLOOKUP(SUMPRODUCT(LARGE(($C$8:$C111=Table1[[#This Row],[Climber]])*$A$8:$A111,MIN(2,COUNTIFS($C$8:$C111,$C111)))),$A$8:$AW111,MATCH($AW$7,$A$7:$AW$7,FALSE),FALSE),0)/LEFT($AX$7,FIND(" ",$AX$7))+_xlfn.IFNA(VLOOKUP(SUMPRODUCT(LARGE(($C$8:$C111=Table1[[#This Row],[Climber]])*$A$8:$A111,MIN(3,COUNTIFS($C$8:$C111,$C111)))),$A$8:$AW111,MATCH($AW$7,$A$7:$AW$7,FALSE),FALSE),0)/LEFT($AX$7,FIND(" ",$AX$7))</f>
        <v>0</v>
      </c>
      <c r="AY111" s="30">
        <f ca="1">_xlfn.IFNA(VLOOKUP(SUMPRODUCT(LARGE(($C$8:$C111=Table1[[#This Row],[Climber]])*$A$8:$A111,1)),$A$8:$AW111,MATCH($AW$7,$A$7:$AW$7,FALSE),FALSE),0)/LEFT($AY$7,FIND(" ",$AY$7))+_xlfn.IFNA(VLOOKUP(SUMPRODUCT(LARGE(($C$8:$C111=Table1[[#This Row],[Climber]])*$A$8:$A111,MIN(2,COUNTIFS($C$8:$C111,$C111)))),$A$8:$AW111,MATCH($AW$7,$A$7:$AW$7,FALSE),FALSE),0)/LEFT($AY$7,FIND(" ",$AY$7))+_xlfn.IFNA(VLOOKUP(SUMPRODUCT(LARGE(($C$8:$C111=Table1[[#This Row],[Climber]])*$A$8:$A111,MIN(3,COUNTIFS($C$8:$C111,$C111)))),$A$8:$AW111,MATCH($AW$7,$A$7:$AW$7,FALSE),FALSE),0)/LEFT($AY$7,FIND(" ",$AY$7))+_xlfn.IFNA(VLOOKUP(SUMPRODUCT(LARGE(($C$8:$C111=Table1[[#This Row],[Climber]])*$A$8:$A111,MIN(4,COUNTIFS($C$8:$C111,$C111)))),$A$8:$AW111,MATCH($AW$7,$A$7:$AW$7,FALSE),FALSE),0)/LEFT($AY$7,FIND(" ",$AY$7))+_xlfn.IFNA(VLOOKUP(SUMPRODUCT(LARGE(($C$8:$C111=Table1[[#This Row],[Climber]])*$A$8:$A111,MIN(5,COUNTIFS($C$8:$C111,$C111)))),$A$8:$AW111,MATCH($AW$7,$A$7:$AW$7,FALSE),FALSE),0)/LEFT($AY$7,FIND(" ",$AY$7))</f>
        <v>0</v>
      </c>
      <c r="AZ111" s="30">
        <f>(_xlfn.IFNA(VLOOKUP(SUMPRODUCT(LARGE(($C$8:$C111=Table1[[#This Row],[Climber]])*$A$8:$A111,4)),$A$8:$AW111,MATCH($AW$7,$A$7:$AW$7,FALSE),FALSE),0)+_xlfn.IFNA(VLOOKUP(SUMPRODUCT(LARGE(($C$8:$C111=Table1[[#This Row],[Climber]])*$A$8:$A111,5)),$A$8:$AW111,MATCH($AW$7,$A$7:$AW$7,FALSE),FALSE),0)+_xlfn.IFNA(VLOOKUP(SUMPRODUCT(LARGE(($C$8:$C111=Table1[[#This Row],[Climber]])*$A$8:$A111,6)),$A$8:$AW111,MATCH($AW$7,$A$7:$AW$7,FALSE),FALSE),0))/3</f>
        <v>0</v>
      </c>
      <c r="BA111" s="46">
        <f ca="1">_xlfn.MAXIFS(INDIRECT("$AW"&amp;IF(SUMPRODUCT(LARGE(($C$8:$C111=$C111)*$A$8:$A111,LEFT($BA$7,FIND(" ",$BA$7)-1)))=0,8,SUMPRODUCT(LARGE(($C$8:$C111=$C111)*$A$8:$A111,LEFT($BA$7,FIND(" ",$BA$7)-1)))+7)&amp;":$AW"&amp;ROW()),INDIRECT("$C"&amp;IF(SUMPRODUCT(LARGE(($C$8:$C111=$C111)*$A$8:$A111,LEFT($BA$7,FIND(" ",$BA$7)-1)))=0,8,SUMPRODUCT(LARGE(($C$8:$C111=$C111)*$A$8:$A111,LEFT($BA$7,FIND(" ",$BA$7)-1)))+7)&amp;":$C"&amp;ROW()),$C111)</f>
        <v>0</v>
      </c>
      <c r="BB111" s="46" t="str">
        <f ca="1">VLOOKUP(MAX(BG111,$AX111),'RC Lookup'!$G$14:$J$20,2,TRUE)</f>
        <v>T1</v>
      </c>
      <c r="BC111" s="46">
        <f ca="1">_xlfn.IFNA(VLOOKUP(VLOOKUP($C111,'RC Lookup'!$O$3:$P$50,2,FALSE),'RC Lookup'!$H$14:$J$23,2,FALSE),0)*AW111</f>
        <v>0</v>
      </c>
      <c r="BD111" s="6">
        <f ca="1">_xlfn.IFNA(VLOOKUP(SUMPRODUCT(LARGE(($C$8:$C111=Table1[[#This Row],[Climber]])*$A$8:$A111,1)),$A$8:$BC111,55,FALSE),0)/LEFT($AX$7,FIND(" ",$AX$7))+_xlfn.IFNA(VLOOKUP(SUMPRODUCT(LARGE(($C$8:$C111=Table1[[#This Row],[Climber]])*$A$8:$A111,MIN(2,COUNTIFS($C$8:$C111,$C111)))),$A$8:$BC111,55,FALSE),0)/LEFT($AX$7,FIND(" ",$AX$7))+_xlfn.IFNA(VLOOKUP(SUMPRODUCT(LARGE(($C$8:$C111=Table1[[#This Row],[Climber]])*$A$8:$A111,MIN(3,COUNTIFS($C$8:$C111,$C111)))),$A$8:$BC111,55,FALSE),0)/LEFT($AX$7,FIND(" ",$AX$7))</f>
        <v>0</v>
      </c>
      <c r="BE111" s="6">
        <f>(_xlfn.IFNA(VLOOKUP(SUMPRODUCT(LARGE(($C$8:$C111=Table1[[#This Row],[Climber]])*$A$8:$A111,4)),$A$8:$BD111,55,FALSE),0)+_xlfn.IFNA(VLOOKUP(SUMPRODUCT(LARGE(($C$8:$C111=Table1[[#This Row],[Climber]])*$A$8:$A111,5)),$A$8:$BD111,55,FALSE),0)+_xlfn.IFNA(VLOOKUP(SUMPRODUCT(LARGE(($C$8:$C111=Table1[[#This Row],[Climber]])*$A$8:$A111,6)),$A$8:$BD111,55,FALSE),0))/3</f>
        <v>0</v>
      </c>
      <c r="BF111" s="46">
        <f ca="1">_xlfn.MAXIFS(INDIRECT("$BC"&amp;IF(SUMPRODUCT(LARGE(($C$8:$C111=$C111)*$A$8:$A111,LEFT($BA$7,FIND(" ",$BA$7)-1)))=0,8,SUMPRODUCT(LARGE(($C$8:$C111=$C111)*$A$8:$A111,LEFT($BA$7,FIND(" ",$BA$7)-1)))+7)&amp;":$BC"&amp;ROW()),INDIRECT("$C"&amp;IF(SUMPRODUCT(LARGE(($C$8:$C111=$C111)*$A$8:$A111,LEFT($BA$7,FIND(" ",$BA$7)-1)))=0,8,SUMPRODUCT(LARGE(($C$8:$C111=$C111)*$A$8:$A111,LEFT($BA$7,FIND(" ",$BA$7)-1)))+7)&amp;":$C"&amp;ROW()),$C111)</f>
        <v>0</v>
      </c>
      <c r="BG111" s="46">
        <f t="array" aca="1" ref="BG111" ca="1">IFERROR(SUMPRODUCT(LARGE(($C$8:$C111=Table1[[#This Row],[Climber]])*$AW$8:$AW111,ROW(INDIRECT("1:5")))),AW111)/MIN(COUNTIFS($C$8:$C111,C111),5)</f>
        <v>0</v>
      </c>
    </row>
    <row r="112" spans="1:59" x14ac:dyDescent="0.3">
      <c r="A112" s="125">
        <f t="shared" si="1"/>
        <v>105</v>
      </c>
      <c r="B112" s="25">
        <f>'Rock Climbing Log'!B112</f>
        <v>0</v>
      </c>
      <c r="C112" s="126">
        <f>'Rock Climbing Log'!C112</f>
        <v>0</v>
      </c>
      <c r="D112" s="26">
        <f>_xlfn.IFNA(IF(LEFT('Rock Climbing Log'!D112)="C",_xlfn.IFNA(VLOOKUP('Rock Climbing Log'!D112,'RC Lookup'!$A$3:$B$9,2,FALSE),0.5),VLOOKUP('Rock Climbing Log'!D112,'RC Lookup'!$G$3:$H$5,2,FALSE)),0)*VLOOKUP(D$7,'RC Lookup'!$D$3:$E$18,2,FALSE)</f>
        <v>0</v>
      </c>
      <c r="E112" s="26">
        <f>_xlfn.IFNA(IF(LEFT('Rock Climbing Log'!E112)="C",_xlfn.IFNA(VLOOKUP('Rock Climbing Log'!E112,'RC Lookup'!$A$3:$B$9,2,FALSE),0.5),VLOOKUP('Rock Climbing Log'!E112,'RC Lookup'!$G$3:$H$5,2,FALSE)),0)*VLOOKUP(D$7,'RC Lookup'!$D$3:$E$18,2,FALSE)</f>
        <v>0</v>
      </c>
      <c r="F112" s="26">
        <f>_xlfn.IFNA(IF(LEFT('Rock Climbing Log'!F112)="C",_xlfn.IFNA(VLOOKUP('Rock Climbing Log'!F112,'RC Lookup'!$A$3:$B$9,2,FALSE),0.5),VLOOKUP('Rock Climbing Log'!F112,'RC Lookup'!$G$3:$H$5,2,FALSE)),0)*VLOOKUP(D$7,'RC Lookup'!$D$3:$E$18,2,FALSE)</f>
        <v>0</v>
      </c>
      <c r="G112" s="26">
        <f>_xlfn.IFNA(IF(LEFT('Rock Climbing Log'!G112)="C",_xlfn.IFNA(VLOOKUP('Rock Climbing Log'!G112,'RC Lookup'!$A$3:$B$9,2,FALSE),0.5),VLOOKUP('Rock Climbing Log'!G112,'RC Lookup'!$G$3:$H$5,2,FALSE)),0)*VLOOKUP(G$7,'RC Lookup'!$D$3:$E$18,2,FALSE)</f>
        <v>0</v>
      </c>
      <c r="H112" s="26">
        <f>_xlfn.IFNA(IF(LEFT('Rock Climbing Log'!H112)="C",_xlfn.IFNA(VLOOKUP('Rock Climbing Log'!H112,'RC Lookup'!$A$3:$B$9,2,FALSE),0.5),VLOOKUP('Rock Climbing Log'!H112,'RC Lookup'!$G$3:$H$5,2,FALSE)),0)*VLOOKUP(G$7,'RC Lookup'!$D$3:$E$18,2,FALSE)</f>
        <v>0</v>
      </c>
      <c r="I112" s="26">
        <f>_xlfn.IFNA(IF(LEFT('Rock Climbing Log'!I112)="C",_xlfn.IFNA(VLOOKUP('Rock Climbing Log'!I112,'RC Lookup'!$A$3:$B$9,2,FALSE),0.5),VLOOKUP('Rock Climbing Log'!I112,'RC Lookup'!$G$3:$H$5,2,FALSE)),0)*VLOOKUP(G$7,'RC Lookup'!$D$3:$E$18,2,FALSE)</f>
        <v>0</v>
      </c>
      <c r="J112" s="26">
        <f>_xlfn.IFNA(IF(LEFT('Rock Climbing Log'!J112)="C",_xlfn.IFNA(VLOOKUP('Rock Climbing Log'!J112,'RC Lookup'!$A$3:$B$9,2,FALSE),0.5),VLOOKUP('Rock Climbing Log'!J112,'RC Lookup'!$G$3:$H$5,2,FALSE)),0)*VLOOKUP(J$7,'RC Lookup'!$D$3:$E$18,2,FALSE)</f>
        <v>0</v>
      </c>
      <c r="K112" s="26">
        <f>_xlfn.IFNA(IF(LEFT('Rock Climbing Log'!K112)="C",_xlfn.IFNA(VLOOKUP('Rock Climbing Log'!K112,'RC Lookup'!$A$3:$B$9,2,FALSE),0.5),VLOOKUP('Rock Climbing Log'!K112,'RC Lookup'!$G$3:$H$5,2,FALSE)),0)*VLOOKUP(J$7,'RC Lookup'!$D$3:$E$18,2,FALSE)</f>
        <v>0</v>
      </c>
      <c r="L112" s="26">
        <f>_xlfn.IFNA(IF(LEFT('Rock Climbing Log'!L112)="C",_xlfn.IFNA(VLOOKUP('Rock Climbing Log'!L112,'RC Lookup'!$A$3:$B$9,2,FALSE),0.5),VLOOKUP('Rock Climbing Log'!L112,'RC Lookup'!$G$3:$H$5,2,FALSE)),0)*VLOOKUP(J$7,'RC Lookup'!$D$3:$E$18,2,FALSE)</f>
        <v>0</v>
      </c>
      <c r="M112" s="26">
        <f>_xlfn.IFNA(IF(LEFT('Rock Climbing Log'!M112)="C",_xlfn.IFNA(VLOOKUP('Rock Climbing Log'!M112,'RC Lookup'!$A$3:$B$9,2,FALSE),0.5),VLOOKUP('Rock Climbing Log'!M112,'RC Lookup'!$G$3:$H$5,2,FALSE)),0)*VLOOKUP(M$7,'RC Lookup'!$D$3:$E$18,2,FALSE)</f>
        <v>0</v>
      </c>
      <c r="N112" s="26">
        <f>_xlfn.IFNA(IF(LEFT('Rock Climbing Log'!N112)="C",_xlfn.IFNA(VLOOKUP('Rock Climbing Log'!N112,'RC Lookup'!$A$3:$B$9,2,FALSE),0.5),VLOOKUP('Rock Climbing Log'!N112,'RC Lookup'!$G$3:$H$5,2,FALSE)),0)*VLOOKUP(M$7,'RC Lookup'!$D$3:$E$18,2,FALSE)</f>
        <v>0</v>
      </c>
      <c r="O112" s="26">
        <f>_xlfn.IFNA(IF(LEFT('Rock Climbing Log'!O112)="C",_xlfn.IFNA(VLOOKUP('Rock Climbing Log'!O112,'RC Lookup'!$A$3:$B$9,2,FALSE),0.5),VLOOKUP('Rock Climbing Log'!O112,'RC Lookup'!$G$3:$H$5,2,FALSE)),0)*VLOOKUP(M$7,'RC Lookup'!$D$3:$E$18,2,FALSE)</f>
        <v>0</v>
      </c>
      <c r="P112" s="26">
        <f>_xlfn.IFNA(IF(LEFT('Rock Climbing Log'!P112)="C",_xlfn.IFNA(VLOOKUP('Rock Climbing Log'!P112,'RC Lookup'!$A$3:$B$9,2,FALSE),0.5),VLOOKUP('Rock Climbing Log'!P112,'RC Lookup'!$G$3:$H$5,2,FALSE)),0)*VLOOKUP(P$7,'RC Lookup'!$D$3:$E$18,2,FALSE)</f>
        <v>0</v>
      </c>
      <c r="Q112" s="26">
        <f>_xlfn.IFNA(IF(LEFT('Rock Climbing Log'!Q112)="C",_xlfn.IFNA(VLOOKUP('Rock Climbing Log'!Q112,'RC Lookup'!$A$3:$B$9,2,FALSE),0.5),VLOOKUP('Rock Climbing Log'!Q112,'RC Lookup'!$G$3:$H$5,2,FALSE)),0)*VLOOKUP(P$7,'RC Lookup'!$D$3:$E$18,2,FALSE)</f>
        <v>0</v>
      </c>
      <c r="R112" s="26">
        <f>_xlfn.IFNA(IF(LEFT('Rock Climbing Log'!R112)="C",_xlfn.IFNA(VLOOKUP('Rock Climbing Log'!R112,'RC Lookup'!$A$3:$B$9,2,FALSE),0.5),VLOOKUP('Rock Climbing Log'!R112,'RC Lookup'!$G$3:$H$5,2,FALSE)),0)*VLOOKUP(P$7,'RC Lookup'!$D$3:$E$18,2,FALSE)</f>
        <v>0</v>
      </c>
      <c r="S112" s="26">
        <f>_xlfn.IFNA(IF(LEFT('Rock Climbing Log'!S112)="C",_xlfn.IFNA(VLOOKUP('Rock Climbing Log'!S112,'RC Lookup'!$A$3:$B$9,2,FALSE),0.5),VLOOKUP('Rock Climbing Log'!S112,'RC Lookup'!$G$3:$H$5,2,FALSE)),0)*VLOOKUP(S$7,'RC Lookup'!$D$3:$E$18,2,FALSE)</f>
        <v>0</v>
      </c>
      <c r="T112" s="26">
        <f>_xlfn.IFNA(IF(LEFT('Rock Climbing Log'!T112)="C",_xlfn.IFNA(VLOOKUP('Rock Climbing Log'!T112,'RC Lookup'!$A$3:$B$9,2,FALSE),0.5),VLOOKUP('Rock Climbing Log'!T112,'RC Lookup'!$G$3:$H$5,2,FALSE)),0)*VLOOKUP(S$7,'RC Lookup'!$D$3:$E$18,2,FALSE)</f>
        <v>0</v>
      </c>
      <c r="U112" s="26">
        <f>_xlfn.IFNA(IF(LEFT('Rock Climbing Log'!U112)="C",_xlfn.IFNA(VLOOKUP('Rock Climbing Log'!U112,'RC Lookup'!$A$3:$B$9,2,FALSE),0.5),VLOOKUP('Rock Climbing Log'!U112,'RC Lookup'!$G$3:$H$5,2,FALSE)),0)*VLOOKUP(S$7,'RC Lookup'!$D$3:$E$18,2,FALSE)</f>
        <v>0</v>
      </c>
      <c r="V112" s="26">
        <f>_xlfn.IFNA(IF(LEFT('Rock Climbing Log'!V112)="C",_xlfn.IFNA(VLOOKUP('Rock Climbing Log'!V112,'RC Lookup'!$A$3:$B$9,2,FALSE),0.5),VLOOKUP('Rock Climbing Log'!V112,'RC Lookup'!$G$3:$H$5,2,FALSE)),0)*VLOOKUP(V$7,'RC Lookup'!$D$3:$E$18,2,FALSE)</f>
        <v>0</v>
      </c>
      <c r="W112" s="26">
        <f>_xlfn.IFNA(IF(LEFT('Rock Climbing Log'!W112)="C",_xlfn.IFNA(VLOOKUP('Rock Climbing Log'!W112,'RC Lookup'!$A$3:$B$9,2,FALSE),0.5),VLOOKUP('Rock Climbing Log'!W112,'RC Lookup'!$G$3:$H$5,2,FALSE)),0)*VLOOKUP(V$7,'RC Lookup'!$D$3:$E$18,2,FALSE)</f>
        <v>0</v>
      </c>
      <c r="X112" s="26">
        <f>_xlfn.IFNA(IF(LEFT('Rock Climbing Log'!X112)="C",_xlfn.IFNA(VLOOKUP('Rock Climbing Log'!X112,'RC Lookup'!$A$3:$B$9,2,FALSE),0.5),VLOOKUP('Rock Climbing Log'!X112,'RC Lookup'!$G$3:$H$5,2,FALSE)),0)*VLOOKUP(V$7,'RC Lookup'!$D$3:$E$18,2,FALSE)</f>
        <v>0</v>
      </c>
      <c r="Y112" s="26">
        <f>_xlfn.IFNA(IF(LEFT('Rock Climbing Log'!Y112)="C",_xlfn.IFNA(VLOOKUP('Rock Climbing Log'!Y112,'RC Lookup'!$A$3:$B$9,2,FALSE),0.5),VLOOKUP('Rock Climbing Log'!Y112,'RC Lookup'!$G$3:$H$5,2,FALSE)),0)*VLOOKUP(Y$7,'RC Lookup'!$D$3:$E$18,2,FALSE)</f>
        <v>0</v>
      </c>
      <c r="Z112" s="26">
        <f>_xlfn.IFNA(IF(LEFT('Rock Climbing Log'!Z112)="C",_xlfn.IFNA(VLOOKUP('Rock Climbing Log'!Z112,'RC Lookup'!$A$3:$B$9,2,FALSE),0.5),VLOOKUP('Rock Climbing Log'!Z112,'RC Lookup'!$G$3:$H$5,2,FALSE)),0)*VLOOKUP(Y$7,'RC Lookup'!$D$3:$E$18,2,FALSE)</f>
        <v>0</v>
      </c>
      <c r="AA112" s="26">
        <f>_xlfn.IFNA(IF(LEFT('Rock Climbing Log'!AA112)="C",_xlfn.IFNA(VLOOKUP('Rock Climbing Log'!AA112,'RC Lookup'!$A$3:$B$9,2,FALSE),0.5),VLOOKUP('Rock Climbing Log'!AA112,'RC Lookup'!$G$3:$H$5,2,FALSE)),0)*VLOOKUP(Y$7,'RC Lookup'!$D$3:$E$18,2,FALSE)</f>
        <v>0</v>
      </c>
      <c r="AB112" s="26">
        <f>_xlfn.IFNA(IF(LEFT('Rock Climbing Log'!AB112)="C",_xlfn.IFNA(VLOOKUP('Rock Climbing Log'!AB112,'RC Lookup'!$A$3:$B$9,2,FALSE),0.5),VLOOKUP('Rock Climbing Log'!AB112,'RC Lookup'!$G$3:$H$5,2,FALSE)),0)*VLOOKUP(AB$7,'RC Lookup'!$D$3:$E$18,2,FALSE)</f>
        <v>0</v>
      </c>
      <c r="AC112" s="26">
        <f>_xlfn.IFNA(IF(LEFT('Rock Climbing Log'!AC112)="C",_xlfn.IFNA(VLOOKUP('Rock Climbing Log'!AC112,'RC Lookup'!$A$3:$B$9,2,FALSE),0.5),VLOOKUP('Rock Climbing Log'!AC112,'RC Lookup'!$G$3:$H$5,2,FALSE)),0)*VLOOKUP(AB$7,'RC Lookup'!$D$3:$E$18,2,FALSE)</f>
        <v>0</v>
      </c>
      <c r="AD112" s="26">
        <f>_xlfn.IFNA(IF(LEFT('Rock Climbing Log'!AD112)="C",_xlfn.IFNA(VLOOKUP('Rock Climbing Log'!AD112,'RC Lookup'!$A$3:$B$9,2,FALSE),0.5),VLOOKUP('Rock Climbing Log'!AD112,'RC Lookup'!$G$3:$H$5,2,FALSE)),0)*VLOOKUP(AB$7,'RC Lookup'!$D$3:$E$18,2,FALSE)</f>
        <v>0</v>
      </c>
      <c r="AE112" s="26">
        <f>_xlfn.IFNA(IF(LEFT('Rock Climbing Log'!AE112)="C",_xlfn.IFNA(VLOOKUP('Rock Climbing Log'!AE112,'RC Lookup'!$A$3:$B$9,2,FALSE),0.5),VLOOKUP('Rock Climbing Log'!AE112,'RC Lookup'!$G$3:$H$5,2,FALSE)),0)*VLOOKUP(AE$7,'RC Lookup'!$D$3:$E$18,2,FALSE)</f>
        <v>0</v>
      </c>
      <c r="AF112" s="26">
        <f>_xlfn.IFNA(IF(LEFT('Rock Climbing Log'!AF112)="C",_xlfn.IFNA(VLOOKUP('Rock Climbing Log'!AF112,'RC Lookup'!$A$3:$B$9,2,FALSE),0.5),VLOOKUP('Rock Climbing Log'!AF112,'RC Lookup'!$G$3:$H$5,2,FALSE)),0)*VLOOKUP(AE$7,'RC Lookup'!$D$3:$E$18,2,FALSE)</f>
        <v>0</v>
      </c>
      <c r="AG112" s="26">
        <f>_xlfn.IFNA(IF(LEFT('Rock Climbing Log'!AG112)="C",_xlfn.IFNA(VLOOKUP('Rock Climbing Log'!AG112,'RC Lookup'!$A$3:$B$9,2,FALSE),0.5),VLOOKUP('Rock Climbing Log'!AG112,'RC Lookup'!$G$3:$H$5,2,FALSE)),0)*VLOOKUP(AE$7,'RC Lookup'!$D$3:$E$18,2,FALSE)</f>
        <v>0</v>
      </c>
      <c r="AH112" s="26">
        <f>_xlfn.IFNA(IF(LEFT('Rock Climbing Log'!AH112)="C",_xlfn.IFNA(VLOOKUP('Rock Climbing Log'!AH112,'RC Lookup'!$A$3:$B$9,2,FALSE),0.5),VLOOKUP('Rock Climbing Log'!AH112,'RC Lookup'!$G$3:$H$5,2,FALSE)),0)*VLOOKUP(AH$7,'RC Lookup'!$D$3:$E$18,2,FALSE)</f>
        <v>0</v>
      </c>
      <c r="AI112" s="26">
        <f>_xlfn.IFNA(IF(LEFT('Rock Climbing Log'!AI112)="C",_xlfn.IFNA(VLOOKUP('Rock Climbing Log'!AI112,'RC Lookup'!$A$3:$B$9,2,FALSE),0.5),VLOOKUP('Rock Climbing Log'!AI112,'RC Lookup'!$G$3:$H$5,2,FALSE)),0)*VLOOKUP(AH$7,'RC Lookup'!$D$3:$E$18,2,FALSE)</f>
        <v>0</v>
      </c>
      <c r="AJ112" s="26">
        <f>_xlfn.IFNA(IF(LEFT('Rock Climbing Log'!AJ112)="C",_xlfn.IFNA(VLOOKUP('Rock Climbing Log'!AJ112,'RC Lookup'!$A$3:$B$9,2,FALSE),0.5),VLOOKUP('Rock Climbing Log'!AJ112,'RC Lookup'!$G$3:$H$5,2,FALSE)),0)*VLOOKUP(AH$7,'RC Lookup'!$D$3:$E$18,2,FALSE)</f>
        <v>0</v>
      </c>
      <c r="AK112" s="26">
        <f>_xlfn.IFNA(IF(LEFT('Rock Climbing Log'!AK112)="C",_xlfn.IFNA(VLOOKUP('Rock Climbing Log'!AK112,'RC Lookup'!$A$3:$B$9,2,FALSE),0.5),VLOOKUP('Rock Climbing Log'!AK112,'RC Lookup'!$G$3:$H$5,2,FALSE)),0)*VLOOKUP(AK$7,'RC Lookup'!$D$3:$E$18,2,FALSE)</f>
        <v>0</v>
      </c>
      <c r="AL112" s="26">
        <f>_xlfn.IFNA(IF(LEFT('Rock Climbing Log'!AL112)="C",_xlfn.IFNA(VLOOKUP('Rock Climbing Log'!AL112,'RC Lookup'!$A$3:$B$9,2,FALSE),0.5),VLOOKUP('Rock Climbing Log'!AL112,'RC Lookup'!$G$3:$H$5,2,FALSE)),0)*VLOOKUP(AK$7,'RC Lookup'!$D$3:$E$18,2,FALSE)</f>
        <v>0</v>
      </c>
      <c r="AM112" s="26">
        <f>_xlfn.IFNA(IF(LEFT('Rock Climbing Log'!AM112)="C",_xlfn.IFNA(VLOOKUP('Rock Climbing Log'!AM112,'RC Lookup'!$A$3:$B$9,2,FALSE),0.5),VLOOKUP('Rock Climbing Log'!AM112,'RC Lookup'!$G$3:$H$5,2,FALSE)),0)*VLOOKUP(AK$7,'RC Lookup'!$D$3:$E$18,2,FALSE)</f>
        <v>0</v>
      </c>
      <c r="AN112" s="26">
        <f>_xlfn.IFNA(IF(LEFT('Rock Climbing Log'!AN112)="C",_xlfn.IFNA(VLOOKUP('Rock Climbing Log'!AN112,'RC Lookup'!$A$3:$B$9,2,FALSE),0.5),VLOOKUP('Rock Climbing Log'!AN112,'RC Lookup'!$G$3:$H$5,2,FALSE)),0)*VLOOKUP(AN$7,'RC Lookup'!$D$3:$E$18,2,FALSE)</f>
        <v>0</v>
      </c>
      <c r="AO112" s="26">
        <f>_xlfn.IFNA(IF(LEFT('Rock Climbing Log'!AO112)="C",_xlfn.IFNA(VLOOKUP('Rock Climbing Log'!AO112,'RC Lookup'!$A$3:$B$9,2,FALSE),0.5),VLOOKUP('Rock Climbing Log'!AO112,'RC Lookup'!$G$3:$H$5,2,FALSE)),0)*VLOOKUP(AN$7,'RC Lookup'!$D$3:$E$18,2,FALSE)</f>
        <v>0</v>
      </c>
      <c r="AP112" s="26">
        <f>_xlfn.IFNA(IF(LEFT('Rock Climbing Log'!AP112)="C",_xlfn.IFNA(VLOOKUP('Rock Climbing Log'!AP112,'RC Lookup'!$A$3:$B$9,2,FALSE),0.5),VLOOKUP('Rock Climbing Log'!AP112,'RC Lookup'!$G$3:$H$5,2,FALSE)),0)*VLOOKUP(AN$7,'RC Lookup'!$D$3:$E$18,2,FALSE)</f>
        <v>0</v>
      </c>
      <c r="AQ112" s="26">
        <f>_xlfn.IFNA(IF(LEFT('Rock Climbing Log'!AQ112)="C",_xlfn.IFNA(VLOOKUP('Rock Climbing Log'!AQ112,'RC Lookup'!$A$3:$B$9,2,FALSE),0.5),VLOOKUP('Rock Climbing Log'!AQ112,'RC Lookup'!$G$3:$H$5,2,FALSE)),0)*VLOOKUP(AQ$7,'RC Lookup'!$D$3:$E$18,2,FALSE)</f>
        <v>0</v>
      </c>
      <c r="AR112" s="26">
        <f>_xlfn.IFNA(IF(LEFT('Rock Climbing Log'!AR112)="C",_xlfn.IFNA(VLOOKUP('Rock Climbing Log'!AR112,'RC Lookup'!$A$3:$B$9,2,FALSE),0.5),VLOOKUP('Rock Climbing Log'!AR112,'RC Lookup'!$G$3:$H$5,2,FALSE)),0)*VLOOKUP(AQ$7,'RC Lookup'!$D$3:$E$18,2,FALSE)</f>
        <v>0</v>
      </c>
      <c r="AS112" s="26">
        <f>_xlfn.IFNA(IF(LEFT('Rock Climbing Log'!AS112)="C",_xlfn.IFNA(VLOOKUP('Rock Climbing Log'!AS112,'RC Lookup'!$A$3:$B$9,2,FALSE),0.5),VLOOKUP('Rock Climbing Log'!AS112,'RC Lookup'!$G$3:$H$5,2,FALSE)),0)*VLOOKUP(AQ$7,'RC Lookup'!$D$3:$E$18,2,FALSE)</f>
        <v>0</v>
      </c>
      <c r="AT112" s="26">
        <f>_xlfn.IFNA(IF(LEFT('Rock Climbing Log'!AT112)="C",_xlfn.IFNA(VLOOKUP('Rock Climbing Log'!AT112,'RC Lookup'!$A$3:$B$9,2,FALSE),0.5),VLOOKUP('Rock Climbing Log'!AT112,'RC Lookup'!$G$3:$H$5,2,FALSE)),0)*VLOOKUP(AT$7,'RC Lookup'!$D$3:$E$18,2,FALSE)</f>
        <v>0</v>
      </c>
      <c r="AU112" s="26">
        <f>_xlfn.IFNA(IF(LEFT('Rock Climbing Log'!AU112)="C",_xlfn.IFNA(VLOOKUP('Rock Climbing Log'!AU112,'RC Lookup'!$A$3:$B$9,2,FALSE),0.5),VLOOKUP('Rock Climbing Log'!AU112,'RC Lookup'!$G$3:$H$5,2,FALSE)),0)*VLOOKUP(AT$7,'RC Lookup'!$D$3:$E$18,2,FALSE)</f>
        <v>0</v>
      </c>
      <c r="AV112" s="26">
        <f>_xlfn.IFNA(IF(LEFT('Rock Climbing Log'!AV112)="C",_xlfn.IFNA(VLOOKUP('Rock Climbing Log'!AV112,'RC Lookup'!$A$3:$B$9,2,FALSE),0.5),VLOOKUP('Rock Climbing Log'!AV112,'RC Lookup'!$G$3:$H$5,2,FALSE)),0)*VLOOKUP(AT$7,'RC Lookup'!$D$3:$E$18,2,FALSE)</f>
        <v>0</v>
      </c>
      <c r="AW112" s="30">
        <f t="shared" ca="1" si="4"/>
        <v>0</v>
      </c>
      <c r="AX112" s="30">
        <f ca="1">_xlfn.IFNA(VLOOKUP(SUMPRODUCT(LARGE(($C$8:$C112=Table1[[#This Row],[Climber]])*$A$8:$A112,1)),$A$8:$AW112,MATCH($AW$7,$A$7:$AW$7,FALSE),FALSE),0)/LEFT($AX$7,FIND(" ",$AX$7))+_xlfn.IFNA(VLOOKUP(SUMPRODUCT(LARGE(($C$8:$C112=Table1[[#This Row],[Climber]])*$A$8:$A112,MIN(2,COUNTIFS($C$8:$C112,$C112)))),$A$8:$AW112,MATCH($AW$7,$A$7:$AW$7,FALSE),FALSE),0)/LEFT($AX$7,FIND(" ",$AX$7))+_xlfn.IFNA(VLOOKUP(SUMPRODUCT(LARGE(($C$8:$C112=Table1[[#This Row],[Climber]])*$A$8:$A112,MIN(3,COUNTIFS($C$8:$C112,$C112)))),$A$8:$AW112,MATCH($AW$7,$A$7:$AW$7,FALSE),FALSE),0)/LEFT($AX$7,FIND(" ",$AX$7))</f>
        <v>0</v>
      </c>
      <c r="AY112" s="30">
        <f ca="1">_xlfn.IFNA(VLOOKUP(SUMPRODUCT(LARGE(($C$8:$C112=Table1[[#This Row],[Climber]])*$A$8:$A112,1)),$A$8:$AW112,MATCH($AW$7,$A$7:$AW$7,FALSE),FALSE),0)/LEFT($AY$7,FIND(" ",$AY$7))+_xlfn.IFNA(VLOOKUP(SUMPRODUCT(LARGE(($C$8:$C112=Table1[[#This Row],[Climber]])*$A$8:$A112,MIN(2,COUNTIFS($C$8:$C112,$C112)))),$A$8:$AW112,MATCH($AW$7,$A$7:$AW$7,FALSE),FALSE),0)/LEFT($AY$7,FIND(" ",$AY$7))+_xlfn.IFNA(VLOOKUP(SUMPRODUCT(LARGE(($C$8:$C112=Table1[[#This Row],[Climber]])*$A$8:$A112,MIN(3,COUNTIFS($C$8:$C112,$C112)))),$A$8:$AW112,MATCH($AW$7,$A$7:$AW$7,FALSE),FALSE),0)/LEFT($AY$7,FIND(" ",$AY$7))+_xlfn.IFNA(VLOOKUP(SUMPRODUCT(LARGE(($C$8:$C112=Table1[[#This Row],[Climber]])*$A$8:$A112,MIN(4,COUNTIFS($C$8:$C112,$C112)))),$A$8:$AW112,MATCH($AW$7,$A$7:$AW$7,FALSE),FALSE),0)/LEFT($AY$7,FIND(" ",$AY$7))+_xlfn.IFNA(VLOOKUP(SUMPRODUCT(LARGE(($C$8:$C112=Table1[[#This Row],[Climber]])*$A$8:$A112,MIN(5,COUNTIFS($C$8:$C112,$C112)))),$A$8:$AW112,MATCH($AW$7,$A$7:$AW$7,FALSE),FALSE),0)/LEFT($AY$7,FIND(" ",$AY$7))</f>
        <v>0</v>
      </c>
      <c r="AZ112" s="30">
        <f>(_xlfn.IFNA(VLOOKUP(SUMPRODUCT(LARGE(($C$8:$C112=Table1[[#This Row],[Climber]])*$A$8:$A112,4)),$A$8:$AW112,MATCH($AW$7,$A$7:$AW$7,FALSE),FALSE),0)+_xlfn.IFNA(VLOOKUP(SUMPRODUCT(LARGE(($C$8:$C112=Table1[[#This Row],[Climber]])*$A$8:$A112,5)),$A$8:$AW112,MATCH($AW$7,$A$7:$AW$7,FALSE),FALSE),0)+_xlfn.IFNA(VLOOKUP(SUMPRODUCT(LARGE(($C$8:$C112=Table1[[#This Row],[Climber]])*$A$8:$A112,6)),$A$8:$AW112,MATCH($AW$7,$A$7:$AW$7,FALSE),FALSE),0))/3</f>
        <v>0</v>
      </c>
      <c r="BA112" s="46">
        <f ca="1">_xlfn.MAXIFS(INDIRECT("$AW"&amp;IF(SUMPRODUCT(LARGE(($C$8:$C112=$C112)*$A$8:$A112,LEFT($BA$7,FIND(" ",$BA$7)-1)))=0,8,SUMPRODUCT(LARGE(($C$8:$C112=$C112)*$A$8:$A112,LEFT($BA$7,FIND(" ",$BA$7)-1)))+7)&amp;":$AW"&amp;ROW()),INDIRECT("$C"&amp;IF(SUMPRODUCT(LARGE(($C$8:$C112=$C112)*$A$8:$A112,LEFT($BA$7,FIND(" ",$BA$7)-1)))=0,8,SUMPRODUCT(LARGE(($C$8:$C112=$C112)*$A$8:$A112,LEFT($BA$7,FIND(" ",$BA$7)-1)))+7)&amp;":$C"&amp;ROW()),$C112)</f>
        <v>0</v>
      </c>
      <c r="BB112" s="46" t="str">
        <f ca="1">VLOOKUP(MAX(BG112,$AX112),'RC Lookup'!$G$14:$J$20,2,TRUE)</f>
        <v>T1</v>
      </c>
      <c r="BC112" s="46">
        <f ca="1">_xlfn.IFNA(VLOOKUP(VLOOKUP($C112,'RC Lookup'!$O$3:$P$50,2,FALSE),'RC Lookup'!$H$14:$J$23,2,FALSE),0)*AW112</f>
        <v>0</v>
      </c>
      <c r="BD112" s="6">
        <f ca="1">_xlfn.IFNA(VLOOKUP(SUMPRODUCT(LARGE(($C$8:$C112=Table1[[#This Row],[Climber]])*$A$8:$A112,1)),$A$8:$BC112,55,FALSE),0)/LEFT($AX$7,FIND(" ",$AX$7))+_xlfn.IFNA(VLOOKUP(SUMPRODUCT(LARGE(($C$8:$C112=Table1[[#This Row],[Climber]])*$A$8:$A112,MIN(2,COUNTIFS($C$8:$C112,$C112)))),$A$8:$BC112,55,FALSE),0)/LEFT($AX$7,FIND(" ",$AX$7))+_xlfn.IFNA(VLOOKUP(SUMPRODUCT(LARGE(($C$8:$C112=Table1[[#This Row],[Climber]])*$A$8:$A112,MIN(3,COUNTIFS($C$8:$C112,$C112)))),$A$8:$BC112,55,FALSE),0)/LEFT($AX$7,FIND(" ",$AX$7))</f>
        <v>0</v>
      </c>
      <c r="BE112" s="6">
        <f>(_xlfn.IFNA(VLOOKUP(SUMPRODUCT(LARGE(($C$8:$C112=Table1[[#This Row],[Climber]])*$A$8:$A112,4)),$A$8:$BD112,55,FALSE),0)+_xlfn.IFNA(VLOOKUP(SUMPRODUCT(LARGE(($C$8:$C112=Table1[[#This Row],[Climber]])*$A$8:$A112,5)),$A$8:$BD112,55,FALSE),0)+_xlfn.IFNA(VLOOKUP(SUMPRODUCT(LARGE(($C$8:$C112=Table1[[#This Row],[Climber]])*$A$8:$A112,6)),$A$8:$BD112,55,FALSE),0))/3</f>
        <v>0</v>
      </c>
      <c r="BF112" s="46">
        <f ca="1">_xlfn.MAXIFS(INDIRECT("$BC"&amp;IF(SUMPRODUCT(LARGE(($C$8:$C112=$C112)*$A$8:$A112,LEFT($BA$7,FIND(" ",$BA$7)-1)))=0,8,SUMPRODUCT(LARGE(($C$8:$C112=$C112)*$A$8:$A112,LEFT($BA$7,FIND(" ",$BA$7)-1)))+7)&amp;":$BC"&amp;ROW()),INDIRECT("$C"&amp;IF(SUMPRODUCT(LARGE(($C$8:$C112=$C112)*$A$8:$A112,LEFT($BA$7,FIND(" ",$BA$7)-1)))=0,8,SUMPRODUCT(LARGE(($C$8:$C112=$C112)*$A$8:$A112,LEFT($BA$7,FIND(" ",$BA$7)-1)))+7)&amp;":$C"&amp;ROW()),$C112)</f>
        <v>0</v>
      </c>
      <c r="BG112" s="46">
        <f t="array" aca="1" ref="BG112" ca="1">IFERROR(SUMPRODUCT(LARGE(($C$8:$C112=Table1[[#This Row],[Climber]])*$AW$8:$AW112,ROW(INDIRECT("1:5")))),AW112)/MIN(COUNTIFS($C$8:$C112,C112),5)</f>
        <v>0</v>
      </c>
    </row>
    <row r="113" spans="1:59" x14ac:dyDescent="0.3">
      <c r="A113" s="125">
        <f t="shared" si="1"/>
        <v>106</v>
      </c>
      <c r="B113" s="25">
        <f>'Rock Climbing Log'!B113</f>
        <v>0</v>
      </c>
      <c r="C113" s="126">
        <f>'Rock Climbing Log'!C113</f>
        <v>0</v>
      </c>
      <c r="D113" s="26">
        <f>_xlfn.IFNA(IF(LEFT('Rock Climbing Log'!D113)="C",_xlfn.IFNA(VLOOKUP('Rock Climbing Log'!D113,'RC Lookup'!$A$3:$B$9,2,FALSE),0.5),VLOOKUP('Rock Climbing Log'!D113,'RC Lookup'!$G$3:$H$5,2,FALSE)),0)*VLOOKUP(D$7,'RC Lookup'!$D$3:$E$18,2,FALSE)</f>
        <v>0</v>
      </c>
      <c r="E113" s="26">
        <f>_xlfn.IFNA(IF(LEFT('Rock Climbing Log'!E113)="C",_xlfn.IFNA(VLOOKUP('Rock Climbing Log'!E113,'RC Lookup'!$A$3:$B$9,2,FALSE),0.5),VLOOKUP('Rock Climbing Log'!E113,'RC Lookup'!$G$3:$H$5,2,FALSE)),0)*VLOOKUP(D$7,'RC Lookup'!$D$3:$E$18,2,FALSE)</f>
        <v>0</v>
      </c>
      <c r="F113" s="26">
        <f>_xlfn.IFNA(IF(LEFT('Rock Climbing Log'!F113)="C",_xlfn.IFNA(VLOOKUP('Rock Climbing Log'!F113,'RC Lookup'!$A$3:$B$9,2,FALSE),0.5),VLOOKUP('Rock Climbing Log'!F113,'RC Lookup'!$G$3:$H$5,2,FALSE)),0)*VLOOKUP(D$7,'RC Lookup'!$D$3:$E$18,2,FALSE)</f>
        <v>0</v>
      </c>
      <c r="G113" s="26">
        <f>_xlfn.IFNA(IF(LEFT('Rock Climbing Log'!G113)="C",_xlfn.IFNA(VLOOKUP('Rock Climbing Log'!G113,'RC Lookup'!$A$3:$B$9,2,FALSE),0.5),VLOOKUP('Rock Climbing Log'!G113,'RC Lookup'!$G$3:$H$5,2,FALSE)),0)*VLOOKUP(G$7,'RC Lookup'!$D$3:$E$18,2,FALSE)</f>
        <v>0</v>
      </c>
      <c r="H113" s="26">
        <f>_xlfn.IFNA(IF(LEFT('Rock Climbing Log'!H113)="C",_xlfn.IFNA(VLOOKUP('Rock Climbing Log'!H113,'RC Lookup'!$A$3:$B$9,2,FALSE),0.5),VLOOKUP('Rock Climbing Log'!H113,'RC Lookup'!$G$3:$H$5,2,FALSE)),0)*VLOOKUP(G$7,'RC Lookup'!$D$3:$E$18,2,FALSE)</f>
        <v>0</v>
      </c>
      <c r="I113" s="26">
        <f>_xlfn.IFNA(IF(LEFT('Rock Climbing Log'!I113)="C",_xlfn.IFNA(VLOOKUP('Rock Climbing Log'!I113,'RC Lookup'!$A$3:$B$9,2,FALSE),0.5),VLOOKUP('Rock Climbing Log'!I113,'RC Lookup'!$G$3:$H$5,2,FALSE)),0)*VLOOKUP(G$7,'RC Lookup'!$D$3:$E$18,2,FALSE)</f>
        <v>0</v>
      </c>
      <c r="J113" s="26">
        <f>_xlfn.IFNA(IF(LEFT('Rock Climbing Log'!J113)="C",_xlfn.IFNA(VLOOKUP('Rock Climbing Log'!J113,'RC Lookup'!$A$3:$B$9,2,FALSE),0.5),VLOOKUP('Rock Climbing Log'!J113,'RC Lookup'!$G$3:$H$5,2,FALSE)),0)*VLOOKUP(J$7,'RC Lookup'!$D$3:$E$18,2,FALSE)</f>
        <v>0</v>
      </c>
      <c r="K113" s="26">
        <f>_xlfn.IFNA(IF(LEFT('Rock Climbing Log'!K113)="C",_xlfn.IFNA(VLOOKUP('Rock Climbing Log'!K113,'RC Lookup'!$A$3:$B$9,2,FALSE),0.5),VLOOKUP('Rock Climbing Log'!K113,'RC Lookup'!$G$3:$H$5,2,FALSE)),0)*VLOOKUP(J$7,'RC Lookup'!$D$3:$E$18,2,FALSE)</f>
        <v>0</v>
      </c>
      <c r="L113" s="26">
        <f>_xlfn.IFNA(IF(LEFT('Rock Climbing Log'!L113)="C",_xlfn.IFNA(VLOOKUP('Rock Climbing Log'!L113,'RC Lookup'!$A$3:$B$9,2,FALSE),0.5),VLOOKUP('Rock Climbing Log'!L113,'RC Lookup'!$G$3:$H$5,2,FALSE)),0)*VLOOKUP(J$7,'RC Lookup'!$D$3:$E$18,2,FALSE)</f>
        <v>0</v>
      </c>
      <c r="M113" s="26">
        <f>_xlfn.IFNA(IF(LEFT('Rock Climbing Log'!M113)="C",_xlfn.IFNA(VLOOKUP('Rock Climbing Log'!M113,'RC Lookup'!$A$3:$B$9,2,FALSE),0.5),VLOOKUP('Rock Climbing Log'!M113,'RC Lookup'!$G$3:$H$5,2,FALSE)),0)*VLOOKUP(M$7,'RC Lookup'!$D$3:$E$18,2,FALSE)</f>
        <v>0</v>
      </c>
      <c r="N113" s="26">
        <f>_xlfn.IFNA(IF(LEFT('Rock Climbing Log'!N113)="C",_xlfn.IFNA(VLOOKUP('Rock Climbing Log'!N113,'RC Lookup'!$A$3:$B$9,2,FALSE),0.5),VLOOKUP('Rock Climbing Log'!N113,'RC Lookup'!$G$3:$H$5,2,FALSE)),0)*VLOOKUP(M$7,'RC Lookup'!$D$3:$E$18,2,FALSE)</f>
        <v>0</v>
      </c>
      <c r="O113" s="26">
        <f>_xlfn.IFNA(IF(LEFT('Rock Climbing Log'!O113)="C",_xlfn.IFNA(VLOOKUP('Rock Climbing Log'!O113,'RC Lookup'!$A$3:$B$9,2,FALSE),0.5),VLOOKUP('Rock Climbing Log'!O113,'RC Lookup'!$G$3:$H$5,2,FALSE)),0)*VLOOKUP(M$7,'RC Lookup'!$D$3:$E$18,2,FALSE)</f>
        <v>0</v>
      </c>
      <c r="P113" s="26">
        <f>_xlfn.IFNA(IF(LEFT('Rock Climbing Log'!P113)="C",_xlfn.IFNA(VLOOKUP('Rock Climbing Log'!P113,'RC Lookup'!$A$3:$B$9,2,FALSE),0.5),VLOOKUP('Rock Climbing Log'!P113,'RC Lookup'!$G$3:$H$5,2,FALSE)),0)*VLOOKUP(P$7,'RC Lookup'!$D$3:$E$18,2,FALSE)</f>
        <v>0</v>
      </c>
      <c r="Q113" s="26">
        <f>_xlfn.IFNA(IF(LEFT('Rock Climbing Log'!Q113)="C",_xlfn.IFNA(VLOOKUP('Rock Climbing Log'!Q113,'RC Lookup'!$A$3:$B$9,2,FALSE),0.5),VLOOKUP('Rock Climbing Log'!Q113,'RC Lookup'!$G$3:$H$5,2,FALSE)),0)*VLOOKUP(P$7,'RC Lookup'!$D$3:$E$18,2,FALSE)</f>
        <v>0</v>
      </c>
      <c r="R113" s="26">
        <f>_xlfn.IFNA(IF(LEFT('Rock Climbing Log'!R113)="C",_xlfn.IFNA(VLOOKUP('Rock Climbing Log'!R113,'RC Lookup'!$A$3:$B$9,2,FALSE),0.5),VLOOKUP('Rock Climbing Log'!R113,'RC Lookup'!$G$3:$H$5,2,FALSE)),0)*VLOOKUP(P$7,'RC Lookup'!$D$3:$E$18,2,FALSE)</f>
        <v>0</v>
      </c>
      <c r="S113" s="26">
        <f>_xlfn.IFNA(IF(LEFT('Rock Climbing Log'!S113)="C",_xlfn.IFNA(VLOOKUP('Rock Climbing Log'!S113,'RC Lookup'!$A$3:$B$9,2,FALSE),0.5),VLOOKUP('Rock Climbing Log'!S113,'RC Lookup'!$G$3:$H$5,2,FALSE)),0)*VLOOKUP(S$7,'RC Lookup'!$D$3:$E$18,2,FALSE)</f>
        <v>0</v>
      </c>
      <c r="T113" s="26">
        <f>_xlfn.IFNA(IF(LEFT('Rock Climbing Log'!T113)="C",_xlfn.IFNA(VLOOKUP('Rock Climbing Log'!T113,'RC Lookup'!$A$3:$B$9,2,FALSE),0.5),VLOOKUP('Rock Climbing Log'!T113,'RC Lookup'!$G$3:$H$5,2,FALSE)),0)*VLOOKUP(S$7,'RC Lookup'!$D$3:$E$18,2,FALSE)</f>
        <v>0</v>
      </c>
      <c r="U113" s="26">
        <f>_xlfn.IFNA(IF(LEFT('Rock Climbing Log'!U113)="C",_xlfn.IFNA(VLOOKUP('Rock Climbing Log'!U113,'RC Lookup'!$A$3:$B$9,2,FALSE),0.5),VLOOKUP('Rock Climbing Log'!U113,'RC Lookup'!$G$3:$H$5,2,FALSE)),0)*VLOOKUP(S$7,'RC Lookup'!$D$3:$E$18,2,FALSE)</f>
        <v>0</v>
      </c>
      <c r="V113" s="26">
        <f>_xlfn.IFNA(IF(LEFT('Rock Climbing Log'!V113)="C",_xlfn.IFNA(VLOOKUP('Rock Climbing Log'!V113,'RC Lookup'!$A$3:$B$9,2,FALSE),0.5),VLOOKUP('Rock Climbing Log'!V113,'RC Lookup'!$G$3:$H$5,2,FALSE)),0)*VLOOKUP(V$7,'RC Lookup'!$D$3:$E$18,2,FALSE)</f>
        <v>0</v>
      </c>
      <c r="W113" s="26">
        <f>_xlfn.IFNA(IF(LEFT('Rock Climbing Log'!W113)="C",_xlfn.IFNA(VLOOKUP('Rock Climbing Log'!W113,'RC Lookup'!$A$3:$B$9,2,FALSE),0.5),VLOOKUP('Rock Climbing Log'!W113,'RC Lookup'!$G$3:$H$5,2,FALSE)),0)*VLOOKUP(V$7,'RC Lookup'!$D$3:$E$18,2,FALSE)</f>
        <v>0</v>
      </c>
      <c r="X113" s="26">
        <f>_xlfn.IFNA(IF(LEFT('Rock Climbing Log'!X113)="C",_xlfn.IFNA(VLOOKUP('Rock Climbing Log'!X113,'RC Lookup'!$A$3:$B$9,2,FALSE),0.5),VLOOKUP('Rock Climbing Log'!X113,'RC Lookup'!$G$3:$H$5,2,FALSE)),0)*VLOOKUP(V$7,'RC Lookup'!$D$3:$E$18,2,FALSE)</f>
        <v>0</v>
      </c>
      <c r="Y113" s="26">
        <f>_xlfn.IFNA(IF(LEFT('Rock Climbing Log'!Y113)="C",_xlfn.IFNA(VLOOKUP('Rock Climbing Log'!Y113,'RC Lookup'!$A$3:$B$9,2,FALSE),0.5),VLOOKUP('Rock Climbing Log'!Y113,'RC Lookup'!$G$3:$H$5,2,FALSE)),0)*VLOOKUP(Y$7,'RC Lookup'!$D$3:$E$18,2,FALSE)</f>
        <v>0</v>
      </c>
      <c r="Z113" s="26">
        <f>_xlfn.IFNA(IF(LEFT('Rock Climbing Log'!Z113)="C",_xlfn.IFNA(VLOOKUP('Rock Climbing Log'!Z113,'RC Lookup'!$A$3:$B$9,2,FALSE),0.5),VLOOKUP('Rock Climbing Log'!Z113,'RC Lookup'!$G$3:$H$5,2,FALSE)),0)*VLOOKUP(Y$7,'RC Lookup'!$D$3:$E$18,2,FALSE)</f>
        <v>0</v>
      </c>
      <c r="AA113" s="26">
        <f>_xlfn.IFNA(IF(LEFT('Rock Climbing Log'!AA113)="C",_xlfn.IFNA(VLOOKUP('Rock Climbing Log'!AA113,'RC Lookup'!$A$3:$B$9,2,FALSE),0.5),VLOOKUP('Rock Climbing Log'!AA113,'RC Lookup'!$G$3:$H$5,2,FALSE)),0)*VLOOKUP(Y$7,'RC Lookup'!$D$3:$E$18,2,FALSE)</f>
        <v>0</v>
      </c>
      <c r="AB113" s="26">
        <f>_xlfn.IFNA(IF(LEFT('Rock Climbing Log'!AB113)="C",_xlfn.IFNA(VLOOKUP('Rock Climbing Log'!AB113,'RC Lookup'!$A$3:$B$9,2,FALSE),0.5),VLOOKUP('Rock Climbing Log'!AB113,'RC Lookup'!$G$3:$H$5,2,FALSE)),0)*VLOOKUP(AB$7,'RC Lookup'!$D$3:$E$18,2,FALSE)</f>
        <v>0</v>
      </c>
      <c r="AC113" s="26">
        <f>_xlfn.IFNA(IF(LEFT('Rock Climbing Log'!AC113)="C",_xlfn.IFNA(VLOOKUP('Rock Climbing Log'!AC113,'RC Lookup'!$A$3:$B$9,2,FALSE),0.5),VLOOKUP('Rock Climbing Log'!AC113,'RC Lookup'!$G$3:$H$5,2,FALSE)),0)*VLOOKUP(AB$7,'RC Lookup'!$D$3:$E$18,2,FALSE)</f>
        <v>0</v>
      </c>
      <c r="AD113" s="26">
        <f>_xlfn.IFNA(IF(LEFT('Rock Climbing Log'!AD113)="C",_xlfn.IFNA(VLOOKUP('Rock Climbing Log'!AD113,'RC Lookup'!$A$3:$B$9,2,FALSE),0.5),VLOOKUP('Rock Climbing Log'!AD113,'RC Lookup'!$G$3:$H$5,2,FALSE)),0)*VLOOKUP(AB$7,'RC Lookup'!$D$3:$E$18,2,FALSE)</f>
        <v>0</v>
      </c>
      <c r="AE113" s="26">
        <f>_xlfn.IFNA(IF(LEFT('Rock Climbing Log'!AE113)="C",_xlfn.IFNA(VLOOKUP('Rock Climbing Log'!AE113,'RC Lookup'!$A$3:$B$9,2,FALSE),0.5),VLOOKUP('Rock Climbing Log'!AE113,'RC Lookup'!$G$3:$H$5,2,FALSE)),0)*VLOOKUP(AE$7,'RC Lookup'!$D$3:$E$18,2,FALSE)</f>
        <v>0</v>
      </c>
      <c r="AF113" s="26">
        <f>_xlfn.IFNA(IF(LEFT('Rock Climbing Log'!AF113)="C",_xlfn.IFNA(VLOOKUP('Rock Climbing Log'!AF113,'RC Lookup'!$A$3:$B$9,2,FALSE),0.5),VLOOKUP('Rock Climbing Log'!AF113,'RC Lookup'!$G$3:$H$5,2,FALSE)),0)*VLOOKUP(AE$7,'RC Lookup'!$D$3:$E$18,2,FALSE)</f>
        <v>0</v>
      </c>
      <c r="AG113" s="26">
        <f>_xlfn.IFNA(IF(LEFT('Rock Climbing Log'!AG113)="C",_xlfn.IFNA(VLOOKUP('Rock Climbing Log'!AG113,'RC Lookup'!$A$3:$B$9,2,FALSE),0.5),VLOOKUP('Rock Climbing Log'!AG113,'RC Lookup'!$G$3:$H$5,2,FALSE)),0)*VLOOKUP(AE$7,'RC Lookup'!$D$3:$E$18,2,FALSE)</f>
        <v>0</v>
      </c>
      <c r="AH113" s="26">
        <f>_xlfn.IFNA(IF(LEFT('Rock Climbing Log'!AH113)="C",_xlfn.IFNA(VLOOKUP('Rock Climbing Log'!AH113,'RC Lookup'!$A$3:$B$9,2,FALSE),0.5),VLOOKUP('Rock Climbing Log'!AH113,'RC Lookup'!$G$3:$H$5,2,FALSE)),0)*VLOOKUP(AH$7,'RC Lookup'!$D$3:$E$18,2,FALSE)</f>
        <v>0</v>
      </c>
      <c r="AI113" s="26">
        <f>_xlfn.IFNA(IF(LEFT('Rock Climbing Log'!AI113)="C",_xlfn.IFNA(VLOOKUP('Rock Climbing Log'!AI113,'RC Lookup'!$A$3:$B$9,2,FALSE),0.5),VLOOKUP('Rock Climbing Log'!AI113,'RC Lookup'!$G$3:$H$5,2,FALSE)),0)*VLOOKUP(AH$7,'RC Lookup'!$D$3:$E$18,2,FALSE)</f>
        <v>0</v>
      </c>
      <c r="AJ113" s="26">
        <f>_xlfn.IFNA(IF(LEFT('Rock Climbing Log'!AJ113)="C",_xlfn.IFNA(VLOOKUP('Rock Climbing Log'!AJ113,'RC Lookup'!$A$3:$B$9,2,FALSE),0.5),VLOOKUP('Rock Climbing Log'!AJ113,'RC Lookup'!$G$3:$H$5,2,FALSE)),0)*VLOOKUP(AH$7,'RC Lookup'!$D$3:$E$18,2,FALSE)</f>
        <v>0</v>
      </c>
      <c r="AK113" s="26">
        <f>_xlfn.IFNA(IF(LEFT('Rock Climbing Log'!AK113)="C",_xlfn.IFNA(VLOOKUP('Rock Climbing Log'!AK113,'RC Lookup'!$A$3:$B$9,2,FALSE),0.5),VLOOKUP('Rock Climbing Log'!AK113,'RC Lookup'!$G$3:$H$5,2,FALSE)),0)*VLOOKUP(AK$7,'RC Lookup'!$D$3:$E$18,2,FALSE)</f>
        <v>0</v>
      </c>
      <c r="AL113" s="26">
        <f>_xlfn.IFNA(IF(LEFT('Rock Climbing Log'!AL113)="C",_xlfn.IFNA(VLOOKUP('Rock Climbing Log'!AL113,'RC Lookup'!$A$3:$B$9,2,FALSE),0.5),VLOOKUP('Rock Climbing Log'!AL113,'RC Lookup'!$G$3:$H$5,2,FALSE)),0)*VLOOKUP(AK$7,'RC Lookup'!$D$3:$E$18,2,FALSE)</f>
        <v>0</v>
      </c>
      <c r="AM113" s="26">
        <f>_xlfn.IFNA(IF(LEFT('Rock Climbing Log'!AM113)="C",_xlfn.IFNA(VLOOKUP('Rock Climbing Log'!AM113,'RC Lookup'!$A$3:$B$9,2,FALSE),0.5),VLOOKUP('Rock Climbing Log'!AM113,'RC Lookup'!$G$3:$H$5,2,FALSE)),0)*VLOOKUP(AK$7,'RC Lookup'!$D$3:$E$18,2,FALSE)</f>
        <v>0</v>
      </c>
      <c r="AN113" s="26">
        <f>_xlfn.IFNA(IF(LEFT('Rock Climbing Log'!AN113)="C",_xlfn.IFNA(VLOOKUP('Rock Climbing Log'!AN113,'RC Lookup'!$A$3:$B$9,2,FALSE),0.5),VLOOKUP('Rock Climbing Log'!AN113,'RC Lookup'!$G$3:$H$5,2,FALSE)),0)*VLOOKUP(AN$7,'RC Lookup'!$D$3:$E$18,2,FALSE)</f>
        <v>0</v>
      </c>
      <c r="AO113" s="26">
        <f>_xlfn.IFNA(IF(LEFT('Rock Climbing Log'!AO113)="C",_xlfn.IFNA(VLOOKUP('Rock Climbing Log'!AO113,'RC Lookup'!$A$3:$B$9,2,FALSE),0.5),VLOOKUP('Rock Climbing Log'!AO113,'RC Lookup'!$G$3:$H$5,2,FALSE)),0)*VLOOKUP(AN$7,'RC Lookup'!$D$3:$E$18,2,FALSE)</f>
        <v>0</v>
      </c>
      <c r="AP113" s="26">
        <f>_xlfn.IFNA(IF(LEFT('Rock Climbing Log'!AP113)="C",_xlfn.IFNA(VLOOKUP('Rock Climbing Log'!AP113,'RC Lookup'!$A$3:$B$9,2,FALSE),0.5),VLOOKUP('Rock Climbing Log'!AP113,'RC Lookup'!$G$3:$H$5,2,FALSE)),0)*VLOOKUP(AN$7,'RC Lookup'!$D$3:$E$18,2,FALSE)</f>
        <v>0</v>
      </c>
      <c r="AQ113" s="26">
        <f>_xlfn.IFNA(IF(LEFT('Rock Climbing Log'!AQ113)="C",_xlfn.IFNA(VLOOKUP('Rock Climbing Log'!AQ113,'RC Lookup'!$A$3:$B$9,2,FALSE),0.5),VLOOKUP('Rock Climbing Log'!AQ113,'RC Lookup'!$G$3:$H$5,2,FALSE)),0)*VLOOKUP(AQ$7,'RC Lookup'!$D$3:$E$18,2,FALSE)</f>
        <v>0</v>
      </c>
      <c r="AR113" s="26">
        <f>_xlfn.IFNA(IF(LEFT('Rock Climbing Log'!AR113)="C",_xlfn.IFNA(VLOOKUP('Rock Climbing Log'!AR113,'RC Lookup'!$A$3:$B$9,2,FALSE),0.5),VLOOKUP('Rock Climbing Log'!AR113,'RC Lookup'!$G$3:$H$5,2,FALSE)),0)*VLOOKUP(AQ$7,'RC Lookup'!$D$3:$E$18,2,FALSE)</f>
        <v>0</v>
      </c>
      <c r="AS113" s="26">
        <f>_xlfn.IFNA(IF(LEFT('Rock Climbing Log'!AS113)="C",_xlfn.IFNA(VLOOKUP('Rock Climbing Log'!AS113,'RC Lookup'!$A$3:$B$9,2,FALSE),0.5),VLOOKUP('Rock Climbing Log'!AS113,'RC Lookup'!$G$3:$H$5,2,FALSE)),0)*VLOOKUP(AQ$7,'RC Lookup'!$D$3:$E$18,2,FALSE)</f>
        <v>0</v>
      </c>
      <c r="AT113" s="26">
        <f>_xlfn.IFNA(IF(LEFT('Rock Climbing Log'!AT113)="C",_xlfn.IFNA(VLOOKUP('Rock Climbing Log'!AT113,'RC Lookup'!$A$3:$B$9,2,FALSE),0.5),VLOOKUP('Rock Climbing Log'!AT113,'RC Lookup'!$G$3:$H$5,2,FALSE)),0)*VLOOKUP(AT$7,'RC Lookup'!$D$3:$E$18,2,FALSE)</f>
        <v>0</v>
      </c>
      <c r="AU113" s="26">
        <f>_xlfn.IFNA(IF(LEFT('Rock Climbing Log'!AU113)="C",_xlfn.IFNA(VLOOKUP('Rock Climbing Log'!AU113,'RC Lookup'!$A$3:$B$9,2,FALSE),0.5),VLOOKUP('Rock Climbing Log'!AU113,'RC Lookup'!$G$3:$H$5,2,FALSE)),0)*VLOOKUP(AT$7,'RC Lookup'!$D$3:$E$18,2,FALSE)</f>
        <v>0</v>
      </c>
      <c r="AV113" s="26">
        <f>_xlfn.IFNA(IF(LEFT('Rock Climbing Log'!AV113)="C",_xlfn.IFNA(VLOOKUP('Rock Climbing Log'!AV113,'RC Lookup'!$A$3:$B$9,2,FALSE),0.5),VLOOKUP('Rock Climbing Log'!AV113,'RC Lookup'!$G$3:$H$5,2,FALSE)),0)*VLOOKUP(AT$7,'RC Lookup'!$D$3:$E$18,2,FALSE)</f>
        <v>0</v>
      </c>
      <c r="AW113" s="30">
        <f t="shared" ca="1" si="4"/>
        <v>0</v>
      </c>
      <c r="AX113" s="30">
        <f ca="1">_xlfn.IFNA(VLOOKUP(SUMPRODUCT(LARGE(($C$8:$C113=Table1[[#This Row],[Climber]])*$A$8:$A113,1)),$A$8:$AW113,MATCH($AW$7,$A$7:$AW$7,FALSE),FALSE),0)/LEFT($AX$7,FIND(" ",$AX$7))+_xlfn.IFNA(VLOOKUP(SUMPRODUCT(LARGE(($C$8:$C113=Table1[[#This Row],[Climber]])*$A$8:$A113,MIN(2,COUNTIFS($C$8:$C113,$C113)))),$A$8:$AW113,MATCH($AW$7,$A$7:$AW$7,FALSE),FALSE),0)/LEFT($AX$7,FIND(" ",$AX$7))+_xlfn.IFNA(VLOOKUP(SUMPRODUCT(LARGE(($C$8:$C113=Table1[[#This Row],[Climber]])*$A$8:$A113,MIN(3,COUNTIFS($C$8:$C113,$C113)))),$A$8:$AW113,MATCH($AW$7,$A$7:$AW$7,FALSE),FALSE),0)/LEFT($AX$7,FIND(" ",$AX$7))</f>
        <v>0</v>
      </c>
      <c r="AY113" s="30">
        <f ca="1">_xlfn.IFNA(VLOOKUP(SUMPRODUCT(LARGE(($C$8:$C113=Table1[[#This Row],[Climber]])*$A$8:$A113,1)),$A$8:$AW113,MATCH($AW$7,$A$7:$AW$7,FALSE),FALSE),0)/LEFT($AY$7,FIND(" ",$AY$7))+_xlfn.IFNA(VLOOKUP(SUMPRODUCT(LARGE(($C$8:$C113=Table1[[#This Row],[Climber]])*$A$8:$A113,MIN(2,COUNTIFS($C$8:$C113,$C113)))),$A$8:$AW113,MATCH($AW$7,$A$7:$AW$7,FALSE),FALSE),0)/LEFT($AY$7,FIND(" ",$AY$7))+_xlfn.IFNA(VLOOKUP(SUMPRODUCT(LARGE(($C$8:$C113=Table1[[#This Row],[Climber]])*$A$8:$A113,MIN(3,COUNTIFS($C$8:$C113,$C113)))),$A$8:$AW113,MATCH($AW$7,$A$7:$AW$7,FALSE),FALSE),0)/LEFT($AY$7,FIND(" ",$AY$7))+_xlfn.IFNA(VLOOKUP(SUMPRODUCT(LARGE(($C$8:$C113=Table1[[#This Row],[Climber]])*$A$8:$A113,MIN(4,COUNTIFS($C$8:$C113,$C113)))),$A$8:$AW113,MATCH($AW$7,$A$7:$AW$7,FALSE),FALSE),0)/LEFT($AY$7,FIND(" ",$AY$7))+_xlfn.IFNA(VLOOKUP(SUMPRODUCT(LARGE(($C$8:$C113=Table1[[#This Row],[Climber]])*$A$8:$A113,MIN(5,COUNTIFS($C$8:$C113,$C113)))),$A$8:$AW113,MATCH($AW$7,$A$7:$AW$7,FALSE),FALSE),0)/LEFT($AY$7,FIND(" ",$AY$7))</f>
        <v>0</v>
      </c>
      <c r="AZ113" s="30">
        <f ca="1">(_xlfn.IFNA(VLOOKUP(SUMPRODUCT(LARGE(($C$8:$C113=Table1[[#This Row],[Climber]])*$A$8:$A113,4)),$A$8:$AW113,MATCH($AW$7,$A$7:$AW$7,FALSE),FALSE),0)+_xlfn.IFNA(VLOOKUP(SUMPRODUCT(LARGE(($C$8:$C113=Table1[[#This Row],[Climber]])*$A$8:$A113,5)),$A$8:$AW113,MATCH($AW$7,$A$7:$AW$7,FALSE),FALSE),0)+_xlfn.IFNA(VLOOKUP(SUMPRODUCT(LARGE(($C$8:$C113=Table1[[#This Row],[Climber]])*$A$8:$A113,6)),$A$8:$AW113,MATCH($AW$7,$A$7:$AW$7,FALSE),FALSE),0))/3</f>
        <v>0</v>
      </c>
      <c r="BA113" s="46">
        <f ca="1">_xlfn.MAXIFS(INDIRECT("$AW"&amp;IF(SUMPRODUCT(LARGE(($C$8:$C113=$C113)*$A$8:$A113,LEFT($BA$7,FIND(" ",$BA$7)-1)))=0,8,SUMPRODUCT(LARGE(($C$8:$C113=$C113)*$A$8:$A113,LEFT($BA$7,FIND(" ",$BA$7)-1)))+7)&amp;":$AW"&amp;ROW()),INDIRECT("$C"&amp;IF(SUMPRODUCT(LARGE(($C$8:$C113=$C113)*$A$8:$A113,LEFT($BA$7,FIND(" ",$BA$7)-1)))=0,8,SUMPRODUCT(LARGE(($C$8:$C113=$C113)*$A$8:$A113,LEFT($BA$7,FIND(" ",$BA$7)-1)))+7)&amp;":$C"&amp;ROW()),$C113)</f>
        <v>0</v>
      </c>
      <c r="BB113" s="46" t="str">
        <f ca="1">VLOOKUP(MAX(BG113,$AX113),'RC Lookup'!$G$14:$J$20,2,TRUE)</f>
        <v>T1</v>
      </c>
      <c r="BC113" s="46">
        <f ca="1">_xlfn.IFNA(VLOOKUP(VLOOKUP($C113,'RC Lookup'!$O$3:$P$50,2,FALSE),'RC Lookup'!$H$14:$J$23,2,FALSE),0)*AW113</f>
        <v>0</v>
      </c>
      <c r="BD113" s="6">
        <f ca="1">_xlfn.IFNA(VLOOKUP(SUMPRODUCT(LARGE(($C$8:$C113=Table1[[#This Row],[Climber]])*$A$8:$A113,1)),$A$8:$BC113,55,FALSE),0)/LEFT($AX$7,FIND(" ",$AX$7))+_xlfn.IFNA(VLOOKUP(SUMPRODUCT(LARGE(($C$8:$C113=Table1[[#This Row],[Climber]])*$A$8:$A113,MIN(2,COUNTIFS($C$8:$C113,$C113)))),$A$8:$BC113,55,FALSE),0)/LEFT($AX$7,FIND(" ",$AX$7))+_xlfn.IFNA(VLOOKUP(SUMPRODUCT(LARGE(($C$8:$C113=Table1[[#This Row],[Climber]])*$A$8:$A113,MIN(3,COUNTIFS($C$8:$C113,$C113)))),$A$8:$BC113,55,FALSE),0)/LEFT($AX$7,FIND(" ",$AX$7))</f>
        <v>0</v>
      </c>
      <c r="BE113" s="6">
        <f ca="1">(_xlfn.IFNA(VLOOKUP(SUMPRODUCT(LARGE(($C$8:$C113=Table1[[#This Row],[Climber]])*$A$8:$A113,4)),$A$8:$BD113,55,FALSE),0)+_xlfn.IFNA(VLOOKUP(SUMPRODUCT(LARGE(($C$8:$C113=Table1[[#This Row],[Climber]])*$A$8:$A113,5)),$A$8:$BD113,55,FALSE),0)+_xlfn.IFNA(VLOOKUP(SUMPRODUCT(LARGE(($C$8:$C113=Table1[[#This Row],[Climber]])*$A$8:$A113,6)),$A$8:$BD113,55,FALSE),0))/3</f>
        <v>0</v>
      </c>
      <c r="BF113" s="46">
        <f ca="1">_xlfn.MAXIFS(INDIRECT("$BC"&amp;IF(SUMPRODUCT(LARGE(($C$8:$C113=$C113)*$A$8:$A113,LEFT($BA$7,FIND(" ",$BA$7)-1)))=0,8,SUMPRODUCT(LARGE(($C$8:$C113=$C113)*$A$8:$A113,LEFT($BA$7,FIND(" ",$BA$7)-1)))+7)&amp;":$BC"&amp;ROW()),INDIRECT("$C"&amp;IF(SUMPRODUCT(LARGE(($C$8:$C113=$C113)*$A$8:$A113,LEFT($BA$7,FIND(" ",$BA$7)-1)))=0,8,SUMPRODUCT(LARGE(($C$8:$C113=$C113)*$A$8:$A113,LEFT($BA$7,FIND(" ",$BA$7)-1)))+7)&amp;":$C"&amp;ROW()),$C113)</f>
        <v>0</v>
      </c>
      <c r="BG113" s="46">
        <f t="array" aca="1" ref="BG113" ca="1">IFERROR(SUMPRODUCT(LARGE(($C$8:$C113=Table1[[#This Row],[Climber]])*$AW$8:$AW113,ROW(INDIRECT("1:5")))),AW113)/MIN(COUNTIFS($C$8:$C113,C113),5)</f>
        <v>0</v>
      </c>
    </row>
    <row r="114" spans="1:59" x14ac:dyDescent="0.3">
      <c r="A114" s="125">
        <f t="shared" si="1"/>
        <v>107</v>
      </c>
      <c r="B114" s="25">
        <f>'Rock Climbing Log'!B114</f>
        <v>0</v>
      </c>
      <c r="C114" s="126">
        <f>'Rock Climbing Log'!C114</f>
        <v>0</v>
      </c>
      <c r="D114" s="26">
        <f>_xlfn.IFNA(IF(LEFT('Rock Climbing Log'!D114)="C",_xlfn.IFNA(VLOOKUP('Rock Climbing Log'!D114,'RC Lookup'!$A$3:$B$9,2,FALSE),0.5),VLOOKUP('Rock Climbing Log'!D114,'RC Lookup'!$G$3:$H$5,2,FALSE)),0)*VLOOKUP(D$7,'RC Lookup'!$D$3:$E$18,2,FALSE)</f>
        <v>0</v>
      </c>
      <c r="E114" s="26">
        <f>_xlfn.IFNA(IF(LEFT('Rock Climbing Log'!E114)="C",_xlfn.IFNA(VLOOKUP('Rock Climbing Log'!E114,'RC Lookup'!$A$3:$B$9,2,FALSE),0.5),VLOOKUP('Rock Climbing Log'!E114,'RC Lookup'!$G$3:$H$5,2,FALSE)),0)*VLOOKUP(D$7,'RC Lookup'!$D$3:$E$18,2,FALSE)</f>
        <v>0</v>
      </c>
      <c r="F114" s="26">
        <f>_xlfn.IFNA(IF(LEFT('Rock Climbing Log'!F114)="C",_xlfn.IFNA(VLOOKUP('Rock Climbing Log'!F114,'RC Lookup'!$A$3:$B$9,2,FALSE),0.5),VLOOKUP('Rock Climbing Log'!F114,'RC Lookup'!$G$3:$H$5,2,FALSE)),0)*VLOOKUP(D$7,'RC Lookup'!$D$3:$E$18,2,FALSE)</f>
        <v>0</v>
      </c>
      <c r="G114" s="26">
        <f>_xlfn.IFNA(IF(LEFT('Rock Climbing Log'!G114)="C",_xlfn.IFNA(VLOOKUP('Rock Climbing Log'!G114,'RC Lookup'!$A$3:$B$9,2,FALSE),0.5),VLOOKUP('Rock Climbing Log'!G114,'RC Lookup'!$G$3:$H$5,2,FALSE)),0)*VLOOKUP(G$7,'RC Lookup'!$D$3:$E$18,2,FALSE)</f>
        <v>0</v>
      </c>
      <c r="H114" s="26">
        <f>_xlfn.IFNA(IF(LEFT('Rock Climbing Log'!H114)="C",_xlfn.IFNA(VLOOKUP('Rock Climbing Log'!H114,'RC Lookup'!$A$3:$B$9,2,FALSE),0.5),VLOOKUP('Rock Climbing Log'!H114,'RC Lookup'!$G$3:$H$5,2,FALSE)),0)*VLOOKUP(G$7,'RC Lookup'!$D$3:$E$18,2,FALSE)</f>
        <v>0</v>
      </c>
      <c r="I114" s="26">
        <f>_xlfn.IFNA(IF(LEFT('Rock Climbing Log'!I114)="C",_xlfn.IFNA(VLOOKUP('Rock Climbing Log'!I114,'RC Lookup'!$A$3:$B$9,2,FALSE),0.5),VLOOKUP('Rock Climbing Log'!I114,'RC Lookup'!$G$3:$H$5,2,FALSE)),0)*VLOOKUP(G$7,'RC Lookup'!$D$3:$E$18,2,FALSE)</f>
        <v>0</v>
      </c>
      <c r="J114" s="26">
        <f>_xlfn.IFNA(IF(LEFT('Rock Climbing Log'!J114)="C",_xlfn.IFNA(VLOOKUP('Rock Climbing Log'!J114,'RC Lookup'!$A$3:$B$9,2,FALSE),0.5),VLOOKUP('Rock Climbing Log'!J114,'RC Lookup'!$G$3:$H$5,2,FALSE)),0)*VLOOKUP(J$7,'RC Lookup'!$D$3:$E$18,2,FALSE)</f>
        <v>0</v>
      </c>
      <c r="K114" s="26">
        <f>_xlfn.IFNA(IF(LEFT('Rock Climbing Log'!K114)="C",_xlfn.IFNA(VLOOKUP('Rock Climbing Log'!K114,'RC Lookup'!$A$3:$B$9,2,FALSE),0.5),VLOOKUP('Rock Climbing Log'!K114,'RC Lookup'!$G$3:$H$5,2,FALSE)),0)*VLOOKUP(J$7,'RC Lookup'!$D$3:$E$18,2,FALSE)</f>
        <v>0</v>
      </c>
      <c r="L114" s="26">
        <f>_xlfn.IFNA(IF(LEFT('Rock Climbing Log'!L114)="C",_xlfn.IFNA(VLOOKUP('Rock Climbing Log'!L114,'RC Lookup'!$A$3:$B$9,2,FALSE),0.5),VLOOKUP('Rock Climbing Log'!L114,'RC Lookup'!$G$3:$H$5,2,FALSE)),0)*VLOOKUP(J$7,'RC Lookup'!$D$3:$E$18,2,FALSE)</f>
        <v>0</v>
      </c>
      <c r="M114" s="26">
        <f>_xlfn.IFNA(IF(LEFT('Rock Climbing Log'!M114)="C",_xlfn.IFNA(VLOOKUP('Rock Climbing Log'!M114,'RC Lookup'!$A$3:$B$9,2,FALSE),0.5),VLOOKUP('Rock Climbing Log'!M114,'RC Lookup'!$G$3:$H$5,2,FALSE)),0)*VLOOKUP(M$7,'RC Lookup'!$D$3:$E$18,2,FALSE)</f>
        <v>0</v>
      </c>
      <c r="N114" s="26">
        <f>_xlfn.IFNA(IF(LEFT('Rock Climbing Log'!N114)="C",_xlfn.IFNA(VLOOKUP('Rock Climbing Log'!N114,'RC Lookup'!$A$3:$B$9,2,FALSE),0.5),VLOOKUP('Rock Climbing Log'!N114,'RC Lookup'!$G$3:$H$5,2,FALSE)),0)*VLOOKUP(M$7,'RC Lookup'!$D$3:$E$18,2,FALSE)</f>
        <v>0</v>
      </c>
      <c r="O114" s="26">
        <f>_xlfn.IFNA(IF(LEFT('Rock Climbing Log'!O114)="C",_xlfn.IFNA(VLOOKUP('Rock Climbing Log'!O114,'RC Lookup'!$A$3:$B$9,2,FALSE),0.5),VLOOKUP('Rock Climbing Log'!O114,'RC Lookup'!$G$3:$H$5,2,FALSE)),0)*VLOOKUP(M$7,'RC Lookup'!$D$3:$E$18,2,FALSE)</f>
        <v>0</v>
      </c>
      <c r="P114" s="26">
        <f>_xlfn.IFNA(IF(LEFT('Rock Climbing Log'!P114)="C",_xlfn.IFNA(VLOOKUP('Rock Climbing Log'!P114,'RC Lookup'!$A$3:$B$9,2,FALSE),0.5),VLOOKUP('Rock Climbing Log'!P114,'RC Lookup'!$G$3:$H$5,2,FALSE)),0)*VLOOKUP(P$7,'RC Lookup'!$D$3:$E$18,2,FALSE)</f>
        <v>0</v>
      </c>
      <c r="Q114" s="26">
        <f>_xlfn.IFNA(IF(LEFT('Rock Climbing Log'!Q114)="C",_xlfn.IFNA(VLOOKUP('Rock Climbing Log'!Q114,'RC Lookup'!$A$3:$B$9,2,FALSE),0.5),VLOOKUP('Rock Climbing Log'!Q114,'RC Lookup'!$G$3:$H$5,2,FALSE)),0)*VLOOKUP(P$7,'RC Lookup'!$D$3:$E$18,2,FALSE)</f>
        <v>0</v>
      </c>
      <c r="R114" s="26">
        <f>_xlfn.IFNA(IF(LEFT('Rock Climbing Log'!R114)="C",_xlfn.IFNA(VLOOKUP('Rock Climbing Log'!R114,'RC Lookup'!$A$3:$B$9,2,FALSE),0.5),VLOOKUP('Rock Climbing Log'!R114,'RC Lookup'!$G$3:$H$5,2,FALSE)),0)*VLOOKUP(P$7,'RC Lookup'!$D$3:$E$18,2,FALSE)</f>
        <v>0</v>
      </c>
      <c r="S114" s="26">
        <f>_xlfn.IFNA(IF(LEFT('Rock Climbing Log'!S114)="C",_xlfn.IFNA(VLOOKUP('Rock Climbing Log'!S114,'RC Lookup'!$A$3:$B$9,2,FALSE),0.5),VLOOKUP('Rock Climbing Log'!S114,'RC Lookup'!$G$3:$H$5,2,FALSE)),0)*VLOOKUP(S$7,'RC Lookup'!$D$3:$E$18,2,FALSE)</f>
        <v>0</v>
      </c>
      <c r="T114" s="26">
        <f>_xlfn.IFNA(IF(LEFT('Rock Climbing Log'!T114)="C",_xlfn.IFNA(VLOOKUP('Rock Climbing Log'!T114,'RC Lookup'!$A$3:$B$9,2,FALSE),0.5),VLOOKUP('Rock Climbing Log'!T114,'RC Lookup'!$G$3:$H$5,2,FALSE)),0)*VLOOKUP(S$7,'RC Lookup'!$D$3:$E$18,2,FALSE)</f>
        <v>0</v>
      </c>
      <c r="U114" s="26">
        <f>_xlfn.IFNA(IF(LEFT('Rock Climbing Log'!U114)="C",_xlfn.IFNA(VLOOKUP('Rock Climbing Log'!U114,'RC Lookup'!$A$3:$B$9,2,FALSE),0.5),VLOOKUP('Rock Climbing Log'!U114,'RC Lookup'!$G$3:$H$5,2,FALSE)),0)*VLOOKUP(S$7,'RC Lookup'!$D$3:$E$18,2,FALSE)</f>
        <v>0</v>
      </c>
      <c r="V114" s="26">
        <f>_xlfn.IFNA(IF(LEFT('Rock Climbing Log'!V114)="C",_xlfn.IFNA(VLOOKUP('Rock Climbing Log'!V114,'RC Lookup'!$A$3:$B$9,2,FALSE),0.5),VLOOKUP('Rock Climbing Log'!V114,'RC Lookup'!$G$3:$H$5,2,FALSE)),0)*VLOOKUP(V$7,'RC Lookup'!$D$3:$E$18,2,FALSE)</f>
        <v>0</v>
      </c>
      <c r="W114" s="26">
        <f>_xlfn.IFNA(IF(LEFT('Rock Climbing Log'!W114)="C",_xlfn.IFNA(VLOOKUP('Rock Climbing Log'!W114,'RC Lookup'!$A$3:$B$9,2,FALSE),0.5),VLOOKUP('Rock Climbing Log'!W114,'RC Lookup'!$G$3:$H$5,2,FALSE)),0)*VLOOKUP(V$7,'RC Lookup'!$D$3:$E$18,2,FALSE)</f>
        <v>0</v>
      </c>
      <c r="X114" s="26">
        <f>_xlfn.IFNA(IF(LEFT('Rock Climbing Log'!X114)="C",_xlfn.IFNA(VLOOKUP('Rock Climbing Log'!X114,'RC Lookup'!$A$3:$B$9,2,FALSE),0.5),VLOOKUP('Rock Climbing Log'!X114,'RC Lookup'!$G$3:$H$5,2,FALSE)),0)*VLOOKUP(V$7,'RC Lookup'!$D$3:$E$18,2,FALSE)</f>
        <v>0</v>
      </c>
      <c r="Y114" s="26">
        <f>_xlfn.IFNA(IF(LEFT('Rock Climbing Log'!Y114)="C",_xlfn.IFNA(VLOOKUP('Rock Climbing Log'!Y114,'RC Lookup'!$A$3:$B$9,2,FALSE),0.5),VLOOKUP('Rock Climbing Log'!Y114,'RC Lookup'!$G$3:$H$5,2,FALSE)),0)*VLOOKUP(Y$7,'RC Lookup'!$D$3:$E$18,2,FALSE)</f>
        <v>0</v>
      </c>
      <c r="Z114" s="26">
        <f>_xlfn.IFNA(IF(LEFT('Rock Climbing Log'!Z114)="C",_xlfn.IFNA(VLOOKUP('Rock Climbing Log'!Z114,'RC Lookup'!$A$3:$B$9,2,FALSE),0.5),VLOOKUP('Rock Climbing Log'!Z114,'RC Lookup'!$G$3:$H$5,2,FALSE)),0)*VLOOKUP(Y$7,'RC Lookup'!$D$3:$E$18,2,FALSE)</f>
        <v>0</v>
      </c>
      <c r="AA114" s="26">
        <f>_xlfn.IFNA(IF(LEFT('Rock Climbing Log'!AA114)="C",_xlfn.IFNA(VLOOKUP('Rock Climbing Log'!AA114,'RC Lookup'!$A$3:$B$9,2,FALSE),0.5),VLOOKUP('Rock Climbing Log'!AA114,'RC Lookup'!$G$3:$H$5,2,FALSE)),0)*VLOOKUP(Y$7,'RC Lookup'!$D$3:$E$18,2,FALSE)</f>
        <v>0</v>
      </c>
      <c r="AB114" s="26">
        <f>_xlfn.IFNA(IF(LEFT('Rock Climbing Log'!AB114)="C",_xlfn.IFNA(VLOOKUP('Rock Climbing Log'!AB114,'RC Lookup'!$A$3:$B$9,2,FALSE),0.5),VLOOKUP('Rock Climbing Log'!AB114,'RC Lookup'!$G$3:$H$5,2,FALSE)),0)*VLOOKUP(AB$7,'RC Lookup'!$D$3:$E$18,2,FALSE)</f>
        <v>0</v>
      </c>
      <c r="AC114" s="26">
        <f>_xlfn.IFNA(IF(LEFT('Rock Climbing Log'!AC114)="C",_xlfn.IFNA(VLOOKUP('Rock Climbing Log'!AC114,'RC Lookup'!$A$3:$B$9,2,FALSE),0.5),VLOOKUP('Rock Climbing Log'!AC114,'RC Lookup'!$G$3:$H$5,2,FALSE)),0)*VLOOKUP(AB$7,'RC Lookup'!$D$3:$E$18,2,FALSE)</f>
        <v>0</v>
      </c>
      <c r="AD114" s="26">
        <f>_xlfn.IFNA(IF(LEFT('Rock Climbing Log'!AD114)="C",_xlfn.IFNA(VLOOKUP('Rock Climbing Log'!AD114,'RC Lookup'!$A$3:$B$9,2,FALSE),0.5),VLOOKUP('Rock Climbing Log'!AD114,'RC Lookup'!$G$3:$H$5,2,FALSE)),0)*VLOOKUP(AB$7,'RC Lookup'!$D$3:$E$18,2,FALSE)</f>
        <v>0</v>
      </c>
      <c r="AE114" s="26">
        <f>_xlfn.IFNA(IF(LEFT('Rock Climbing Log'!AE114)="C",_xlfn.IFNA(VLOOKUP('Rock Climbing Log'!AE114,'RC Lookup'!$A$3:$B$9,2,FALSE),0.5),VLOOKUP('Rock Climbing Log'!AE114,'RC Lookup'!$G$3:$H$5,2,FALSE)),0)*VLOOKUP(AE$7,'RC Lookup'!$D$3:$E$18,2,FALSE)</f>
        <v>0</v>
      </c>
      <c r="AF114" s="26">
        <f>_xlfn.IFNA(IF(LEFT('Rock Climbing Log'!AF114)="C",_xlfn.IFNA(VLOOKUP('Rock Climbing Log'!AF114,'RC Lookup'!$A$3:$B$9,2,FALSE),0.5),VLOOKUP('Rock Climbing Log'!AF114,'RC Lookup'!$G$3:$H$5,2,FALSE)),0)*VLOOKUP(AE$7,'RC Lookup'!$D$3:$E$18,2,FALSE)</f>
        <v>0</v>
      </c>
      <c r="AG114" s="26">
        <f>_xlfn.IFNA(IF(LEFT('Rock Climbing Log'!AG114)="C",_xlfn.IFNA(VLOOKUP('Rock Climbing Log'!AG114,'RC Lookup'!$A$3:$B$9,2,FALSE),0.5),VLOOKUP('Rock Climbing Log'!AG114,'RC Lookup'!$G$3:$H$5,2,FALSE)),0)*VLOOKUP(AE$7,'RC Lookup'!$D$3:$E$18,2,FALSE)</f>
        <v>0</v>
      </c>
      <c r="AH114" s="26">
        <f>_xlfn.IFNA(IF(LEFT('Rock Climbing Log'!AH114)="C",_xlfn.IFNA(VLOOKUP('Rock Climbing Log'!AH114,'RC Lookup'!$A$3:$B$9,2,FALSE),0.5),VLOOKUP('Rock Climbing Log'!AH114,'RC Lookup'!$G$3:$H$5,2,FALSE)),0)*VLOOKUP(AH$7,'RC Lookup'!$D$3:$E$18,2,FALSE)</f>
        <v>0</v>
      </c>
      <c r="AI114" s="26">
        <f>_xlfn.IFNA(IF(LEFT('Rock Climbing Log'!AI114)="C",_xlfn.IFNA(VLOOKUP('Rock Climbing Log'!AI114,'RC Lookup'!$A$3:$B$9,2,FALSE),0.5),VLOOKUP('Rock Climbing Log'!AI114,'RC Lookup'!$G$3:$H$5,2,FALSE)),0)*VLOOKUP(AH$7,'RC Lookup'!$D$3:$E$18,2,FALSE)</f>
        <v>0</v>
      </c>
      <c r="AJ114" s="26">
        <f>_xlfn.IFNA(IF(LEFT('Rock Climbing Log'!AJ114)="C",_xlfn.IFNA(VLOOKUP('Rock Climbing Log'!AJ114,'RC Lookup'!$A$3:$B$9,2,FALSE),0.5),VLOOKUP('Rock Climbing Log'!AJ114,'RC Lookup'!$G$3:$H$5,2,FALSE)),0)*VLOOKUP(AH$7,'RC Lookup'!$D$3:$E$18,2,FALSE)</f>
        <v>0</v>
      </c>
      <c r="AK114" s="26">
        <f>_xlfn.IFNA(IF(LEFT('Rock Climbing Log'!AK114)="C",_xlfn.IFNA(VLOOKUP('Rock Climbing Log'!AK114,'RC Lookup'!$A$3:$B$9,2,FALSE),0.5),VLOOKUP('Rock Climbing Log'!AK114,'RC Lookup'!$G$3:$H$5,2,FALSE)),0)*VLOOKUP(AK$7,'RC Lookup'!$D$3:$E$18,2,FALSE)</f>
        <v>0</v>
      </c>
      <c r="AL114" s="26">
        <f>_xlfn.IFNA(IF(LEFT('Rock Climbing Log'!AL114)="C",_xlfn.IFNA(VLOOKUP('Rock Climbing Log'!AL114,'RC Lookup'!$A$3:$B$9,2,FALSE),0.5),VLOOKUP('Rock Climbing Log'!AL114,'RC Lookup'!$G$3:$H$5,2,FALSE)),0)*VLOOKUP(AK$7,'RC Lookup'!$D$3:$E$18,2,FALSE)</f>
        <v>0</v>
      </c>
      <c r="AM114" s="26">
        <f>_xlfn.IFNA(IF(LEFT('Rock Climbing Log'!AM114)="C",_xlfn.IFNA(VLOOKUP('Rock Climbing Log'!AM114,'RC Lookup'!$A$3:$B$9,2,FALSE),0.5),VLOOKUP('Rock Climbing Log'!AM114,'RC Lookup'!$G$3:$H$5,2,FALSE)),0)*VLOOKUP(AK$7,'RC Lookup'!$D$3:$E$18,2,FALSE)</f>
        <v>0</v>
      </c>
      <c r="AN114" s="26">
        <f>_xlfn.IFNA(IF(LEFT('Rock Climbing Log'!AN114)="C",_xlfn.IFNA(VLOOKUP('Rock Climbing Log'!AN114,'RC Lookup'!$A$3:$B$9,2,FALSE),0.5),VLOOKUP('Rock Climbing Log'!AN114,'RC Lookup'!$G$3:$H$5,2,FALSE)),0)*VLOOKUP(AN$7,'RC Lookup'!$D$3:$E$18,2,FALSE)</f>
        <v>0</v>
      </c>
      <c r="AO114" s="26">
        <f>_xlfn.IFNA(IF(LEFT('Rock Climbing Log'!AO114)="C",_xlfn.IFNA(VLOOKUP('Rock Climbing Log'!AO114,'RC Lookup'!$A$3:$B$9,2,FALSE),0.5),VLOOKUP('Rock Climbing Log'!AO114,'RC Lookup'!$G$3:$H$5,2,FALSE)),0)*VLOOKUP(AN$7,'RC Lookup'!$D$3:$E$18,2,FALSE)</f>
        <v>0</v>
      </c>
      <c r="AP114" s="26">
        <f>_xlfn.IFNA(IF(LEFT('Rock Climbing Log'!AP114)="C",_xlfn.IFNA(VLOOKUP('Rock Climbing Log'!AP114,'RC Lookup'!$A$3:$B$9,2,FALSE),0.5),VLOOKUP('Rock Climbing Log'!AP114,'RC Lookup'!$G$3:$H$5,2,FALSE)),0)*VLOOKUP(AN$7,'RC Lookup'!$D$3:$E$18,2,FALSE)</f>
        <v>0</v>
      </c>
      <c r="AQ114" s="26">
        <f>_xlfn.IFNA(IF(LEFT('Rock Climbing Log'!AQ114)="C",_xlfn.IFNA(VLOOKUP('Rock Climbing Log'!AQ114,'RC Lookup'!$A$3:$B$9,2,FALSE),0.5),VLOOKUP('Rock Climbing Log'!AQ114,'RC Lookup'!$G$3:$H$5,2,FALSE)),0)*VLOOKUP(AQ$7,'RC Lookup'!$D$3:$E$18,2,FALSE)</f>
        <v>0</v>
      </c>
      <c r="AR114" s="26">
        <f>_xlfn.IFNA(IF(LEFT('Rock Climbing Log'!AR114)="C",_xlfn.IFNA(VLOOKUP('Rock Climbing Log'!AR114,'RC Lookup'!$A$3:$B$9,2,FALSE),0.5),VLOOKUP('Rock Climbing Log'!AR114,'RC Lookup'!$G$3:$H$5,2,FALSE)),0)*VLOOKUP(AQ$7,'RC Lookup'!$D$3:$E$18,2,FALSE)</f>
        <v>0</v>
      </c>
      <c r="AS114" s="26">
        <f>_xlfn.IFNA(IF(LEFT('Rock Climbing Log'!AS114)="C",_xlfn.IFNA(VLOOKUP('Rock Climbing Log'!AS114,'RC Lookup'!$A$3:$B$9,2,FALSE),0.5),VLOOKUP('Rock Climbing Log'!AS114,'RC Lookup'!$G$3:$H$5,2,FALSE)),0)*VLOOKUP(AQ$7,'RC Lookup'!$D$3:$E$18,2,FALSE)</f>
        <v>0</v>
      </c>
      <c r="AT114" s="26">
        <f>_xlfn.IFNA(IF(LEFT('Rock Climbing Log'!AT114)="C",_xlfn.IFNA(VLOOKUP('Rock Climbing Log'!AT114,'RC Lookup'!$A$3:$B$9,2,FALSE),0.5),VLOOKUP('Rock Climbing Log'!AT114,'RC Lookup'!$G$3:$H$5,2,FALSE)),0)*VLOOKUP(AT$7,'RC Lookup'!$D$3:$E$18,2,FALSE)</f>
        <v>0</v>
      </c>
      <c r="AU114" s="26">
        <f>_xlfn.IFNA(IF(LEFT('Rock Climbing Log'!AU114)="C",_xlfn.IFNA(VLOOKUP('Rock Climbing Log'!AU114,'RC Lookup'!$A$3:$B$9,2,FALSE),0.5),VLOOKUP('Rock Climbing Log'!AU114,'RC Lookup'!$G$3:$H$5,2,FALSE)),0)*VLOOKUP(AT$7,'RC Lookup'!$D$3:$E$18,2,FALSE)</f>
        <v>0</v>
      </c>
      <c r="AV114" s="26">
        <f>_xlfn.IFNA(IF(LEFT('Rock Climbing Log'!AV114)="C",_xlfn.IFNA(VLOOKUP('Rock Climbing Log'!AV114,'RC Lookup'!$A$3:$B$9,2,FALSE),0.5),VLOOKUP('Rock Climbing Log'!AV114,'RC Lookup'!$G$3:$H$5,2,FALSE)),0)*VLOOKUP(AT$7,'RC Lookup'!$D$3:$E$18,2,FALSE)</f>
        <v>0</v>
      </c>
      <c r="AW114" s="30">
        <f t="shared" ca="1" si="4"/>
        <v>0</v>
      </c>
      <c r="AX114" s="30">
        <f ca="1">_xlfn.IFNA(VLOOKUP(SUMPRODUCT(LARGE(($C$8:$C114=Table1[[#This Row],[Climber]])*$A$8:$A114,1)),$A$8:$AW114,MATCH($AW$7,$A$7:$AW$7,FALSE),FALSE),0)/LEFT($AX$7,FIND(" ",$AX$7))+_xlfn.IFNA(VLOOKUP(SUMPRODUCT(LARGE(($C$8:$C114=Table1[[#This Row],[Climber]])*$A$8:$A114,MIN(2,COUNTIFS($C$8:$C114,$C114)))),$A$8:$AW114,MATCH($AW$7,$A$7:$AW$7,FALSE),FALSE),0)/LEFT($AX$7,FIND(" ",$AX$7))+_xlfn.IFNA(VLOOKUP(SUMPRODUCT(LARGE(($C$8:$C114=Table1[[#This Row],[Climber]])*$A$8:$A114,MIN(3,COUNTIFS($C$8:$C114,$C114)))),$A$8:$AW114,MATCH($AW$7,$A$7:$AW$7,FALSE),FALSE),0)/LEFT($AX$7,FIND(" ",$AX$7))</f>
        <v>0</v>
      </c>
      <c r="AY114" s="30">
        <f ca="1">_xlfn.IFNA(VLOOKUP(SUMPRODUCT(LARGE(($C$8:$C114=Table1[[#This Row],[Climber]])*$A$8:$A114,1)),$A$8:$AW114,MATCH($AW$7,$A$7:$AW$7,FALSE),FALSE),0)/LEFT($AY$7,FIND(" ",$AY$7))+_xlfn.IFNA(VLOOKUP(SUMPRODUCT(LARGE(($C$8:$C114=Table1[[#This Row],[Climber]])*$A$8:$A114,MIN(2,COUNTIFS($C$8:$C114,$C114)))),$A$8:$AW114,MATCH($AW$7,$A$7:$AW$7,FALSE),FALSE),0)/LEFT($AY$7,FIND(" ",$AY$7))+_xlfn.IFNA(VLOOKUP(SUMPRODUCT(LARGE(($C$8:$C114=Table1[[#This Row],[Climber]])*$A$8:$A114,MIN(3,COUNTIFS($C$8:$C114,$C114)))),$A$8:$AW114,MATCH($AW$7,$A$7:$AW$7,FALSE),FALSE),0)/LEFT($AY$7,FIND(" ",$AY$7))+_xlfn.IFNA(VLOOKUP(SUMPRODUCT(LARGE(($C$8:$C114=Table1[[#This Row],[Climber]])*$A$8:$A114,MIN(4,COUNTIFS($C$8:$C114,$C114)))),$A$8:$AW114,MATCH($AW$7,$A$7:$AW$7,FALSE),FALSE),0)/LEFT($AY$7,FIND(" ",$AY$7))+_xlfn.IFNA(VLOOKUP(SUMPRODUCT(LARGE(($C$8:$C114=Table1[[#This Row],[Climber]])*$A$8:$A114,MIN(5,COUNTIFS($C$8:$C114,$C114)))),$A$8:$AW114,MATCH($AW$7,$A$7:$AW$7,FALSE),FALSE),0)/LEFT($AY$7,FIND(" ",$AY$7))</f>
        <v>0</v>
      </c>
      <c r="AZ114" s="30">
        <f ca="1">(_xlfn.IFNA(VLOOKUP(SUMPRODUCT(LARGE(($C$8:$C114=Table1[[#This Row],[Climber]])*$A$8:$A114,4)),$A$8:$AW114,MATCH($AW$7,$A$7:$AW$7,FALSE),FALSE),0)+_xlfn.IFNA(VLOOKUP(SUMPRODUCT(LARGE(($C$8:$C114=Table1[[#This Row],[Climber]])*$A$8:$A114,5)),$A$8:$AW114,MATCH($AW$7,$A$7:$AW$7,FALSE),FALSE),0)+_xlfn.IFNA(VLOOKUP(SUMPRODUCT(LARGE(($C$8:$C114=Table1[[#This Row],[Climber]])*$A$8:$A114,6)),$A$8:$AW114,MATCH($AW$7,$A$7:$AW$7,FALSE),FALSE),0))/3</f>
        <v>0</v>
      </c>
      <c r="BA114" s="46">
        <f ca="1">_xlfn.MAXIFS(INDIRECT("$AW"&amp;IF(SUMPRODUCT(LARGE(($C$8:$C114=$C114)*$A$8:$A114,LEFT($BA$7,FIND(" ",$BA$7)-1)))=0,8,SUMPRODUCT(LARGE(($C$8:$C114=$C114)*$A$8:$A114,LEFT($BA$7,FIND(" ",$BA$7)-1)))+7)&amp;":$AW"&amp;ROW()),INDIRECT("$C"&amp;IF(SUMPRODUCT(LARGE(($C$8:$C114=$C114)*$A$8:$A114,LEFT($BA$7,FIND(" ",$BA$7)-1)))=0,8,SUMPRODUCT(LARGE(($C$8:$C114=$C114)*$A$8:$A114,LEFT($BA$7,FIND(" ",$BA$7)-1)))+7)&amp;":$C"&amp;ROW()),$C114)</f>
        <v>0</v>
      </c>
      <c r="BB114" s="46" t="str">
        <f ca="1">VLOOKUP(MAX(BG114,$AX114),'RC Lookup'!$G$14:$J$20,2,TRUE)</f>
        <v>T1</v>
      </c>
      <c r="BC114" s="46">
        <f ca="1">_xlfn.IFNA(VLOOKUP(VLOOKUP($C114,'RC Lookup'!$O$3:$P$50,2,FALSE),'RC Lookup'!$H$14:$J$23,2,FALSE),0)*AW114</f>
        <v>0</v>
      </c>
      <c r="BD114" s="6">
        <f ca="1">_xlfn.IFNA(VLOOKUP(SUMPRODUCT(LARGE(($C$8:$C114=Table1[[#This Row],[Climber]])*$A$8:$A114,1)),$A$8:$BC114,55,FALSE),0)/LEFT($AX$7,FIND(" ",$AX$7))+_xlfn.IFNA(VLOOKUP(SUMPRODUCT(LARGE(($C$8:$C114=Table1[[#This Row],[Climber]])*$A$8:$A114,MIN(2,COUNTIFS($C$8:$C114,$C114)))),$A$8:$BC114,55,FALSE),0)/LEFT($AX$7,FIND(" ",$AX$7))+_xlfn.IFNA(VLOOKUP(SUMPRODUCT(LARGE(($C$8:$C114=Table1[[#This Row],[Climber]])*$A$8:$A114,MIN(3,COUNTIFS($C$8:$C114,$C114)))),$A$8:$BC114,55,FALSE),0)/LEFT($AX$7,FIND(" ",$AX$7))</f>
        <v>0</v>
      </c>
      <c r="BE114" s="6">
        <f ca="1">(_xlfn.IFNA(VLOOKUP(SUMPRODUCT(LARGE(($C$8:$C114=Table1[[#This Row],[Climber]])*$A$8:$A114,4)),$A$8:$BD114,55,FALSE),0)+_xlfn.IFNA(VLOOKUP(SUMPRODUCT(LARGE(($C$8:$C114=Table1[[#This Row],[Climber]])*$A$8:$A114,5)),$A$8:$BD114,55,FALSE),0)+_xlfn.IFNA(VLOOKUP(SUMPRODUCT(LARGE(($C$8:$C114=Table1[[#This Row],[Climber]])*$A$8:$A114,6)),$A$8:$BD114,55,FALSE),0))/3</f>
        <v>0</v>
      </c>
      <c r="BF114" s="46">
        <f ca="1">_xlfn.MAXIFS(INDIRECT("$BC"&amp;IF(SUMPRODUCT(LARGE(($C$8:$C114=$C114)*$A$8:$A114,LEFT($BA$7,FIND(" ",$BA$7)-1)))=0,8,SUMPRODUCT(LARGE(($C$8:$C114=$C114)*$A$8:$A114,LEFT($BA$7,FIND(" ",$BA$7)-1)))+7)&amp;":$BC"&amp;ROW()),INDIRECT("$C"&amp;IF(SUMPRODUCT(LARGE(($C$8:$C114=$C114)*$A$8:$A114,LEFT($BA$7,FIND(" ",$BA$7)-1)))=0,8,SUMPRODUCT(LARGE(($C$8:$C114=$C114)*$A$8:$A114,LEFT($BA$7,FIND(" ",$BA$7)-1)))+7)&amp;":$C"&amp;ROW()),$C114)</f>
        <v>0</v>
      </c>
      <c r="BG114" s="46">
        <f t="array" aca="1" ref="BG114" ca="1">IFERROR(SUMPRODUCT(LARGE(($C$8:$C114=Table1[[#This Row],[Climber]])*$AW$8:$AW114,ROW(INDIRECT("1:5")))),AW114)/MIN(COUNTIFS($C$8:$C114,C114),5)</f>
        <v>0</v>
      </c>
    </row>
    <row r="115" spans="1:59" x14ac:dyDescent="0.3">
      <c r="A115" s="125">
        <f t="shared" si="1"/>
        <v>108</v>
      </c>
      <c r="B115" s="25">
        <f>'Rock Climbing Log'!B115</f>
        <v>0</v>
      </c>
      <c r="C115" s="126">
        <f>'Rock Climbing Log'!C115</f>
        <v>0</v>
      </c>
      <c r="D115" s="26">
        <f>_xlfn.IFNA(IF(LEFT('Rock Climbing Log'!D115)="C",_xlfn.IFNA(VLOOKUP('Rock Climbing Log'!D115,'RC Lookup'!$A$3:$B$9,2,FALSE),0.5),VLOOKUP('Rock Climbing Log'!D115,'RC Lookup'!$G$3:$H$5,2,FALSE)),0)*VLOOKUP(D$7,'RC Lookup'!$D$3:$E$18,2,FALSE)</f>
        <v>0</v>
      </c>
      <c r="E115" s="26">
        <f>_xlfn.IFNA(IF(LEFT('Rock Climbing Log'!E115)="C",_xlfn.IFNA(VLOOKUP('Rock Climbing Log'!E115,'RC Lookup'!$A$3:$B$9,2,FALSE),0.5),VLOOKUP('Rock Climbing Log'!E115,'RC Lookup'!$G$3:$H$5,2,FALSE)),0)*VLOOKUP(D$7,'RC Lookup'!$D$3:$E$18,2,FALSE)</f>
        <v>0</v>
      </c>
      <c r="F115" s="26">
        <f>_xlfn.IFNA(IF(LEFT('Rock Climbing Log'!F115)="C",_xlfn.IFNA(VLOOKUP('Rock Climbing Log'!F115,'RC Lookup'!$A$3:$B$9,2,FALSE),0.5),VLOOKUP('Rock Climbing Log'!F115,'RC Lookup'!$G$3:$H$5,2,FALSE)),0)*VLOOKUP(D$7,'RC Lookup'!$D$3:$E$18,2,FALSE)</f>
        <v>0</v>
      </c>
      <c r="G115" s="26">
        <f>_xlfn.IFNA(IF(LEFT('Rock Climbing Log'!G115)="C",_xlfn.IFNA(VLOOKUP('Rock Climbing Log'!G115,'RC Lookup'!$A$3:$B$9,2,FALSE),0.5),VLOOKUP('Rock Climbing Log'!G115,'RC Lookup'!$G$3:$H$5,2,FALSE)),0)*VLOOKUP(G$7,'RC Lookup'!$D$3:$E$18,2,FALSE)</f>
        <v>0</v>
      </c>
      <c r="H115" s="26">
        <f>_xlfn.IFNA(IF(LEFT('Rock Climbing Log'!H115)="C",_xlfn.IFNA(VLOOKUP('Rock Climbing Log'!H115,'RC Lookup'!$A$3:$B$9,2,FALSE),0.5),VLOOKUP('Rock Climbing Log'!H115,'RC Lookup'!$G$3:$H$5,2,FALSE)),0)*VLOOKUP(G$7,'RC Lookup'!$D$3:$E$18,2,FALSE)</f>
        <v>0</v>
      </c>
      <c r="I115" s="26">
        <f>_xlfn.IFNA(IF(LEFT('Rock Climbing Log'!I115)="C",_xlfn.IFNA(VLOOKUP('Rock Climbing Log'!I115,'RC Lookup'!$A$3:$B$9,2,FALSE),0.5),VLOOKUP('Rock Climbing Log'!I115,'RC Lookup'!$G$3:$H$5,2,FALSE)),0)*VLOOKUP(G$7,'RC Lookup'!$D$3:$E$18,2,FALSE)</f>
        <v>0</v>
      </c>
      <c r="J115" s="26">
        <f>_xlfn.IFNA(IF(LEFT('Rock Climbing Log'!J115)="C",_xlfn.IFNA(VLOOKUP('Rock Climbing Log'!J115,'RC Lookup'!$A$3:$B$9,2,FALSE),0.5),VLOOKUP('Rock Climbing Log'!J115,'RC Lookup'!$G$3:$H$5,2,FALSE)),0)*VLOOKUP(J$7,'RC Lookup'!$D$3:$E$18,2,FALSE)</f>
        <v>0</v>
      </c>
      <c r="K115" s="26">
        <f>_xlfn.IFNA(IF(LEFT('Rock Climbing Log'!K115)="C",_xlfn.IFNA(VLOOKUP('Rock Climbing Log'!K115,'RC Lookup'!$A$3:$B$9,2,FALSE),0.5),VLOOKUP('Rock Climbing Log'!K115,'RC Lookup'!$G$3:$H$5,2,FALSE)),0)*VLOOKUP(J$7,'RC Lookup'!$D$3:$E$18,2,FALSE)</f>
        <v>0</v>
      </c>
      <c r="L115" s="26">
        <f>_xlfn.IFNA(IF(LEFT('Rock Climbing Log'!L115)="C",_xlfn.IFNA(VLOOKUP('Rock Climbing Log'!L115,'RC Lookup'!$A$3:$B$9,2,FALSE),0.5),VLOOKUP('Rock Climbing Log'!L115,'RC Lookup'!$G$3:$H$5,2,FALSE)),0)*VLOOKUP(J$7,'RC Lookup'!$D$3:$E$18,2,FALSE)</f>
        <v>0</v>
      </c>
      <c r="M115" s="26">
        <f>_xlfn.IFNA(IF(LEFT('Rock Climbing Log'!M115)="C",_xlfn.IFNA(VLOOKUP('Rock Climbing Log'!M115,'RC Lookup'!$A$3:$B$9,2,FALSE),0.5),VLOOKUP('Rock Climbing Log'!M115,'RC Lookup'!$G$3:$H$5,2,FALSE)),0)*VLOOKUP(M$7,'RC Lookup'!$D$3:$E$18,2,FALSE)</f>
        <v>0</v>
      </c>
      <c r="N115" s="26">
        <f>_xlfn.IFNA(IF(LEFT('Rock Climbing Log'!N115)="C",_xlfn.IFNA(VLOOKUP('Rock Climbing Log'!N115,'RC Lookup'!$A$3:$B$9,2,FALSE),0.5),VLOOKUP('Rock Climbing Log'!N115,'RC Lookup'!$G$3:$H$5,2,FALSE)),0)*VLOOKUP(M$7,'RC Lookup'!$D$3:$E$18,2,FALSE)</f>
        <v>0</v>
      </c>
      <c r="O115" s="26">
        <f>_xlfn.IFNA(IF(LEFT('Rock Climbing Log'!O115)="C",_xlfn.IFNA(VLOOKUP('Rock Climbing Log'!O115,'RC Lookup'!$A$3:$B$9,2,FALSE),0.5),VLOOKUP('Rock Climbing Log'!O115,'RC Lookup'!$G$3:$H$5,2,FALSE)),0)*VLOOKUP(M$7,'RC Lookup'!$D$3:$E$18,2,FALSE)</f>
        <v>0</v>
      </c>
      <c r="P115" s="26">
        <f>_xlfn.IFNA(IF(LEFT('Rock Climbing Log'!P115)="C",_xlfn.IFNA(VLOOKUP('Rock Climbing Log'!P115,'RC Lookup'!$A$3:$B$9,2,FALSE),0.5),VLOOKUP('Rock Climbing Log'!P115,'RC Lookup'!$G$3:$H$5,2,FALSE)),0)*VLOOKUP(P$7,'RC Lookup'!$D$3:$E$18,2,FALSE)</f>
        <v>0</v>
      </c>
      <c r="Q115" s="26">
        <f>_xlfn.IFNA(IF(LEFT('Rock Climbing Log'!Q115)="C",_xlfn.IFNA(VLOOKUP('Rock Climbing Log'!Q115,'RC Lookup'!$A$3:$B$9,2,FALSE),0.5),VLOOKUP('Rock Climbing Log'!Q115,'RC Lookup'!$G$3:$H$5,2,FALSE)),0)*VLOOKUP(P$7,'RC Lookup'!$D$3:$E$18,2,FALSE)</f>
        <v>0</v>
      </c>
      <c r="R115" s="26">
        <f>_xlfn.IFNA(IF(LEFT('Rock Climbing Log'!R115)="C",_xlfn.IFNA(VLOOKUP('Rock Climbing Log'!R115,'RC Lookup'!$A$3:$B$9,2,FALSE),0.5),VLOOKUP('Rock Climbing Log'!R115,'RC Lookup'!$G$3:$H$5,2,FALSE)),0)*VLOOKUP(P$7,'RC Lookup'!$D$3:$E$18,2,FALSE)</f>
        <v>0</v>
      </c>
      <c r="S115" s="26">
        <f>_xlfn.IFNA(IF(LEFT('Rock Climbing Log'!S115)="C",_xlfn.IFNA(VLOOKUP('Rock Climbing Log'!S115,'RC Lookup'!$A$3:$B$9,2,FALSE),0.5),VLOOKUP('Rock Climbing Log'!S115,'RC Lookup'!$G$3:$H$5,2,FALSE)),0)*VLOOKUP(S$7,'RC Lookup'!$D$3:$E$18,2,FALSE)</f>
        <v>0</v>
      </c>
      <c r="T115" s="26">
        <f>_xlfn.IFNA(IF(LEFT('Rock Climbing Log'!T115)="C",_xlfn.IFNA(VLOOKUP('Rock Climbing Log'!T115,'RC Lookup'!$A$3:$B$9,2,FALSE),0.5),VLOOKUP('Rock Climbing Log'!T115,'RC Lookup'!$G$3:$H$5,2,FALSE)),0)*VLOOKUP(S$7,'RC Lookup'!$D$3:$E$18,2,FALSE)</f>
        <v>0</v>
      </c>
      <c r="U115" s="26">
        <f>_xlfn.IFNA(IF(LEFT('Rock Climbing Log'!U115)="C",_xlfn.IFNA(VLOOKUP('Rock Climbing Log'!U115,'RC Lookup'!$A$3:$B$9,2,FALSE),0.5),VLOOKUP('Rock Climbing Log'!U115,'RC Lookup'!$G$3:$H$5,2,FALSE)),0)*VLOOKUP(S$7,'RC Lookup'!$D$3:$E$18,2,FALSE)</f>
        <v>0</v>
      </c>
      <c r="V115" s="26">
        <f>_xlfn.IFNA(IF(LEFT('Rock Climbing Log'!V115)="C",_xlfn.IFNA(VLOOKUP('Rock Climbing Log'!V115,'RC Lookup'!$A$3:$B$9,2,FALSE),0.5),VLOOKUP('Rock Climbing Log'!V115,'RC Lookup'!$G$3:$H$5,2,FALSE)),0)*VLOOKUP(V$7,'RC Lookup'!$D$3:$E$18,2,FALSE)</f>
        <v>0</v>
      </c>
      <c r="W115" s="26">
        <f>_xlfn.IFNA(IF(LEFT('Rock Climbing Log'!W115)="C",_xlfn.IFNA(VLOOKUP('Rock Climbing Log'!W115,'RC Lookup'!$A$3:$B$9,2,FALSE),0.5),VLOOKUP('Rock Climbing Log'!W115,'RC Lookup'!$G$3:$H$5,2,FALSE)),0)*VLOOKUP(V$7,'RC Lookup'!$D$3:$E$18,2,FALSE)</f>
        <v>0</v>
      </c>
      <c r="X115" s="26">
        <f>_xlfn.IFNA(IF(LEFT('Rock Climbing Log'!X115)="C",_xlfn.IFNA(VLOOKUP('Rock Climbing Log'!X115,'RC Lookup'!$A$3:$B$9,2,FALSE),0.5),VLOOKUP('Rock Climbing Log'!X115,'RC Lookup'!$G$3:$H$5,2,FALSE)),0)*VLOOKUP(V$7,'RC Lookup'!$D$3:$E$18,2,FALSE)</f>
        <v>0</v>
      </c>
      <c r="Y115" s="26">
        <f>_xlfn.IFNA(IF(LEFT('Rock Climbing Log'!Y115)="C",_xlfn.IFNA(VLOOKUP('Rock Climbing Log'!Y115,'RC Lookup'!$A$3:$B$9,2,FALSE),0.5),VLOOKUP('Rock Climbing Log'!Y115,'RC Lookup'!$G$3:$H$5,2,FALSE)),0)*VLOOKUP(Y$7,'RC Lookup'!$D$3:$E$18,2,FALSE)</f>
        <v>0</v>
      </c>
      <c r="Z115" s="26">
        <f>_xlfn.IFNA(IF(LEFT('Rock Climbing Log'!Z115)="C",_xlfn.IFNA(VLOOKUP('Rock Climbing Log'!Z115,'RC Lookup'!$A$3:$B$9,2,FALSE),0.5),VLOOKUP('Rock Climbing Log'!Z115,'RC Lookup'!$G$3:$H$5,2,FALSE)),0)*VLOOKUP(Y$7,'RC Lookup'!$D$3:$E$18,2,FALSE)</f>
        <v>0</v>
      </c>
      <c r="AA115" s="26">
        <f>_xlfn.IFNA(IF(LEFT('Rock Climbing Log'!AA115)="C",_xlfn.IFNA(VLOOKUP('Rock Climbing Log'!AA115,'RC Lookup'!$A$3:$B$9,2,FALSE),0.5),VLOOKUP('Rock Climbing Log'!AA115,'RC Lookup'!$G$3:$H$5,2,FALSE)),0)*VLOOKUP(Y$7,'RC Lookup'!$D$3:$E$18,2,FALSE)</f>
        <v>0</v>
      </c>
      <c r="AB115" s="26">
        <f>_xlfn.IFNA(IF(LEFT('Rock Climbing Log'!AB115)="C",_xlfn.IFNA(VLOOKUP('Rock Climbing Log'!AB115,'RC Lookup'!$A$3:$B$9,2,FALSE),0.5),VLOOKUP('Rock Climbing Log'!AB115,'RC Lookup'!$G$3:$H$5,2,FALSE)),0)*VLOOKUP(AB$7,'RC Lookup'!$D$3:$E$18,2,FALSE)</f>
        <v>0</v>
      </c>
      <c r="AC115" s="26">
        <f>_xlfn.IFNA(IF(LEFT('Rock Climbing Log'!AC115)="C",_xlfn.IFNA(VLOOKUP('Rock Climbing Log'!AC115,'RC Lookup'!$A$3:$B$9,2,FALSE),0.5),VLOOKUP('Rock Climbing Log'!AC115,'RC Lookup'!$G$3:$H$5,2,FALSE)),0)*VLOOKUP(AB$7,'RC Lookup'!$D$3:$E$18,2,FALSE)</f>
        <v>0</v>
      </c>
      <c r="AD115" s="26">
        <f>_xlfn.IFNA(IF(LEFT('Rock Climbing Log'!AD115)="C",_xlfn.IFNA(VLOOKUP('Rock Climbing Log'!AD115,'RC Lookup'!$A$3:$B$9,2,FALSE),0.5),VLOOKUP('Rock Climbing Log'!AD115,'RC Lookup'!$G$3:$H$5,2,FALSE)),0)*VLOOKUP(AB$7,'RC Lookup'!$D$3:$E$18,2,FALSE)</f>
        <v>0</v>
      </c>
      <c r="AE115" s="26">
        <f>_xlfn.IFNA(IF(LEFT('Rock Climbing Log'!AE115)="C",_xlfn.IFNA(VLOOKUP('Rock Climbing Log'!AE115,'RC Lookup'!$A$3:$B$9,2,FALSE),0.5),VLOOKUP('Rock Climbing Log'!AE115,'RC Lookup'!$G$3:$H$5,2,FALSE)),0)*VLOOKUP(AE$7,'RC Lookup'!$D$3:$E$18,2,FALSE)</f>
        <v>0</v>
      </c>
      <c r="AF115" s="26">
        <f>_xlfn.IFNA(IF(LEFT('Rock Climbing Log'!AF115)="C",_xlfn.IFNA(VLOOKUP('Rock Climbing Log'!AF115,'RC Lookup'!$A$3:$B$9,2,FALSE),0.5),VLOOKUP('Rock Climbing Log'!AF115,'RC Lookup'!$G$3:$H$5,2,FALSE)),0)*VLOOKUP(AE$7,'RC Lookup'!$D$3:$E$18,2,FALSE)</f>
        <v>0</v>
      </c>
      <c r="AG115" s="26">
        <f>_xlfn.IFNA(IF(LEFT('Rock Climbing Log'!AG115)="C",_xlfn.IFNA(VLOOKUP('Rock Climbing Log'!AG115,'RC Lookup'!$A$3:$B$9,2,FALSE),0.5),VLOOKUP('Rock Climbing Log'!AG115,'RC Lookup'!$G$3:$H$5,2,FALSE)),0)*VLOOKUP(AE$7,'RC Lookup'!$D$3:$E$18,2,FALSE)</f>
        <v>0</v>
      </c>
      <c r="AH115" s="26">
        <f>_xlfn.IFNA(IF(LEFT('Rock Climbing Log'!AH115)="C",_xlfn.IFNA(VLOOKUP('Rock Climbing Log'!AH115,'RC Lookup'!$A$3:$B$9,2,FALSE),0.5),VLOOKUP('Rock Climbing Log'!AH115,'RC Lookup'!$G$3:$H$5,2,FALSE)),0)*VLOOKUP(AH$7,'RC Lookup'!$D$3:$E$18,2,FALSE)</f>
        <v>0</v>
      </c>
      <c r="AI115" s="26">
        <f>_xlfn.IFNA(IF(LEFT('Rock Climbing Log'!AI115)="C",_xlfn.IFNA(VLOOKUP('Rock Climbing Log'!AI115,'RC Lookup'!$A$3:$B$9,2,FALSE),0.5),VLOOKUP('Rock Climbing Log'!AI115,'RC Lookup'!$G$3:$H$5,2,FALSE)),0)*VLOOKUP(AH$7,'RC Lookup'!$D$3:$E$18,2,FALSE)</f>
        <v>0</v>
      </c>
      <c r="AJ115" s="26">
        <f>_xlfn.IFNA(IF(LEFT('Rock Climbing Log'!AJ115)="C",_xlfn.IFNA(VLOOKUP('Rock Climbing Log'!AJ115,'RC Lookup'!$A$3:$B$9,2,FALSE),0.5),VLOOKUP('Rock Climbing Log'!AJ115,'RC Lookup'!$G$3:$H$5,2,FALSE)),0)*VLOOKUP(AH$7,'RC Lookup'!$D$3:$E$18,2,FALSE)</f>
        <v>0</v>
      </c>
      <c r="AK115" s="26">
        <f>_xlfn.IFNA(IF(LEFT('Rock Climbing Log'!AK115)="C",_xlfn.IFNA(VLOOKUP('Rock Climbing Log'!AK115,'RC Lookup'!$A$3:$B$9,2,FALSE),0.5),VLOOKUP('Rock Climbing Log'!AK115,'RC Lookup'!$G$3:$H$5,2,FALSE)),0)*VLOOKUP(AK$7,'RC Lookup'!$D$3:$E$18,2,FALSE)</f>
        <v>0</v>
      </c>
      <c r="AL115" s="26">
        <f>_xlfn.IFNA(IF(LEFT('Rock Climbing Log'!AL115)="C",_xlfn.IFNA(VLOOKUP('Rock Climbing Log'!AL115,'RC Lookup'!$A$3:$B$9,2,FALSE),0.5),VLOOKUP('Rock Climbing Log'!AL115,'RC Lookup'!$G$3:$H$5,2,FALSE)),0)*VLOOKUP(AK$7,'RC Lookup'!$D$3:$E$18,2,FALSE)</f>
        <v>0</v>
      </c>
      <c r="AM115" s="26">
        <f>_xlfn.IFNA(IF(LEFT('Rock Climbing Log'!AM115)="C",_xlfn.IFNA(VLOOKUP('Rock Climbing Log'!AM115,'RC Lookup'!$A$3:$B$9,2,FALSE),0.5),VLOOKUP('Rock Climbing Log'!AM115,'RC Lookup'!$G$3:$H$5,2,FALSE)),0)*VLOOKUP(AK$7,'RC Lookup'!$D$3:$E$18,2,FALSE)</f>
        <v>0</v>
      </c>
      <c r="AN115" s="26">
        <f>_xlfn.IFNA(IF(LEFT('Rock Climbing Log'!AN115)="C",_xlfn.IFNA(VLOOKUP('Rock Climbing Log'!AN115,'RC Lookup'!$A$3:$B$9,2,FALSE),0.5),VLOOKUP('Rock Climbing Log'!AN115,'RC Lookup'!$G$3:$H$5,2,FALSE)),0)*VLOOKUP(AN$7,'RC Lookup'!$D$3:$E$18,2,FALSE)</f>
        <v>0</v>
      </c>
      <c r="AO115" s="26">
        <f>_xlfn.IFNA(IF(LEFT('Rock Climbing Log'!AO115)="C",_xlfn.IFNA(VLOOKUP('Rock Climbing Log'!AO115,'RC Lookup'!$A$3:$B$9,2,FALSE),0.5),VLOOKUP('Rock Climbing Log'!AO115,'RC Lookup'!$G$3:$H$5,2,FALSE)),0)*VLOOKUP(AN$7,'RC Lookup'!$D$3:$E$18,2,FALSE)</f>
        <v>0</v>
      </c>
      <c r="AP115" s="26">
        <f>_xlfn.IFNA(IF(LEFT('Rock Climbing Log'!AP115)="C",_xlfn.IFNA(VLOOKUP('Rock Climbing Log'!AP115,'RC Lookup'!$A$3:$B$9,2,FALSE),0.5),VLOOKUP('Rock Climbing Log'!AP115,'RC Lookup'!$G$3:$H$5,2,FALSE)),0)*VLOOKUP(AN$7,'RC Lookup'!$D$3:$E$18,2,FALSE)</f>
        <v>0</v>
      </c>
      <c r="AQ115" s="26">
        <f>_xlfn.IFNA(IF(LEFT('Rock Climbing Log'!AQ115)="C",_xlfn.IFNA(VLOOKUP('Rock Climbing Log'!AQ115,'RC Lookup'!$A$3:$B$9,2,FALSE),0.5),VLOOKUP('Rock Climbing Log'!AQ115,'RC Lookup'!$G$3:$H$5,2,FALSE)),0)*VLOOKUP(AQ$7,'RC Lookup'!$D$3:$E$18,2,FALSE)</f>
        <v>0</v>
      </c>
      <c r="AR115" s="26">
        <f>_xlfn.IFNA(IF(LEFT('Rock Climbing Log'!AR115)="C",_xlfn.IFNA(VLOOKUP('Rock Climbing Log'!AR115,'RC Lookup'!$A$3:$B$9,2,FALSE),0.5),VLOOKUP('Rock Climbing Log'!AR115,'RC Lookup'!$G$3:$H$5,2,FALSE)),0)*VLOOKUP(AQ$7,'RC Lookup'!$D$3:$E$18,2,FALSE)</f>
        <v>0</v>
      </c>
      <c r="AS115" s="26">
        <f>_xlfn.IFNA(IF(LEFT('Rock Climbing Log'!AS115)="C",_xlfn.IFNA(VLOOKUP('Rock Climbing Log'!AS115,'RC Lookup'!$A$3:$B$9,2,FALSE),0.5),VLOOKUP('Rock Climbing Log'!AS115,'RC Lookup'!$G$3:$H$5,2,FALSE)),0)*VLOOKUP(AQ$7,'RC Lookup'!$D$3:$E$18,2,FALSE)</f>
        <v>0</v>
      </c>
      <c r="AT115" s="26">
        <f>_xlfn.IFNA(IF(LEFT('Rock Climbing Log'!AT115)="C",_xlfn.IFNA(VLOOKUP('Rock Climbing Log'!AT115,'RC Lookup'!$A$3:$B$9,2,FALSE),0.5),VLOOKUP('Rock Climbing Log'!AT115,'RC Lookup'!$G$3:$H$5,2,FALSE)),0)*VLOOKUP(AT$7,'RC Lookup'!$D$3:$E$18,2,FALSE)</f>
        <v>0</v>
      </c>
      <c r="AU115" s="26">
        <f>_xlfn.IFNA(IF(LEFT('Rock Climbing Log'!AU115)="C",_xlfn.IFNA(VLOOKUP('Rock Climbing Log'!AU115,'RC Lookup'!$A$3:$B$9,2,FALSE),0.5),VLOOKUP('Rock Climbing Log'!AU115,'RC Lookup'!$G$3:$H$5,2,FALSE)),0)*VLOOKUP(AT$7,'RC Lookup'!$D$3:$E$18,2,FALSE)</f>
        <v>0</v>
      </c>
      <c r="AV115" s="26">
        <f>_xlfn.IFNA(IF(LEFT('Rock Climbing Log'!AV115)="C",_xlfn.IFNA(VLOOKUP('Rock Climbing Log'!AV115,'RC Lookup'!$A$3:$B$9,2,FALSE),0.5),VLOOKUP('Rock Climbing Log'!AV115,'RC Lookup'!$G$3:$H$5,2,FALSE)),0)*VLOOKUP(AT$7,'RC Lookup'!$D$3:$E$18,2,FALSE)</f>
        <v>0</v>
      </c>
      <c r="AW115" s="30">
        <f t="shared" ca="1" si="4"/>
        <v>0</v>
      </c>
      <c r="AX115" s="30">
        <f ca="1">_xlfn.IFNA(VLOOKUP(SUMPRODUCT(LARGE(($C$8:$C115=Table1[[#This Row],[Climber]])*$A$8:$A115,1)),$A$8:$AW115,MATCH($AW$7,$A$7:$AW$7,FALSE),FALSE),0)/LEFT($AX$7,FIND(" ",$AX$7))+_xlfn.IFNA(VLOOKUP(SUMPRODUCT(LARGE(($C$8:$C115=Table1[[#This Row],[Climber]])*$A$8:$A115,MIN(2,COUNTIFS($C$8:$C115,$C115)))),$A$8:$AW115,MATCH($AW$7,$A$7:$AW$7,FALSE),FALSE),0)/LEFT($AX$7,FIND(" ",$AX$7))+_xlfn.IFNA(VLOOKUP(SUMPRODUCT(LARGE(($C$8:$C115=Table1[[#This Row],[Climber]])*$A$8:$A115,MIN(3,COUNTIFS($C$8:$C115,$C115)))),$A$8:$AW115,MATCH($AW$7,$A$7:$AW$7,FALSE),FALSE),0)/LEFT($AX$7,FIND(" ",$AX$7))</f>
        <v>0</v>
      </c>
      <c r="AY115" s="30">
        <f ca="1">_xlfn.IFNA(VLOOKUP(SUMPRODUCT(LARGE(($C$8:$C115=Table1[[#This Row],[Climber]])*$A$8:$A115,1)),$A$8:$AW115,MATCH($AW$7,$A$7:$AW$7,FALSE),FALSE),0)/LEFT($AY$7,FIND(" ",$AY$7))+_xlfn.IFNA(VLOOKUP(SUMPRODUCT(LARGE(($C$8:$C115=Table1[[#This Row],[Climber]])*$A$8:$A115,MIN(2,COUNTIFS($C$8:$C115,$C115)))),$A$8:$AW115,MATCH($AW$7,$A$7:$AW$7,FALSE),FALSE),0)/LEFT($AY$7,FIND(" ",$AY$7))+_xlfn.IFNA(VLOOKUP(SUMPRODUCT(LARGE(($C$8:$C115=Table1[[#This Row],[Climber]])*$A$8:$A115,MIN(3,COUNTIFS($C$8:$C115,$C115)))),$A$8:$AW115,MATCH($AW$7,$A$7:$AW$7,FALSE),FALSE),0)/LEFT($AY$7,FIND(" ",$AY$7))+_xlfn.IFNA(VLOOKUP(SUMPRODUCT(LARGE(($C$8:$C115=Table1[[#This Row],[Climber]])*$A$8:$A115,MIN(4,COUNTIFS($C$8:$C115,$C115)))),$A$8:$AW115,MATCH($AW$7,$A$7:$AW$7,FALSE),FALSE),0)/LEFT($AY$7,FIND(" ",$AY$7))+_xlfn.IFNA(VLOOKUP(SUMPRODUCT(LARGE(($C$8:$C115=Table1[[#This Row],[Climber]])*$A$8:$A115,MIN(5,COUNTIFS($C$8:$C115,$C115)))),$A$8:$AW115,MATCH($AW$7,$A$7:$AW$7,FALSE),FALSE),0)/LEFT($AY$7,FIND(" ",$AY$7))</f>
        <v>0</v>
      </c>
      <c r="AZ115" s="30">
        <f ca="1">(_xlfn.IFNA(VLOOKUP(SUMPRODUCT(LARGE(($C$8:$C115=Table1[[#This Row],[Climber]])*$A$8:$A115,4)),$A$8:$AW115,MATCH($AW$7,$A$7:$AW$7,FALSE),FALSE),0)+_xlfn.IFNA(VLOOKUP(SUMPRODUCT(LARGE(($C$8:$C115=Table1[[#This Row],[Climber]])*$A$8:$A115,5)),$A$8:$AW115,MATCH($AW$7,$A$7:$AW$7,FALSE),FALSE),0)+_xlfn.IFNA(VLOOKUP(SUMPRODUCT(LARGE(($C$8:$C115=Table1[[#This Row],[Climber]])*$A$8:$A115,6)),$A$8:$AW115,MATCH($AW$7,$A$7:$AW$7,FALSE),FALSE),0))/3</f>
        <v>0</v>
      </c>
      <c r="BA115" s="46">
        <f ca="1">_xlfn.MAXIFS(INDIRECT("$AW"&amp;IF(SUMPRODUCT(LARGE(($C$8:$C115=$C115)*$A$8:$A115,LEFT($BA$7,FIND(" ",$BA$7)-1)))=0,8,SUMPRODUCT(LARGE(($C$8:$C115=$C115)*$A$8:$A115,LEFT($BA$7,FIND(" ",$BA$7)-1)))+7)&amp;":$AW"&amp;ROW()),INDIRECT("$C"&amp;IF(SUMPRODUCT(LARGE(($C$8:$C115=$C115)*$A$8:$A115,LEFT($BA$7,FIND(" ",$BA$7)-1)))=0,8,SUMPRODUCT(LARGE(($C$8:$C115=$C115)*$A$8:$A115,LEFT($BA$7,FIND(" ",$BA$7)-1)))+7)&amp;":$C"&amp;ROW()),$C115)</f>
        <v>0</v>
      </c>
      <c r="BB115" s="46" t="str">
        <f ca="1">VLOOKUP(MAX(BG115,$AX115),'RC Lookup'!$G$14:$J$20,2,TRUE)</f>
        <v>T1</v>
      </c>
      <c r="BC115" s="46">
        <f ca="1">_xlfn.IFNA(VLOOKUP(VLOOKUP($C115,'RC Lookup'!$O$3:$P$50,2,FALSE),'RC Lookup'!$H$14:$J$23,2,FALSE),0)*AW115</f>
        <v>0</v>
      </c>
      <c r="BD115" s="6">
        <f ca="1">_xlfn.IFNA(VLOOKUP(SUMPRODUCT(LARGE(($C$8:$C115=Table1[[#This Row],[Climber]])*$A$8:$A115,1)),$A$8:$BC115,55,FALSE),0)/LEFT($AX$7,FIND(" ",$AX$7))+_xlfn.IFNA(VLOOKUP(SUMPRODUCT(LARGE(($C$8:$C115=Table1[[#This Row],[Climber]])*$A$8:$A115,MIN(2,COUNTIFS($C$8:$C115,$C115)))),$A$8:$BC115,55,FALSE),0)/LEFT($AX$7,FIND(" ",$AX$7))+_xlfn.IFNA(VLOOKUP(SUMPRODUCT(LARGE(($C$8:$C115=Table1[[#This Row],[Climber]])*$A$8:$A115,MIN(3,COUNTIFS($C$8:$C115,$C115)))),$A$8:$BC115,55,FALSE),0)/LEFT($AX$7,FIND(" ",$AX$7))</f>
        <v>0</v>
      </c>
      <c r="BE115" s="6">
        <f ca="1">(_xlfn.IFNA(VLOOKUP(SUMPRODUCT(LARGE(($C$8:$C115=Table1[[#This Row],[Climber]])*$A$8:$A115,4)),$A$8:$BD115,55,FALSE),0)+_xlfn.IFNA(VLOOKUP(SUMPRODUCT(LARGE(($C$8:$C115=Table1[[#This Row],[Climber]])*$A$8:$A115,5)),$A$8:$BD115,55,FALSE),0)+_xlfn.IFNA(VLOOKUP(SUMPRODUCT(LARGE(($C$8:$C115=Table1[[#This Row],[Climber]])*$A$8:$A115,6)),$A$8:$BD115,55,FALSE),0))/3</f>
        <v>0</v>
      </c>
      <c r="BF115" s="46">
        <f ca="1">_xlfn.MAXIFS(INDIRECT("$BC"&amp;IF(SUMPRODUCT(LARGE(($C$8:$C115=$C115)*$A$8:$A115,LEFT($BA$7,FIND(" ",$BA$7)-1)))=0,8,SUMPRODUCT(LARGE(($C$8:$C115=$C115)*$A$8:$A115,LEFT($BA$7,FIND(" ",$BA$7)-1)))+7)&amp;":$BC"&amp;ROW()),INDIRECT("$C"&amp;IF(SUMPRODUCT(LARGE(($C$8:$C115=$C115)*$A$8:$A115,LEFT($BA$7,FIND(" ",$BA$7)-1)))=0,8,SUMPRODUCT(LARGE(($C$8:$C115=$C115)*$A$8:$A115,LEFT($BA$7,FIND(" ",$BA$7)-1)))+7)&amp;":$C"&amp;ROW()),$C115)</f>
        <v>0</v>
      </c>
      <c r="BG115" s="46">
        <f t="array" aca="1" ref="BG115" ca="1">IFERROR(SUMPRODUCT(LARGE(($C$8:$C115=Table1[[#This Row],[Climber]])*$AW$8:$AW115,ROW(INDIRECT("1:5")))),AW115)/MIN(COUNTIFS($C$8:$C115,C115),5)</f>
        <v>0</v>
      </c>
    </row>
    <row r="116" spans="1:59" x14ac:dyDescent="0.3">
      <c r="A116" s="125">
        <f t="shared" si="1"/>
        <v>109</v>
      </c>
      <c r="B116" s="25">
        <f>'Rock Climbing Log'!B116</f>
        <v>0</v>
      </c>
      <c r="C116" s="126">
        <f>'Rock Climbing Log'!C116</f>
        <v>0</v>
      </c>
      <c r="D116" s="26">
        <f>_xlfn.IFNA(IF(LEFT('Rock Climbing Log'!D116)="C",_xlfn.IFNA(VLOOKUP('Rock Climbing Log'!D116,'RC Lookup'!$A$3:$B$9,2,FALSE),0.5),VLOOKUP('Rock Climbing Log'!D116,'RC Lookup'!$G$3:$H$5,2,FALSE)),0)*VLOOKUP(D$7,'RC Lookup'!$D$3:$E$18,2,FALSE)</f>
        <v>0</v>
      </c>
      <c r="E116" s="26">
        <f>_xlfn.IFNA(IF(LEFT('Rock Climbing Log'!E116)="C",_xlfn.IFNA(VLOOKUP('Rock Climbing Log'!E116,'RC Lookup'!$A$3:$B$9,2,FALSE),0.5),VLOOKUP('Rock Climbing Log'!E116,'RC Lookup'!$G$3:$H$5,2,FALSE)),0)*VLOOKUP(D$7,'RC Lookup'!$D$3:$E$18,2,FALSE)</f>
        <v>0</v>
      </c>
      <c r="F116" s="26">
        <f>_xlfn.IFNA(IF(LEFT('Rock Climbing Log'!F116)="C",_xlfn.IFNA(VLOOKUP('Rock Climbing Log'!F116,'RC Lookup'!$A$3:$B$9,2,FALSE),0.5),VLOOKUP('Rock Climbing Log'!F116,'RC Lookup'!$G$3:$H$5,2,FALSE)),0)*VLOOKUP(D$7,'RC Lookup'!$D$3:$E$18,2,FALSE)</f>
        <v>0</v>
      </c>
      <c r="G116" s="26">
        <f>_xlfn.IFNA(IF(LEFT('Rock Climbing Log'!G116)="C",_xlfn.IFNA(VLOOKUP('Rock Climbing Log'!G116,'RC Lookup'!$A$3:$B$9,2,FALSE),0.5),VLOOKUP('Rock Climbing Log'!G116,'RC Lookup'!$G$3:$H$5,2,FALSE)),0)*VLOOKUP(G$7,'RC Lookup'!$D$3:$E$18,2,FALSE)</f>
        <v>0</v>
      </c>
      <c r="H116" s="26">
        <f>_xlfn.IFNA(IF(LEFT('Rock Climbing Log'!H116)="C",_xlfn.IFNA(VLOOKUP('Rock Climbing Log'!H116,'RC Lookup'!$A$3:$B$9,2,FALSE),0.5),VLOOKUP('Rock Climbing Log'!H116,'RC Lookup'!$G$3:$H$5,2,FALSE)),0)*VLOOKUP(G$7,'RC Lookup'!$D$3:$E$18,2,FALSE)</f>
        <v>0</v>
      </c>
      <c r="I116" s="26">
        <f>_xlfn.IFNA(IF(LEFT('Rock Climbing Log'!I116)="C",_xlfn.IFNA(VLOOKUP('Rock Climbing Log'!I116,'RC Lookup'!$A$3:$B$9,2,FALSE),0.5),VLOOKUP('Rock Climbing Log'!I116,'RC Lookup'!$G$3:$H$5,2,FALSE)),0)*VLOOKUP(G$7,'RC Lookup'!$D$3:$E$18,2,FALSE)</f>
        <v>0</v>
      </c>
      <c r="J116" s="26">
        <f>_xlfn.IFNA(IF(LEFT('Rock Climbing Log'!J116)="C",_xlfn.IFNA(VLOOKUP('Rock Climbing Log'!J116,'RC Lookup'!$A$3:$B$9,2,FALSE),0.5),VLOOKUP('Rock Climbing Log'!J116,'RC Lookup'!$G$3:$H$5,2,FALSE)),0)*VLOOKUP(J$7,'RC Lookup'!$D$3:$E$18,2,FALSE)</f>
        <v>0</v>
      </c>
      <c r="K116" s="26">
        <f>_xlfn.IFNA(IF(LEFT('Rock Climbing Log'!K116)="C",_xlfn.IFNA(VLOOKUP('Rock Climbing Log'!K116,'RC Lookup'!$A$3:$B$9,2,FALSE),0.5),VLOOKUP('Rock Climbing Log'!K116,'RC Lookup'!$G$3:$H$5,2,FALSE)),0)*VLOOKUP(J$7,'RC Lookup'!$D$3:$E$18,2,FALSE)</f>
        <v>0</v>
      </c>
      <c r="L116" s="26">
        <f>_xlfn.IFNA(IF(LEFT('Rock Climbing Log'!L116)="C",_xlfn.IFNA(VLOOKUP('Rock Climbing Log'!L116,'RC Lookup'!$A$3:$B$9,2,FALSE),0.5),VLOOKUP('Rock Climbing Log'!L116,'RC Lookup'!$G$3:$H$5,2,FALSE)),0)*VLOOKUP(J$7,'RC Lookup'!$D$3:$E$18,2,FALSE)</f>
        <v>0</v>
      </c>
      <c r="M116" s="26">
        <f>_xlfn.IFNA(IF(LEFT('Rock Climbing Log'!M116)="C",_xlfn.IFNA(VLOOKUP('Rock Climbing Log'!M116,'RC Lookup'!$A$3:$B$9,2,FALSE),0.5),VLOOKUP('Rock Climbing Log'!M116,'RC Lookup'!$G$3:$H$5,2,FALSE)),0)*VLOOKUP(M$7,'RC Lookup'!$D$3:$E$18,2,FALSE)</f>
        <v>0</v>
      </c>
      <c r="N116" s="26">
        <f>_xlfn.IFNA(IF(LEFT('Rock Climbing Log'!N116)="C",_xlfn.IFNA(VLOOKUP('Rock Climbing Log'!N116,'RC Lookup'!$A$3:$B$9,2,FALSE),0.5),VLOOKUP('Rock Climbing Log'!N116,'RC Lookup'!$G$3:$H$5,2,FALSE)),0)*VLOOKUP(M$7,'RC Lookup'!$D$3:$E$18,2,FALSE)</f>
        <v>0</v>
      </c>
      <c r="O116" s="26">
        <f>_xlfn.IFNA(IF(LEFT('Rock Climbing Log'!O116)="C",_xlfn.IFNA(VLOOKUP('Rock Climbing Log'!O116,'RC Lookup'!$A$3:$B$9,2,FALSE),0.5),VLOOKUP('Rock Climbing Log'!O116,'RC Lookup'!$G$3:$H$5,2,FALSE)),0)*VLOOKUP(M$7,'RC Lookup'!$D$3:$E$18,2,FALSE)</f>
        <v>0</v>
      </c>
      <c r="P116" s="26">
        <f>_xlfn.IFNA(IF(LEFT('Rock Climbing Log'!P116)="C",_xlfn.IFNA(VLOOKUP('Rock Climbing Log'!P116,'RC Lookup'!$A$3:$B$9,2,FALSE),0.5),VLOOKUP('Rock Climbing Log'!P116,'RC Lookup'!$G$3:$H$5,2,FALSE)),0)*VLOOKUP(P$7,'RC Lookup'!$D$3:$E$18,2,FALSE)</f>
        <v>0</v>
      </c>
      <c r="Q116" s="26">
        <f>_xlfn.IFNA(IF(LEFT('Rock Climbing Log'!Q116)="C",_xlfn.IFNA(VLOOKUP('Rock Climbing Log'!Q116,'RC Lookup'!$A$3:$B$9,2,FALSE),0.5),VLOOKUP('Rock Climbing Log'!Q116,'RC Lookup'!$G$3:$H$5,2,FALSE)),0)*VLOOKUP(P$7,'RC Lookup'!$D$3:$E$18,2,FALSE)</f>
        <v>0</v>
      </c>
      <c r="R116" s="26">
        <f>_xlfn.IFNA(IF(LEFT('Rock Climbing Log'!R116)="C",_xlfn.IFNA(VLOOKUP('Rock Climbing Log'!R116,'RC Lookup'!$A$3:$B$9,2,FALSE),0.5),VLOOKUP('Rock Climbing Log'!R116,'RC Lookup'!$G$3:$H$5,2,FALSE)),0)*VLOOKUP(P$7,'RC Lookup'!$D$3:$E$18,2,FALSE)</f>
        <v>0</v>
      </c>
      <c r="S116" s="26">
        <f>_xlfn.IFNA(IF(LEFT('Rock Climbing Log'!S116)="C",_xlfn.IFNA(VLOOKUP('Rock Climbing Log'!S116,'RC Lookup'!$A$3:$B$9,2,FALSE),0.5),VLOOKUP('Rock Climbing Log'!S116,'RC Lookup'!$G$3:$H$5,2,FALSE)),0)*VLOOKUP(S$7,'RC Lookup'!$D$3:$E$18,2,FALSE)</f>
        <v>0</v>
      </c>
      <c r="T116" s="26">
        <f>_xlfn.IFNA(IF(LEFT('Rock Climbing Log'!T116)="C",_xlfn.IFNA(VLOOKUP('Rock Climbing Log'!T116,'RC Lookup'!$A$3:$B$9,2,FALSE),0.5),VLOOKUP('Rock Climbing Log'!T116,'RC Lookup'!$G$3:$H$5,2,FALSE)),0)*VLOOKUP(S$7,'RC Lookup'!$D$3:$E$18,2,FALSE)</f>
        <v>0</v>
      </c>
      <c r="U116" s="26">
        <f>_xlfn.IFNA(IF(LEFT('Rock Climbing Log'!U116)="C",_xlfn.IFNA(VLOOKUP('Rock Climbing Log'!U116,'RC Lookup'!$A$3:$B$9,2,FALSE),0.5),VLOOKUP('Rock Climbing Log'!U116,'RC Lookup'!$G$3:$H$5,2,FALSE)),0)*VLOOKUP(S$7,'RC Lookup'!$D$3:$E$18,2,FALSE)</f>
        <v>0</v>
      </c>
      <c r="V116" s="26">
        <f>_xlfn.IFNA(IF(LEFT('Rock Climbing Log'!V116)="C",_xlfn.IFNA(VLOOKUP('Rock Climbing Log'!V116,'RC Lookup'!$A$3:$B$9,2,FALSE),0.5),VLOOKUP('Rock Climbing Log'!V116,'RC Lookup'!$G$3:$H$5,2,FALSE)),0)*VLOOKUP(V$7,'RC Lookup'!$D$3:$E$18,2,FALSE)</f>
        <v>0</v>
      </c>
      <c r="W116" s="26">
        <f>_xlfn.IFNA(IF(LEFT('Rock Climbing Log'!W116)="C",_xlfn.IFNA(VLOOKUP('Rock Climbing Log'!W116,'RC Lookup'!$A$3:$B$9,2,FALSE),0.5),VLOOKUP('Rock Climbing Log'!W116,'RC Lookup'!$G$3:$H$5,2,FALSE)),0)*VLOOKUP(V$7,'RC Lookup'!$D$3:$E$18,2,FALSE)</f>
        <v>0</v>
      </c>
      <c r="X116" s="26">
        <f>_xlfn.IFNA(IF(LEFT('Rock Climbing Log'!X116)="C",_xlfn.IFNA(VLOOKUP('Rock Climbing Log'!X116,'RC Lookup'!$A$3:$B$9,2,FALSE),0.5),VLOOKUP('Rock Climbing Log'!X116,'RC Lookup'!$G$3:$H$5,2,FALSE)),0)*VLOOKUP(V$7,'RC Lookup'!$D$3:$E$18,2,FALSE)</f>
        <v>0</v>
      </c>
      <c r="Y116" s="26">
        <f>_xlfn.IFNA(IF(LEFT('Rock Climbing Log'!Y116)="C",_xlfn.IFNA(VLOOKUP('Rock Climbing Log'!Y116,'RC Lookup'!$A$3:$B$9,2,FALSE),0.5),VLOOKUP('Rock Climbing Log'!Y116,'RC Lookup'!$G$3:$H$5,2,FALSE)),0)*VLOOKUP(Y$7,'RC Lookup'!$D$3:$E$18,2,FALSE)</f>
        <v>0</v>
      </c>
      <c r="Z116" s="26">
        <f>_xlfn.IFNA(IF(LEFT('Rock Climbing Log'!Z116)="C",_xlfn.IFNA(VLOOKUP('Rock Climbing Log'!Z116,'RC Lookup'!$A$3:$B$9,2,FALSE),0.5),VLOOKUP('Rock Climbing Log'!Z116,'RC Lookup'!$G$3:$H$5,2,FALSE)),0)*VLOOKUP(Y$7,'RC Lookup'!$D$3:$E$18,2,FALSE)</f>
        <v>0</v>
      </c>
      <c r="AA116" s="26">
        <f>_xlfn.IFNA(IF(LEFT('Rock Climbing Log'!AA116)="C",_xlfn.IFNA(VLOOKUP('Rock Climbing Log'!AA116,'RC Lookup'!$A$3:$B$9,2,FALSE),0.5),VLOOKUP('Rock Climbing Log'!AA116,'RC Lookup'!$G$3:$H$5,2,FALSE)),0)*VLOOKUP(Y$7,'RC Lookup'!$D$3:$E$18,2,FALSE)</f>
        <v>0</v>
      </c>
      <c r="AB116" s="26">
        <f>_xlfn.IFNA(IF(LEFT('Rock Climbing Log'!AB116)="C",_xlfn.IFNA(VLOOKUP('Rock Climbing Log'!AB116,'RC Lookup'!$A$3:$B$9,2,FALSE),0.5),VLOOKUP('Rock Climbing Log'!AB116,'RC Lookup'!$G$3:$H$5,2,FALSE)),0)*VLOOKUP(AB$7,'RC Lookup'!$D$3:$E$18,2,FALSE)</f>
        <v>0</v>
      </c>
      <c r="AC116" s="26">
        <f>_xlfn.IFNA(IF(LEFT('Rock Climbing Log'!AC116)="C",_xlfn.IFNA(VLOOKUP('Rock Climbing Log'!AC116,'RC Lookup'!$A$3:$B$9,2,FALSE),0.5),VLOOKUP('Rock Climbing Log'!AC116,'RC Lookup'!$G$3:$H$5,2,FALSE)),0)*VLOOKUP(AB$7,'RC Lookup'!$D$3:$E$18,2,FALSE)</f>
        <v>0</v>
      </c>
      <c r="AD116" s="26">
        <f>_xlfn.IFNA(IF(LEFT('Rock Climbing Log'!AD116)="C",_xlfn.IFNA(VLOOKUP('Rock Climbing Log'!AD116,'RC Lookup'!$A$3:$B$9,2,FALSE),0.5),VLOOKUP('Rock Climbing Log'!AD116,'RC Lookup'!$G$3:$H$5,2,FALSE)),0)*VLOOKUP(AB$7,'RC Lookup'!$D$3:$E$18,2,FALSE)</f>
        <v>0</v>
      </c>
      <c r="AE116" s="26">
        <f>_xlfn.IFNA(IF(LEFT('Rock Climbing Log'!AE116)="C",_xlfn.IFNA(VLOOKUP('Rock Climbing Log'!AE116,'RC Lookup'!$A$3:$B$9,2,FALSE),0.5),VLOOKUP('Rock Climbing Log'!AE116,'RC Lookup'!$G$3:$H$5,2,FALSE)),0)*VLOOKUP(AE$7,'RC Lookup'!$D$3:$E$18,2,FALSE)</f>
        <v>0</v>
      </c>
      <c r="AF116" s="26">
        <f>_xlfn.IFNA(IF(LEFT('Rock Climbing Log'!AF116)="C",_xlfn.IFNA(VLOOKUP('Rock Climbing Log'!AF116,'RC Lookup'!$A$3:$B$9,2,FALSE),0.5),VLOOKUP('Rock Climbing Log'!AF116,'RC Lookup'!$G$3:$H$5,2,FALSE)),0)*VLOOKUP(AE$7,'RC Lookup'!$D$3:$E$18,2,FALSE)</f>
        <v>0</v>
      </c>
      <c r="AG116" s="26">
        <f>_xlfn.IFNA(IF(LEFT('Rock Climbing Log'!AG116)="C",_xlfn.IFNA(VLOOKUP('Rock Climbing Log'!AG116,'RC Lookup'!$A$3:$B$9,2,FALSE),0.5),VLOOKUP('Rock Climbing Log'!AG116,'RC Lookup'!$G$3:$H$5,2,FALSE)),0)*VLOOKUP(AE$7,'RC Lookup'!$D$3:$E$18,2,FALSE)</f>
        <v>0</v>
      </c>
      <c r="AH116" s="26">
        <f>_xlfn.IFNA(IF(LEFT('Rock Climbing Log'!AH116)="C",_xlfn.IFNA(VLOOKUP('Rock Climbing Log'!AH116,'RC Lookup'!$A$3:$B$9,2,FALSE),0.5),VLOOKUP('Rock Climbing Log'!AH116,'RC Lookup'!$G$3:$H$5,2,FALSE)),0)*VLOOKUP(AH$7,'RC Lookup'!$D$3:$E$18,2,FALSE)</f>
        <v>0</v>
      </c>
      <c r="AI116" s="26">
        <f>_xlfn.IFNA(IF(LEFT('Rock Climbing Log'!AI116)="C",_xlfn.IFNA(VLOOKUP('Rock Climbing Log'!AI116,'RC Lookup'!$A$3:$B$9,2,FALSE),0.5),VLOOKUP('Rock Climbing Log'!AI116,'RC Lookup'!$G$3:$H$5,2,FALSE)),0)*VLOOKUP(AH$7,'RC Lookup'!$D$3:$E$18,2,FALSE)</f>
        <v>0</v>
      </c>
      <c r="AJ116" s="26">
        <f>_xlfn.IFNA(IF(LEFT('Rock Climbing Log'!AJ116)="C",_xlfn.IFNA(VLOOKUP('Rock Climbing Log'!AJ116,'RC Lookup'!$A$3:$B$9,2,FALSE),0.5),VLOOKUP('Rock Climbing Log'!AJ116,'RC Lookup'!$G$3:$H$5,2,FALSE)),0)*VLOOKUP(AH$7,'RC Lookup'!$D$3:$E$18,2,FALSE)</f>
        <v>0</v>
      </c>
      <c r="AK116" s="26">
        <f>_xlfn.IFNA(IF(LEFT('Rock Climbing Log'!AK116)="C",_xlfn.IFNA(VLOOKUP('Rock Climbing Log'!AK116,'RC Lookup'!$A$3:$B$9,2,FALSE),0.5),VLOOKUP('Rock Climbing Log'!AK116,'RC Lookup'!$G$3:$H$5,2,FALSE)),0)*VLOOKUP(AK$7,'RC Lookup'!$D$3:$E$18,2,FALSE)</f>
        <v>0</v>
      </c>
      <c r="AL116" s="26">
        <f>_xlfn.IFNA(IF(LEFT('Rock Climbing Log'!AL116)="C",_xlfn.IFNA(VLOOKUP('Rock Climbing Log'!AL116,'RC Lookup'!$A$3:$B$9,2,FALSE),0.5),VLOOKUP('Rock Climbing Log'!AL116,'RC Lookup'!$G$3:$H$5,2,FALSE)),0)*VLOOKUP(AK$7,'RC Lookup'!$D$3:$E$18,2,FALSE)</f>
        <v>0</v>
      </c>
      <c r="AM116" s="26">
        <f>_xlfn.IFNA(IF(LEFT('Rock Climbing Log'!AM116)="C",_xlfn.IFNA(VLOOKUP('Rock Climbing Log'!AM116,'RC Lookup'!$A$3:$B$9,2,FALSE),0.5),VLOOKUP('Rock Climbing Log'!AM116,'RC Lookup'!$G$3:$H$5,2,FALSE)),0)*VLOOKUP(AK$7,'RC Lookup'!$D$3:$E$18,2,FALSE)</f>
        <v>0</v>
      </c>
      <c r="AN116" s="26">
        <f>_xlfn.IFNA(IF(LEFT('Rock Climbing Log'!AN116)="C",_xlfn.IFNA(VLOOKUP('Rock Climbing Log'!AN116,'RC Lookup'!$A$3:$B$9,2,FALSE),0.5),VLOOKUP('Rock Climbing Log'!AN116,'RC Lookup'!$G$3:$H$5,2,FALSE)),0)*VLOOKUP(AN$7,'RC Lookup'!$D$3:$E$18,2,FALSE)</f>
        <v>0</v>
      </c>
      <c r="AO116" s="26">
        <f>_xlfn.IFNA(IF(LEFT('Rock Climbing Log'!AO116)="C",_xlfn.IFNA(VLOOKUP('Rock Climbing Log'!AO116,'RC Lookup'!$A$3:$B$9,2,FALSE),0.5),VLOOKUP('Rock Climbing Log'!AO116,'RC Lookup'!$G$3:$H$5,2,FALSE)),0)*VLOOKUP(AN$7,'RC Lookup'!$D$3:$E$18,2,FALSE)</f>
        <v>0</v>
      </c>
      <c r="AP116" s="26">
        <f>_xlfn.IFNA(IF(LEFT('Rock Climbing Log'!AP116)="C",_xlfn.IFNA(VLOOKUP('Rock Climbing Log'!AP116,'RC Lookup'!$A$3:$B$9,2,FALSE),0.5),VLOOKUP('Rock Climbing Log'!AP116,'RC Lookup'!$G$3:$H$5,2,FALSE)),0)*VLOOKUP(AN$7,'RC Lookup'!$D$3:$E$18,2,FALSE)</f>
        <v>0</v>
      </c>
      <c r="AQ116" s="26">
        <f>_xlfn.IFNA(IF(LEFT('Rock Climbing Log'!AQ116)="C",_xlfn.IFNA(VLOOKUP('Rock Climbing Log'!AQ116,'RC Lookup'!$A$3:$B$9,2,FALSE),0.5),VLOOKUP('Rock Climbing Log'!AQ116,'RC Lookup'!$G$3:$H$5,2,FALSE)),0)*VLOOKUP(AQ$7,'RC Lookup'!$D$3:$E$18,2,FALSE)</f>
        <v>0</v>
      </c>
      <c r="AR116" s="26">
        <f>_xlfn.IFNA(IF(LEFT('Rock Climbing Log'!AR116)="C",_xlfn.IFNA(VLOOKUP('Rock Climbing Log'!AR116,'RC Lookup'!$A$3:$B$9,2,FALSE),0.5),VLOOKUP('Rock Climbing Log'!AR116,'RC Lookup'!$G$3:$H$5,2,FALSE)),0)*VLOOKUP(AQ$7,'RC Lookup'!$D$3:$E$18,2,FALSE)</f>
        <v>0</v>
      </c>
      <c r="AS116" s="26">
        <f>_xlfn.IFNA(IF(LEFT('Rock Climbing Log'!AS116)="C",_xlfn.IFNA(VLOOKUP('Rock Climbing Log'!AS116,'RC Lookup'!$A$3:$B$9,2,FALSE),0.5),VLOOKUP('Rock Climbing Log'!AS116,'RC Lookup'!$G$3:$H$5,2,FALSE)),0)*VLOOKUP(AQ$7,'RC Lookup'!$D$3:$E$18,2,FALSE)</f>
        <v>0</v>
      </c>
      <c r="AT116" s="26">
        <f>_xlfn.IFNA(IF(LEFT('Rock Climbing Log'!AT116)="C",_xlfn.IFNA(VLOOKUP('Rock Climbing Log'!AT116,'RC Lookup'!$A$3:$B$9,2,FALSE),0.5),VLOOKUP('Rock Climbing Log'!AT116,'RC Lookup'!$G$3:$H$5,2,FALSE)),0)*VLOOKUP(AT$7,'RC Lookup'!$D$3:$E$18,2,FALSE)</f>
        <v>0</v>
      </c>
      <c r="AU116" s="26">
        <f>_xlfn.IFNA(IF(LEFT('Rock Climbing Log'!AU116)="C",_xlfn.IFNA(VLOOKUP('Rock Climbing Log'!AU116,'RC Lookup'!$A$3:$B$9,2,FALSE),0.5),VLOOKUP('Rock Climbing Log'!AU116,'RC Lookup'!$G$3:$H$5,2,FALSE)),0)*VLOOKUP(AT$7,'RC Lookup'!$D$3:$E$18,2,FALSE)</f>
        <v>0</v>
      </c>
      <c r="AV116" s="26">
        <f>_xlfn.IFNA(IF(LEFT('Rock Climbing Log'!AV116)="C",_xlfn.IFNA(VLOOKUP('Rock Climbing Log'!AV116,'RC Lookup'!$A$3:$B$9,2,FALSE),0.5),VLOOKUP('Rock Climbing Log'!AV116,'RC Lookup'!$G$3:$H$5,2,FALSE)),0)*VLOOKUP(AT$7,'RC Lookup'!$D$3:$E$18,2,FALSE)</f>
        <v>0</v>
      </c>
      <c r="AW116" s="30">
        <f t="shared" ca="1" si="4"/>
        <v>0</v>
      </c>
      <c r="AX116" s="30">
        <f ca="1">_xlfn.IFNA(VLOOKUP(SUMPRODUCT(LARGE(($C$8:$C116=Table1[[#This Row],[Climber]])*$A$8:$A116,1)),$A$8:$AW116,MATCH($AW$7,$A$7:$AW$7,FALSE),FALSE),0)/LEFT($AX$7,FIND(" ",$AX$7))+_xlfn.IFNA(VLOOKUP(SUMPRODUCT(LARGE(($C$8:$C116=Table1[[#This Row],[Climber]])*$A$8:$A116,MIN(2,COUNTIFS($C$8:$C116,$C116)))),$A$8:$AW116,MATCH($AW$7,$A$7:$AW$7,FALSE),FALSE),0)/LEFT($AX$7,FIND(" ",$AX$7))+_xlfn.IFNA(VLOOKUP(SUMPRODUCT(LARGE(($C$8:$C116=Table1[[#This Row],[Climber]])*$A$8:$A116,MIN(3,COUNTIFS($C$8:$C116,$C116)))),$A$8:$AW116,MATCH($AW$7,$A$7:$AW$7,FALSE),FALSE),0)/LEFT($AX$7,FIND(" ",$AX$7))</f>
        <v>0</v>
      </c>
      <c r="AY116" s="30">
        <f ca="1">_xlfn.IFNA(VLOOKUP(SUMPRODUCT(LARGE(($C$8:$C116=Table1[[#This Row],[Climber]])*$A$8:$A116,1)),$A$8:$AW116,MATCH($AW$7,$A$7:$AW$7,FALSE),FALSE),0)/LEFT($AY$7,FIND(" ",$AY$7))+_xlfn.IFNA(VLOOKUP(SUMPRODUCT(LARGE(($C$8:$C116=Table1[[#This Row],[Climber]])*$A$8:$A116,MIN(2,COUNTIFS($C$8:$C116,$C116)))),$A$8:$AW116,MATCH($AW$7,$A$7:$AW$7,FALSE),FALSE),0)/LEFT($AY$7,FIND(" ",$AY$7))+_xlfn.IFNA(VLOOKUP(SUMPRODUCT(LARGE(($C$8:$C116=Table1[[#This Row],[Climber]])*$A$8:$A116,MIN(3,COUNTIFS($C$8:$C116,$C116)))),$A$8:$AW116,MATCH($AW$7,$A$7:$AW$7,FALSE),FALSE),0)/LEFT($AY$7,FIND(" ",$AY$7))+_xlfn.IFNA(VLOOKUP(SUMPRODUCT(LARGE(($C$8:$C116=Table1[[#This Row],[Climber]])*$A$8:$A116,MIN(4,COUNTIFS($C$8:$C116,$C116)))),$A$8:$AW116,MATCH($AW$7,$A$7:$AW$7,FALSE),FALSE),0)/LEFT($AY$7,FIND(" ",$AY$7))+_xlfn.IFNA(VLOOKUP(SUMPRODUCT(LARGE(($C$8:$C116=Table1[[#This Row],[Climber]])*$A$8:$A116,MIN(5,COUNTIFS($C$8:$C116,$C116)))),$A$8:$AW116,MATCH($AW$7,$A$7:$AW$7,FALSE),FALSE),0)/LEFT($AY$7,FIND(" ",$AY$7))</f>
        <v>0</v>
      </c>
      <c r="AZ116" s="30">
        <f ca="1">(_xlfn.IFNA(VLOOKUP(SUMPRODUCT(LARGE(($C$8:$C116=Table1[[#This Row],[Climber]])*$A$8:$A116,4)),$A$8:$AW116,MATCH($AW$7,$A$7:$AW$7,FALSE),FALSE),0)+_xlfn.IFNA(VLOOKUP(SUMPRODUCT(LARGE(($C$8:$C116=Table1[[#This Row],[Climber]])*$A$8:$A116,5)),$A$8:$AW116,MATCH($AW$7,$A$7:$AW$7,FALSE),FALSE),0)+_xlfn.IFNA(VLOOKUP(SUMPRODUCT(LARGE(($C$8:$C116=Table1[[#This Row],[Climber]])*$A$8:$A116,6)),$A$8:$AW116,MATCH($AW$7,$A$7:$AW$7,FALSE),FALSE),0))/3</f>
        <v>0</v>
      </c>
      <c r="BA116" s="46">
        <f ca="1">_xlfn.MAXIFS(INDIRECT("$AW"&amp;IF(SUMPRODUCT(LARGE(($C$8:$C116=$C116)*$A$8:$A116,LEFT($BA$7,FIND(" ",$BA$7)-1)))=0,8,SUMPRODUCT(LARGE(($C$8:$C116=$C116)*$A$8:$A116,LEFT($BA$7,FIND(" ",$BA$7)-1)))+7)&amp;":$AW"&amp;ROW()),INDIRECT("$C"&amp;IF(SUMPRODUCT(LARGE(($C$8:$C116=$C116)*$A$8:$A116,LEFT($BA$7,FIND(" ",$BA$7)-1)))=0,8,SUMPRODUCT(LARGE(($C$8:$C116=$C116)*$A$8:$A116,LEFT($BA$7,FIND(" ",$BA$7)-1)))+7)&amp;":$C"&amp;ROW()),$C116)</f>
        <v>0</v>
      </c>
      <c r="BB116" s="46" t="str">
        <f ca="1">VLOOKUP(MAX(BG116,$AX116),'RC Lookup'!$G$14:$J$20,2,TRUE)</f>
        <v>T1</v>
      </c>
      <c r="BC116" s="46">
        <f ca="1">_xlfn.IFNA(VLOOKUP(VLOOKUP($C116,'RC Lookup'!$O$3:$P$50,2,FALSE),'RC Lookup'!$H$14:$J$23,2,FALSE),0)*AW116</f>
        <v>0</v>
      </c>
      <c r="BD116" s="6">
        <f ca="1">_xlfn.IFNA(VLOOKUP(SUMPRODUCT(LARGE(($C$8:$C116=Table1[[#This Row],[Climber]])*$A$8:$A116,1)),$A$8:$BC116,55,FALSE),0)/LEFT($AX$7,FIND(" ",$AX$7))+_xlfn.IFNA(VLOOKUP(SUMPRODUCT(LARGE(($C$8:$C116=Table1[[#This Row],[Climber]])*$A$8:$A116,MIN(2,COUNTIFS($C$8:$C116,$C116)))),$A$8:$BC116,55,FALSE),0)/LEFT($AX$7,FIND(" ",$AX$7))+_xlfn.IFNA(VLOOKUP(SUMPRODUCT(LARGE(($C$8:$C116=Table1[[#This Row],[Climber]])*$A$8:$A116,MIN(3,COUNTIFS($C$8:$C116,$C116)))),$A$8:$BC116,55,FALSE),0)/LEFT($AX$7,FIND(" ",$AX$7))</f>
        <v>0</v>
      </c>
      <c r="BE116" s="6">
        <f ca="1">(_xlfn.IFNA(VLOOKUP(SUMPRODUCT(LARGE(($C$8:$C116=Table1[[#This Row],[Climber]])*$A$8:$A116,4)),$A$8:$BD116,55,FALSE),0)+_xlfn.IFNA(VLOOKUP(SUMPRODUCT(LARGE(($C$8:$C116=Table1[[#This Row],[Climber]])*$A$8:$A116,5)),$A$8:$BD116,55,FALSE),0)+_xlfn.IFNA(VLOOKUP(SUMPRODUCT(LARGE(($C$8:$C116=Table1[[#This Row],[Climber]])*$A$8:$A116,6)),$A$8:$BD116,55,FALSE),0))/3</f>
        <v>0</v>
      </c>
      <c r="BF116" s="46">
        <f ca="1">_xlfn.MAXIFS(INDIRECT("$BC"&amp;IF(SUMPRODUCT(LARGE(($C$8:$C116=$C116)*$A$8:$A116,LEFT($BA$7,FIND(" ",$BA$7)-1)))=0,8,SUMPRODUCT(LARGE(($C$8:$C116=$C116)*$A$8:$A116,LEFT($BA$7,FIND(" ",$BA$7)-1)))+7)&amp;":$BC"&amp;ROW()),INDIRECT("$C"&amp;IF(SUMPRODUCT(LARGE(($C$8:$C116=$C116)*$A$8:$A116,LEFT($BA$7,FIND(" ",$BA$7)-1)))=0,8,SUMPRODUCT(LARGE(($C$8:$C116=$C116)*$A$8:$A116,LEFT($BA$7,FIND(" ",$BA$7)-1)))+7)&amp;":$C"&amp;ROW()),$C116)</f>
        <v>0</v>
      </c>
      <c r="BG116" s="46">
        <f t="array" aca="1" ref="BG116" ca="1">IFERROR(SUMPRODUCT(LARGE(($C$8:$C116=Table1[[#This Row],[Climber]])*$AW$8:$AW116,ROW(INDIRECT("1:5")))),AW116)/MIN(COUNTIFS($C$8:$C116,C116),5)</f>
        <v>0</v>
      </c>
    </row>
    <row r="117" spans="1:59" x14ac:dyDescent="0.3">
      <c r="A117" s="125">
        <f t="shared" si="1"/>
        <v>110</v>
      </c>
      <c r="B117" s="25">
        <f>'Rock Climbing Log'!B117</f>
        <v>0</v>
      </c>
      <c r="C117" s="126">
        <f>'Rock Climbing Log'!C117</f>
        <v>0</v>
      </c>
      <c r="D117" s="26">
        <f>_xlfn.IFNA(IF(LEFT('Rock Climbing Log'!D117)="C",_xlfn.IFNA(VLOOKUP('Rock Climbing Log'!D117,'RC Lookup'!$A$3:$B$9,2,FALSE),0.5),VLOOKUP('Rock Climbing Log'!D117,'RC Lookup'!$G$3:$H$5,2,FALSE)),0)*VLOOKUP(D$7,'RC Lookup'!$D$3:$E$18,2,FALSE)</f>
        <v>0</v>
      </c>
      <c r="E117" s="26">
        <f>_xlfn.IFNA(IF(LEFT('Rock Climbing Log'!E117)="C",_xlfn.IFNA(VLOOKUP('Rock Climbing Log'!E117,'RC Lookup'!$A$3:$B$9,2,FALSE),0.5),VLOOKUP('Rock Climbing Log'!E117,'RC Lookup'!$G$3:$H$5,2,FALSE)),0)*VLOOKUP(D$7,'RC Lookup'!$D$3:$E$18,2,FALSE)</f>
        <v>0</v>
      </c>
      <c r="F117" s="26">
        <f>_xlfn.IFNA(IF(LEFT('Rock Climbing Log'!F117)="C",_xlfn.IFNA(VLOOKUP('Rock Climbing Log'!F117,'RC Lookup'!$A$3:$B$9,2,FALSE),0.5),VLOOKUP('Rock Climbing Log'!F117,'RC Lookup'!$G$3:$H$5,2,FALSE)),0)*VLOOKUP(D$7,'RC Lookup'!$D$3:$E$18,2,FALSE)</f>
        <v>0</v>
      </c>
      <c r="G117" s="26">
        <f>_xlfn.IFNA(IF(LEFT('Rock Climbing Log'!G117)="C",_xlfn.IFNA(VLOOKUP('Rock Climbing Log'!G117,'RC Lookup'!$A$3:$B$9,2,FALSE),0.5),VLOOKUP('Rock Climbing Log'!G117,'RC Lookup'!$G$3:$H$5,2,FALSE)),0)*VLOOKUP(G$7,'RC Lookup'!$D$3:$E$18,2,FALSE)</f>
        <v>0</v>
      </c>
      <c r="H117" s="26">
        <f>_xlfn.IFNA(IF(LEFT('Rock Climbing Log'!H117)="C",_xlfn.IFNA(VLOOKUP('Rock Climbing Log'!H117,'RC Lookup'!$A$3:$B$9,2,FALSE),0.5),VLOOKUP('Rock Climbing Log'!H117,'RC Lookup'!$G$3:$H$5,2,FALSE)),0)*VLOOKUP(G$7,'RC Lookup'!$D$3:$E$18,2,FALSE)</f>
        <v>0</v>
      </c>
      <c r="I117" s="26">
        <f>_xlfn.IFNA(IF(LEFT('Rock Climbing Log'!I117)="C",_xlfn.IFNA(VLOOKUP('Rock Climbing Log'!I117,'RC Lookup'!$A$3:$B$9,2,FALSE),0.5),VLOOKUP('Rock Climbing Log'!I117,'RC Lookup'!$G$3:$H$5,2,FALSE)),0)*VLOOKUP(G$7,'RC Lookup'!$D$3:$E$18,2,FALSE)</f>
        <v>0</v>
      </c>
      <c r="J117" s="26">
        <f>_xlfn.IFNA(IF(LEFT('Rock Climbing Log'!J117)="C",_xlfn.IFNA(VLOOKUP('Rock Climbing Log'!J117,'RC Lookup'!$A$3:$B$9,2,FALSE),0.5),VLOOKUP('Rock Climbing Log'!J117,'RC Lookup'!$G$3:$H$5,2,FALSE)),0)*VLOOKUP(J$7,'RC Lookup'!$D$3:$E$18,2,FALSE)</f>
        <v>0</v>
      </c>
      <c r="K117" s="26">
        <f>_xlfn.IFNA(IF(LEFT('Rock Climbing Log'!K117)="C",_xlfn.IFNA(VLOOKUP('Rock Climbing Log'!K117,'RC Lookup'!$A$3:$B$9,2,FALSE),0.5),VLOOKUP('Rock Climbing Log'!K117,'RC Lookup'!$G$3:$H$5,2,FALSE)),0)*VLOOKUP(J$7,'RC Lookup'!$D$3:$E$18,2,FALSE)</f>
        <v>0</v>
      </c>
      <c r="L117" s="26">
        <f>_xlfn.IFNA(IF(LEFT('Rock Climbing Log'!L117)="C",_xlfn.IFNA(VLOOKUP('Rock Climbing Log'!L117,'RC Lookup'!$A$3:$B$9,2,FALSE),0.5),VLOOKUP('Rock Climbing Log'!L117,'RC Lookup'!$G$3:$H$5,2,FALSE)),0)*VLOOKUP(J$7,'RC Lookup'!$D$3:$E$18,2,FALSE)</f>
        <v>0</v>
      </c>
      <c r="M117" s="26">
        <f>_xlfn.IFNA(IF(LEFT('Rock Climbing Log'!M117)="C",_xlfn.IFNA(VLOOKUP('Rock Climbing Log'!M117,'RC Lookup'!$A$3:$B$9,2,FALSE),0.5),VLOOKUP('Rock Climbing Log'!M117,'RC Lookup'!$G$3:$H$5,2,FALSE)),0)*VLOOKUP(M$7,'RC Lookup'!$D$3:$E$18,2,FALSE)</f>
        <v>0</v>
      </c>
      <c r="N117" s="26">
        <f>_xlfn.IFNA(IF(LEFT('Rock Climbing Log'!N117)="C",_xlfn.IFNA(VLOOKUP('Rock Climbing Log'!N117,'RC Lookup'!$A$3:$B$9,2,FALSE),0.5),VLOOKUP('Rock Climbing Log'!N117,'RC Lookup'!$G$3:$H$5,2,FALSE)),0)*VLOOKUP(M$7,'RC Lookup'!$D$3:$E$18,2,FALSE)</f>
        <v>0</v>
      </c>
      <c r="O117" s="26">
        <f>_xlfn.IFNA(IF(LEFT('Rock Climbing Log'!O117)="C",_xlfn.IFNA(VLOOKUP('Rock Climbing Log'!O117,'RC Lookup'!$A$3:$B$9,2,FALSE),0.5),VLOOKUP('Rock Climbing Log'!O117,'RC Lookup'!$G$3:$H$5,2,FALSE)),0)*VLOOKUP(M$7,'RC Lookup'!$D$3:$E$18,2,FALSE)</f>
        <v>0</v>
      </c>
      <c r="P117" s="26">
        <f>_xlfn.IFNA(IF(LEFT('Rock Climbing Log'!P117)="C",_xlfn.IFNA(VLOOKUP('Rock Climbing Log'!P117,'RC Lookup'!$A$3:$B$9,2,FALSE),0.5),VLOOKUP('Rock Climbing Log'!P117,'RC Lookup'!$G$3:$H$5,2,FALSE)),0)*VLOOKUP(P$7,'RC Lookup'!$D$3:$E$18,2,FALSE)</f>
        <v>0</v>
      </c>
      <c r="Q117" s="26">
        <f>_xlfn.IFNA(IF(LEFT('Rock Climbing Log'!Q117)="C",_xlfn.IFNA(VLOOKUP('Rock Climbing Log'!Q117,'RC Lookup'!$A$3:$B$9,2,FALSE),0.5),VLOOKUP('Rock Climbing Log'!Q117,'RC Lookup'!$G$3:$H$5,2,FALSE)),0)*VLOOKUP(P$7,'RC Lookup'!$D$3:$E$18,2,FALSE)</f>
        <v>0</v>
      </c>
      <c r="R117" s="26">
        <f>_xlfn.IFNA(IF(LEFT('Rock Climbing Log'!R117)="C",_xlfn.IFNA(VLOOKUP('Rock Climbing Log'!R117,'RC Lookup'!$A$3:$B$9,2,FALSE),0.5),VLOOKUP('Rock Climbing Log'!R117,'RC Lookup'!$G$3:$H$5,2,FALSE)),0)*VLOOKUP(P$7,'RC Lookup'!$D$3:$E$18,2,FALSE)</f>
        <v>0</v>
      </c>
      <c r="S117" s="26">
        <f>_xlfn.IFNA(IF(LEFT('Rock Climbing Log'!S117)="C",_xlfn.IFNA(VLOOKUP('Rock Climbing Log'!S117,'RC Lookup'!$A$3:$B$9,2,FALSE),0.5),VLOOKUP('Rock Climbing Log'!S117,'RC Lookup'!$G$3:$H$5,2,FALSE)),0)*VLOOKUP(S$7,'RC Lookup'!$D$3:$E$18,2,FALSE)</f>
        <v>0</v>
      </c>
      <c r="T117" s="26">
        <f>_xlfn.IFNA(IF(LEFT('Rock Climbing Log'!T117)="C",_xlfn.IFNA(VLOOKUP('Rock Climbing Log'!T117,'RC Lookup'!$A$3:$B$9,2,FALSE),0.5),VLOOKUP('Rock Climbing Log'!T117,'RC Lookup'!$G$3:$H$5,2,FALSE)),0)*VLOOKUP(S$7,'RC Lookup'!$D$3:$E$18,2,FALSE)</f>
        <v>0</v>
      </c>
      <c r="U117" s="26">
        <f>_xlfn.IFNA(IF(LEFT('Rock Climbing Log'!U117)="C",_xlfn.IFNA(VLOOKUP('Rock Climbing Log'!U117,'RC Lookup'!$A$3:$B$9,2,FALSE),0.5),VLOOKUP('Rock Climbing Log'!U117,'RC Lookup'!$G$3:$H$5,2,FALSE)),0)*VLOOKUP(S$7,'RC Lookup'!$D$3:$E$18,2,FALSE)</f>
        <v>0</v>
      </c>
      <c r="V117" s="26">
        <f>_xlfn.IFNA(IF(LEFT('Rock Climbing Log'!V117)="C",_xlfn.IFNA(VLOOKUP('Rock Climbing Log'!V117,'RC Lookup'!$A$3:$B$9,2,FALSE),0.5),VLOOKUP('Rock Climbing Log'!V117,'RC Lookup'!$G$3:$H$5,2,FALSE)),0)*VLOOKUP(V$7,'RC Lookup'!$D$3:$E$18,2,FALSE)</f>
        <v>0</v>
      </c>
      <c r="W117" s="26">
        <f>_xlfn.IFNA(IF(LEFT('Rock Climbing Log'!W117)="C",_xlfn.IFNA(VLOOKUP('Rock Climbing Log'!W117,'RC Lookup'!$A$3:$B$9,2,FALSE),0.5),VLOOKUP('Rock Climbing Log'!W117,'RC Lookup'!$G$3:$H$5,2,FALSE)),0)*VLOOKUP(V$7,'RC Lookup'!$D$3:$E$18,2,FALSE)</f>
        <v>0</v>
      </c>
      <c r="X117" s="26">
        <f>_xlfn.IFNA(IF(LEFT('Rock Climbing Log'!X117)="C",_xlfn.IFNA(VLOOKUP('Rock Climbing Log'!X117,'RC Lookup'!$A$3:$B$9,2,FALSE),0.5),VLOOKUP('Rock Climbing Log'!X117,'RC Lookup'!$G$3:$H$5,2,FALSE)),0)*VLOOKUP(V$7,'RC Lookup'!$D$3:$E$18,2,FALSE)</f>
        <v>0</v>
      </c>
      <c r="Y117" s="26">
        <f>_xlfn.IFNA(IF(LEFT('Rock Climbing Log'!Y117)="C",_xlfn.IFNA(VLOOKUP('Rock Climbing Log'!Y117,'RC Lookup'!$A$3:$B$9,2,FALSE),0.5),VLOOKUP('Rock Climbing Log'!Y117,'RC Lookup'!$G$3:$H$5,2,FALSE)),0)*VLOOKUP(Y$7,'RC Lookup'!$D$3:$E$18,2,FALSE)</f>
        <v>0</v>
      </c>
      <c r="Z117" s="26">
        <f>_xlfn.IFNA(IF(LEFT('Rock Climbing Log'!Z117)="C",_xlfn.IFNA(VLOOKUP('Rock Climbing Log'!Z117,'RC Lookup'!$A$3:$B$9,2,FALSE),0.5),VLOOKUP('Rock Climbing Log'!Z117,'RC Lookup'!$G$3:$H$5,2,FALSE)),0)*VLOOKUP(Y$7,'RC Lookup'!$D$3:$E$18,2,FALSE)</f>
        <v>0</v>
      </c>
      <c r="AA117" s="26">
        <f>_xlfn.IFNA(IF(LEFT('Rock Climbing Log'!AA117)="C",_xlfn.IFNA(VLOOKUP('Rock Climbing Log'!AA117,'RC Lookup'!$A$3:$B$9,2,FALSE),0.5),VLOOKUP('Rock Climbing Log'!AA117,'RC Lookup'!$G$3:$H$5,2,FALSE)),0)*VLOOKUP(Y$7,'RC Lookup'!$D$3:$E$18,2,FALSE)</f>
        <v>0</v>
      </c>
      <c r="AB117" s="26">
        <f>_xlfn.IFNA(IF(LEFT('Rock Climbing Log'!AB117)="C",_xlfn.IFNA(VLOOKUP('Rock Climbing Log'!AB117,'RC Lookup'!$A$3:$B$9,2,FALSE),0.5),VLOOKUP('Rock Climbing Log'!AB117,'RC Lookup'!$G$3:$H$5,2,FALSE)),0)*VLOOKUP(AB$7,'RC Lookup'!$D$3:$E$18,2,FALSE)</f>
        <v>0</v>
      </c>
      <c r="AC117" s="26">
        <f>_xlfn.IFNA(IF(LEFT('Rock Climbing Log'!AC117)="C",_xlfn.IFNA(VLOOKUP('Rock Climbing Log'!AC117,'RC Lookup'!$A$3:$B$9,2,FALSE),0.5),VLOOKUP('Rock Climbing Log'!AC117,'RC Lookup'!$G$3:$H$5,2,FALSE)),0)*VLOOKUP(AB$7,'RC Lookup'!$D$3:$E$18,2,FALSE)</f>
        <v>0</v>
      </c>
      <c r="AD117" s="26">
        <f>_xlfn.IFNA(IF(LEFT('Rock Climbing Log'!AD117)="C",_xlfn.IFNA(VLOOKUP('Rock Climbing Log'!AD117,'RC Lookup'!$A$3:$B$9,2,FALSE),0.5),VLOOKUP('Rock Climbing Log'!AD117,'RC Lookup'!$G$3:$H$5,2,FALSE)),0)*VLOOKUP(AB$7,'RC Lookup'!$D$3:$E$18,2,FALSE)</f>
        <v>0</v>
      </c>
      <c r="AE117" s="26">
        <f>_xlfn.IFNA(IF(LEFT('Rock Climbing Log'!AE117)="C",_xlfn.IFNA(VLOOKUP('Rock Climbing Log'!AE117,'RC Lookup'!$A$3:$B$9,2,FALSE),0.5),VLOOKUP('Rock Climbing Log'!AE117,'RC Lookup'!$G$3:$H$5,2,FALSE)),0)*VLOOKUP(AE$7,'RC Lookup'!$D$3:$E$18,2,FALSE)</f>
        <v>0</v>
      </c>
      <c r="AF117" s="26">
        <f>_xlfn.IFNA(IF(LEFT('Rock Climbing Log'!AF117)="C",_xlfn.IFNA(VLOOKUP('Rock Climbing Log'!AF117,'RC Lookup'!$A$3:$B$9,2,FALSE),0.5),VLOOKUP('Rock Climbing Log'!AF117,'RC Lookup'!$G$3:$H$5,2,FALSE)),0)*VLOOKUP(AE$7,'RC Lookup'!$D$3:$E$18,2,FALSE)</f>
        <v>0</v>
      </c>
      <c r="AG117" s="26">
        <f>_xlfn.IFNA(IF(LEFT('Rock Climbing Log'!AG117)="C",_xlfn.IFNA(VLOOKUP('Rock Climbing Log'!AG117,'RC Lookup'!$A$3:$B$9,2,FALSE),0.5),VLOOKUP('Rock Climbing Log'!AG117,'RC Lookup'!$G$3:$H$5,2,FALSE)),0)*VLOOKUP(AE$7,'RC Lookup'!$D$3:$E$18,2,FALSE)</f>
        <v>0</v>
      </c>
      <c r="AH117" s="26">
        <f>_xlfn.IFNA(IF(LEFT('Rock Climbing Log'!AH117)="C",_xlfn.IFNA(VLOOKUP('Rock Climbing Log'!AH117,'RC Lookup'!$A$3:$B$9,2,FALSE),0.5),VLOOKUP('Rock Climbing Log'!AH117,'RC Lookup'!$G$3:$H$5,2,FALSE)),0)*VLOOKUP(AH$7,'RC Lookup'!$D$3:$E$18,2,FALSE)</f>
        <v>0</v>
      </c>
      <c r="AI117" s="26">
        <f>_xlfn.IFNA(IF(LEFT('Rock Climbing Log'!AI117)="C",_xlfn.IFNA(VLOOKUP('Rock Climbing Log'!AI117,'RC Lookup'!$A$3:$B$9,2,FALSE),0.5),VLOOKUP('Rock Climbing Log'!AI117,'RC Lookup'!$G$3:$H$5,2,FALSE)),0)*VLOOKUP(AH$7,'RC Lookup'!$D$3:$E$18,2,FALSE)</f>
        <v>0</v>
      </c>
      <c r="AJ117" s="26">
        <f>_xlfn.IFNA(IF(LEFT('Rock Climbing Log'!AJ117)="C",_xlfn.IFNA(VLOOKUP('Rock Climbing Log'!AJ117,'RC Lookup'!$A$3:$B$9,2,FALSE),0.5),VLOOKUP('Rock Climbing Log'!AJ117,'RC Lookup'!$G$3:$H$5,2,FALSE)),0)*VLOOKUP(AH$7,'RC Lookup'!$D$3:$E$18,2,FALSE)</f>
        <v>0</v>
      </c>
      <c r="AK117" s="26">
        <f>_xlfn.IFNA(IF(LEFT('Rock Climbing Log'!AK117)="C",_xlfn.IFNA(VLOOKUP('Rock Climbing Log'!AK117,'RC Lookup'!$A$3:$B$9,2,FALSE),0.5),VLOOKUP('Rock Climbing Log'!AK117,'RC Lookup'!$G$3:$H$5,2,FALSE)),0)*VLOOKUP(AK$7,'RC Lookup'!$D$3:$E$18,2,FALSE)</f>
        <v>0</v>
      </c>
      <c r="AL117" s="26">
        <f>_xlfn.IFNA(IF(LEFT('Rock Climbing Log'!AL117)="C",_xlfn.IFNA(VLOOKUP('Rock Climbing Log'!AL117,'RC Lookup'!$A$3:$B$9,2,FALSE),0.5),VLOOKUP('Rock Climbing Log'!AL117,'RC Lookup'!$G$3:$H$5,2,FALSE)),0)*VLOOKUP(AK$7,'RC Lookup'!$D$3:$E$18,2,FALSE)</f>
        <v>0</v>
      </c>
      <c r="AM117" s="26">
        <f>_xlfn.IFNA(IF(LEFT('Rock Climbing Log'!AM117)="C",_xlfn.IFNA(VLOOKUP('Rock Climbing Log'!AM117,'RC Lookup'!$A$3:$B$9,2,FALSE),0.5),VLOOKUP('Rock Climbing Log'!AM117,'RC Lookup'!$G$3:$H$5,2,FALSE)),0)*VLOOKUP(AK$7,'RC Lookup'!$D$3:$E$18,2,FALSE)</f>
        <v>0</v>
      </c>
      <c r="AN117" s="26">
        <f>_xlfn.IFNA(IF(LEFT('Rock Climbing Log'!AN117)="C",_xlfn.IFNA(VLOOKUP('Rock Climbing Log'!AN117,'RC Lookup'!$A$3:$B$9,2,FALSE),0.5),VLOOKUP('Rock Climbing Log'!AN117,'RC Lookup'!$G$3:$H$5,2,FALSE)),0)*VLOOKUP(AN$7,'RC Lookup'!$D$3:$E$18,2,FALSE)</f>
        <v>0</v>
      </c>
      <c r="AO117" s="26">
        <f>_xlfn.IFNA(IF(LEFT('Rock Climbing Log'!AO117)="C",_xlfn.IFNA(VLOOKUP('Rock Climbing Log'!AO117,'RC Lookup'!$A$3:$B$9,2,FALSE),0.5),VLOOKUP('Rock Climbing Log'!AO117,'RC Lookup'!$G$3:$H$5,2,FALSE)),0)*VLOOKUP(AN$7,'RC Lookup'!$D$3:$E$18,2,FALSE)</f>
        <v>0</v>
      </c>
      <c r="AP117" s="26">
        <f>_xlfn.IFNA(IF(LEFT('Rock Climbing Log'!AP117)="C",_xlfn.IFNA(VLOOKUP('Rock Climbing Log'!AP117,'RC Lookup'!$A$3:$B$9,2,FALSE),0.5),VLOOKUP('Rock Climbing Log'!AP117,'RC Lookup'!$G$3:$H$5,2,FALSE)),0)*VLOOKUP(AN$7,'RC Lookup'!$D$3:$E$18,2,FALSE)</f>
        <v>0</v>
      </c>
      <c r="AQ117" s="26">
        <f>_xlfn.IFNA(IF(LEFT('Rock Climbing Log'!AQ117)="C",_xlfn.IFNA(VLOOKUP('Rock Climbing Log'!AQ117,'RC Lookup'!$A$3:$B$9,2,FALSE),0.5),VLOOKUP('Rock Climbing Log'!AQ117,'RC Lookup'!$G$3:$H$5,2,FALSE)),0)*VLOOKUP(AQ$7,'RC Lookup'!$D$3:$E$18,2,FALSE)</f>
        <v>0</v>
      </c>
      <c r="AR117" s="26">
        <f>_xlfn.IFNA(IF(LEFT('Rock Climbing Log'!AR117)="C",_xlfn.IFNA(VLOOKUP('Rock Climbing Log'!AR117,'RC Lookup'!$A$3:$B$9,2,FALSE),0.5),VLOOKUP('Rock Climbing Log'!AR117,'RC Lookup'!$G$3:$H$5,2,FALSE)),0)*VLOOKUP(AQ$7,'RC Lookup'!$D$3:$E$18,2,FALSE)</f>
        <v>0</v>
      </c>
      <c r="AS117" s="26">
        <f>_xlfn.IFNA(IF(LEFT('Rock Climbing Log'!AS117)="C",_xlfn.IFNA(VLOOKUP('Rock Climbing Log'!AS117,'RC Lookup'!$A$3:$B$9,2,FALSE),0.5),VLOOKUP('Rock Climbing Log'!AS117,'RC Lookup'!$G$3:$H$5,2,FALSE)),0)*VLOOKUP(AQ$7,'RC Lookup'!$D$3:$E$18,2,FALSE)</f>
        <v>0</v>
      </c>
      <c r="AT117" s="26">
        <f>_xlfn.IFNA(IF(LEFT('Rock Climbing Log'!AT117)="C",_xlfn.IFNA(VLOOKUP('Rock Climbing Log'!AT117,'RC Lookup'!$A$3:$B$9,2,FALSE),0.5),VLOOKUP('Rock Climbing Log'!AT117,'RC Lookup'!$G$3:$H$5,2,FALSE)),0)*VLOOKUP(AT$7,'RC Lookup'!$D$3:$E$18,2,FALSE)</f>
        <v>0</v>
      </c>
      <c r="AU117" s="26">
        <f>_xlfn.IFNA(IF(LEFT('Rock Climbing Log'!AU117)="C",_xlfn.IFNA(VLOOKUP('Rock Climbing Log'!AU117,'RC Lookup'!$A$3:$B$9,2,FALSE),0.5),VLOOKUP('Rock Climbing Log'!AU117,'RC Lookup'!$G$3:$H$5,2,FALSE)),0)*VLOOKUP(AT$7,'RC Lookup'!$D$3:$E$18,2,FALSE)</f>
        <v>0</v>
      </c>
      <c r="AV117" s="26">
        <f>_xlfn.IFNA(IF(LEFT('Rock Climbing Log'!AV117)="C",_xlfn.IFNA(VLOOKUP('Rock Climbing Log'!AV117,'RC Lookup'!$A$3:$B$9,2,FALSE),0.5),VLOOKUP('Rock Climbing Log'!AV117,'RC Lookup'!$G$3:$H$5,2,FALSE)),0)*VLOOKUP(AT$7,'RC Lookup'!$D$3:$E$18,2,FALSE)</f>
        <v>0</v>
      </c>
      <c r="AW117" s="30">
        <f t="shared" ca="1" si="4"/>
        <v>0</v>
      </c>
      <c r="AX117" s="30">
        <f ca="1">_xlfn.IFNA(VLOOKUP(SUMPRODUCT(LARGE(($C$8:$C117=Table1[[#This Row],[Climber]])*$A$8:$A117,1)),$A$8:$AW117,MATCH($AW$7,$A$7:$AW$7,FALSE),FALSE),0)/LEFT($AX$7,FIND(" ",$AX$7))+_xlfn.IFNA(VLOOKUP(SUMPRODUCT(LARGE(($C$8:$C117=Table1[[#This Row],[Climber]])*$A$8:$A117,MIN(2,COUNTIFS($C$8:$C117,$C117)))),$A$8:$AW117,MATCH($AW$7,$A$7:$AW$7,FALSE),FALSE),0)/LEFT($AX$7,FIND(" ",$AX$7))+_xlfn.IFNA(VLOOKUP(SUMPRODUCT(LARGE(($C$8:$C117=Table1[[#This Row],[Climber]])*$A$8:$A117,MIN(3,COUNTIFS($C$8:$C117,$C117)))),$A$8:$AW117,MATCH($AW$7,$A$7:$AW$7,FALSE),FALSE),0)/LEFT($AX$7,FIND(" ",$AX$7))</f>
        <v>0</v>
      </c>
      <c r="AY117" s="30">
        <f ca="1">_xlfn.IFNA(VLOOKUP(SUMPRODUCT(LARGE(($C$8:$C117=Table1[[#This Row],[Climber]])*$A$8:$A117,1)),$A$8:$AW117,MATCH($AW$7,$A$7:$AW$7,FALSE),FALSE),0)/LEFT($AY$7,FIND(" ",$AY$7))+_xlfn.IFNA(VLOOKUP(SUMPRODUCT(LARGE(($C$8:$C117=Table1[[#This Row],[Climber]])*$A$8:$A117,MIN(2,COUNTIFS($C$8:$C117,$C117)))),$A$8:$AW117,MATCH($AW$7,$A$7:$AW$7,FALSE),FALSE),0)/LEFT($AY$7,FIND(" ",$AY$7))+_xlfn.IFNA(VLOOKUP(SUMPRODUCT(LARGE(($C$8:$C117=Table1[[#This Row],[Climber]])*$A$8:$A117,MIN(3,COUNTIFS($C$8:$C117,$C117)))),$A$8:$AW117,MATCH($AW$7,$A$7:$AW$7,FALSE),FALSE),0)/LEFT($AY$7,FIND(" ",$AY$7))+_xlfn.IFNA(VLOOKUP(SUMPRODUCT(LARGE(($C$8:$C117=Table1[[#This Row],[Climber]])*$A$8:$A117,MIN(4,COUNTIFS($C$8:$C117,$C117)))),$A$8:$AW117,MATCH($AW$7,$A$7:$AW$7,FALSE),FALSE),0)/LEFT($AY$7,FIND(" ",$AY$7))+_xlfn.IFNA(VLOOKUP(SUMPRODUCT(LARGE(($C$8:$C117=Table1[[#This Row],[Climber]])*$A$8:$A117,MIN(5,COUNTIFS($C$8:$C117,$C117)))),$A$8:$AW117,MATCH($AW$7,$A$7:$AW$7,FALSE),FALSE),0)/LEFT($AY$7,FIND(" ",$AY$7))</f>
        <v>0</v>
      </c>
      <c r="AZ117" s="30">
        <f ca="1">(_xlfn.IFNA(VLOOKUP(SUMPRODUCT(LARGE(($C$8:$C117=Table1[[#This Row],[Climber]])*$A$8:$A117,4)),$A$8:$AW117,MATCH($AW$7,$A$7:$AW$7,FALSE),FALSE),0)+_xlfn.IFNA(VLOOKUP(SUMPRODUCT(LARGE(($C$8:$C117=Table1[[#This Row],[Climber]])*$A$8:$A117,5)),$A$8:$AW117,MATCH($AW$7,$A$7:$AW$7,FALSE),FALSE),0)+_xlfn.IFNA(VLOOKUP(SUMPRODUCT(LARGE(($C$8:$C117=Table1[[#This Row],[Climber]])*$A$8:$A117,6)),$A$8:$AW117,MATCH($AW$7,$A$7:$AW$7,FALSE),FALSE),0))/3</f>
        <v>0</v>
      </c>
      <c r="BA117" s="46">
        <f ca="1">_xlfn.MAXIFS(INDIRECT("$AW"&amp;IF(SUMPRODUCT(LARGE(($C$8:$C117=$C117)*$A$8:$A117,LEFT($BA$7,FIND(" ",$BA$7)-1)))=0,8,SUMPRODUCT(LARGE(($C$8:$C117=$C117)*$A$8:$A117,LEFT($BA$7,FIND(" ",$BA$7)-1)))+7)&amp;":$AW"&amp;ROW()),INDIRECT("$C"&amp;IF(SUMPRODUCT(LARGE(($C$8:$C117=$C117)*$A$8:$A117,LEFT($BA$7,FIND(" ",$BA$7)-1)))=0,8,SUMPRODUCT(LARGE(($C$8:$C117=$C117)*$A$8:$A117,LEFT($BA$7,FIND(" ",$BA$7)-1)))+7)&amp;":$C"&amp;ROW()),$C117)</f>
        <v>0</v>
      </c>
      <c r="BB117" s="46" t="str">
        <f ca="1">VLOOKUP(MAX(BG117,$AX117),'RC Lookup'!$G$14:$J$20,2,TRUE)</f>
        <v>T1</v>
      </c>
      <c r="BC117" s="46">
        <f ca="1">_xlfn.IFNA(VLOOKUP(VLOOKUP($C117,'RC Lookup'!$O$3:$P$50,2,FALSE),'RC Lookup'!$H$14:$J$23,2,FALSE),0)*AW117</f>
        <v>0</v>
      </c>
      <c r="BD117" s="6">
        <f ca="1">_xlfn.IFNA(VLOOKUP(SUMPRODUCT(LARGE(($C$8:$C117=Table1[[#This Row],[Climber]])*$A$8:$A117,1)),$A$8:$BC117,55,FALSE),0)/LEFT($AX$7,FIND(" ",$AX$7))+_xlfn.IFNA(VLOOKUP(SUMPRODUCT(LARGE(($C$8:$C117=Table1[[#This Row],[Climber]])*$A$8:$A117,MIN(2,COUNTIFS($C$8:$C117,$C117)))),$A$8:$BC117,55,FALSE),0)/LEFT($AX$7,FIND(" ",$AX$7))+_xlfn.IFNA(VLOOKUP(SUMPRODUCT(LARGE(($C$8:$C117=Table1[[#This Row],[Climber]])*$A$8:$A117,MIN(3,COUNTIFS($C$8:$C117,$C117)))),$A$8:$BC117,55,FALSE),0)/LEFT($AX$7,FIND(" ",$AX$7))</f>
        <v>0</v>
      </c>
      <c r="BE117" s="6">
        <f ca="1">(_xlfn.IFNA(VLOOKUP(SUMPRODUCT(LARGE(($C$8:$C117=Table1[[#This Row],[Climber]])*$A$8:$A117,4)),$A$8:$BD117,55,FALSE),0)+_xlfn.IFNA(VLOOKUP(SUMPRODUCT(LARGE(($C$8:$C117=Table1[[#This Row],[Climber]])*$A$8:$A117,5)),$A$8:$BD117,55,FALSE),0)+_xlfn.IFNA(VLOOKUP(SUMPRODUCT(LARGE(($C$8:$C117=Table1[[#This Row],[Climber]])*$A$8:$A117,6)),$A$8:$BD117,55,FALSE),0))/3</f>
        <v>0</v>
      </c>
      <c r="BF117" s="46">
        <f ca="1">_xlfn.MAXIFS(INDIRECT("$BC"&amp;IF(SUMPRODUCT(LARGE(($C$8:$C117=$C117)*$A$8:$A117,LEFT($BA$7,FIND(" ",$BA$7)-1)))=0,8,SUMPRODUCT(LARGE(($C$8:$C117=$C117)*$A$8:$A117,LEFT($BA$7,FIND(" ",$BA$7)-1)))+7)&amp;":$BC"&amp;ROW()),INDIRECT("$C"&amp;IF(SUMPRODUCT(LARGE(($C$8:$C117=$C117)*$A$8:$A117,LEFT($BA$7,FIND(" ",$BA$7)-1)))=0,8,SUMPRODUCT(LARGE(($C$8:$C117=$C117)*$A$8:$A117,LEFT($BA$7,FIND(" ",$BA$7)-1)))+7)&amp;":$C"&amp;ROW()),$C117)</f>
        <v>0</v>
      </c>
      <c r="BG117" s="46">
        <f t="array" aca="1" ref="BG117" ca="1">IFERROR(SUMPRODUCT(LARGE(($C$8:$C117=Table1[[#This Row],[Climber]])*$AW$8:$AW117,ROW(INDIRECT("1:5")))),AW117)/MIN(COUNTIFS($C$8:$C117,C117),5)</f>
        <v>0</v>
      </c>
    </row>
    <row r="118" spans="1:59" x14ac:dyDescent="0.3">
      <c r="A118" s="125">
        <f t="shared" si="1"/>
        <v>111</v>
      </c>
      <c r="B118" s="25">
        <f>'Rock Climbing Log'!B118</f>
        <v>0</v>
      </c>
      <c r="C118" s="126">
        <f>'Rock Climbing Log'!C118</f>
        <v>0</v>
      </c>
      <c r="D118" s="26">
        <f>_xlfn.IFNA(IF(LEFT('Rock Climbing Log'!D118)="C",_xlfn.IFNA(VLOOKUP('Rock Climbing Log'!D118,'RC Lookup'!$A$3:$B$9,2,FALSE),0.5),VLOOKUP('Rock Climbing Log'!D118,'RC Lookup'!$G$3:$H$5,2,FALSE)),0)*VLOOKUP(D$7,'RC Lookup'!$D$3:$E$18,2,FALSE)</f>
        <v>0</v>
      </c>
      <c r="E118" s="26">
        <f>_xlfn.IFNA(IF(LEFT('Rock Climbing Log'!E118)="C",_xlfn.IFNA(VLOOKUP('Rock Climbing Log'!E118,'RC Lookup'!$A$3:$B$9,2,FALSE),0.5),VLOOKUP('Rock Climbing Log'!E118,'RC Lookup'!$G$3:$H$5,2,FALSE)),0)*VLOOKUP(D$7,'RC Lookup'!$D$3:$E$18,2,FALSE)</f>
        <v>0</v>
      </c>
      <c r="F118" s="26">
        <f>_xlfn.IFNA(IF(LEFT('Rock Climbing Log'!F118)="C",_xlfn.IFNA(VLOOKUP('Rock Climbing Log'!F118,'RC Lookup'!$A$3:$B$9,2,FALSE),0.5),VLOOKUP('Rock Climbing Log'!F118,'RC Lookup'!$G$3:$H$5,2,FALSE)),0)*VLOOKUP(D$7,'RC Lookup'!$D$3:$E$18,2,FALSE)</f>
        <v>0</v>
      </c>
      <c r="G118" s="26">
        <f>_xlfn.IFNA(IF(LEFT('Rock Climbing Log'!G118)="C",_xlfn.IFNA(VLOOKUP('Rock Climbing Log'!G118,'RC Lookup'!$A$3:$B$9,2,FALSE),0.5),VLOOKUP('Rock Climbing Log'!G118,'RC Lookup'!$G$3:$H$5,2,FALSE)),0)*VLOOKUP(G$7,'RC Lookup'!$D$3:$E$18,2,FALSE)</f>
        <v>0</v>
      </c>
      <c r="H118" s="26">
        <f>_xlfn.IFNA(IF(LEFT('Rock Climbing Log'!H118)="C",_xlfn.IFNA(VLOOKUP('Rock Climbing Log'!H118,'RC Lookup'!$A$3:$B$9,2,FALSE),0.5),VLOOKUP('Rock Climbing Log'!H118,'RC Lookup'!$G$3:$H$5,2,FALSE)),0)*VLOOKUP(G$7,'RC Lookup'!$D$3:$E$18,2,FALSE)</f>
        <v>0</v>
      </c>
      <c r="I118" s="26">
        <f>_xlfn.IFNA(IF(LEFT('Rock Climbing Log'!I118)="C",_xlfn.IFNA(VLOOKUP('Rock Climbing Log'!I118,'RC Lookup'!$A$3:$B$9,2,FALSE),0.5),VLOOKUP('Rock Climbing Log'!I118,'RC Lookup'!$G$3:$H$5,2,FALSE)),0)*VLOOKUP(G$7,'RC Lookup'!$D$3:$E$18,2,FALSE)</f>
        <v>0</v>
      </c>
      <c r="J118" s="26">
        <f>_xlfn.IFNA(IF(LEFT('Rock Climbing Log'!J118)="C",_xlfn.IFNA(VLOOKUP('Rock Climbing Log'!J118,'RC Lookup'!$A$3:$B$9,2,FALSE),0.5),VLOOKUP('Rock Climbing Log'!J118,'RC Lookup'!$G$3:$H$5,2,FALSE)),0)*VLOOKUP(J$7,'RC Lookup'!$D$3:$E$18,2,FALSE)</f>
        <v>0</v>
      </c>
      <c r="K118" s="26">
        <f>_xlfn.IFNA(IF(LEFT('Rock Climbing Log'!K118)="C",_xlfn.IFNA(VLOOKUP('Rock Climbing Log'!K118,'RC Lookup'!$A$3:$B$9,2,FALSE),0.5),VLOOKUP('Rock Climbing Log'!K118,'RC Lookup'!$G$3:$H$5,2,FALSE)),0)*VLOOKUP(J$7,'RC Lookup'!$D$3:$E$18,2,FALSE)</f>
        <v>0</v>
      </c>
      <c r="L118" s="26">
        <f>_xlfn.IFNA(IF(LEFT('Rock Climbing Log'!L118)="C",_xlfn.IFNA(VLOOKUP('Rock Climbing Log'!L118,'RC Lookup'!$A$3:$B$9,2,FALSE),0.5),VLOOKUP('Rock Climbing Log'!L118,'RC Lookup'!$G$3:$H$5,2,FALSE)),0)*VLOOKUP(J$7,'RC Lookup'!$D$3:$E$18,2,FALSE)</f>
        <v>0</v>
      </c>
      <c r="M118" s="26">
        <f>_xlfn.IFNA(IF(LEFT('Rock Climbing Log'!M118)="C",_xlfn.IFNA(VLOOKUP('Rock Climbing Log'!M118,'RC Lookup'!$A$3:$B$9,2,FALSE),0.5),VLOOKUP('Rock Climbing Log'!M118,'RC Lookup'!$G$3:$H$5,2,FALSE)),0)*VLOOKUP(M$7,'RC Lookup'!$D$3:$E$18,2,FALSE)</f>
        <v>0</v>
      </c>
      <c r="N118" s="26">
        <f>_xlfn.IFNA(IF(LEFT('Rock Climbing Log'!N118)="C",_xlfn.IFNA(VLOOKUP('Rock Climbing Log'!N118,'RC Lookup'!$A$3:$B$9,2,FALSE),0.5),VLOOKUP('Rock Climbing Log'!N118,'RC Lookup'!$G$3:$H$5,2,FALSE)),0)*VLOOKUP(M$7,'RC Lookup'!$D$3:$E$18,2,FALSE)</f>
        <v>0</v>
      </c>
      <c r="O118" s="26">
        <f>_xlfn.IFNA(IF(LEFT('Rock Climbing Log'!O118)="C",_xlfn.IFNA(VLOOKUP('Rock Climbing Log'!O118,'RC Lookup'!$A$3:$B$9,2,FALSE),0.5),VLOOKUP('Rock Climbing Log'!O118,'RC Lookup'!$G$3:$H$5,2,FALSE)),0)*VLOOKUP(M$7,'RC Lookup'!$D$3:$E$18,2,FALSE)</f>
        <v>0</v>
      </c>
      <c r="P118" s="26">
        <f>_xlfn.IFNA(IF(LEFT('Rock Climbing Log'!P118)="C",_xlfn.IFNA(VLOOKUP('Rock Climbing Log'!P118,'RC Lookup'!$A$3:$B$9,2,FALSE),0.5),VLOOKUP('Rock Climbing Log'!P118,'RC Lookup'!$G$3:$H$5,2,FALSE)),0)*VLOOKUP(P$7,'RC Lookup'!$D$3:$E$18,2,FALSE)</f>
        <v>0</v>
      </c>
      <c r="Q118" s="26">
        <f>_xlfn.IFNA(IF(LEFT('Rock Climbing Log'!Q118)="C",_xlfn.IFNA(VLOOKUP('Rock Climbing Log'!Q118,'RC Lookup'!$A$3:$B$9,2,FALSE),0.5),VLOOKUP('Rock Climbing Log'!Q118,'RC Lookup'!$G$3:$H$5,2,FALSE)),0)*VLOOKUP(P$7,'RC Lookup'!$D$3:$E$18,2,FALSE)</f>
        <v>0</v>
      </c>
      <c r="R118" s="26">
        <f>_xlfn.IFNA(IF(LEFT('Rock Climbing Log'!R118)="C",_xlfn.IFNA(VLOOKUP('Rock Climbing Log'!R118,'RC Lookup'!$A$3:$B$9,2,FALSE),0.5),VLOOKUP('Rock Climbing Log'!R118,'RC Lookup'!$G$3:$H$5,2,FALSE)),0)*VLOOKUP(P$7,'RC Lookup'!$D$3:$E$18,2,FALSE)</f>
        <v>0</v>
      </c>
      <c r="S118" s="26">
        <f>_xlfn.IFNA(IF(LEFT('Rock Climbing Log'!S118)="C",_xlfn.IFNA(VLOOKUP('Rock Climbing Log'!S118,'RC Lookup'!$A$3:$B$9,2,FALSE),0.5),VLOOKUP('Rock Climbing Log'!S118,'RC Lookup'!$G$3:$H$5,2,FALSE)),0)*VLOOKUP(S$7,'RC Lookup'!$D$3:$E$18,2,FALSE)</f>
        <v>0</v>
      </c>
      <c r="T118" s="26">
        <f>_xlfn.IFNA(IF(LEFT('Rock Climbing Log'!T118)="C",_xlfn.IFNA(VLOOKUP('Rock Climbing Log'!T118,'RC Lookup'!$A$3:$B$9,2,FALSE),0.5),VLOOKUP('Rock Climbing Log'!T118,'RC Lookup'!$G$3:$H$5,2,FALSE)),0)*VLOOKUP(S$7,'RC Lookup'!$D$3:$E$18,2,FALSE)</f>
        <v>0</v>
      </c>
      <c r="U118" s="26">
        <f>_xlfn.IFNA(IF(LEFT('Rock Climbing Log'!U118)="C",_xlfn.IFNA(VLOOKUP('Rock Climbing Log'!U118,'RC Lookup'!$A$3:$B$9,2,FALSE),0.5),VLOOKUP('Rock Climbing Log'!U118,'RC Lookup'!$G$3:$H$5,2,FALSE)),0)*VLOOKUP(S$7,'RC Lookup'!$D$3:$E$18,2,FALSE)</f>
        <v>0</v>
      </c>
      <c r="V118" s="26">
        <f>_xlfn.IFNA(IF(LEFT('Rock Climbing Log'!V118)="C",_xlfn.IFNA(VLOOKUP('Rock Climbing Log'!V118,'RC Lookup'!$A$3:$B$9,2,FALSE),0.5),VLOOKUP('Rock Climbing Log'!V118,'RC Lookup'!$G$3:$H$5,2,FALSE)),0)*VLOOKUP(V$7,'RC Lookup'!$D$3:$E$18,2,FALSE)</f>
        <v>0</v>
      </c>
      <c r="W118" s="26">
        <f>_xlfn.IFNA(IF(LEFT('Rock Climbing Log'!W118)="C",_xlfn.IFNA(VLOOKUP('Rock Climbing Log'!W118,'RC Lookup'!$A$3:$B$9,2,FALSE),0.5),VLOOKUP('Rock Climbing Log'!W118,'RC Lookup'!$G$3:$H$5,2,FALSE)),0)*VLOOKUP(V$7,'RC Lookup'!$D$3:$E$18,2,FALSE)</f>
        <v>0</v>
      </c>
      <c r="X118" s="26">
        <f>_xlfn.IFNA(IF(LEFT('Rock Climbing Log'!X118)="C",_xlfn.IFNA(VLOOKUP('Rock Climbing Log'!X118,'RC Lookup'!$A$3:$B$9,2,FALSE),0.5),VLOOKUP('Rock Climbing Log'!X118,'RC Lookup'!$G$3:$H$5,2,FALSE)),0)*VLOOKUP(V$7,'RC Lookup'!$D$3:$E$18,2,FALSE)</f>
        <v>0</v>
      </c>
      <c r="Y118" s="26">
        <f>_xlfn.IFNA(IF(LEFT('Rock Climbing Log'!Y118)="C",_xlfn.IFNA(VLOOKUP('Rock Climbing Log'!Y118,'RC Lookup'!$A$3:$B$9,2,FALSE),0.5),VLOOKUP('Rock Climbing Log'!Y118,'RC Lookup'!$G$3:$H$5,2,FALSE)),0)*VLOOKUP(Y$7,'RC Lookup'!$D$3:$E$18,2,FALSE)</f>
        <v>0</v>
      </c>
      <c r="Z118" s="26">
        <f>_xlfn.IFNA(IF(LEFT('Rock Climbing Log'!Z118)="C",_xlfn.IFNA(VLOOKUP('Rock Climbing Log'!Z118,'RC Lookup'!$A$3:$B$9,2,FALSE),0.5),VLOOKUP('Rock Climbing Log'!Z118,'RC Lookup'!$G$3:$H$5,2,FALSE)),0)*VLOOKUP(Y$7,'RC Lookup'!$D$3:$E$18,2,FALSE)</f>
        <v>0</v>
      </c>
      <c r="AA118" s="26">
        <f>_xlfn.IFNA(IF(LEFT('Rock Climbing Log'!AA118)="C",_xlfn.IFNA(VLOOKUP('Rock Climbing Log'!AA118,'RC Lookup'!$A$3:$B$9,2,FALSE),0.5),VLOOKUP('Rock Climbing Log'!AA118,'RC Lookup'!$G$3:$H$5,2,FALSE)),0)*VLOOKUP(Y$7,'RC Lookup'!$D$3:$E$18,2,FALSE)</f>
        <v>0</v>
      </c>
      <c r="AB118" s="26">
        <f>_xlfn.IFNA(IF(LEFT('Rock Climbing Log'!AB118)="C",_xlfn.IFNA(VLOOKUP('Rock Climbing Log'!AB118,'RC Lookup'!$A$3:$B$9,2,FALSE),0.5),VLOOKUP('Rock Climbing Log'!AB118,'RC Lookup'!$G$3:$H$5,2,FALSE)),0)*VLOOKUP(AB$7,'RC Lookup'!$D$3:$E$18,2,FALSE)</f>
        <v>0</v>
      </c>
      <c r="AC118" s="26">
        <f>_xlfn.IFNA(IF(LEFT('Rock Climbing Log'!AC118)="C",_xlfn.IFNA(VLOOKUP('Rock Climbing Log'!AC118,'RC Lookup'!$A$3:$B$9,2,FALSE),0.5),VLOOKUP('Rock Climbing Log'!AC118,'RC Lookup'!$G$3:$H$5,2,FALSE)),0)*VLOOKUP(AB$7,'RC Lookup'!$D$3:$E$18,2,FALSE)</f>
        <v>0</v>
      </c>
      <c r="AD118" s="26">
        <f>_xlfn.IFNA(IF(LEFT('Rock Climbing Log'!AD118)="C",_xlfn.IFNA(VLOOKUP('Rock Climbing Log'!AD118,'RC Lookup'!$A$3:$B$9,2,FALSE),0.5),VLOOKUP('Rock Climbing Log'!AD118,'RC Lookup'!$G$3:$H$5,2,FALSE)),0)*VLOOKUP(AB$7,'RC Lookup'!$D$3:$E$18,2,FALSE)</f>
        <v>0</v>
      </c>
      <c r="AE118" s="26">
        <f>_xlfn.IFNA(IF(LEFT('Rock Climbing Log'!AE118)="C",_xlfn.IFNA(VLOOKUP('Rock Climbing Log'!AE118,'RC Lookup'!$A$3:$B$9,2,FALSE),0.5),VLOOKUP('Rock Climbing Log'!AE118,'RC Lookup'!$G$3:$H$5,2,FALSE)),0)*VLOOKUP(AE$7,'RC Lookup'!$D$3:$E$18,2,FALSE)</f>
        <v>0</v>
      </c>
      <c r="AF118" s="26">
        <f>_xlfn.IFNA(IF(LEFT('Rock Climbing Log'!AF118)="C",_xlfn.IFNA(VLOOKUP('Rock Climbing Log'!AF118,'RC Lookup'!$A$3:$B$9,2,FALSE),0.5),VLOOKUP('Rock Climbing Log'!AF118,'RC Lookup'!$G$3:$H$5,2,FALSE)),0)*VLOOKUP(AE$7,'RC Lookup'!$D$3:$E$18,2,FALSE)</f>
        <v>0</v>
      </c>
      <c r="AG118" s="26">
        <f>_xlfn.IFNA(IF(LEFT('Rock Climbing Log'!AG118)="C",_xlfn.IFNA(VLOOKUP('Rock Climbing Log'!AG118,'RC Lookup'!$A$3:$B$9,2,FALSE),0.5),VLOOKUP('Rock Climbing Log'!AG118,'RC Lookup'!$G$3:$H$5,2,FALSE)),0)*VLOOKUP(AE$7,'RC Lookup'!$D$3:$E$18,2,FALSE)</f>
        <v>0</v>
      </c>
      <c r="AH118" s="26">
        <f>_xlfn.IFNA(IF(LEFT('Rock Climbing Log'!AH118)="C",_xlfn.IFNA(VLOOKUP('Rock Climbing Log'!AH118,'RC Lookup'!$A$3:$B$9,2,FALSE),0.5),VLOOKUP('Rock Climbing Log'!AH118,'RC Lookup'!$G$3:$H$5,2,FALSE)),0)*VLOOKUP(AH$7,'RC Lookup'!$D$3:$E$18,2,FALSE)</f>
        <v>0</v>
      </c>
      <c r="AI118" s="26">
        <f>_xlfn.IFNA(IF(LEFT('Rock Climbing Log'!AI118)="C",_xlfn.IFNA(VLOOKUP('Rock Climbing Log'!AI118,'RC Lookup'!$A$3:$B$9,2,FALSE),0.5),VLOOKUP('Rock Climbing Log'!AI118,'RC Lookup'!$G$3:$H$5,2,FALSE)),0)*VLOOKUP(AH$7,'RC Lookup'!$D$3:$E$18,2,FALSE)</f>
        <v>0</v>
      </c>
      <c r="AJ118" s="26">
        <f>_xlfn.IFNA(IF(LEFT('Rock Climbing Log'!AJ118)="C",_xlfn.IFNA(VLOOKUP('Rock Climbing Log'!AJ118,'RC Lookup'!$A$3:$B$9,2,FALSE),0.5),VLOOKUP('Rock Climbing Log'!AJ118,'RC Lookup'!$G$3:$H$5,2,FALSE)),0)*VLOOKUP(AH$7,'RC Lookup'!$D$3:$E$18,2,FALSE)</f>
        <v>0</v>
      </c>
      <c r="AK118" s="26">
        <f>_xlfn.IFNA(IF(LEFT('Rock Climbing Log'!AK118)="C",_xlfn.IFNA(VLOOKUP('Rock Climbing Log'!AK118,'RC Lookup'!$A$3:$B$9,2,FALSE),0.5),VLOOKUP('Rock Climbing Log'!AK118,'RC Lookup'!$G$3:$H$5,2,FALSE)),0)*VLOOKUP(AK$7,'RC Lookup'!$D$3:$E$18,2,FALSE)</f>
        <v>0</v>
      </c>
      <c r="AL118" s="26">
        <f>_xlfn.IFNA(IF(LEFT('Rock Climbing Log'!AL118)="C",_xlfn.IFNA(VLOOKUP('Rock Climbing Log'!AL118,'RC Lookup'!$A$3:$B$9,2,FALSE),0.5),VLOOKUP('Rock Climbing Log'!AL118,'RC Lookup'!$G$3:$H$5,2,FALSE)),0)*VLOOKUP(AK$7,'RC Lookup'!$D$3:$E$18,2,FALSE)</f>
        <v>0</v>
      </c>
      <c r="AM118" s="26">
        <f>_xlfn.IFNA(IF(LEFT('Rock Climbing Log'!AM118)="C",_xlfn.IFNA(VLOOKUP('Rock Climbing Log'!AM118,'RC Lookup'!$A$3:$B$9,2,FALSE),0.5),VLOOKUP('Rock Climbing Log'!AM118,'RC Lookup'!$G$3:$H$5,2,FALSE)),0)*VLOOKUP(AK$7,'RC Lookup'!$D$3:$E$18,2,FALSE)</f>
        <v>0</v>
      </c>
      <c r="AN118" s="26">
        <f>_xlfn.IFNA(IF(LEFT('Rock Climbing Log'!AN118)="C",_xlfn.IFNA(VLOOKUP('Rock Climbing Log'!AN118,'RC Lookup'!$A$3:$B$9,2,FALSE),0.5),VLOOKUP('Rock Climbing Log'!AN118,'RC Lookup'!$G$3:$H$5,2,FALSE)),0)*VLOOKUP(AN$7,'RC Lookup'!$D$3:$E$18,2,FALSE)</f>
        <v>0</v>
      </c>
      <c r="AO118" s="26">
        <f>_xlfn.IFNA(IF(LEFT('Rock Climbing Log'!AO118)="C",_xlfn.IFNA(VLOOKUP('Rock Climbing Log'!AO118,'RC Lookup'!$A$3:$B$9,2,FALSE),0.5),VLOOKUP('Rock Climbing Log'!AO118,'RC Lookup'!$G$3:$H$5,2,FALSE)),0)*VLOOKUP(AN$7,'RC Lookup'!$D$3:$E$18,2,FALSE)</f>
        <v>0</v>
      </c>
      <c r="AP118" s="26">
        <f>_xlfn.IFNA(IF(LEFT('Rock Climbing Log'!AP118)="C",_xlfn.IFNA(VLOOKUP('Rock Climbing Log'!AP118,'RC Lookup'!$A$3:$B$9,2,FALSE),0.5),VLOOKUP('Rock Climbing Log'!AP118,'RC Lookup'!$G$3:$H$5,2,FALSE)),0)*VLOOKUP(AN$7,'RC Lookup'!$D$3:$E$18,2,FALSE)</f>
        <v>0</v>
      </c>
      <c r="AQ118" s="26">
        <f>_xlfn.IFNA(IF(LEFT('Rock Climbing Log'!AQ118)="C",_xlfn.IFNA(VLOOKUP('Rock Climbing Log'!AQ118,'RC Lookup'!$A$3:$B$9,2,FALSE),0.5),VLOOKUP('Rock Climbing Log'!AQ118,'RC Lookup'!$G$3:$H$5,2,FALSE)),0)*VLOOKUP(AQ$7,'RC Lookup'!$D$3:$E$18,2,FALSE)</f>
        <v>0</v>
      </c>
      <c r="AR118" s="26">
        <f>_xlfn.IFNA(IF(LEFT('Rock Climbing Log'!AR118)="C",_xlfn.IFNA(VLOOKUP('Rock Climbing Log'!AR118,'RC Lookup'!$A$3:$B$9,2,FALSE),0.5),VLOOKUP('Rock Climbing Log'!AR118,'RC Lookup'!$G$3:$H$5,2,FALSE)),0)*VLOOKUP(AQ$7,'RC Lookup'!$D$3:$E$18,2,FALSE)</f>
        <v>0</v>
      </c>
      <c r="AS118" s="26">
        <f>_xlfn.IFNA(IF(LEFT('Rock Climbing Log'!AS118)="C",_xlfn.IFNA(VLOOKUP('Rock Climbing Log'!AS118,'RC Lookup'!$A$3:$B$9,2,FALSE),0.5),VLOOKUP('Rock Climbing Log'!AS118,'RC Lookup'!$G$3:$H$5,2,FALSE)),0)*VLOOKUP(AQ$7,'RC Lookup'!$D$3:$E$18,2,FALSE)</f>
        <v>0</v>
      </c>
      <c r="AT118" s="26">
        <f>_xlfn.IFNA(IF(LEFT('Rock Climbing Log'!AT118)="C",_xlfn.IFNA(VLOOKUP('Rock Climbing Log'!AT118,'RC Lookup'!$A$3:$B$9,2,FALSE),0.5),VLOOKUP('Rock Climbing Log'!AT118,'RC Lookup'!$G$3:$H$5,2,FALSE)),0)*VLOOKUP(AT$7,'RC Lookup'!$D$3:$E$18,2,FALSE)</f>
        <v>0</v>
      </c>
      <c r="AU118" s="26">
        <f>_xlfn.IFNA(IF(LEFT('Rock Climbing Log'!AU118)="C",_xlfn.IFNA(VLOOKUP('Rock Climbing Log'!AU118,'RC Lookup'!$A$3:$B$9,2,FALSE),0.5),VLOOKUP('Rock Climbing Log'!AU118,'RC Lookup'!$G$3:$H$5,2,FALSE)),0)*VLOOKUP(AT$7,'RC Lookup'!$D$3:$E$18,2,FALSE)</f>
        <v>0</v>
      </c>
      <c r="AV118" s="26">
        <f>_xlfn.IFNA(IF(LEFT('Rock Climbing Log'!AV118)="C",_xlfn.IFNA(VLOOKUP('Rock Climbing Log'!AV118,'RC Lookup'!$A$3:$B$9,2,FALSE),0.5),VLOOKUP('Rock Climbing Log'!AV118,'RC Lookup'!$G$3:$H$5,2,FALSE)),0)*VLOOKUP(AT$7,'RC Lookup'!$D$3:$E$18,2,FALSE)</f>
        <v>0</v>
      </c>
      <c r="AW118" s="30">
        <f t="shared" ca="1" si="4"/>
        <v>0</v>
      </c>
      <c r="AX118" s="30">
        <f ca="1">_xlfn.IFNA(VLOOKUP(SUMPRODUCT(LARGE(($C$8:$C118=Table1[[#This Row],[Climber]])*$A$8:$A118,1)),$A$8:$AW118,MATCH($AW$7,$A$7:$AW$7,FALSE),FALSE),0)/LEFT($AX$7,FIND(" ",$AX$7))+_xlfn.IFNA(VLOOKUP(SUMPRODUCT(LARGE(($C$8:$C118=Table1[[#This Row],[Climber]])*$A$8:$A118,MIN(2,COUNTIFS($C$8:$C118,$C118)))),$A$8:$AW118,MATCH($AW$7,$A$7:$AW$7,FALSE),FALSE),0)/LEFT($AX$7,FIND(" ",$AX$7))+_xlfn.IFNA(VLOOKUP(SUMPRODUCT(LARGE(($C$8:$C118=Table1[[#This Row],[Climber]])*$A$8:$A118,MIN(3,COUNTIFS($C$8:$C118,$C118)))),$A$8:$AW118,MATCH($AW$7,$A$7:$AW$7,FALSE),FALSE),0)/LEFT($AX$7,FIND(" ",$AX$7))</f>
        <v>0</v>
      </c>
      <c r="AY118" s="30">
        <f ca="1">_xlfn.IFNA(VLOOKUP(SUMPRODUCT(LARGE(($C$8:$C118=Table1[[#This Row],[Climber]])*$A$8:$A118,1)),$A$8:$AW118,MATCH($AW$7,$A$7:$AW$7,FALSE),FALSE),0)/LEFT($AY$7,FIND(" ",$AY$7))+_xlfn.IFNA(VLOOKUP(SUMPRODUCT(LARGE(($C$8:$C118=Table1[[#This Row],[Climber]])*$A$8:$A118,MIN(2,COUNTIFS($C$8:$C118,$C118)))),$A$8:$AW118,MATCH($AW$7,$A$7:$AW$7,FALSE),FALSE),0)/LEFT($AY$7,FIND(" ",$AY$7))+_xlfn.IFNA(VLOOKUP(SUMPRODUCT(LARGE(($C$8:$C118=Table1[[#This Row],[Climber]])*$A$8:$A118,MIN(3,COUNTIFS($C$8:$C118,$C118)))),$A$8:$AW118,MATCH($AW$7,$A$7:$AW$7,FALSE),FALSE),0)/LEFT($AY$7,FIND(" ",$AY$7))+_xlfn.IFNA(VLOOKUP(SUMPRODUCT(LARGE(($C$8:$C118=Table1[[#This Row],[Climber]])*$A$8:$A118,MIN(4,COUNTIFS($C$8:$C118,$C118)))),$A$8:$AW118,MATCH($AW$7,$A$7:$AW$7,FALSE),FALSE),0)/LEFT($AY$7,FIND(" ",$AY$7))+_xlfn.IFNA(VLOOKUP(SUMPRODUCT(LARGE(($C$8:$C118=Table1[[#This Row],[Climber]])*$A$8:$A118,MIN(5,COUNTIFS($C$8:$C118,$C118)))),$A$8:$AW118,MATCH($AW$7,$A$7:$AW$7,FALSE),FALSE),0)/LEFT($AY$7,FIND(" ",$AY$7))</f>
        <v>0</v>
      </c>
      <c r="AZ118" s="30">
        <f ca="1">(_xlfn.IFNA(VLOOKUP(SUMPRODUCT(LARGE(($C$8:$C118=Table1[[#This Row],[Climber]])*$A$8:$A118,4)),$A$8:$AW118,MATCH($AW$7,$A$7:$AW$7,FALSE),FALSE),0)+_xlfn.IFNA(VLOOKUP(SUMPRODUCT(LARGE(($C$8:$C118=Table1[[#This Row],[Climber]])*$A$8:$A118,5)),$A$8:$AW118,MATCH($AW$7,$A$7:$AW$7,FALSE),FALSE),0)+_xlfn.IFNA(VLOOKUP(SUMPRODUCT(LARGE(($C$8:$C118=Table1[[#This Row],[Climber]])*$A$8:$A118,6)),$A$8:$AW118,MATCH($AW$7,$A$7:$AW$7,FALSE),FALSE),0))/3</f>
        <v>0</v>
      </c>
      <c r="BA118" s="46">
        <f ca="1">_xlfn.MAXIFS(INDIRECT("$AW"&amp;IF(SUMPRODUCT(LARGE(($C$8:$C118=$C118)*$A$8:$A118,LEFT($BA$7,FIND(" ",$BA$7)-1)))=0,8,SUMPRODUCT(LARGE(($C$8:$C118=$C118)*$A$8:$A118,LEFT($BA$7,FIND(" ",$BA$7)-1)))+7)&amp;":$AW"&amp;ROW()),INDIRECT("$C"&amp;IF(SUMPRODUCT(LARGE(($C$8:$C118=$C118)*$A$8:$A118,LEFT($BA$7,FIND(" ",$BA$7)-1)))=0,8,SUMPRODUCT(LARGE(($C$8:$C118=$C118)*$A$8:$A118,LEFT($BA$7,FIND(" ",$BA$7)-1)))+7)&amp;":$C"&amp;ROW()),$C118)</f>
        <v>0</v>
      </c>
      <c r="BB118" s="46" t="str">
        <f ca="1">VLOOKUP(MAX(BG118,$AX118),'RC Lookup'!$G$14:$J$20,2,TRUE)</f>
        <v>T1</v>
      </c>
      <c r="BC118" s="46">
        <f ca="1">_xlfn.IFNA(VLOOKUP(VLOOKUP($C118,'RC Lookup'!$O$3:$P$50,2,FALSE),'RC Lookup'!$H$14:$J$23,2,FALSE),0)*AW118</f>
        <v>0</v>
      </c>
      <c r="BD118" s="6">
        <f ca="1">_xlfn.IFNA(VLOOKUP(SUMPRODUCT(LARGE(($C$8:$C118=Table1[[#This Row],[Climber]])*$A$8:$A118,1)),$A$8:$BC118,55,FALSE),0)/LEFT($AX$7,FIND(" ",$AX$7))+_xlfn.IFNA(VLOOKUP(SUMPRODUCT(LARGE(($C$8:$C118=Table1[[#This Row],[Climber]])*$A$8:$A118,MIN(2,COUNTIFS($C$8:$C118,$C118)))),$A$8:$BC118,55,FALSE),0)/LEFT($AX$7,FIND(" ",$AX$7))+_xlfn.IFNA(VLOOKUP(SUMPRODUCT(LARGE(($C$8:$C118=Table1[[#This Row],[Climber]])*$A$8:$A118,MIN(3,COUNTIFS($C$8:$C118,$C118)))),$A$8:$BC118,55,FALSE),0)/LEFT($AX$7,FIND(" ",$AX$7))</f>
        <v>0</v>
      </c>
      <c r="BE118" s="6">
        <f ca="1">(_xlfn.IFNA(VLOOKUP(SUMPRODUCT(LARGE(($C$8:$C118=Table1[[#This Row],[Climber]])*$A$8:$A118,4)),$A$8:$BD118,55,FALSE),0)+_xlfn.IFNA(VLOOKUP(SUMPRODUCT(LARGE(($C$8:$C118=Table1[[#This Row],[Climber]])*$A$8:$A118,5)),$A$8:$BD118,55,FALSE),0)+_xlfn.IFNA(VLOOKUP(SUMPRODUCT(LARGE(($C$8:$C118=Table1[[#This Row],[Climber]])*$A$8:$A118,6)),$A$8:$BD118,55,FALSE),0))/3</f>
        <v>0</v>
      </c>
      <c r="BF118" s="46">
        <f ca="1">_xlfn.MAXIFS(INDIRECT("$BC"&amp;IF(SUMPRODUCT(LARGE(($C$8:$C118=$C118)*$A$8:$A118,LEFT($BA$7,FIND(" ",$BA$7)-1)))=0,8,SUMPRODUCT(LARGE(($C$8:$C118=$C118)*$A$8:$A118,LEFT($BA$7,FIND(" ",$BA$7)-1)))+7)&amp;":$BC"&amp;ROW()),INDIRECT("$C"&amp;IF(SUMPRODUCT(LARGE(($C$8:$C118=$C118)*$A$8:$A118,LEFT($BA$7,FIND(" ",$BA$7)-1)))=0,8,SUMPRODUCT(LARGE(($C$8:$C118=$C118)*$A$8:$A118,LEFT($BA$7,FIND(" ",$BA$7)-1)))+7)&amp;":$C"&amp;ROW()),$C118)</f>
        <v>0</v>
      </c>
      <c r="BG118" s="46">
        <f t="array" aca="1" ref="BG118" ca="1">IFERROR(SUMPRODUCT(LARGE(($C$8:$C118=Table1[[#This Row],[Climber]])*$AW$8:$AW118,ROW(INDIRECT("1:5")))),AW118)/MIN(COUNTIFS($C$8:$C118,C118),5)</f>
        <v>0</v>
      </c>
    </row>
    <row r="119" spans="1:59" x14ac:dyDescent="0.3">
      <c r="A119" s="125">
        <f t="shared" si="1"/>
        <v>112</v>
      </c>
      <c r="B119" s="25">
        <f>'Rock Climbing Log'!B119</f>
        <v>0</v>
      </c>
      <c r="C119" s="126">
        <f>'Rock Climbing Log'!C119</f>
        <v>0</v>
      </c>
      <c r="D119" s="26">
        <f>_xlfn.IFNA(IF(LEFT('Rock Climbing Log'!D119)="C",_xlfn.IFNA(VLOOKUP('Rock Climbing Log'!D119,'RC Lookup'!$A$3:$B$9,2,FALSE),0.5),VLOOKUP('Rock Climbing Log'!D119,'RC Lookup'!$G$3:$H$5,2,FALSE)),0)*VLOOKUP(D$7,'RC Lookup'!$D$3:$E$18,2,FALSE)</f>
        <v>0</v>
      </c>
      <c r="E119" s="26">
        <f>_xlfn.IFNA(IF(LEFT('Rock Climbing Log'!E119)="C",_xlfn.IFNA(VLOOKUP('Rock Climbing Log'!E119,'RC Lookup'!$A$3:$B$9,2,FALSE),0.5),VLOOKUP('Rock Climbing Log'!E119,'RC Lookup'!$G$3:$H$5,2,FALSE)),0)*VLOOKUP(D$7,'RC Lookup'!$D$3:$E$18,2,FALSE)</f>
        <v>0</v>
      </c>
      <c r="F119" s="26">
        <f>_xlfn.IFNA(IF(LEFT('Rock Climbing Log'!F119)="C",_xlfn.IFNA(VLOOKUP('Rock Climbing Log'!F119,'RC Lookup'!$A$3:$B$9,2,FALSE),0.5),VLOOKUP('Rock Climbing Log'!F119,'RC Lookup'!$G$3:$H$5,2,FALSE)),0)*VLOOKUP(D$7,'RC Lookup'!$D$3:$E$18,2,FALSE)</f>
        <v>0</v>
      </c>
      <c r="G119" s="26">
        <f>_xlfn.IFNA(IF(LEFT('Rock Climbing Log'!G119)="C",_xlfn.IFNA(VLOOKUP('Rock Climbing Log'!G119,'RC Lookup'!$A$3:$B$9,2,FALSE),0.5),VLOOKUP('Rock Climbing Log'!G119,'RC Lookup'!$G$3:$H$5,2,FALSE)),0)*VLOOKUP(G$7,'RC Lookup'!$D$3:$E$18,2,FALSE)</f>
        <v>0</v>
      </c>
      <c r="H119" s="26">
        <f>_xlfn.IFNA(IF(LEFT('Rock Climbing Log'!H119)="C",_xlfn.IFNA(VLOOKUP('Rock Climbing Log'!H119,'RC Lookup'!$A$3:$B$9,2,FALSE),0.5),VLOOKUP('Rock Climbing Log'!H119,'RC Lookup'!$G$3:$H$5,2,FALSE)),0)*VLOOKUP(G$7,'RC Lookup'!$D$3:$E$18,2,FALSE)</f>
        <v>0</v>
      </c>
      <c r="I119" s="26">
        <f>_xlfn.IFNA(IF(LEFT('Rock Climbing Log'!I119)="C",_xlfn.IFNA(VLOOKUP('Rock Climbing Log'!I119,'RC Lookup'!$A$3:$B$9,2,FALSE),0.5),VLOOKUP('Rock Climbing Log'!I119,'RC Lookup'!$G$3:$H$5,2,FALSE)),0)*VLOOKUP(G$7,'RC Lookup'!$D$3:$E$18,2,FALSE)</f>
        <v>0</v>
      </c>
      <c r="J119" s="26">
        <f>_xlfn.IFNA(IF(LEFT('Rock Climbing Log'!J119)="C",_xlfn.IFNA(VLOOKUP('Rock Climbing Log'!J119,'RC Lookup'!$A$3:$B$9,2,FALSE),0.5),VLOOKUP('Rock Climbing Log'!J119,'RC Lookup'!$G$3:$H$5,2,FALSE)),0)*VLOOKUP(J$7,'RC Lookup'!$D$3:$E$18,2,FALSE)</f>
        <v>0</v>
      </c>
      <c r="K119" s="26">
        <f>_xlfn.IFNA(IF(LEFT('Rock Climbing Log'!K119)="C",_xlfn.IFNA(VLOOKUP('Rock Climbing Log'!K119,'RC Lookup'!$A$3:$B$9,2,FALSE),0.5),VLOOKUP('Rock Climbing Log'!K119,'RC Lookup'!$G$3:$H$5,2,FALSE)),0)*VLOOKUP(J$7,'RC Lookup'!$D$3:$E$18,2,FALSE)</f>
        <v>0</v>
      </c>
      <c r="L119" s="26">
        <f>_xlfn.IFNA(IF(LEFT('Rock Climbing Log'!L119)="C",_xlfn.IFNA(VLOOKUP('Rock Climbing Log'!L119,'RC Lookup'!$A$3:$B$9,2,FALSE),0.5),VLOOKUP('Rock Climbing Log'!L119,'RC Lookup'!$G$3:$H$5,2,FALSE)),0)*VLOOKUP(J$7,'RC Lookup'!$D$3:$E$18,2,FALSE)</f>
        <v>0</v>
      </c>
      <c r="M119" s="26">
        <f>_xlfn.IFNA(IF(LEFT('Rock Climbing Log'!M119)="C",_xlfn.IFNA(VLOOKUP('Rock Climbing Log'!M119,'RC Lookup'!$A$3:$B$9,2,FALSE),0.5),VLOOKUP('Rock Climbing Log'!M119,'RC Lookup'!$G$3:$H$5,2,FALSE)),0)*VLOOKUP(M$7,'RC Lookup'!$D$3:$E$18,2,FALSE)</f>
        <v>0</v>
      </c>
      <c r="N119" s="26">
        <f>_xlfn.IFNA(IF(LEFT('Rock Climbing Log'!N119)="C",_xlfn.IFNA(VLOOKUP('Rock Climbing Log'!N119,'RC Lookup'!$A$3:$B$9,2,FALSE),0.5),VLOOKUP('Rock Climbing Log'!N119,'RC Lookup'!$G$3:$H$5,2,FALSE)),0)*VLOOKUP(M$7,'RC Lookup'!$D$3:$E$18,2,FALSE)</f>
        <v>0</v>
      </c>
      <c r="O119" s="26">
        <f>_xlfn.IFNA(IF(LEFT('Rock Climbing Log'!O119)="C",_xlfn.IFNA(VLOOKUP('Rock Climbing Log'!O119,'RC Lookup'!$A$3:$B$9,2,FALSE),0.5),VLOOKUP('Rock Climbing Log'!O119,'RC Lookup'!$G$3:$H$5,2,FALSE)),0)*VLOOKUP(M$7,'RC Lookup'!$D$3:$E$18,2,FALSE)</f>
        <v>0</v>
      </c>
      <c r="P119" s="26">
        <f>_xlfn.IFNA(IF(LEFT('Rock Climbing Log'!P119)="C",_xlfn.IFNA(VLOOKUP('Rock Climbing Log'!P119,'RC Lookup'!$A$3:$B$9,2,FALSE),0.5),VLOOKUP('Rock Climbing Log'!P119,'RC Lookup'!$G$3:$H$5,2,FALSE)),0)*VLOOKUP(P$7,'RC Lookup'!$D$3:$E$18,2,FALSE)</f>
        <v>0</v>
      </c>
      <c r="Q119" s="26">
        <f>_xlfn.IFNA(IF(LEFT('Rock Climbing Log'!Q119)="C",_xlfn.IFNA(VLOOKUP('Rock Climbing Log'!Q119,'RC Lookup'!$A$3:$B$9,2,FALSE),0.5),VLOOKUP('Rock Climbing Log'!Q119,'RC Lookup'!$G$3:$H$5,2,FALSE)),0)*VLOOKUP(P$7,'RC Lookup'!$D$3:$E$18,2,FALSE)</f>
        <v>0</v>
      </c>
      <c r="R119" s="26">
        <f>_xlfn.IFNA(IF(LEFT('Rock Climbing Log'!R119)="C",_xlfn.IFNA(VLOOKUP('Rock Climbing Log'!R119,'RC Lookup'!$A$3:$B$9,2,FALSE),0.5),VLOOKUP('Rock Climbing Log'!R119,'RC Lookup'!$G$3:$H$5,2,FALSE)),0)*VLOOKUP(P$7,'RC Lookup'!$D$3:$E$18,2,FALSE)</f>
        <v>0</v>
      </c>
      <c r="S119" s="26">
        <f>_xlfn.IFNA(IF(LEFT('Rock Climbing Log'!S119)="C",_xlfn.IFNA(VLOOKUP('Rock Climbing Log'!S119,'RC Lookup'!$A$3:$B$9,2,FALSE),0.5),VLOOKUP('Rock Climbing Log'!S119,'RC Lookup'!$G$3:$H$5,2,FALSE)),0)*VLOOKUP(S$7,'RC Lookup'!$D$3:$E$18,2,FALSE)</f>
        <v>0</v>
      </c>
      <c r="T119" s="26">
        <f>_xlfn.IFNA(IF(LEFT('Rock Climbing Log'!T119)="C",_xlfn.IFNA(VLOOKUP('Rock Climbing Log'!T119,'RC Lookup'!$A$3:$B$9,2,FALSE),0.5),VLOOKUP('Rock Climbing Log'!T119,'RC Lookup'!$G$3:$H$5,2,FALSE)),0)*VLOOKUP(S$7,'RC Lookup'!$D$3:$E$18,2,FALSE)</f>
        <v>0</v>
      </c>
      <c r="U119" s="26">
        <f>_xlfn.IFNA(IF(LEFT('Rock Climbing Log'!U119)="C",_xlfn.IFNA(VLOOKUP('Rock Climbing Log'!U119,'RC Lookup'!$A$3:$B$9,2,FALSE),0.5),VLOOKUP('Rock Climbing Log'!U119,'RC Lookup'!$G$3:$H$5,2,FALSE)),0)*VLOOKUP(S$7,'RC Lookup'!$D$3:$E$18,2,FALSE)</f>
        <v>0</v>
      </c>
      <c r="V119" s="26">
        <f>_xlfn.IFNA(IF(LEFT('Rock Climbing Log'!V119)="C",_xlfn.IFNA(VLOOKUP('Rock Climbing Log'!V119,'RC Lookup'!$A$3:$B$9,2,FALSE),0.5),VLOOKUP('Rock Climbing Log'!V119,'RC Lookup'!$G$3:$H$5,2,FALSE)),0)*VLOOKUP(V$7,'RC Lookup'!$D$3:$E$18,2,FALSE)</f>
        <v>0</v>
      </c>
      <c r="W119" s="26">
        <f>_xlfn.IFNA(IF(LEFT('Rock Climbing Log'!W119)="C",_xlfn.IFNA(VLOOKUP('Rock Climbing Log'!W119,'RC Lookup'!$A$3:$B$9,2,FALSE),0.5),VLOOKUP('Rock Climbing Log'!W119,'RC Lookup'!$G$3:$H$5,2,FALSE)),0)*VLOOKUP(V$7,'RC Lookup'!$D$3:$E$18,2,FALSE)</f>
        <v>0</v>
      </c>
      <c r="X119" s="26">
        <f>_xlfn.IFNA(IF(LEFT('Rock Climbing Log'!X119)="C",_xlfn.IFNA(VLOOKUP('Rock Climbing Log'!X119,'RC Lookup'!$A$3:$B$9,2,FALSE),0.5),VLOOKUP('Rock Climbing Log'!X119,'RC Lookup'!$G$3:$H$5,2,FALSE)),0)*VLOOKUP(V$7,'RC Lookup'!$D$3:$E$18,2,FALSE)</f>
        <v>0</v>
      </c>
      <c r="Y119" s="26">
        <f>_xlfn.IFNA(IF(LEFT('Rock Climbing Log'!Y119)="C",_xlfn.IFNA(VLOOKUP('Rock Climbing Log'!Y119,'RC Lookup'!$A$3:$B$9,2,FALSE),0.5),VLOOKUP('Rock Climbing Log'!Y119,'RC Lookup'!$G$3:$H$5,2,FALSE)),0)*VLOOKUP(Y$7,'RC Lookup'!$D$3:$E$18,2,FALSE)</f>
        <v>0</v>
      </c>
      <c r="Z119" s="26">
        <f>_xlfn.IFNA(IF(LEFT('Rock Climbing Log'!Z119)="C",_xlfn.IFNA(VLOOKUP('Rock Climbing Log'!Z119,'RC Lookup'!$A$3:$B$9,2,FALSE),0.5),VLOOKUP('Rock Climbing Log'!Z119,'RC Lookup'!$G$3:$H$5,2,FALSE)),0)*VLOOKUP(Y$7,'RC Lookup'!$D$3:$E$18,2,FALSE)</f>
        <v>0</v>
      </c>
      <c r="AA119" s="26">
        <f>_xlfn.IFNA(IF(LEFT('Rock Climbing Log'!AA119)="C",_xlfn.IFNA(VLOOKUP('Rock Climbing Log'!AA119,'RC Lookup'!$A$3:$B$9,2,FALSE),0.5),VLOOKUP('Rock Climbing Log'!AA119,'RC Lookup'!$G$3:$H$5,2,FALSE)),0)*VLOOKUP(Y$7,'RC Lookup'!$D$3:$E$18,2,FALSE)</f>
        <v>0</v>
      </c>
      <c r="AB119" s="26">
        <f>_xlfn.IFNA(IF(LEFT('Rock Climbing Log'!AB119)="C",_xlfn.IFNA(VLOOKUP('Rock Climbing Log'!AB119,'RC Lookup'!$A$3:$B$9,2,FALSE),0.5),VLOOKUP('Rock Climbing Log'!AB119,'RC Lookup'!$G$3:$H$5,2,FALSE)),0)*VLOOKUP(AB$7,'RC Lookup'!$D$3:$E$18,2,FALSE)</f>
        <v>0</v>
      </c>
      <c r="AC119" s="26">
        <f>_xlfn.IFNA(IF(LEFT('Rock Climbing Log'!AC119)="C",_xlfn.IFNA(VLOOKUP('Rock Climbing Log'!AC119,'RC Lookup'!$A$3:$B$9,2,FALSE),0.5),VLOOKUP('Rock Climbing Log'!AC119,'RC Lookup'!$G$3:$H$5,2,FALSE)),0)*VLOOKUP(AB$7,'RC Lookup'!$D$3:$E$18,2,FALSE)</f>
        <v>0</v>
      </c>
      <c r="AD119" s="26">
        <f>_xlfn.IFNA(IF(LEFT('Rock Climbing Log'!AD119)="C",_xlfn.IFNA(VLOOKUP('Rock Climbing Log'!AD119,'RC Lookup'!$A$3:$B$9,2,FALSE),0.5),VLOOKUP('Rock Climbing Log'!AD119,'RC Lookup'!$G$3:$H$5,2,FALSE)),0)*VLOOKUP(AB$7,'RC Lookup'!$D$3:$E$18,2,FALSE)</f>
        <v>0</v>
      </c>
      <c r="AE119" s="26">
        <f>_xlfn.IFNA(IF(LEFT('Rock Climbing Log'!AE119)="C",_xlfn.IFNA(VLOOKUP('Rock Climbing Log'!AE119,'RC Lookup'!$A$3:$B$9,2,FALSE),0.5),VLOOKUP('Rock Climbing Log'!AE119,'RC Lookup'!$G$3:$H$5,2,FALSE)),0)*VLOOKUP(AE$7,'RC Lookup'!$D$3:$E$18,2,FALSE)</f>
        <v>0</v>
      </c>
      <c r="AF119" s="26">
        <f>_xlfn.IFNA(IF(LEFT('Rock Climbing Log'!AF119)="C",_xlfn.IFNA(VLOOKUP('Rock Climbing Log'!AF119,'RC Lookup'!$A$3:$B$9,2,FALSE),0.5),VLOOKUP('Rock Climbing Log'!AF119,'RC Lookup'!$G$3:$H$5,2,FALSE)),0)*VLOOKUP(AE$7,'RC Lookup'!$D$3:$E$18,2,FALSE)</f>
        <v>0</v>
      </c>
      <c r="AG119" s="26">
        <f>_xlfn.IFNA(IF(LEFT('Rock Climbing Log'!AG119)="C",_xlfn.IFNA(VLOOKUP('Rock Climbing Log'!AG119,'RC Lookup'!$A$3:$B$9,2,FALSE),0.5),VLOOKUP('Rock Climbing Log'!AG119,'RC Lookup'!$G$3:$H$5,2,FALSE)),0)*VLOOKUP(AE$7,'RC Lookup'!$D$3:$E$18,2,FALSE)</f>
        <v>0</v>
      </c>
      <c r="AH119" s="26">
        <f>_xlfn.IFNA(IF(LEFT('Rock Climbing Log'!AH119)="C",_xlfn.IFNA(VLOOKUP('Rock Climbing Log'!AH119,'RC Lookup'!$A$3:$B$9,2,FALSE),0.5),VLOOKUP('Rock Climbing Log'!AH119,'RC Lookup'!$G$3:$H$5,2,FALSE)),0)*VLOOKUP(AH$7,'RC Lookup'!$D$3:$E$18,2,FALSE)</f>
        <v>0</v>
      </c>
      <c r="AI119" s="26">
        <f>_xlfn.IFNA(IF(LEFT('Rock Climbing Log'!AI119)="C",_xlfn.IFNA(VLOOKUP('Rock Climbing Log'!AI119,'RC Lookup'!$A$3:$B$9,2,FALSE),0.5),VLOOKUP('Rock Climbing Log'!AI119,'RC Lookup'!$G$3:$H$5,2,FALSE)),0)*VLOOKUP(AH$7,'RC Lookup'!$D$3:$E$18,2,FALSE)</f>
        <v>0</v>
      </c>
      <c r="AJ119" s="26">
        <f>_xlfn.IFNA(IF(LEFT('Rock Climbing Log'!AJ119)="C",_xlfn.IFNA(VLOOKUP('Rock Climbing Log'!AJ119,'RC Lookup'!$A$3:$B$9,2,FALSE),0.5),VLOOKUP('Rock Climbing Log'!AJ119,'RC Lookup'!$G$3:$H$5,2,FALSE)),0)*VLOOKUP(AH$7,'RC Lookup'!$D$3:$E$18,2,FALSE)</f>
        <v>0</v>
      </c>
      <c r="AK119" s="26">
        <f>_xlfn.IFNA(IF(LEFT('Rock Climbing Log'!AK119)="C",_xlfn.IFNA(VLOOKUP('Rock Climbing Log'!AK119,'RC Lookup'!$A$3:$B$9,2,FALSE),0.5),VLOOKUP('Rock Climbing Log'!AK119,'RC Lookup'!$G$3:$H$5,2,FALSE)),0)*VLOOKUP(AK$7,'RC Lookup'!$D$3:$E$18,2,FALSE)</f>
        <v>0</v>
      </c>
      <c r="AL119" s="26">
        <f>_xlfn.IFNA(IF(LEFT('Rock Climbing Log'!AL119)="C",_xlfn.IFNA(VLOOKUP('Rock Climbing Log'!AL119,'RC Lookup'!$A$3:$B$9,2,FALSE),0.5),VLOOKUP('Rock Climbing Log'!AL119,'RC Lookup'!$G$3:$H$5,2,FALSE)),0)*VLOOKUP(AK$7,'RC Lookup'!$D$3:$E$18,2,FALSE)</f>
        <v>0</v>
      </c>
      <c r="AM119" s="26">
        <f>_xlfn.IFNA(IF(LEFT('Rock Climbing Log'!AM119)="C",_xlfn.IFNA(VLOOKUP('Rock Climbing Log'!AM119,'RC Lookup'!$A$3:$B$9,2,FALSE),0.5),VLOOKUP('Rock Climbing Log'!AM119,'RC Lookup'!$G$3:$H$5,2,FALSE)),0)*VLOOKUP(AK$7,'RC Lookup'!$D$3:$E$18,2,FALSE)</f>
        <v>0</v>
      </c>
      <c r="AN119" s="26">
        <f>_xlfn.IFNA(IF(LEFT('Rock Climbing Log'!AN119)="C",_xlfn.IFNA(VLOOKUP('Rock Climbing Log'!AN119,'RC Lookup'!$A$3:$B$9,2,FALSE),0.5),VLOOKUP('Rock Climbing Log'!AN119,'RC Lookup'!$G$3:$H$5,2,FALSE)),0)*VLOOKUP(AN$7,'RC Lookup'!$D$3:$E$18,2,FALSE)</f>
        <v>0</v>
      </c>
      <c r="AO119" s="26">
        <f>_xlfn.IFNA(IF(LEFT('Rock Climbing Log'!AO119)="C",_xlfn.IFNA(VLOOKUP('Rock Climbing Log'!AO119,'RC Lookup'!$A$3:$B$9,2,FALSE),0.5),VLOOKUP('Rock Climbing Log'!AO119,'RC Lookup'!$G$3:$H$5,2,FALSE)),0)*VLOOKUP(AN$7,'RC Lookup'!$D$3:$E$18,2,FALSE)</f>
        <v>0</v>
      </c>
      <c r="AP119" s="26">
        <f>_xlfn.IFNA(IF(LEFT('Rock Climbing Log'!AP119)="C",_xlfn.IFNA(VLOOKUP('Rock Climbing Log'!AP119,'RC Lookup'!$A$3:$B$9,2,FALSE),0.5),VLOOKUP('Rock Climbing Log'!AP119,'RC Lookup'!$G$3:$H$5,2,FALSE)),0)*VLOOKUP(AN$7,'RC Lookup'!$D$3:$E$18,2,FALSE)</f>
        <v>0</v>
      </c>
      <c r="AQ119" s="26">
        <f>_xlfn.IFNA(IF(LEFT('Rock Climbing Log'!AQ119)="C",_xlfn.IFNA(VLOOKUP('Rock Climbing Log'!AQ119,'RC Lookup'!$A$3:$B$9,2,FALSE),0.5),VLOOKUP('Rock Climbing Log'!AQ119,'RC Lookup'!$G$3:$H$5,2,FALSE)),0)*VLOOKUP(AQ$7,'RC Lookup'!$D$3:$E$18,2,FALSE)</f>
        <v>0</v>
      </c>
      <c r="AR119" s="26">
        <f>_xlfn.IFNA(IF(LEFT('Rock Climbing Log'!AR119)="C",_xlfn.IFNA(VLOOKUP('Rock Climbing Log'!AR119,'RC Lookup'!$A$3:$B$9,2,FALSE),0.5),VLOOKUP('Rock Climbing Log'!AR119,'RC Lookup'!$G$3:$H$5,2,FALSE)),0)*VLOOKUP(AQ$7,'RC Lookup'!$D$3:$E$18,2,FALSE)</f>
        <v>0</v>
      </c>
      <c r="AS119" s="26">
        <f>_xlfn.IFNA(IF(LEFT('Rock Climbing Log'!AS119)="C",_xlfn.IFNA(VLOOKUP('Rock Climbing Log'!AS119,'RC Lookup'!$A$3:$B$9,2,FALSE),0.5),VLOOKUP('Rock Climbing Log'!AS119,'RC Lookup'!$G$3:$H$5,2,FALSE)),0)*VLOOKUP(AQ$7,'RC Lookup'!$D$3:$E$18,2,FALSE)</f>
        <v>0</v>
      </c>
      <c r="AT119" s="26">
        <f>_xlfn.IFNA(IF(LEFT('Rock Climbing Log'!AT119)="C",_xlfn.IFNA(VLOOKUP('Rock Climbing Log'!AT119,'RC Lookup'!$A$3:$B$9,2,FALSE),0.5),VLOOKUP('Rock Climbing Log'!AT119,'RC Lookup'!$G$3:$H$5,2,FALSE)),0)*VLOOKUP(AT$7,'RC Lookup'!$D$3:$E$18,2,FALSE)</f>
        <v>0</v>
      </c>
      <c r="AU119" s="26">
        <f>_xlfn.IFNA(IF(LEFT('Rock Climbing Log'!AU119)="C",_xlfn.IFNA(VLOOKUP('Rock Climbing Log'!AU119,'RC Lookup'!$A$3:$B$9,2,FALSE),0.5),VLOOKUP('Rock Climbing Log'!AU119,'RC Lookup'!$G$3:$H$5,2,FALSE)),0)*VLOOKUP(AT$7,'RC Lookup'!$D$3:$E$18,2,FALSE)</f>
        <v>0</v>
      </c>
      <c r="AV119" s="26">
        <f>_xlfn.IFNA(IF(LEFT('Rock Climbing Log'!AV119)="C",_xlfn.IFNA(VLOOKUP('Rock Climbing Log'!AV119,'RC Lookup'!$A$3:$B$9,2,FALSE),0.5),VLOOKUP('Rock Climbing Log'!AV119,'RC Lookup'!$G$3:$H$5,2,FALSE)),0)*VLOOKUP(AT$7,'RC Lookup'!$D$3:$E$18,2,FALSE)</f>
        <v>0</v>
      </c>
      <c r="AW119" s="30">
        <f t="shared" ca="1" si="4"/>
        <v>0</v>
      </c>
      <c r="AX119" s="30">
        <f ca="1">_xlfn.IFNA(VLOOKUP(SUMPRODUCT(LARGE(($C$8:$C119=Table1[[#This Row],[Climber]])*$A$8:$A119,1)),$A$8:$AW119,MATCH($AW$7,$A$7:$AW$7,FALSE),FALSE),0)/LEFT($AX$7,FIND(" ",$AX$7))+_xlfn.IFNA(VLOOKUP(SUMPRODUCT(LARGE(($C$8:$C119=Table1[[#This Row],[Climber]])*$A$8:$A119,MIN(2,COUNTIFS($C$8:$C119,$C119)))),$A$8:$AW119,MATCH($AW$7,$A$7:$AW$7,FALSE),FALSE),0)/LEFT($AX$7,FIND(" ",$AX$7))+_xlfn.IFNA(VLOOKUP(SUMPRODUCT(LARGE(($C$8:$C119=Table1[[#This Row],[Climber]])*$A$8:$A119,MIN(3,COUNTIFS($C$8:$C119,$C119)))),$A$8:$AW119,MATCH($AW$7,$A$7:$AW$7,FALSE),FALSE),0)/LEFT($AX$7,FIND(" ",$AX$7))</f>
        <v>0</v>
      </c>
      <c r="AY119" s="30">
        <f ca="1">_xlfn.IFNA(VLOOKUP(SUMPRODUCT(LARGE(($C$8:$C119=Table1[[#This Row],[Climber]])*$A$8:$A119,1)),$A$8:$AW119,MATCH($AW$7,$A$7:$AW$7,FALSE),FALSE),0)/LEFT($AY$7,FIND(" ",$AY$7))+_xlfn.IFNA(VLOOKUP(SUMPRODUCT(LARGE(($C$8:$C119=Table1[[#This Row],[Climber]])*$A$8:$A119,MIN(2,COUNTIFS($C$8:$C119,$C119)))),$A$8:$AW119,MATCH($AW$7,$A$7:$AW$7,FALSE),FALSE),0)/LEFT($AY$7,FIND(" ",$AY$7))+_xlfn.IFNA(VLOOKUP(SUMPRODUCT(LARGE(($C$8:$C119=Table1[[#This Row],[Climber]])*$A$8:$A119,MIN(3,COUNTIFS($C$8:$C119,$C119)))),$A$8:$AW119,MATCH($AW$7,$A$7:$AW$7,FALSE),FALSE),0)/LEFT($AY$7,FIND(" ",$AY$7))+_xlfn.IFNA(VLOOKUP(SUMPRODUCT(LARGE(($C$8:$C119=Table1[[#This Row],[Climber]])*$A$8:$A119,MIN(4,COUNTIFS($C$8:$C119,$C119)))),$A$8:$AW119,MATCH($AW$7,$A$7:$AW$7,FALSE),FALSE),0)/LEFT($AY$7,FIND(" ",$AY$7))+_xlfn.IFNA(VLOOKUP(SUMPRODUCT(LARGE(($C$8:$C119=Table1[[#This Row],[Climber]])*$A$8:$A119,MIN(5,COUNTIFS($C$8:$C119,$C119)))),$A$8:$AW119,MATCH($AW$7,$A$7:$AW$7,FALSE),FALSE),0)/LEFT($AY$7,FIND(" ",$AY$7))</f>
        <v>0</v>
      </c>
      <c r="AZ119" s="30">
        <f ca="1">(_xlfn.IFNA(VLOOKUP(SUMPRODUCT(LARGE(($C$8:$C119=Table1[[#This Row],[Climber]])*$A$8:$A119,4)),$A$8:$AW119,MATCH($AW$7,$A$7:$AW$7,FALSE),FALSE),0)+_xlfn.IFNA(VLOOKUP(SUMPRODUCT(LARGE(($C$8:$C119=Table1[[#This Row],[Climber]])*$A$8:$A119,5)),$A$8:$AW119,MATCH($AW$7,$A$7:$AW$7,FALSE),FALSE),0)+_xlfn.IFNA(VLOOKUP(SUMPRODUCT(LARGE(($C$8:$C119=Table1[[#This Row],[Climber]])*$A$8:$A119,6)),$A$8:$AW119,MATCH($AW$7,$A$7:$AW$7,FALSE),FALSE),0))/3</f>
        <v>0</v>
      </c>
      <c r="BA119" s="46">
        <f ca="1">_xlfn.MAXIFS(INDIRECT("$AW"&amp;IF(SUMPRODUCT(LARGE(($C$8:$C119=$C119)*$A$8:$A119,LEFT($BA$7,FIND(" ",$BA$7)-1)))=0,8,SUMPRODUCT(LARGE(($C$8:$C119=$C119)*$A$8:$A119,LEFT($BA$7,FIND(" ",$BA$7)-1)))+7)&amp;":$AW"&amp;ROW()),INDIRECT("$C"&amp;IF(SUMPRODUCT(LARGE(($C$8:$C119=$C119)*$A$8:$A119,LEFT($BA$7,FIND(" ",$BA$7)-1)))=0,8,SUMPRODUCT(LARGE(($C$8:$C119=$C119)*$A$8:$A119,LEFT($BA$7,FIND(" ",$BA$7)-1)))+7)&amp;":$C"&amp;ROW()),$C119)</f>
        <v>0</v>
      </c>
      <c r="BB119" s="46" t="str">
        <f ca="1">VLOOKUP(MAX(BG119,$AX119),'RC Lookup'!$G$14:$J$20,2,TRUE)</f>
        <v>T1</v>
      </c>
      <c r="BC119" s="46">
        <f ca="1">_xlfn.IFNA(VLOOKUP(VLOOKUP($C119,'RC Lookup'!$O$3:$P$50,2,FALSE),'RC Lookup'!$H$14:$J$23,2,FALSE),0)*AW119</f>
        <v>0</v>
      </c>
      <c r="BD119" s="6">
        <f ca="1">_xlfn.IFNA(VLOOKUP(SUMPRODUCT(LARGE(($C$8:$C119=Table1[[#This Row],[Climber]])*$A$8:$A119,1)),$A$8:$BC119,55,FALSE),0)/LEFT($AX$7,FIND(" ",$AX$7))+_xlfn.IFNA(VLOOKUP(SUMPRODUCT(LARGE(($C$8:$C119=Table1[[#This Row],[Climber]])*$A$8:$A119,MIN(2,COUNTIFS($C$8:$C119,$C119)))),$A$8:$BC119,55,FALSE),0)/LEFT($AX$7,FIND(" ",$AX$7))+_xlfn.IFNA(VLOOKUP(SUMPRODUCT(LARGE(($C$8:$C119=Table1[[#This Row],[Climber]])*$A$8:$A119,MIN(3,COUNTIFS($C$8:$C119,$C119)))),$A$8:$BC119,55,FALSE),0)/LEFT($AX$7,FIND(" ",$AX$7))</f>
        <v>0</v>
      </c>
      <c r="BE119" s="6">
        <f ca="1">(_xlfn.IFNA(VLOOKUP(SUMPRODUCT(LARGE(($C$8:$C119=Table1[[#This Row],[Climber]])*$A$8:$A119,4)),$A$8:$BD119,55,FALSE),0)+_xlfn.IFNA(VLOOKUP(SUMPRODUCT(LARGE(($C$8:$C119=Table1[[#This Row],[Climber]])*$A$8:$A119,5)),$A$8:$BD119,55,FALSE),0)+_xlfn.IFNA(VLOOKUP(SUMPRODUCT(LARGE(($C$8:$C119=Table1[[#This Row],[Climber]])*$A$8:$A119,6)),$A$8:$BD119,55,FALSE),0))/3</f>
        <v>0</v>
      </c>
      <c r="BF119" s="46">
        <f ca="1">_xlfn.MAXIFS(INDIRECT("$BC"&amp;IF(SUMPRODUCT(LARGE(($C$8:$C119=$C119)*$A$8:$A119,LEFT($BA$7,FIND(" ",$BA$7)-1)))=0,8,SUMPRODUCT(LARGE(($C$8:$C119=$C119)*$A$8:$A119,LEFT($BA$7,FIND(" ",$BA$7)-1)))+7)&amp;":$BC"&amp;ROW()),INDIRECT("$C"&amp;IF(SUMPRODUCT(LARGE(($C$8:$C119=$C119)*$A$8:$A119,LEFT($BA$7,FIND(" ",$BA$7)-1)))=0,8,SUMPRODUCT(LARGE(($C$8:$C119=$C119)*$A$8:$A119,LEFT($BA$7,FIND(" ",$BA$7)-1)))+7)&amp;":$C"&amp;ROW()),$C119)</f>
        <v>0</v>
      </c>
      <c r="BG119" s="46">
        <f t="array" aca="1" ref="BG119" ca="1">IFERROR(SUMPRODUCT(LARGE(($C$8:$C119=Table1[[#This Row],[Climber]])*$AW$8:$AW119,ROW(INDIRECT("1:5")))),AW119)/MIN(COUNTIFS($C$8:$C119,C119),5)</f>
        <v>0</v>
      </c>
    </row>
    <row r="120" spans="1:59" x14ac:dyDescent="0.3">
      <c r="A120" s="125">
        <f t="shared" si="1"/>
        <v>113</v>
      </c>
      <c r="B120" s="25">
        <f>'Rock Climbing Log'!B120</f>
        <v>0</v>
      </c>
      <c r="C120" s="126">
        <f>'Rock Climbing Log'!C120</f>
        <v>0</v>
      </c>
      <c r="D120" s="26">
        <f>_xlfn.IFNA(IF(LEFT('Rock Climbing Log'!D120)="C",_xlfn.IFNA(VLOOKUP('Rock Climbing Log'!D120,'RC Lookup'!$A$3:$B$9,2,FALSE),0.5),VLOOKUP('Rock Climbing Log'!D120,'RC Lookup'!$G$3:$H$5,2,FALSE)),0)*VLOOKUP(D$7,'RC Lookup'!$D$3:$E$18,2,FALSE)</f>
        <v>0</v>
      </c>
      <c r="E120" s="26">
        <f>_xlfn.IFNA(IF(LEFT('Rock Climbing Log'!E120)="C",_xlfn.IFNA(VLOOKUP('Rock Climbing Log'!E120,'RC Lookup'!$A$3:$B$9,2,FALSE),0.5),VLOOKUP('Rock Climbing Log'!E120,'RC Lookup'!$G$3:$H$5,2,FALSE)),0)*VLOOKUP(D$7,'RC Lookup'!$D$3:$E$18,2,FALSE)</f>
        <v>0</v>
      </c>
      <c r="F120" s="26">
        <f>_xlfn.IFNA(IF(LEFT('Rock Climbing Log'!F120)="C",_xlfn.IFNA(VLOOKUP('Rock Climbing Log'!F120,'RC Lookup'!$A$3:$B$9,2,FALSE),0.5),VLOOKUP('Rock Climbing Log'!F120,'RC Lookup'!$G$3:$H$5,2,FALSE)),0)*VLOOKUP(D$7,'RC Lookup'!$D$3:$E$18,2,FALSE)</f>
        <v>0</v>
      </c>
      <c r="G120" s="26">
        <f>_xlfn.IFNA(IF(LEFT('Rock Climbing Log'!G120)="C",_xlfn.IFNA(VLOOKUP('Rock Climbing Log'!G120,'RC Lookup'!$A$3:$B$9,2,FALSE),0.5),VLOOKUP('Rock Climbing Log'!G120,'RC Lookup'!$G$3:$H$5,2,FALSE)),0)*VLOOKUP(G$7,'RC Lookup'!$D$3:$E$18,2,FALSE)</f>
        <v>0</v>
      </c>
      <c r="H120" s="26">
        <f>_xlfn.IFNA(IF(LEFT('Rock Climbing Log'!H120)="C",_xlfn.IFNA(VLOOKUP('Rock Climbing Log'!H120,'RC Lookup'!$A$3:$B$9,2,FALSE),0.5),VLOOKUP('Rock Climbing Log'!H120,'RC Lookup'!$G$3:$H$5,2,FALSE)),0)*VLOOKUP(G$7,'RC Lookup'!$D$3:$E$18,2,FALSE)</f>
        <v>0</v>
      </c>
      <c r="I120" s="26">
        <f>_xlfn.IFNA(IF(LEFT('Rock Climbing Log'!I120)="C",_xlfn.IFNA(VLOOKUP('Rock Climbing Log'!I120,'RC Lookup'!$A$3:$B$9,2,FALSE),0.5),VLOOKUP('Rock Climbing Log'!I120,'RC Lookup'!$G$3:$H$5,2,FALSE)),0)*VLOOKUP(G$7,'RC Lookup'!$D$3:$E$18,2,FALSE)</f>
        <v>0</v>
      </c>
      <c r="J120" s="26">
        <f>_xlfn.IFNA(IF(LEFT('Rock Climbing Log'!J120)="C",_xlfn.IFNA(VLOOKUP('Rock Climbing Log'!J120,'RC Lookup'!$A$3:$B$9,2,FALSE),0.5),VLOOKUP('Rock Climbing Log'!J120,'RC Lookup'!$G$3:$H$5,2,FALSE)),0)*VLOOKUP(J$7,'RC Lookup'!$D$3:$E$18,2,FALSE)</f>
        <v>0</v>
      </c>
      <c r="K120" s="26">
        <f>_xlfn.IFNA(IF(LEFT('Rock Climbing Log'!K120)="C",_xlfn.IFNA(VLOOKUP('Rock Climbing Log'!K120,'RC Lookup'!$A$3:$B$9,2,FALSE),0.5),VLOOKUP('Rock Climbing Log'!K120,'RC Lookup'!$G$3:$H$5,2,FALSE)),0)*VLOOKUP(J$7,'RC Lookup'!$D$3:$E$18,2,FALSE)</f>
        <v>0</v>
      </c>
      <c r="L120" s="26">
        <f>_xlfn.IFNA(IF(LEFT('Rock Climbing Log'!L120)="C",_xlfn.IFNA(VLOOKUP('Rock Climbing Log'!L120,'RC Lookup'!$A$3:$B$9,2,FALSE),0.5),VLOOKUP('Rock Climbing Log'!L120,'RC Lookup'!$G$3:$H$5,2,FALSE)),0)*VLOOKUP(J$7,'RC Lookup'!$D$3:$E$18,2,FALSE)</f>
        <v>0</v>
      </c>
      <c r="M120" s="26">
        <f>_xlfn.IFNA(IF(LEFT('Rock Climbing Log'!M120)="C",_xlfn.IFNA(VLOOKUP('Rock Climbing Log'!M120,'RC Lookup'!$A$3:$B$9,2,FALSE),0.5),VLOOKUP('Rock Climbing Log'!M120,'RC Lookup'!$G$3:$H$5,2,FALSE)),0)*VLOOKUP(M$7,'RC Lookup'!$D$3:$E$18,2,FALSE)</f>
        <v>0</v>
      </c>
      <c r="N120" s="26">
        <f>_xlfn.IFNA(IF(LEFT('Rock Climbing Log'!N120)="C",_xlfn.IFNA(VLOOKUP('Rock Climbing Log'!N120,'RC Lookup'!$A$3:$B$9,2,FALSE),0.5),VLOOKUP('Rock Climbing Log'!N120,'RC Lookup'!$G$3:$H$5,2,FALSE)),0)*VLOOKUP(M$7,'RC Lookup'!$D$3:$E$18,2,FALSE)</f>
        <v>0</v>
      </c>
      <c r="O120" s="26">
        <f>_xlfn.IFNA(IF(LEFT('Rock Climbing Log'!O120)="C",_xlfn.IFNA(VLOOKUP('Rock Climbing Log'!O120,'RC Lookup'!$A$3:$B$9,2,FALSE),0.5),VLOOKUP('Rock Climbing Log'!O120,'RC Lookup'!$G$3:$H$5,2,FALSE)),0)*VLOOKUP(M$7,'RC Lookup'!$D$3:$E$18,2,FALSE)</f>
        <v>0</v>
      </c>
      <c r="P120" s="26">
        <f>_xlfn.IFNA(IF(LEFT('Rock Climbing Log'!P120)="C",_xlfn.IFNA(VLOOKUP('Rock Climbing Log'!P120,'RC Lookup'!$A$3:$B$9,2,FALSE),0.5),VLOOKUP('Rock Climbing Log'!P120,'RC Lookup'!$G$3:$H$5,2,FALSE)),0)*VLOOKUP(P$7,'RC Lookup'!$D$3:$E$18,2,FALSE)</f>
        <v>0</v>
      </c>
      <c r="Q120" s="26">
        <f>_xlfn.IFNA(IF(LEFT('Rock Climbing Log'!Q120)="C",_xlfn.IFNA(VLOOKUP('Rock Climbing Log'!Q120,'RC Lookup'!$A$3:$B$9,2,FALSE),0.5),VLOOKUP('Rock Climbing Log'!Q120,'RC Lookup'!$G$3:$H$5,2,FALSE)),0)*VLOOKUP(P$7,'RC Lookup'!$D$3:$E$18,2,FALSE)</f>
        <v>0</v>
      </c>
      <c r="R120" s="26">
        <f>_xlfn.IFNA(IF(LEFT('Rock Climbing Log'!R120)="C",_xlfn.IFNA(VLOOKUP('Rock Climbing Log'!R120,'RC Lookup'!$A$3:$B$9,2,FALSE),0.5),VLOOKUP('Rock Climbing Log'!R120,'RC Lookup'!$G$3:$H$5,2,FALSE)),0)*VLOOKUP(P$7,'RC Lookup'!$D$3:$E$18,2,FALSE)</f>
        <v>0</v>
      </c>
      <c r="S120" s="26">
        <f>_xlfn.IFNA(IF(LEFT('Rock Climbing Log'!S120)="C",_xlfn.IFNA(VLOOKUP('Rock Climbing Log'!S120,'RC Lookup'!$A$3:$B$9,2,FALSE),0.5),VLOOKUP('Rock Climbing Log'!S120,'RC Lookup'!$G$3:$H$5,2,FALSE)),0)*VLOOKUP(S$7,'RC Lookup'!$D$3:$E$18,2,FALSE)</f>
        <v>0</v>
      </c>
      <c r="T120" s="26">
        <f>_xlfn.IFNA(IF(LEFT('Rock Climbing Log'!T120)="C",_xlfn.IFNA(VLOOKUP('Rock Climbing Log'!T120,'RC Lookup'!$A$3:$B$9,2,FALSE),0.5),VLOOKUP('Rock Climbing Log'!T120,'RC Lookup'!$G$3:$H$5,2,FALSE)),0)*VLOOKUP(S$7,'RC Lookup'!$D$3:$E$18,2,FALSE)</f>
        <v>0</v>
      </c>
      <c r="U120" s="26">
        <f>_xlfn.IFNA(IF(LEFT('Rock Climbing Log'!U120)="C",_xlfn.IFNA(VLOOKUP('Rock Climbing Log'!U120,'RC Lookup'!$A$3:$B$9,2,FALSE),0.5),VLOOKUP('Rock Climbing Log'!U120,'RC Lookup'!$G$3:$H$5,2,FALSE)),0)*VLOOKUP(S$7,'RC Lookup'!$D$3:$E$18,2,FALSE)</f>
        <v>0</v>
      </c>
      <c r="V120" s="26">
        <f>_xlfn.IFNA(IF(LEFT('Rock Climbing Log'!V120)="C",_xlfn.IFNA(VLOOKUP('Rock Climbing Log'!V120,'RC Lookup'!$A$3:$B$9,2,FALSE),0.5),VLOOKUP('Rock Climbing Log'!V120,'RC Lookup'!$G$3:$H$5,2,FALSE)),0)*VLOOKUP(V$7,'RC Lookup'!$D$3:$E$18,2,FALSE)</f>
        <v>0</v>
      </c>
      <c r="W120" s="26">
        <f>_xlfn.IFNA(IF(LEFT('Rock Climbing Log'!W120)="C",_xlfn.IFNA(VLOOKUP('Rock Climbing Log'!W120,'RC Lookup'!$A$3:$B$9,2,FALSE),0.5),VLOOKUP('Rock Climbing Log'!W120,'RC Lookup'!$G$3:$H$5,2,FALSE)),0)*VLOOKUP(V$7,'RC Lookup'!$D$3:$E$18,2,FALSE)</f>
        <v>0</v>
      </c>
      <c r="X120" s="26">
        <f>_xlfn.IFNA(IF(LEFT('Rock Climbing Log'!X120)="C",_xlfn.IFNA(VLOOKUP('Rock Climbing Log'!X120,'RC Lookup'!$A$3:$B$9,2,FALSE),0.5),VLOOKUP('Rock Climbing Log'!X120,'RC Lookup'!$G$3:$H$5,2,FALSE)),0)*VLOOKUP(V$7,'RC Lookup'!$D$3:$E$18,2,FALSE)</f>
        <v>0</v>
      </c>
      <c r="Y120" s="26">
        <f>_xlfn.IFNA(IF(LEFT('Rock Climbing Log'!Y120)="C",_xlfn.IFNA(VLOOKUP('Rock Climbing Log'!Y120,'RC Lookup'!$A$3:$B$9,2,FALSE),0.5),VLOOKUP('Rock Climbing Log'!Y120,'RC Lookup'!$G$3:$H$5,2,FALSE)),0)*VLOOKUP(Y$7,'RC Lookup'!$D$3:$E$18,2,FALSE)</f>
        <v>0</v>
      </c>
      <c r="Z120" s="26">
        <f>_xlfn.IFNA(IF(LEFT('Rock Climbing Log'!Z120)="C",_xlfn.IFNA(VLOOKUP('Rock Climbing Log'!Z120,'RC Lookup'!$A$3:$B$9,2,FALSE),0.5),VLOOKUP('Rock Climbing Log'!Z120,'RC Lookup'!$G$3:$H$5,2,FALSE)),0)*VLOOKUP(Y$7,'RC Lookup'!$D$3:$E$18,2,FALSE)</f>
        <v>0</v>
      </c>
      <c r="AA120" s="26">
        <f>_xlfn.IFNA(IF(LEFT('Rock Climbing Log'!AA120)="C",_xlfn.IFNA(VLOOKUP('Rock Climbing Log'!AA120,'RC Lookup'!$A$3:$B$9,2,FALSE),0.5),VLOOKUP('Rock Climbing Log'!AA120,'RC Lookup'!$G$3:$H$5,2,FALSE)),0)*VLOOKUP(Y$7,'RC Lookup'!$D$3:$E$18,2,FALSE)</f>
        <v>0</v>
      </c>
      <c r="AB120" s="26">
        <f>_xlfn.IFNA(IF(LEFT('Rock Climbing Log'!AB120)="C",_xlfn.IFNA(VLOOKUP('Rock Climbing Log'!AB120,'RC Lookup'!$A$3:$B$9,2,FALSE),0.5),VLOOKUP('Rock Climbing Log'!AB120,'RC Lookup'!$G$3:$H$5,2,FALSE)),0)*VLOOKUP(AB$7,'RC Lookup'!$D$3:$E$18,2,FALSE)</f>
        <v>0</v>
      </c>
      <c r="AC120" s="26">
        <f>_xlfn.IFNA(IF(LEFT('Rock Climbing Log'!AC120)="C",_xlfn.IFNA(VLOOKUP('Rock Climbing Log'!AC120,'RC Lookup'!$A$3:$B$9,2,FALSE),0.5),VLOOKUP('Rock Climbing Log'!AC120,'RC Lookup'!$G$3:$H$5,2,FALSE)),0)*VLOOKUP(AB$7,'RC Lookup'!$D$3:$E$18,2,FALSE)</f>
        <v>0</v>
      </c>
      <c r="AD120" s="26">
        <f>_xlfn.IFNA(IF(LEFT('Rock Climbing Log'!AD120)="C",_xlfn.IFNA(VLOOKUP('Rock Climbing Log'!AD120,'RC Lookup'!$A$3:$B$9,2,FALSE),0.5),VLOOKUP('Rock Climbing Log'!AD120,'RC Lookup'!$G$3:$H$5,2,FALSE)),0)*VLOOKUP(AB$7,'RC Lookup'!$D$3:$E$18,2,FALSE)</f>
        <v>0</v>
      </c>
      <c r="AE120" s="26">
        <f>_xlfn.IFNA(IF(LEFT('Rock Climbing Log'!AE120)="C",_xlfn.IFNA(VLOOKUP('Rock Climbing Log'!AE120,'RC Lookup'!$A$3:$B$9,2,FALSE),0.5),VLOOKUP('Rock Climbing Log'!AE120,'RC Lookup'!$G$3:$H$5,2,FALSE)),0)*VLOOKUP(AE$7,'RC Lookup'!$D$3:$E$18,2,FALSE)</f>
        <v>0</v>
      </c>
      <c r="AF120" s="26">
        <f>_xlfn.IFNA(IF(LEFT('Rock Climbing Log'!AF120)="C",_xlfn.IFNA(VLOOKUP('Rock Climbing Log'!AF120,'RC Lookup'!$A$3:$B$9,2,FALSE),0.5),VLOOKUP('Rock Climbing Log'!AF120,'RC Lookup'!$G$3:$H$5,2,FALSE)),0)*VLOOKUP(AE$7,'RC Lookup'!$D$3:$E$18,2,FALSE)</f>
        <v>0</v>
      </c>
      <c r="AG120" s="26">
        <f>_xlfn.IFNA(IF(LEFT('Rock Climbing Log'!AG120)="C",_xlfn.IFNA(VLOOKUP('Rock Climbing Log'!AG120,'RC Lookup'!$A$3:$B$9,2,FALSE),0.5),VLOOKUP('Rock Climbing Log'!AG120,'RC Lookup'!$G$3:$H$5,2,FALSE)),0)*VLOOKUP(AE$7,'RC Lookup'!$D$3:$E$18,2,FALSE)</f>
        <v>0</v>
      </c>
      <c r="AH120" s="26">
        <f>_xlfn.IFNA(IF(LEFT('Rock Climbing Log'!AH120)="C",_xlfn.IFNA(VLOOKUP('Rock Climbing Log'!AH120,'RC Lookup'!$A$3:$B$9,2,FALSE),0.5),VLOOKUP('Rock Climbing Log'!AH120,'RC Lookup'!$G$3:$H$5,2,FALSE)),0)*VLOOKUP(AH$7,'RC Lookup'!$D$3:$E$18,2,FALSE)</f>
        <v>0</v>
      </c>
      <c r="AI120" s="26">
        <f>_xlfn.IFNA(IF(LEFT('Rock Climbing Log'!AI120)="C",_xlfn.IFNA(VLOOKUP('Rock Climbing Log'!AI120,'RC Lookup'!$A$3:$B$9,2,FALSE),0.5),VLOOKUP('Rock Climbing Log'!AI120,'RC Lookup'!$G$3:$H$5,2,FALSE)),0)*VLOOKUP(AH$7,'RC Lookup'!$D$3:$E$18,2,FALSE)</f>
        <v>0</v>
      </c>
      <c r="AJ120" s="26">
        <f>_xlfn.IFNA(IF(LEFT('Rock Climbing Log'!AJ120)="C",_xlfn.IFNA(VLOOKUP('Rock Climbing Log'!AJ120,'RC Lookup'!$A$3:$B$9,2,FALSE),0.5),VLOOKUP('Rock Climbing Log'!AJ120,'RC Lookup'!$G$3:$H$5,2,FALSE)),0)*VLOOKUP(AH$7,'RC Lookup'!$D$3:$E$18,2,FALSE)</f>
        <v>0</v>
      </c>
      <c r="AK120" s="26">
        <f>_xlfn.IFNA(IF(LEFT('Rock Climbing Log'!AK120)="C",_xlfn.IFNA(VLOOKUP('Rock Climbing Log'!AK120,'RC Lookup'!$A$3:$B$9,2,FALSE),0.5),VLOOKUP('Rock Climbing Log'!AK120,'RC Lookup'!$G$3:$H$5,2,FALSE)),0)*VLOOKUP(AK$7,'RC Lookup'!$D$3:$E$18,2,FALSE)</f>
        <v>0</v>
      </c>
      <c r="AL120" s="26">
        <f>_xlfn.IFNA(IF(LEFT('Rock Climbing Log'!AL120)="C",_xlfn.IFNA(VLOOKUP('Rock Climbing Log'!AL120,'RC Lookup'!$A$3:$B$9,2,FALSE),0.5),VLOOKUP('Rock Climbing Log'!AL120,'RC Lookup'!$G$3:$H$5,2,FALSE)),0)*VLOOKUP(AK$7,'RC Lookup'!$D$3:$E$18,2,FALSE)</f>
        <v>0</v>
      </c>
      <c r="AM120" s="26">
        <f>_xlfn.IFNA(IF(LEFT('Rock Climbing Log'!AM120)="C",_xlfn.IFNA(VLOOKUP('Rock Climbing Log'!AM120,'RC Lookup'!$A$3:$B$9,2,FALSE),0.5),VLOOKUP('Rock Climbing Log'!AM120,'RC Lookup'!$G$3:$H$5,2,FALSE)),0)*VLOOKUP(AK$7,'RC Lookup'!$D$3:$E$18,2,FALSE)</f>
        <v>0</v>
      </c>
      <c r="AN120" s="26">
        <f>_xlfn.IFNA(IF(LEFT('Rock Climbing Log'!AN120)="C",_xlfn.IFNA(VLOOKUP('Rock Climbing Log'!AN120,'RC Lookup'!$A$3:$B$9,2,FALSE),0.5),VLOOKUP('Rock Climbing Log'!AN120,'RC Lookup'!$G$3:$H$5,2,FALSE)),0)*VLOOKUP(AN$7,'RC Lookup'!$D$3:$E$18,2,FALSE)</f>
        <v>0</v>
      </c>
      <c r="AO120" s="26">
        <f>_xlfn.IFNA(IF(LEFT('Rock Climbing Log'!AO120)="C",_xlfn.IFNA(VLOOKUP('Rock Climbing Log'!AO120,'RC Lookup'!$A$3:$B$9,2,FALSE),0.5),VLOOKUP('Rock Climbing Log'!AO120,'RC Lookup'!$G$3:$H$5,2,FALSE)),0)*VLOOKUP(AN$7,'RC Lookup'!$D$3:$E$18,2,FALSE)</f>
        <v>0</v>
      </c>
      <c r="AP120" s="26">
        <f>_xlfn.IFNA(IF(LEFT('Rock Climbing Log'!AP120)="C",_xlfn.IFNA(VLOOKUP('Rock Climbing Log'!AP120,'RC Lookup'!$A$3:$B$9,2,FALSE),0.5),VLOOKUP('Rock Climbing Log'!AP120,'RC Lookup'!$G$3:$H$5,2,FALSE)),0)*VLOOKUP(AN$7,'RC Lookup'!$D$3:$E$18,2,FALSE)</f>
        <v>0</v>
      </c>
      <c r="AQ120" s="26">
        <f>_xlfn.IFNA(IF(LEFT('Rock Climbing Log'!AQ120)="C",_xlfn.IFNA(VLOOKUP('Rock Climbing Log'!AQ120,'RC Lookup'!$A$3:$B$9,2,FALSE),0.5),VLOOKUP('Rock Climbing Log'!AQ120,'RC Lookup'!$G$3:$H$5,2,FALSE)),0)*VLOOKUP(AQ$7,'RC Lookup'!$D$3:$E$18,2,FALSE)</f>
        <v>0</v>
      </c>
      <c r="AR120" s="26">
        <f>_xlfn.IFNA(IF(LEFT('Rock Climbing Log'!AR120)="C",_xlfn.IFNA(VLOOKUP('Rock Climbing Log'!AR120,'RC Lookup'!$A$3:$B$9,2,FALSE),0.5),VLOOKUP('Rock Climbing Log'!AR120,'RC Lookup'!$G$3:$H$5,2,FALSE)),0)*VLOOKUP(AQ$7,'RC Lookup'!$D$3:$E$18,2,FALSE)</f>
        <v>0</v>
      </c>
      <c r="AS120" s="26">
        <f>_xlfn.IFNA(IF(LEFT('Rock Climbing Log'!AS120)="C",_xlfn.IFNA(VLOOKUP('Rock Climbing Log'!AS120,'RC Lookup'!$A$3:$B$9,2,FALSE),0.5),VLOOKUP('Rock Climbing Log'!AS120,'RC Lookup'!$G$3:$H$5,2,FALSE)),0)*VLOOKUP(AQ$7,'RC Lookup'!$D$3:$E$18,2,FALSE)</f>
        <v>0</v>
      </c>
      <c r="AT120" s="26">
        <f>_xlfn.IFNA(IF(LEFT('Rock Climbing Log'!AT120)="C",_xlfn.IFNA(VLOOKUP('Rock Climbing Log'!AT120,'RC Lookup'!$A$3:$B$9,2,FALSE),0.5),VLOOKUP('Rock Climbing Log'!AT120,'RC Lookup'!$G$3:$H$5,2,FALSE)),0)*VLOOKUP(AT$7,'RC Lookup'!$D$3:$E$18,2,FALSE)</f>
        <v>0</v>
      </c>
      <c r="AU120" s="26">
        <f>_xlfn.IFNA(IF(LEFT('Rock Climbing Log'!AU120)="C",_xlfn.IFNA(VLOOKUP('Rock Climbing Log'!AU120,'RC Lookup'!$A$3:$B$9,2,FALSE),0.5),VLOOKUP('Rock Climbing Log'!AU120,'RC Lookup'!$G$3:$H$5,2,FALSE)),0)*VLOOKUP(AT$7,'RC Lookup'!$D$3:$E$18,2,FALSE)</f>
        <v>0</v>
      </c>
      <c r="AV120" s="26">
        <f>_xlfn.IFNA(IF(LEFT('Rock Climbing Log'!AV120)="C",_xlfn.IFNA(VLOOKUP('Rock Climbing Log'!AV120,'RC Lookup'!$A$3:$B$9,2,FALSE),0.5),VLOOKUP('Rock Climbing Log'!AV120,'RC Lookup'!$G$3:$H$5,2,FALSE)),0)*VLOOKUP(AT$7,'RC Lookup'!$D$3:$E$18,2,FALSE)</f>
        <v>0</v>
      </c>
      <c r="AW120" s="30">
        <f t="shared" ca="1" si="4"/>
        <v>0</v>
      </c>
      <c r="AX120" s="30">
        <f ca="1">_xlfn.IFNA(VLOOKUP(SUMPRODUCT(LARGE(($C$8:$C120=Table1[[#This Row],[Climber]])*$A$8:$A120,1)),$A$8:$AW120,MATCH($AW$7,$A$7:$AW$7,FALSE),FALSE),0)/LEFT($AX$7,FIND(" ",$AX$7))+_xlfn.IFNA(VLOOKUP(SUMPRODUCT(LARGE(($C$8:$C120=Table1[[#This Row],[Climber]])*$A$8:$A120,MIN(2,COUNTIFS($C$8:$C120,$C120)))),$A$8:$AW120,MATCH($AW$7,$A$7:$AW$7,FALSE),FALSE),0)/LEFT($AX$7,FIND(" ",$AX$7))+_xlfn.IFNA(VLOOKUP(SUMPRODUCT(LARGE(($C$8:$C120=Table1[[#This Row],[Climber]])*$A$8:$A120,MIN(3,COUNTIFS($C$8:$C120,$C120)))),$A$8:$AW120,MATCH($AW$7,$A$7:$AW$7,FALSE),FALSE),0)/LEFT($AX$7,FIND(" ",$AX$7))</f>
        <v>0</v>
      </c>
      <c r="AY120" s="30">
        <f ca="1">_xlfn.IFNA(VLOOKUP(SUMPRODUCT(LARGE(($C$8:$C120=Table1[[#This Row],[Climber]])*$A$8:$A120,1)),$A$8:$AW120,MATCH($AW$7,$A$7:$AW$7,FALSE),FALSE),0)/LEFT($AY$7,FIND(" ",$AY$7))+_xlfn.IFNA(VLOOKUP(SUMPRODUCT(LARGE(($C$8:$C120=Table1[[#This Row],[Climber]])*$A$8:$A120,MIN(2,COUNTIFS($C$8:$C120,$C120)))),$A$8:$AW120,MATCH($AW$7,$A$7:$AW$7,FALSE),FALSE),0)/LEFT($AY$7,FIND(" ",$AY$7))+_xlfn.IFNA(VLOOKUP(SUMPRODUCT(LARGE(($C$8:$C120=Table1[[#This Row],[Climber]])*$A$8:$A120,MIN(3,COUNTIFS($C$8:$C120,$C120)))),$A$8:$AW120,MATCH($AW$7,$A$7:$AW$7,FALSE),FALSE),0)/LEFT($AY$7,FIND(" ",$AY$7))+_xlfn.IFNA(VLOOKUP(SUMPRODUCT(LARGE(($C$8:$C120=Table1[[#This Row],[Climber]])*$A$8:$A120,MIN(4,COUNTIFS($C$8:$C120,$C120)))),$A$8:$AW120,MATCH($AW$7,$A$7:$AW$7,FALSE),FALSE),0)/LEFT($AY$7,FIND(" ",$AY$7))+_xlfn.IFNA(VLOOKUP(SUMPRODUCT(LARGE(($C$8:$C120=Table1[[#This Row],[Climber]])*$A$8:$A120,MIN(5,COUNTIFS($C$8:$C120,$C120)))),$A$8:$AW120,MATCH($AW$7,$A$7:$AW$7,FALSE),FALSE),0)/LEFT($AY$7,FIND(" ",$AY$7))</f>
        <v>0</v>
      </c>
      <c r="AZ120" s="30">
        <f ca="1">(_xlfn.IFNA(VLOOKUP(SUMPRODUCT(LARGE(($C$8:$C120=Table1[[#This Row],[Climber]])*$A$8:$A120,4)),$A$8:$AW120,MATCH($AW$7,$A$7:$AW$7,FALSE),FALSE),0)+_xlfn.IFNA(VLOOKUP(SUMPRODUCT(LARGE(($C$8:$C120=Table1[[#This Row],[Climber]])*$A$8:$A120,5)),$A$8:$AW120,MATCH($AW$7,$A$7:$AW$7,FALSE),FALSE),0)+_xlfn.IFNA(VLOOKUP(SUMPRODUCT(LARGE(($C$8:$C120=Table1[[#This Row],[Climber]])*$A$8:$A120,6)),$A$8:$AW120,MATCH($AW$7,$A$7:$AW$7,FALSE),FALSE),0))/3</f>
        <v>0</v>
      </c>
      <c r="BA120" s="46">
        <f ca="1">_xlfn.MAXIFS(INDIRECT("$AW"&amp;IF(SUMPRODUCT(LARGE(($C$8:$C120=$C120)*$A$8:$A120,LEFT($BA$7,FIND(" ",$BA$7)-1)))=0,8,SUMPRODUCT(LARGE(($C$8:$C120=$C120)*$A$8:$A120,LEFT($BA$7,FIND(" ",$BA$7)-1)))+7)&amp;":$AW"&amp;ROW()),INDIRECT("$C"&amp;IF(SUMPRODUCT(LARGE(($C$8:$C120=$C120)*$A$8:$A120,LEFT($BA$7,FIND(" ",$BA$7)-1)))=0,8,SUMPRODUCT(LARGE(($C$8:$C120=$C120)*$A$8:$A120,LEFT($BA$7,FIND(" ",$BA$7)-1)))+7)&amp;":$C"&amp;ROW()),$C120)</f>
        <v>0</v>
      </c>
      <c r="BB120" s="46" t="str">
        <f ca="1">VLOOKUP(MAX(BG120,$AX120),'RC Lookup'!$G$14:$J$20,2,TRUE)</f>
        <v>T1</v>
      </c>
      <c r="BC120" s="46">
        <f ca="1">_xlfn.IFNA(VLOOKUP(VLOOKUP($C120,'RC Lookup'!$O$3:$P$50,2,FALSE),'RC Lookup'!$H$14:$J$23,2,FALSE),0)*AW120</f>
        <v>0</v>
      </c>
      <c r="BD120" s="6">
        <f ca="1">_xlfn.IFNA(VLOOKUP(SUMPRODUCT(LARGE(($C$8:$C120=Table1[[#This Row],[Climber]])*$A$8:$A120,1)),$A$8:$BC120,55,FALSE),0)/LEFT($AX$7,FIND(" ",$AX$7))+_xlfn.IFNA(VLOOKUP(SUMPRODUCT(LARGE(($C$8:$C120=Table1[[#This Row],[Climber]])*$A$8:$A120,MIN(2,COUNTIFS($C$8:$C120,$C120)))),$A$8:$BC120,55,FALSE),0)/LEFT($AX$7,FIND(" ",$AX$7))+_xlfn.IFNA(VLOOKUP(SUMPRODUCT(LARGE(($C$8:$C120=Table1[[#This Row],[Climber]])*$A$8:$A120,MIN(3,COUNTIFS($C$8:$C120,$C120)))),$A$8:$BC120,55,FALSE),0)/LEFT($AX$7,FIND(" ",$AX$7))</f>
        <v>0</v>
      </c>
      <c r="BE120" s="6">
        <f ca="1">(_xlfn.IFNA(VLOOKUP(SUMPRODUCT(LARGE(($C$8:$C120=Table1[[#This Row],[Climber]])*$A$8:$A120,4)),$A$8:$BD120,55,FALSE),0)+_xlfn.IFNA(VLOOKUP(SUMPRODUCT(LARGE(($C$8:$C120=Table1[[#This Row],[Climber]])*$A$8:$A120,5)),$A$8:$BD120,55,FALSE),0)+_xlfn.IFNA(VLOOKUP(SUMPRODUCT(LARGE(($C$8:$C120=Table1[[#This Row],[Climber]])*$A$8:$A120,6)),$A$8:$BD120,55,FALSE),0))/3</f>
        <v>0</v>
      </c>
      <c r="BF120" s="46">
        <f ca="1">_xlfn.MAXIFS(INDIRECT("$BC"&amp;IF(SUMPRODUCT(LARGE(($C$8:$C120=$C120)*$A$8:$A120,LEFT($BA$7,FIND(" ",$BA$7)-1)))=0,8,SUMPRODUCT(LARGE(($C$8:$C120=$C120)*$A$8:$A120,LEFT($BA$7,FIND(" ",$BA$7)-1)))+7)&amp;":$BC"&amp;ROW()),INDIRECT("$C"&amp;IF(SUMPRODUCT(LARGE(($C$8:$C120=$C120)*$A$8:$A120,LEFT($BA$7,FIND(" ",$BA$7)-1)))=0,8,SUMPRODUCT(LARGE(($C$8:$C120=$C120)*$A$8:$A120,LEFT($BA$7,FIND(" ",$BA$7)-1)))+7)&amp;":$C"&amp;ROW()),$C120)</f>
        <v>0</v>
      </c>
      <c r="BG120" s="46">
        <f t="array" aca="1" ref="BG120" ca="1">IFERROR(SUMPRODUCT(LARGE(($C$8:$C120=Table1[[#This Row],[Climber]])*$AW$8:$AW120,ROW(INDIRECT("1:5")))),AW120)/MIN(COUNTIFS($C$8:$C120,C120),5)</f>
        <v>0</v>
      </c>
    </row>
    <row r="121" spans="1:59" x14ac:dyDescent="0.3">
      <c r="A121" s="125">
        <f t="shared" si="1"/>
        <v>114</v>
      </c>
      <c r="B121" s="25">
        <f>'Rock Climbing Log'!B121</f>
        <v>0</v>
      </c>
      <c r="C121" s="126">
        <f>'Rock Climbing Log'!C121</f>
        <v>0</v>
      </c>
      <c r="D121" s="26">
        <f>_xlfn.IFNA(IF(LEFT('Rock Climbing Log'!D121)="C",_xlfn.IFNA(VLOOKUP('Rock Climbing Log'!D121,'RC Lookup'!$A$3:$B$9,2,FALSE),0.5),VLOOKUP('Rock Climbing Log'!D121,'RC Lookup'!$G$3:$H$5,2,FALSE)),0)*VLOOKUP(D$7,'RC Lookup'!$D$3:$E$18,2,FALSE)</f>
        <v>0</v>
      </c>
      <c r="E121" s="26">
        <f>_xlfn.IFNA(IF(LEFT('Rock Climbing Log'!E121)="C",_xlfn.IFNA(VLOOKUP('Rock Climbing Log'!E121,'RC Lookup'!$A$3:$B$9,2,FALSE),0.5),VLOOKUP('Rock Climbing Log'!E121,'RC Lookup'!$G$3:$H$5,2,FALSE)),0)*VLOOKUP(D$7,'RC Lookup'!$D$3:$E$18,2,FALSE)</f>
        <v>0</v>
      </c>
      <c r="F121" s="26">
        <f>_xlfn.IFNA(IF(LEFT('Rock Climbing Log'!F121)="C",_xlfn.IFNA(VLOOKUP('Rock Climbing Log'!F121,'RC Lookup'!$A$3:$B$9,2,FALSE),0.5),VLOOKUP('Rock Climbing Log'!F121,'RC Lookup'!$G$3:$H$5,2,FALSE)),0)*VLOOKUP(D$7,'RC Lookup'!$D$3:$E$18,2,FALSE)</f>
        <v>0</v>
      </c>
      <c r="G121" s="26">
        <f>_xlfn.IFNA(IF(LEFT('Rock Climbing Log'!G121)="C",_xlfn.IFNA(VLOOKUP('Rock Climbing Log'!G121,'RC Lookup'!$A$3:$B$9,2,FALSE),0.5),VLOOKUP('Rock Climbing Log'!G121,'RC Lookup'!$G$3:$H$5,2,FALSE)),0)*VLOOKUP(G$7,'RC Lookup'!$D$3:$E$18,2,FALSE)</f>
        <v>0</v>
      </c>
      <c r="H121" s="26">
        <f>_xlfn.IFNA(IF(LEFT('Rock Climbing Log'!H121)="C",_xlfn.IFNA(VLOOKUP('Rock Climbing Log'!H121,'RC Lookup'!$A$3:$B$9,2,FALSE),0.5),VLOOKUP('Rock Climbing Log'!H121,'RC Lookup'!$G$3:$H$5,2,FALSE)),0)*VLOOKUP(G$7,'RC Lookup'!$D$3:$E$18,2,FALSE)</f>
        <v>0</v>
      </c>
      <c r="I121" s="26">
        <f>_xlfn.IFNA(IF(LEFT('Rock Climbing Log'!I121)="C",_xlfn.IFNA(VLOOKUP('Rock Climbing Log'!I121,'RC Lookup'!$A$3:$B$9,2,FALSE),0.5),VLOOKUP('Rock Climbing Log'!I121,'RC Lookup'!$G$3:$H$5,2,FALSE)),0)*VLOOKUP(G$7,'RC Lookup'!$D$3:$E$18,2,FALSE)</f>
        <v>0</v>
      </c>
      <c r="J121" s="26">
        <f>_xlfn.IFNA(IF(LEFT('Rock Climbing Log'!J121)="C",_xlfn.IFNA(VLOOKUP('Rock Climbing Log'!J121,'RC Lookup'!$A$3:$B$9,2,FALSE),0.5),VLOOKUP('Rock Climbing Log'!J121,'RC Lookup'!$G$3:$H$5,2,FALSE)),0)*VLOOKUP(J$7,'RC Lookup'!$D$3:$E$18,2,FALSE)</f>
        <v>0</v>
      </c>
      <c r="K121" s="26">
        <f>_xlfn.IFNA(IF(LEFT('Rock Climbing Log'!K121)="C",_xlfn.IFNA(VLOOKUP('Rock Climbing Log'!K121,'RC Lookup'!$A$3:$B$9,2,FALSE),0.5),VLOOKUP('Rock Climbing Log'!K121,'RC Lookup'!$G$3:$H$5,2,FALSE)),0)*VLOOKUP(J$7,'RC Lookup'!$D$3:$E$18,2,FALSE)</f>
        <v>0</v>
      </c>
      <c r="L121" s="26">
        <f>_xlfn.IFNA(IF(LEFT('Rock Climbing Log'!L121)="C",_xlfn.IFNA(VLOOKUP('Rock Climbing Log'!L121,'RC Lookup'!$A$3:$B$9,2,FALSE),0.5),VLOOKUP('Rock Climbing Log'!L121,'RC Lookup'!$G$3:$H$5,2,FALSE)),0)*VLOOKUP(J$7,'RC Lookup'!$D$3:$E$18,2,FALSE)</f>
        <v>0</v>
      </c>
      <c r="M121" s="26">
        <f>_xlfn.IFNA(IF(LEFT('Rock Climbing Log'!M121)="C",_xlfn.IFNA(VLOOKUP('Rock Climbing Log'!M121,'RC Lookup'!$A$3:$B$9,2,FALSE),0.5),VLOOKUP('Rock Climbing Log'!M121,'RC Lookup'!$G$3:$H$5,2,FALSE)),0)*VLOOKUP(M$7,'RC Lookup'!$D$3:$E$18,2,FALSE)</f>
        <v>0</v>
      </c>
      <c r="N121" s="26">
        <f>_xlfn.IFNA(IF(LEFT('Rock Climbing Log'!N121)="C",_xlfn.IFNA(VLOOKUP('Rock Climbing Log'!N121,'RC Lookup'!$A$3:$B$9,2,FALSE),0.5),VLOOKUP('Rock Climbing Log'!N121,'RC Lookup'!$G$3:$H$5,2,FALSE)),0)*VLOOKUP(M$7,'RC Lookup'!$D$3:$E$18,2,FALSE)</f>
        <v>0</v>
      </c>
      <c r="O121" s="26">
        <f>_xlfn.IFNA(IF(LEFT('Rock Climbing Log'!O121)="C",_xlfn.IFNA(VLOOKUP('Rock Climbing Log'!O121,'RC Lookup'!$A$3:$B$9,2,FALSE),0.5),VLOOKUP('Rock Climbing Log'!O121,'RC Lookup'!$G$3:$H$5,2,FALSE)),0)*VLOOKUP(M$7,'RC Lookup'!$D$3:$E$18,2,FALSE)</f>
        <v>0</v>
      </c>
      <c r="P121" s="26">
        <f>_xlfn.IFNA(IF(LEFT('Rock Climbing Log'!P121)="C",_xlfn.IFNA(VLOOKUP('Rock Climbing Log'!P121,'RC Lookup'!$A$3:$B$9,2,FALSE),0.5),VLOOKUP('Rock Climbing Log'!P121,'RC Lookup'!$G$3:$H$5,2,FALSE)),0)*VLOOKUP(P$7,'RC Lookup'!$D$3:$E$18,2,FALSE)</f>
        <v>0</v>
      </c>
      <c r="Q121" s="26">
        <f>_xlfn.IFNA(IF(LEFT('Rock Climbing Log'!Q121)="C",_xlfn.IFNA(VLOOKUP('Rock Climbing Log'!Q121,'RC Lookup'!$A$3:$B$9,2,FALSE),0.5),VLOOKUP('Rock Climbing Log'!Q121,'RC Lookup'!$G$3:$H$5,2,FALSE)),0)*VLOOKUP(P$7,'RC Lookup'!$D$3:$E$18,2,FALSE)</f>
        <v>0</v>
      </c>
      <c r="R121" s="26">
        <f>_xlfn.IFNA(IF(LEFT('Rock Climbing Log'!R121)="C",_xlfn.IFNA(VLOOKUP('Rock Climbing Log'!R121,'RC Lookup'!$A$3:$B$9,2,FALSE),0.5),VLOOKUP('Rock Climbing Log'!R121,'RC Lookup'!$G$3:$H$5,2,FALSE)),0)*VLOOKUP(P$7,'RC Lookup'!$D$3:$E$18,2,FALSE)</f>
        <v>0</v>
      </c>
      <c r="S121" s="26">
        <f>_xlfn.IFNA(IF(LEFT('Rock Climbing Log'!S121)="C",_xlfn.IFNA(VLOOKUP('Rock Climbing Log'!S121,'RC Lookup'!$A$3:$B$9,2,FALSE),0.5),VLOOKUP('Rock Climbing Log'!S121,'RC Lookup'!$G$3:$H$5,2,FALSE)),0)*VLOOKUP(S$7,'RC Lookup'!$D$3:$E$18,2,FALSE)</f>
        <v>0</v>
      </c>
      <c r="T121" s="26">
        <f>_xlfn.IFNA(IF(LEFT('Rock Climbing Log'!T121)="C",_xlfn.IFNA(VLOOKUP('Rock Climbing Log'!T121,'RC Lookup'!$A$3:$B$9,2,FALSE),0.5),VLOOKUP('Rock Climbing Log'!T121,'RC Lookup'!$G$3:$H$5,2,FALSE)),0)*VLOOKUP(S$7,'RC Lookup'!$D$3:$E$18,2,FALSE)</f>
        <v>0</v>
      </c>
      <c r="U121" s="26">
        <f>_xlfn.IFNA(IF(LEFT('Rock Climbing Log'!U121)="C",_xlfn.IFNA(VLOOKUP('Rock Climbing Log'!U121,'RC Lookup'!$A$3:$B$9,2,FALSE),0.5),VLOOKUP('Rock Climbing Log'!U121,'RC Lookup'!$G$3:$H$5,2,FALSE)),0)*VLOOKUP(S$7,'RC Lookup'!$D$3:$E$18,2,FALSE)</f>
        <v>0</v>
      </c>
      <c r="V121" s="26">
        <f>_xlfn.IFNA(IF(LEFT('Rock Climbing Log'!V121)="C",_xlfn.IFNA(VLOOKUP('Rock Climbing Log'!V121,'RC Lookup'!$A$3:$B$9,2,FALSE),0.5),VLOOKUP('Rock Climbing Log'!V121,'RC Lookup'!$G$3:$H$5,2,FALSE)),0)*VLOOKUP(V$7,'RC Lookup'!$D$3:$E$18,2,FALSE)</f>
        <v>0</v>
      </c>
      <c r="W121" s="26">
        <f>_xlfn.IFNA(IF(LEFT('Rock Climbing Log'!W121)="C",_xlfn.IFNA(VLOOKUP('Rock Climbing Log'!W121,'RC Lookup'!$A$3:$B$9,2,FALSE),0.5),VLOOKUP('Rock Climbing Log'!W121,'RC Lookup'!$G$3:$H$5,2,FALSE)),0)*VLOOKUP(V$7,'RC Lookup'!$D$3:$E$18,2,FALSE)</f>
        <v>0</v>
      </c>
      <c r="X121" s="26">
        <f>_xlfn.IFNA(IF(LEFT('Rock Climbing Log'!X121)="C",_xlfn.IFNA(VLOOKUP('Rock Climbing Log'!X121,'RC Lookup'!$A$3:$B$9,2,FALSE),0.5),VLOOKUP('Rock Climbing Log'!X121,'RC Lookup'!$G$3:$H$5,2,FALSE)),0)*VLOOKUP(V$7,'RC Lookup'!$D$3:$E$18,2,FALSE)</f>
        <v>0</v>
      </c>
      <c r="Y121" s="26">
        <f>_xlfn.IFNA(IF(LEFT('Rock Climbing Log'!Y121)="C",_xlfn.IFNA(VLOOKUP('Rock Climbing Log'!Y121,'RC Lookup'!$A$3:$B$9,2,FALSE),0.5),VLOOKUP('Rock Climbing Log'!Y121,'RC Lookup'!$G$3:$H$5,2,FALSE)),0)*VLOOKUP(Y$7,'RC Lookup'!$D$3:$E$18,2,FALSE)</f>
        <v>0</v>
      </c>
      <c r="Z121" s="26">
        <f>_xlfn.IFNA(IF(LEFT('Rock Climbing Log'!Z121)="C",_xlfn.IFNA(VLOOKUP('Rock Climbing Log'!Z121,'RC Lookup'!$A$3:$B$9,2,FALSE),0.5),VLOOKUP('Rock Climbing Log'!Z121,'RC Lookup'!$G$3:$H$5,2,FALSE)),0)*VLOOKUP(Y$7,'RC Lookup'!$D$3:$E$18,2,FALSE)</f>
        <v>0</v>
      </c>
      <c r="AA121" s="26">
        <f>_xlfn.IFNA(IF(LEFT('Rock Climbing Log'!AA121)="C",_xlfn.IFNA(VLOOKUP('Rock Climbing Log'!AA121,'RC Lookup'!$A$3:$B$9,2,FALSE),0.5),VLOOKUP('Rock Climbing Log'!AA121,'RC Lookup'!$G$3:$H$5,2,FALSE)),0)*VLOOKUP(Y$7,'RC Lookup'!$D$3:$E$18,2,FALSE)</f>
        <v>0</v>
      </c>
      <c r="AB121" s="26">
        <f>_xlfn.IFNA(IF(LEFT('Rock Climbing Log'!AB121)="C",_xlfn.IFNA(VLOOKUP('Rock Climbing Log'!AB121,'RC Lookup'!$A$3:$B$9,2,FALSE),0.5),VLOOKUP('Rock Climbing Log'!AB121,'RC Lookup'!$G$3:$H$5,2,FALSE)),0)*VLOOKUP(AB$7,'RC Lookup'!$D$3:$E$18,2,FALSE)</f>
        <v>0</v>
      </c>
      <c r="AC121" s="26">
        <f>_xlfn.IFNA(IF(LEFT('Rock Climbing Log'!AC121)="C",_xlfn.IFNA(VLOOKUP('Rock Climbing Log'!AC121,'RC Lookup'!$A$3:$B$9,2,FALSE),0.5),VLOOKUP('Rock Climbing Log'!AC121,'RC Lookup'!$G$3:$H$5,2,FALSE)),0)*VLOOKUP(AB$7,'RC Lookup'!$D$3:$E$18,2,FALSE)</f>
        <v>0</v>
      </c>
      <c r="AD121" s="26">
        <f>_xlfn.IFNA(IF(LEFT('Rock Climbing Log'!AD121)="C",_xlfn.IFNA(VLOOKUP('Rock Climbing Log'!AD121,'RC Lookup'!$A$3:$B$9,2,FALSE),0.5),VLOOKUP('Rock Climbing Log'!AD121,'RC Lookup'!$G$3:$H$5,2,FALSE)),0)*VLOOKUP(AB$7,'RC Lookup'!$D$3:$E$18,2,FALSE)</f>
        <v>0</v>
      </c>
      <c r="AE121" s="26">
        <f>_xlfn.IFNA(IF(LEFT('Rock Climbing Log'!AE121)="C",_xlfn.IFNA(VLOOKUP('Rock Climbing Log'!AE121,'RC Lookup'!$A$3:$B$9,2,FALSE),0.5),VLOOKUP('Rock Climbing Log'!AE121,'RC Lookup'!$G$3:$H$5,2,FALSE)),0)*VLOOKUP(AE$7,'RC Lookup'!$D$3:$E$18,2,FALSE)</f>
        <v>0</v>
      </c>
      <c r="AF121" s="26">
        <f>_xlfn.IFNA(IF(LEFT('Rock Climbing Log'!AF121)="C",_xlfn.IFNA(VLOOKUP('Rock Climbing Log'!AF121,'RC Lookup'!$A$3:$B$9,2,FALSE),0.5),VLOOKUP('Rock Climbing Log'!AF121,'RC Lookup'!$G$3:$H$5,2,FALSE)),0)*VLOOKUP(AE$7,'RC Lookup'!$D$3:$E$18,2,FALSE)</f>
        <v>0</v>
      </c>
      <c r="AG121" s="26">
        <f>_xlfn.IFNA(IF(LEFT('Rock Climbing Log'!AG121)="C",_xlfn.IFNA(VLOOKUP('Rock Climbing Log'!AG121,'RC Lookup'!$A$3:$B$9,2,FALSE),0.5),VLOOKUP('Rock Climbing Log'!AG121,'RC Lookup'!$G$3:$H$5,2,FALSE)),0)*VLOOKUP(AE$7,'RC Lookup'!$D$3:$E$18,2,FALSE)</f>
        <v>0</v>
      </c>
      <c r="AH121" s="26">
        <f>_xlfn.IFNA(IF(LEFT('Rock Climbing Log'!AH121)="C",_xlfn.IFNA(VLOOKUP('Rock Climbing Log'!AH121,'RC Lookup'!$A$3:$B$9,2,FALSE),0.5),VLOOKUP('Rock Climbing Log'!AH121,'RC Lookup'!$G$3:$H$5,2,FALSE)),0)*VLOOKUP(AH$7,'RC Lookup'!$D$3:$E$18,2,FALSE)</f>
        <v>0</v>
      </c>
      <c r="AI121" s="26">
        <f>_xlfn.IFNA(IF(LEFT('Rock Climbing Log'!AI121)="C",_xlfn.IFNA(VLOOKUP('Rock Climbing Log'!AI121,'RC Lookup'!$A$3:$B$9,2,FALSE),0.5),VLOOKUP('Rock Climbing Log'!AI121,'RC Lookup'!$G$3:$H$5,2,FALSE)),0)*VLOOKUP(AH$7,'RC Lookup'!$D$3:$E$18,2,FALSE)</f>
        <v>0</v>
      </c>
      <c r="AJ121" s="26">
        <f>_xlfn.IFNA(IF(LEFT('Rock Climbing Log'!AJ121)="C",_xlfn.IFNA(VLOOKUP('Rock Climbing Log'!AJ121,'RC Lookup'!$A$3:$B$9,2,FALSE),0.5),VLOOKUP('Rock Climbing Log'!AJ121,'RC Lookup'!$G$3:$H$5,2,FALSE)),0)*VLOOKUP(AH$7,'RC Lookup'!$D$3:$E$18,2,FALSE)</f>
        <v>0</v>
      </c>
      <c r="AK121" s="26">
        <f>_xlfn.IFNA(IF(LEFT('Rock Climbing Log'!AK121)="C",_xlfn.IFNA(VLOOKUP('Rock Climbing Log'!AK121,'RC Lookup'!$A$3:$B$9,2,FALSE),0.5),VLOOKUP('Rock Climbing Log'!AK121,'RC Lookup'!$G$3:$H$5,2,FALSE)),0)*VLOOKUP(AK$7,'RC Lookup'!$D$3:$E$18,2,FALSE)</f>
        <v>0</v>
      </c>
      <c r="AL121" s="26">
        <f>_xlfn.IFNA(IF(LEFT('Rock Climbing Log'!AL121)="C",_xlfn.IFNA(VLOOKUP('Rock Climbing Log'!AL121,'RC Lookup'!$A$3:$B$9,2,FALSE),0.5),VLOOKUP('Rock Climbing Log'!AL121,'RC Lookup'!$G$3:$H$5,2,FALSE)),0)*VLOOKUP(AK$7,'RC Lookup'!$D$3:$E$18,2,FALSE)</f>
        <v>0</v>
      </c>
      <c r="AM121" s="26">
        <f>_xlfn.IFNA(IF(LEFT('Rock Climbing Log'!AM121)="C",_xlfn.IFNA(VLOOKUP('Rock Climbing Log'!AM121,'RC Lookup'!$A$3:$B$9,2,FALSE),0.5),VLOOKUP('Rock Climbing Log'!AM121,'RC Lookup'!$G$3:$H$5,2,FALSE)),0)*VLOOKUP(AK$7,'RC Lookup'!$D$3:$E$18,2,FALSE)</f>
        <v>0</v>
      </c>
      <c r="AN121" s="26">
        <f>_xlfn.IFNA(IF(LEFT('Rock Climbing Log'!AN121)="C",_xlfn.IFNA(VLOOKUP('Rock Climbing Log'!AN121,'RC Lookup'!$A$3:$B$9,2,FALSE),0.5),VLOOKUP('Rock Climbing Log'!AN121,'RC Lookup'!$G$3:$H$5,2,FALSE)),0)*VLOOKUP(AN$7,'RC Lookup'!$D$3:$E$18,2,FALSE)</f>
        <v>0</v>
      </c>
      <c r="AO121" s="26">
        <f>_xlfn.IFNA(IF(LEFT('Rock Climbing Log'!AO121)="C",_xlfn.IFNA(VLOOKUP('Rock Climbing Log'!AO121,'RC Lookup'!$A$3:$B$9,2,FALSE),0.5),VLOOKUP('Rock Climbing Log'!AO121,'RC Lookup'!$G$3:$H$5,2,FALSE)),0)*VLOOKUP(AN$7,'RC Lookup'!$D$3:$E$18,2,FALSE)</f>
        <v>0</v>
      </c>
      <c r="AP121" s="26">
        <f>_xlfn.IFNA(IF(LEFT('Rock Climbing Log'!AP121)="C",_xlfn.IFNA(VLOOKUP('Rock Climbing Log'!AP121,'RC Lookup'!$A$3:$B$9,2,FALSE),0.5),VLOOKUP('Rock Climbing Log'!AP121,'RC Lookup'!$G$3:$H$5,2,FALSE)),0)*VLOOKUP(AN$7,'RC Lookup'!$D$3:$E$18,2,FALSE)</f>
        <v>0</v>
      </c>
      <c r="AQ121" s="26">
        <f>_xlfn.IFNA(IF(LEFT('Rock Climbing Log'!AQ121)="C",_xlfn.IFNA(VLOOKUP('Rock Climbing Log'!AQ121,'RC Lookup'!$A$3:$B$9,2,FALSE),0.5),VLOOKUP('Rock Climbing Log'!AQ121,'RC Lookup'!$G$3:$H$5,2,FALSE)),0)*VLOOKUP(AQ$7,'RC Lookup'!$D$3:$E$18,2,FALSE)</f>
        <v>0</v>
      </c>
      <c r="AR121" s="26">
        <f>_xlfn.IFNA(IF(LEFT('Rock Climbing Log'!AR121)="C",_xlfn.IFNA(VLOOKUP('Rock Climbing Log'!AR121,'RC Lookup'!$A$3:$B$9,2,FALSE),0.5),VLOOKUP('Rock Climbing Log'!AR121,'RC Lookup'!$G$3:$H$5,2,FALSE)),0)*VLOOKUP(AQ$7,'RC Lookup'!$D$3:$E$18,2,FALSE)</f>
        <v>0</v>
      </c>
      <c r="AS121" s="26">
        <f>_xlfn.IFNA(IF(LEFT('Rock Climbing Log'!AS121)="C",_xlfn.IFNA(VLOOKUP('Rock Climbing Log'!AS121,'RC Lookup'!$A$3:$B$9,2,FALSE),0.5),VLOOKUP('Rock Climbing Log'!AS121,'RC Lookup'!$G$3:$H$5,2,FALSE)),0)*VLOOKUP(AQ$7,'RC Lookup'!$D$3:$E$18,2,FALSE)</f>
        <v>0</v>
      </c>
      <c r="AT121" s="26">
        <f>_xlfn.IFNA(IF(LEFT('Rock Climbing Log'!AT121)="C",_xlfn.IFNA(VLOOKUP('Rock Climbing Log'!AT121,'RC Lookup'!$A$3:$B$9,2,FALSE),0.5),VLOOKUP('Rock Climbing Log'!AT121,'RC Lookup'!$G$3:$H$5,2,FALSE)),0)*VLOOKUP(AT$7,'RC Lookup'!$D$3:$E$18,2,FALSE)</f>
        <v>0</v>
      </c>
      <c r="AU121" s="26">
        <f>_xlfn.IFNA(IF(LEFT('Rock Climbing Log'!AU121)="C",_xlfn.IFNA(VLOOKUP('Rock Climbing Log'!AU121,'RC Lookup'!$A$3:$B$9,2,FALSE),0.5),VLOOKUP('Rock Climbing Log'!AU121,'RC Lookup'!$G$3:$H$5,2,FALSE)),0)*VLOOKUP(AT$7,'RC Lookup'!$D$3:$E$18,2,FALSE)</f>
        <v>0</v>
      </c>
      <c r="AV121" s="26">
        <f>_xlfn.IFNA(IF(LEFT('Rock Climbing Log'!AV121)="C",_xlfn.IFNA(VLOOKUP('Rock Climbing Log'!AV121,'RC Lookup'!$A$3:$B$9,2,FALSE),0.5),VLOOKUP('Rock Climbing Log'!AV121,'RC Lookup'!$G$3:$H$5,2,FALSE)),0)*VLOOKUP(AT$7,'RC Lookup'!$D$3:$E$18,2,FALSE)</f>
        <v>0</v>
      </c>
      <c r="AW121" s="30">
        <f t="shared" ca="1" si="4"/>
        <v>0</v>
      </c>
      <c r="AX121" s="30">
        <f ca="1">_xlfn.IFNA(VLOOKUP(SUMPRODUCT(LARGE(($C$8:$C121=Table1[[#This Row],[Climber]])*$A$8:$A121,1)),$A$8:$AW121,MATCH($AW$7,$A$7:$AW$7,FALSE),FALSE),0)/LEFT($AX$7,FIND(" ",$AX$7))+_xlfn.IFNA(VLOOKUP(SUMPRODUCT(LARGE(($C$8:$C121=Table1[[#This Row],[Climber]])*$A$8:$A121,MIN(2,COUNTIFS($C$8:$C121,$C121)))),$A$8:$AW121,MATCH($AW$7,$A$7:$AW$7,FALSE),FALSE),0)/LEFT($AX$7,FIND(" ",$AX$7))+_xlfn.IFNA(VLOOKUP(SUMPRODUCT(LARGE(($C$8:$C121=Table1[[#This Row],[Climber]])*$A$8:$A121,MIN(3,COUNTIFS($C$8:$C121,$C121)))),$A$8:$AW121,MATCH($AW$7,$A$7:$AW$7,FALSE),FALSE),0)/LEFT($AX$7,FIND(" ",$AX$7))</f>
        <v>0</v>
      </c>
      <c r="AY121" s="30">
        <f ca="1">_xlfn.IFNA(VLOOKUP(SUMPRODUCT(LARGE(($C$8:$C121=Table1[[#This Row],[Climber]])*$A$8:$A121,1)),$A$8:$AW121,MATCH($AW$7,$A$7:$AW$7,FALSE),FALSE),0)/LEFT($AY$7,FIND(" ",$AY$7))+_xlfn.IFNA(VLOOKUP(SUMPRODUCT(LARGE(($C$8:$C121=Table1[[#This Row],[Climber]])*$A$8:$A121,MIN(2,COUNTIFS($C$8:$C121,$C121)))),$A$8:$AW121,MATCH($AW$7,$A$7:$AW$7,FALSE),FALSE),0)/LEFT($AY$7,FIND(" ",$AY$7))+_xlfn.IFNA(VLOOKUP(SUMPRODUCT(LARGE(($C$8:$C121=Table1[[#This Row],[Climber]])*$A$8:$A121,MIN(3,COUNTIFS($C$8:$C121,$C121)))),$A$8:$AW121,MATCH($AW$7,$A$7:$AW$7,FALSE),FALSE),0)/LEFT($AY$7,FIND(" ",$AY$7))+_xlfn.IFNA(VLOOKUP(SUMPRODUCT(LARGE(($C$8:$C121=Table1[[#This Row],[Climber]])*$A$8:$A121,MIN(4,COUNTIFS($C$8:$C121,$C121)))),$A$8:$AW121,MATCH($AW$7,$A$7:$AW$7,FALSE),FALSE),0)/LEFT($AY$7,FIND(" ",$AY$7))+_xlfn.IFNA(VLOOKUP(SUMPRODUCT(LARGE(($C$8:$C121=Table1[[#This Row],[Climber]])*$A$8:$A121,MIN(5,COUNTIFS($C$8:$C121,$C121)))),$A$8:$AW121,MATCH($AW$7,$A$7:$AW$7,FALSE),FALSE),0)/LEFT($AY$7,FIND(" ",$AY$7))</f>
        <v>0</v>
      </c>
      <c r="AZ121" s="30">
        <f ca="1">(_xlfn.IFNA(VLOOKUP(SUMPRODUCT(LARGE(($C$8:$C121=Table1[[#This Row],[Climber]])*$A$8:$A121,4)),$A$8:$AW121,MATCH($AW$7,$A$7:$AW$7,FALSE),FALSE),0)+_xlfn.IFNA(VLOOKUP(SUMPRODUCT(LARGE(($C$8:$C121=Table1[[#This Row],[Climber]])*$A$8:$A121,5)),$A$8:$AW121,MATCH($AW$7,$A$7:$AW$7,FALSE),FALSE),0)+_xlfn.IFNA(VLOOKUP(SUMPRODUCT(LARGE(($C$8:$C121=Table1[[#This Row],[Climber]])*$A$8:$A121,6)),$A$8:$AW121,MATCH($AW$7,$A$7:$AW$7,FALSE),FALSE),0))/3</f>
        <v>0</v>
      </c>
      <c r="BA121" s="46">
        <f ca="1">_xlfn.MAXIFS(INDIRECT("$AW"&amp;IF(SUMPRODUCT(LARGE(($C$8:$C121=$C121)*$A$8:$A121,LEFT($BA$7,FIND(" ",$BA$7)-1)))=0,8,SUMPRODUCT(LARGE(($C$8:$C121=$C121)*$A$8:$A121,LEFT($BA$7,FIND(" ",$BA$7)-1)))+7)&amp;":$AW"&amp;ROW()),INDIRECT("$C"&amp;IF(SUMPRODUCT(LARGE(($C$8:$C121=$C121)*$A$8:$A121,LEFT($BA$7,FIND(" ",$BA$7)-1)))=0,8,SUMPRODUCT(LARGE(($C$8:$C121=$C121)*$A$8:$A121,LEFT($BA$7,FIND(" ",$BA$7)-1)))+7)&amp;":$C"&amp;ROW()),$C121)</f>
        <v>0</v>
      </c>
      <c r="BB121" s="46" t="str">
        <f ca="1">VLOOKUP(MAX(BG121,$AX121),'RC Lookup'!$G$14:$J$20,2,TRUE)</f>
        <v>T1</v>
      </c>
      <c r="BC121" s="46">
        <f ca="1">_xlfn.IFNA(VLOOKUP(VLOOKUP($C121,'RC Lookup'!$O$3:$P$50,2,FALSE),'RC Lookup'!$H$14:$J$23,2,FALSE),0)*AW121</f>
        <v>0</v>
      </c>
      <c r="BD121" s="6">
        <f ca="1">_xlfn.IFNA(VLOOKUP(SUMPRODUCT(LARGE(($C$8:$C121=Table1[[#This Row],[Climber]])*$A$8:$A121,1)),$A$8:$BC121,55,FALSE),0)/LEFT($AX$7,FIND(" ",$AX$7))+_xlfn.IFNA(VLOOKUP(SUMPRODUCT(LARGE(($C$8:$C121=Table1[[#This Row],[Climber]])*$A$8:$A121,MIN(2,COUNTIFS($C$8:$C121,$C121)))),$A$8:$BC121,55,FALSE),0)/LEFT($AX$7,FIND(" ",$AX$7))+_xlfn.IFNA(VLOOKUP(SUMPRODUCT(LARGE(($C$8:$C121=Table1[[#This Row],[Climber]])*$A$8:$A121,MIN(3,COUNTIFS($C$8:$C121,$C121)))),$A$8:$BC121,55,FALSE),0)/LEFT($AX$7,FIND(" ",$AX$7))</f>
        <v>0</v>
      </c>
      <c r="BE121" s="6">
        <f ca="1">(_xlfn.IFNA(VLOOKUP(SUMPRODUCT(LARGE(($C$8:$C121=Table1[[#This Row],[Climber]])*$A$8:$A121,4)),$A$8:$BD121,55,FALSE),0)+_xlfn.IFNA(VLOOKUP(SUMPRODUCT(LARGE(($C$8:$C121=Table1[[#This Row],[Climber]])*$A$8:$A121,5)),$A$8:$BD121,55,FALSE),0)+_xlfn.IFNA(VLOOKUP(SUMPRODUCT(LARGE(($C$8:$C121=Table1[[#This Row],[Climber]])*$A$8:$A121,6)),$A$8:$BD121,55,FALSE),0))/3</f>
        <v>0</v>
      </c>
      <c r="BF121" s="46">
        <f ca="1">_xlfn.MAXIFS(INDIRECT("$BC"&amp;IF(SUMPRODUCT(LARGE(($C$8:$C121=$C121)*$A$8:$A121,LEFT($BA$7,FIND(" ",$BA$7)-1)))=0,8,SUMPRODUCT(LARGE(($C$8:$C121=$C121)*$A$8:$A121,LEFT($BA$7,FIND(" ",$BA$7)-1)))+7)&amp;":$BC"&amp;ROW()),INDIRECT("$C"&amp;IF(SUMPRODUCT(LARGE(($C$8:$C121=$C121)*$A$8:$A121,LEFT($BA$7,FIND(" ",$BA$7)-1)))=0,8,SUMPRODUCT(LARGE(($C$8:$C121=$C121)*$A$8:$A121,LEFT($BA$7,FIND(" ",$BA$7)-1)))+7)&amp;":$C"&amp;ROW()),$C121)</f>
        <v>0</v>
      </c>
      <c r="BG121" s="46">
        <f t="array" aca="1" ref="BG121" ca="1">IFERROR(SUMPRODUCT(LARGE(($C$8:$C121=Table1[[#This Row],[Climber]])*$AW$8:$AW121,ROW(INDIRECT("1:5")))),AW121)/MIN(COUNTIFS($C$8:$C121,C121),5)</f>
        <v>0</v>
      </c>
    </row>
    <row r="122" spans="1:59" x14ac:dyDescent="0.3">
      <c r="A122" s="125">
        <f t="shared" si="1"/>
        <v>115</v>
      </c>
      <c r="B122" s="25">
        <f>'Rock Climbing Log'!B122</f>
        <v>0</v>
      </c>
      <c r="C122" s="126">
        <f>'Rock Climbing Log'!C122</f>
        <v>0</v>
      </c>
      <c r="D122" s="26">
        <f>_xlfn.IFNA(IF(LEFT('Rock Climbing Log'!D122)="C",_xlfn.IFNA(VLOOKUP('Rock Climbing Log'!D122,'RC Lookup'!$A$3:$B$9,2,FALSE),0.5),VLOOKUP('Rock Climbing Log'!D122,'RC Lookup'!$G$3:$H$5,2,FALSE)),0)*VLOOKUP(D$7,'RC Lookup'!$D$3:$E$18,2,FALSE)</f>
        <v>0</v>
      </c>
      <c r="E122" s="26">
        <f>_xlfn.IFNA(IF(LEFT('Rock Climbing Log'!E122)="C",_xlfn.IFNA(VLOOKUP('Rock Climbing Log'!E122,'RC Lookup'!$A$3:$B$9,2,FALSE),0.5),VLOOKUP('Rock Climbing Log'!E122,'RC Lookup'!$G$3:$H$5,2,FALSE)),0)*VLOOKUP(D$7,'RC Lookup'!$D$3:$E$18,2,FALSE)</f>
        <v>0</v>
      </c>
      <c r="F122" s="26">
        <f>_xlfn.IFNA(IF(LEFT('Rock Climbing Log'!F122)="C",_xlfn.IFNA(VLOOKUP('Rock Climbing Log'!F122,'RC Lookup'!$A$3:$B$9,2,FALSE),0.5),VLOOKUP('Rock Climbing Log'!F122,'RC Lookup'!$G$3:$H$5,2,FALSE)),0)*VLOOKUP(D$7,'RC Lookup'!$D$3:$E$18,2,FALSE)</f>
        <v>0</v>
      </c>
      <c r="G122" s="26">
        <f>_xlfn.IFNA(IF(LEFT('Rock Climbing Log'!G122)="C",_xlfn.IFNA(VLOOKUP('Rock Climbing Log'!G122,'RC Lookup'!$A$3:$B$9,2,FALSE),0.5),VLOOKUP('Rock Climbing Log'!G122,'RC Lookup'!$G$3:$H$5,2,FALSE)),0)*VLOOKUP(G$7,'RC Lookup'!$D$3:$E$18,2,FALSE)</f>
        <v>0</v>
      </c>
      <c r="H122" s="26">
        <f>_xlfn.IFNA(IF(LEFT('Rock Climbing Log'!H122)="C",_xlfn.IFNA(VLOOKUP('Rock Climbing Log'!H122,'RC Lookup'!$A$3:$B$9,2,FALSE),0.5),VLOOKUP('Rock Climbing Log'!H122,'RC Lookup'!$G$3:$H$5,2,FALSE)),0)*VLOOKUP(G$7,'RC Lookup'!$D$3:$E$18,2,FALSE)</f>
        <v>0</v>
      </c>
      <c r="I122" s="26">
        <f>_xlfn.IFNA(IF(LEFT('Rock Climbing Log'!I122)="C",_xlfn.IFNA(VLOOKUP('Rock Climbing Log'!I122,'RC Lookup'!$A$3:$B$9,2,FALSE),0.5),VLOOKUP('Rock Climbing Log'!I122,'RC Lookup'!$G$3:$H$5,2,FALSE)),0)*VLOOKUP(G$7,'RC Lookup'!$D$3:$E$18,2,FALSE)</f>
        <v>0</v>
      </c>
      <c r="J122" s="26">
        <f>_xlfn.IFNA(IF(LEFT('Rock Climbing Log'!J122)="C",_xlfn.IFNA(VLOOKUP('Rock Climbing Log'!J122,'RC Lookup'!$A$3:$B$9,2,FALSE),0.5),VLOOKUP('Rock Climbing Log'!J122,'RC Lookup'!$G$3:$H$5,2,FALSE)),0)*VLOOKUP(J$7,'RC Lookup'!$D$3:$E$18,2,FALSE)</f>
        <v>0</v>
      </c>
      <c r="K122" s="26">
        <f>_xlfn.IFNA(IF(LEFT('Rock Climbing Log'!K122)="C",_xlfn.IFNA(VLOOKUP('Rock Climbing Log'!K122,'RC Lookup'!$A$3:$B$9,2,FALSE),0.5),VLOOKUP('Rock Climbing Log'!K122,'RC Lookup'!$G$3:$H$5,2,FALSE)),0)*VLOOKUP(J$7,'RC Lookup'!$D$3:$E$18,2,FALSE)</f>
        <v>0</v>
      </c>
      <c r="L122" s="26">
        <f>_xlfn.IFNA(IF(LEFT('Rock Climbing Log'!L122)="C",_xlfn.IFNA(VLOOKUP('Rock Climbing Log'!L122,'RC Lookup'!$A$3:$B$9,2,FALSE),0.5),VLOOKUP('Rock Climbing Log'!L122,'RC Lookup'!$G$3:$H$5,2,FALSE)),0)*VLOOKUP(J$7,'RC Lookup'!$D$3:$E$18,2,FALSE)</f>
        <v>0</v>
      </c>
      <c r="M122" s="26">
        <f>_xlfn.IFNA(IF(LEFT('Rock Climbing Log'!M122)="C",_xlfn.IFNA(VLOOKUP('Rock Climbing Log'!M122,'RC Lookup'!$A$3:$B$9,2,FALSE),0.5),VLOOKUP('Rock Climbing Log'!M122,'RC Lookup'!$G$3:$H$5,2,FALSE)),0)*VLOOKUP(M$7,'RC Lookup'!$D$3:$E$18,2,FALSE)</f>
        <v>0</v>
      </c>
      <c r="N122" s="26">
        <f>_xlfn.IFNA(IF(LEFT('Rock Climbing Log'!N122)="C",_xlfn.IFNA(VLOOKUP('Rock Climbing Log'!N122,'RC Lookup'!$A$3:$B$9,2,FALSE),0.5),VLOOKUP('Rock Climbing Log'!N122,'RC Lookup'!$G$3:$H$5,2,FALSE)),0)*VLOOKUP(M$7,'RC Lookup'!$D$3:$E$18,2,FALSE)</f>
        <v>0</v>
      </c>
      <c r="O122" s="26">
        <f>_xlfn.IFNA(IF(LEFT('Rock Climbing Log'!O122)="C",_xlfn.IFNA(VLOOKUP('Rock Climbing Log'!O122,'RC Lookup'!$A$3:$B$9,2,FALSE),0.5),VLOOKUP('Rock Climbing Log'!O122,'RC Lookup'!$G$3:$H$5,2,FALSE)),0)*VLOOKUP(M$7,'RC Lookup'!$D$3:$E$18,2,FALSE)</f>
        <v>0</v>
      </c>
      <c r="P122" s="26">
        <f>_xlfn.IFNA(IF(LEFT('Rock Climbing Log'!P122)="C",_xlfn.IFNA(VLOOKUP('Rock Climbing Log'!P122,'RC Lookup'!$A$3:$B$9,2,FALSE),0.5),VLOOKUP('Rock Climbing Log'!P122,'RC Lookup'!$G$3:$H$5,2,FALSE)),0)*VLOOKUP(P$7,'RC Lookup'!$D$3:$E$18,2,FALSE)</f>
        <v>0</v>
      </c>
      <c r="Q122" s="26">
        <f>_xlfn.IFNA(IF(LEFT('Rock Climbing Log'!Q122)="C",_xlfn.IFNA(VLOOKUP('Rock Climbing Log'!Q122,'RC Lookup'!$A$3:$B$9,2,FALSE),0.5),VLOOKUP('Rock Climbing Log'!Q122,'RC Lookup'!$G$3:$H$5,2,FALSE)),0)*VLOOKUP(P$7,'RC Lookup'!$D$3:$E$18,2,FALSE)</f>
        <v>0</v>
      </c>
      <c r="R122" s="26">
        <f>_xlfn.IFNA(IF(LEFT('Rock Climbing Log'!R122)="C",_xlfn.IFNA(VLOOKUP('Rock Climbing Log'!R122,'RC Lookup'!$A$3:$B$9,2,FALSE),0.5),VLOOKUP('Rock Climbing Log'!R122,'RC Lookup'!$G$3:$H$5,2,FALSE)),0)*VLOOKUP(P$7,'RC Lookup'!$D$3:$E$18,2,FALSE)</f>
        <v>0</v>
      </c>
      <c r="S122" s="26">
        <f>_xlfn.IFNA(IF(LEFT('Rock Climbing Log'!S122)="C",_xlfn.IFNA(VLOOKUP('Rock Climbing Log'!S122,'RC Lookup'!$A$3:$B$9,2,FALSE),0.5),VLOOKUP('Rock Climbing Log'!S122,'RC Lookup'!$G$3:$H$5,2,FALSE)),0)*VLOOKUP(S$7,'RC Lookup'!$D$3:$E$18,2,FALSE)</f>
        <v>0</v>
      </c>
      <c r="T122" s="26">
        <f>_xlfn.IFNA(IF(LEFT('Rock Climbing Log'!T122)="C",_xlfn.IFNA(VLOOKUP('Rock Climbing Log'!T122,'RC Lookup'!$A$3:$B$9,2,FALSE),0.5),VLOOKUP('Rock Climbing Log'!T122,'RC Lookup'!$G$3:$H$5,2,FALSE)),0)*VLOOKUP(S$7,'RC Lookup'!$D$3:$E$18,2,FALSE)</f>
        <v>0</v>
      </c>
      <c r="U122" s="26">
        <f>_xlfn.IFNA(IF(LEFT('Rock Climbing Log'!U122)="C",_xlfn.IFNA(VLOOKUP('Rock Climbing Log'!U122,'RC Lookup'!$A$3:$B$9,2,FALSE),0.5),VLOOKUP('Rock Climbing Log'!U122,'RC Lookup'!$G$3:$H$5,2,FALSE)),0)*VLOOKUP(S$7,'RC Lookup'!$D$3:$E$18,2,FALSE)</f>
        <v>0</v>
      </c>
      <c r="V122" s="26">
        <f>_xlfn.IFNA(IF(LEFT('Rock Climbing Log'!V122)="C",_xlfn.IFNA(VLOOKUP('Rock Climbing Log'!V122,'RC Lookup'!$A$3:$B$9,2,FALSE),0.5),VLOOKUP('Rock Climbing Log'!V122,'RC Lookup'!$G$3:$H$5,2,FALSE)),0)*VLOOKUP(V$7,'RC Lookup'!$D$3:$E$18,2,FALSE)</f>
        <v>0</v>
      </c>
      <c r="W122" s="26">
        <f>_xlfn.IFNA(IF(LEFT('Rock Climbing Log'!W122)="C",_xlfn.IFNA(VLOOKUP('Rock Climbing Log'!W122,'RC Lookup'!$A$3:$B$9,2,FALSE),0.5),VLOOKUP('Rock Climbing Log'!W122,'RC Lookup'!$G$3:$H$5,2,FALSE)),0)*VLOOKUP(V$7,'RC Lookup'!$D$3:$E$18,2,FALSE)</f>
        <v>0</v>
      </c>
      <c r="X122" s="26">
        <f>_xlfn.IFNA(IF(LEFT('Rock Climbing Log'!X122)="C",_xlfn.IFNA(VLOOKUP('Rock Climbing Log'!X122,'RC Lookup'!$A$3:$B$9,2,FALSE),0.5),VLOOKUP('Rock Climbing Log'!X122,'RC Lookup'!$G$3:$H$5,2,FALSE)),0)*VLOOKUP(V$7,'RC Lookup'!$D$3:$E$18,2,FALSE)</f>
        <v>0</v>
      </c>
      <c r="Y122" s="26">
        <f>_xlfn.IFNA(IF(LEFT('Rock Climbing Log'!Y122)="C",_xlfn.IFNA(VLOOKUP('Rock Climbing Log'!Y122,'RC Lookup'!$A$3:$B$9,2,FALSE),0.5),VLOOKUP('Rock Climbing Log'!Y122,'RC Lookup'!$G$3:$H$5,2,FALSE)),0)*VLOOKUP(Y$7,'RC Lookup'!$D$3:$E$18,2,FALSE)</f>
        <v>0</v>
      </c>
      <c r="Z122" s="26">
        <f>_xlfn.IFNA(IF(LEFT('Rock Climbing Log'!Z122)="C",_xlfn.IFNA(VLOOKUP('Rock Climbing Log'!Z122,'RC Lookup'!$A$3:$B$9,2,FALSE),0.5),VLOOKUP('Rock Climbing Log'!Z122,'RC Lookup'!$G$3:$H$5,2,FALSE)),0)*VLOOKUP(Y$7,'RC Lookup'!$D$3:$E$18,2,FALSE)</f>
        <v>0</v>
      </c>
      <c r="AA122" s="26">
        <f>_xlfn.IFNA(IF(LEFT('Rock Climbing Log'!AA122)="C",_xlfn.IFNA(VLOOKUP('Rock Climbing Log'!AA122,'RC Lookup'!$A$3:$B$9,2,FALSE),0.5),VLOOKUP('Rock Climbing Log'!AA122,'RC Lookup'!$G$3:$H$5,2,FALSE)),0)*VLOOKUP(Y$7,'RC Lookup'!$D$3:$E$18,2,FALSE)</f>
        <v>0</v>
      </c>
      <c r="AB122" s="26">
        <f>_xlfn.IFNA(IF(LEFT('Rock Climbing Log'!AB122)="C",_xlfn.IFNA(VLOOKUP('Rock Climbing Log'!AB122,'RC Lookup'!$A$3:$B$9,2,FALSE),0.5),VLOOKUP('Rock Climbing Log'!AB122,'RC Lookup'!$G$3:$H$5,2,FALSE)),0)*VLOOKUP(AB$7,'RC Lookup'!$D$3:$E$18,2,FALSE)</f>
        <v>0</v>
      </c>
      <c r="AC122" s="26">
        <f>_xlfn.IFNA(IF(LEFT('Rock Climbing Log'!AC122)="C",_xlfn.IFNA(VLOOKUP('Rock Climbing Log'!AC122,'RC Lookup'!$A$3:$B$9,2,FALSE),0.5),VLOOKUP('Rock Climbing Log'!AC122,'RC Lookup'!$G$3:$H$5,2,FALSE)),0)*VLOOKUP(AB$7,'RC Lookup'!$D$3:$E$18,2,FALSE)</f>
        <v>0</v>
      </c>
      <c r="AD122" s="26">
        <f>_xlfn.IFNA(IF(LEFT('Rock Climbing Log'!AD122)="C",_xlfn.IFNA(VLOOKUP('Rock Climbing Log'!AD122,'RC Lookup'!$A$3:$B$9,2,FALSE),0.5),VLOOKUP('Rock Climbing Log'!AD122,'RC Lookup'!$G$3:$H$5,2,FALSE)),0)*VLOOKUP(AB$7,'RC Lookup'!$D$3:$E$18,2,FALSE)</f>
        <v>0</v>
      </c>
      <c r="AE122" s="26">
        <f>_xlfn.IFNA(IF(LEFT('Rock Climbing Log'!AE122)="C",_xlfn.IFNA(VLOOKUP('Rock Climbing Log'!AE122,'RC Lookup'!$A$3:$B$9,2,FALSE),0.5),VLOOKUP('Rock Climbing Log'!AE122,'RC Lookup'!$G$3:$H$5,2,FALSE)),0)*VLOOKUP(AE$7,'RC Lookup'!$D$3:$E$18,2,FALSE)</f>
        <v>0</v>
      </c>
      <c r="AF122" s="26">
        <f>_xlfn.IFNA(IF(LEFT('Rock Climbing Log'!AF122)="C",_xlfn.IFNA(VLOOKUP('Rock Climbing Log'!AF122,'RC Lookup'!$A$3:$B$9,2,FALSE),0.5),VLOOKUP('Rock Climbing Log'!AF122,'RC Lookup'!$G$3:$H$5,2,FALSE)),0)*VLOOKUP(AE$7,'RC Lookup'!$D$3:$E$18,2,FALSE)</f>
        <v>0</v>
      </c>
      <c r="AG122" s="26">
        <f>_xlfn.IFNA(IF(LEFT('Rock Climbing Log'!AG122)="C",_xlfn.IFNA(VLOOKUP('Rock Climbing Log'!AG122,'RC Lookup'!$A$3:$B$9,2,FALSE),0.5),VLOOKUP('Rock Climbing Log'!AG122,'RC Lookup'!$G$3:$H$5,2,FALSE)),0)*VLOOKUP(AE$7,'RC Lookup'!$D$3:$E$18,2,FALSE)</f>
        <v>0</v>
      </c>
      <c r="AH122" s="26">
        <f>_xlfn.IFNA(IF(LEFT('Rock Climbing Log'!AH122)="C",_xlfn.IFNA(VLOOKUP('Rock Climbing Log'!AH122,'RC Lookup'!$A$3:$B$9,2,FALSE),0.5),VLOOKUP('Rock Climbing Log'!AH122,'RC Lookup'!$G$3:$H$5,2,FALSE)),0)*VLOOKUP(AH$7,'RC Lookup'!$D$3:$E$18,2,FALSE)</f>
        <v>0</v>
      </c>
      <c r="AI122" s="26">
        <f>_xlfn.IFNA(IF(LEFT('Rock Climbing Log'!AI122)="C",_xlfn.IFNA(VLOOKUP('Rock Climbing Log'!AI122,'RC Lookup'!$A$3:$B$9,2,FALSE),0.5),VLOOKUP('Rock Climbing Log'!AI122,'RC Lookup'!$G$3:$H$5,2,FALSE)),0)*VLOOKUP(AH$7,'RC Lookup'!$D$3:$E$18,2,FALSE)</f>
        <v>0</v>
      </c>
      <c r="AJ122" s="26">
        <f>_xlfn.IFNA(IF(LEFT('Rock Climbing Log'!AJ122)="C",_xlfn.IFNA(VLOOKUP('Rock Climbing Log'!AJ122,'RC Lookup'!$A$3:$B$9,2,FALSE),0.5),VLOOKUP('Rock Climbing Log'!AJ122,'RC Lookup'!$G$3:$H$5,2,FALSE)),0)*VLOOKUP(AH$7,'RC Lookup'!$D$3:$E$18,2,FALSE)</f>
        <v>0</v>
      </c>
      <c r="AK122" s="26">
        <f>_xlfn.IFNA(IF(LEFT('Rock Climbing Log'!AK122)="C",_xlfn.IFNA(VLOOKUP('Rock Climbing Log'!AK122,'RC Lookup'!$A$3:$B$9,2,FALSE),0.5),VLOOKUP('Rock Climbing Log'!AK122,'RC Lookup'!$G$3:$H$5,2,FALSE)),0)*VLOOKUP(AK$7,'RC Lookup'!$D$3:$E$18,2,FALSE)</f>
        <v>0</v>
      </c>
      <c r="AL122" s="26">
        <f>_xlfn.IFNA(IF(LEFT('Rock Climbing Log'!AL122)="C",_xlfn.IFNA(VLOOKUP('Rock Climbing Log'!AL122,'RC Lookup'!$A$3:$B$9,2,FALSE),0.5),VLOOKUP('Rock Climbing Log'!AL122,'RC Lookup'!$G$3:$H$5,2,FALSE)),0)*VLOOKUP(AK$7,'RC Lookup'!$D$3:$E$18,2,FALSE)</f>
        <v>0</v>
      </c>
      <c r="AM122" s="26">
        <f>_xlfn.IFNA(IF(LEFT('Rock Climbing Log'!AM122)="C",_xlfn.IFNA(VLOOKUP('Rock Climbing Log'!AM122,'RC Lookup'!$A$3:$B$9,2,FALSE),0.5),VLOOKUP('Rock Climbing Log'!AM122,'RC Lookup'!$G$3:$H$5,2,FALSE)),0)*VLOOKUP(AK$7,'RC Lookup'!$D$3:$E$18,2,FALSE)</f>
        <v>0</v>
      </c>
      <c r="AN122" s="26">
        <f>_xlfn.IFNA(IF(LEFT('Rock Climbing Log'!AN122)="C",_xlfn.IFNA(VLOOKUP('Rock Climbing Log'!AN122,'RC Lookup'!$A$3:$B$9,2,FALSE),0.5),VLOOKUP('Rock Climbing Log'!AN122,'RC Lookup'!$G$3:$H$5,2,FALSE)),0)*VLOOKUP(AN$7,'RC Lookup'!$D$3:$E$18,2,FALSE)</f>
        <v>0</v>
      </c>
      <c r="AO122" s="26">
        <f>_xlfn.IFNA(IF(LEFT('Rock Climbing Log'!AO122)="C",_xlfn.IFNA(VLOOKUP('Rock Climbing Log'!AO122,'RC Lookup'!$A$3:$B$9,2,FALSE),0.5),VLOOKUP('Rock Climbing Log'!AO122,'RC Lookup'!$G$3:$H$5,2,FALSE)),0)*VLOOKUP(AN$7,'RC Lookup'!$D$3:$E$18,2,FALSE)</f>
        <v>0</v>
      </c>
      <c r="AP122" s="26">
        <f>_xlfn.IFNA(IF(LEFT('Rock Climbing Log'!AP122)="C",_xlfn.IFNA(VLOOKUP('Rock Climbing Log'!AP122,'RC Lookup'!$A$3:$B$9,2,FALSE),0.5),VLOOKUP('Rock Climbing Log'!AP122,'RC Lookup'!$G$3:$H$5,2,FALSE)),0)*VLOOKUP(AN$7,'RC Lookup'!$D$3:$E$18,2,FALSE)</f>
        <v>0</v>
      </c>
      <c r="AQ122" s="26">
        <f>_xlfn.IFNA(IF(LEFT('Rock Climbing Log'!AQ122)="C",_xlfn.IFNA(VLOOKUP('Rock Climbing Log'!AQ122,'RC Lookup'!$A$3:$B$9,2,FALSE),0.5),VLOOKUP('Rock Climbing Log'!AQ122,'RC Lookup'!$G$3:$H$5,2,FALSE)),0)*VLOOKUP(AQ$7,'RC Lookup'!$D$3:$E$18,2,FALSE)</f>
        <v>0</v>
      </c>
      <c r="AR122" s="26">
        <f>_xlfn.IFNA(IF(LEFT('Rock Climbing Log'!AR122)="C",_xlfn.IFNA(VLOOKUP('Rock Climbing Log'!AR122,'RC Lookup'!$A$3:$B$9,2,FALSE),0.5),VLOOKUP('Rock Climbing Log'!AR122,'RC Lookup'!$G$3:$H$5,2,FALSE)),0)*VLOOKUP(AQ$7,'RC Lookup'!$D$3:$E$18,2,FALSE)</f>
        <v>0</v>
      </c>
      <c r="AS122" s="26">
        <f>_xlfn.IFNA(IF(LEFT('Rock Climbing Log'!AS122)="C",_xlfn.IFNA(VLOOKUP('Rock Climbing Log'!AS122,'RC Lookup'!$A$3:$B$9,2,FALSE),0.5),VLOOKUP('Rock Climbing Log'!AS122,'RC Lookup'!$G$3:$H$5,2,FALSE)),0)*VLOOKUP(AQ$7,'RC Lookup'!$D$3:$E$18,2,FALSE)</f>
        <v>0</v>
      </c>
      <c r="AT122" s="26">
        <f>_xlfn.IFNA(IF(LEFT('Rock Climbing Log'!AT122)="C",_xlfn.IFNA(VLOOKUP('Rock Climbing Log'!AT122,'RC Lookup'!$A$3:$B$9,2,FALSE),0.5),VLOOKUP('Rock Climbing Log'!AT122,'RC Lookup'!$G$3:$H$5,2,FALSE)),0)*VLOOKUP(AT$7,'RC Lookup'!$D$3:$E$18,2,FALSE)</f>
        <v>0</v>
      </c>
      <c r="AU122" s="26">
        <f>_xlfn.IFNA(IF(LEFT('Rock Climbing Log'!AU122)="C",_xlfn.IFNA(VLOOKUP('Rock Climbing Log'!AU122,'RC Lookup'!$A$3:$B$9,2,FALSE),0.5),VLOOKUP('Rock Climbing Log'!AU122,'RC Lookup'!$G$3:$H$5,2,FALSE)),0)*VLOOKUP(AT$7,'RC Lookup'!$D$3:$E$18,2,FALSE)</f>
        <v>0</v>
      </c>
      <c r="AV122" s="26">
        <f>_xlfn.IFNA(IF(LEFT('Rock Climbing Log'!AV122)="C",_xlfn.IFNA(VLOOKUP('Rock Climbing Log'!AV122,'RC Lookup'!$A$3:$B$9,2,FALSE),0.5),VLOOKUP('Rock Climbing Log'!AV122,'RC Lookup'!$G$3:$H$5,2,FALSE)),0)*VLOOKUP(AT$7,'RC Lookup'!$D$3:$E$18,2,FALSE)</f>
        <v>0</v>
      </c>
      <c r="AW122" s="30">
        <f t="shared" ca="1" si="4"/>
        <v>0</v>
      </c>
      <c r="AX122" s="30">
        <f ca="1">_xlfn.IFNA(VLOOKUP(SUMPRODUCT(LARGE(($C$8:$C122=Table1[[#This Row],[Climber]])*$A$8:$A122,1)),$A$8:$AW122,MATCH($AW$7,$A$7:$AW$7,FALSE),FALSE),0)/LEFT($AX$7,FIND(" ",$AX$7))+_xlfn.IFNA(VLOOKUP(SUMPRODUCT(LARGE(($C$8:$C122=Table1[[#This Row],[Climber]])*$A$8:$A122,MIN(2,COUNTIFS($C$8:$C122,$C122)))),$A$8:$AW122,MATCH($AW$7,$A$7:$AW$7,FALSE),FALSE),0)/LEFT($AX$7,FIND(" ",$AX$7))+_xlfn.IFNA(VLOOKUP(SUMPRODUCT(LARGE(($C$8:$C122=Table1[[#This Row],[Climber]])*$A$8:$A122,MIN(3,COUNTIFS($C$8:$C122,$C122)))),$A$8:$AW122,MATCH($AW$7,$A$7:$AW$7,FALSE),FALSE),0)/LEFT($AX$7,FIND(" ",$AX$7))</f>
        <v>0</v>
      </c>
      <c r="AY122" s="30">
        <f ca="1">_xlfn.IFNA(VLOOKUP(SUMPRODUCT(LARGE(($C$8:$C122=Table1[[#This Row],[Climber]])*$A$8:$A122,1)),$A$8:$AW122,MATCH($AW$7,$A$7:$AW$7,FALSE),FALSE),0)/LEFT($AY$7,FIND(" ",$AY$7))+_xlfn.IFNA(VLOOKUP(SUMPRODUCT(LARGE(($C$8:$C122=Table1[[#This Row],[Climber]])*$A$8:$A122,MIN(2,COUNTIFS($C$8:$C122,$C122)))),$A$8:$AW122,MATCH($AW$7,$A$7:$AW$7,FALSE),FALSE),0)/LEFT($AY$7,FIND(" ",$AY$7))+_xlfn.IFNA(VLOOKUP(SUMPRODUCT(LARGE(($C$8:$C122=Table1[[#This Row],[Climber]])*$A$8:$A122,MIN(3,COUNTIFS($C$8:$C122,$C122)))),$A$8:$AW122,MATCH($AW$7,$A$7:$AW$7,FALSE),FALSE),0)/LEFT($AY$7,FIND(" ",$AY$7))+_xlfn.IFNA(VLOOKUP(SUMPRODUCT(LARGE(($C$8:$C122=Table1[[#This Row],[Climber]])*$A$8:$A122,MIN(4,COUNTIFS($C$8:$C122,$C122)))),$A$8:$AW122,MATCH($AW$7,$A$7:$AW$7,FALSE),FALSE),0)/LEFT($AY$7,FIND(" ",$AY$7))+_xlfn.IFNA(VLOOKUP(SUMPRODUCT(LARGE(($C$8:$C122=Table1[[#This Row],[Climber]])*$A$8:$A122,MIN(5,COUNTIFS($C$8:$C122,$C122)))),$A$8:$AW122,MATCH($AW$7,$A$7:$AW$7,FALSE),FALSE),0)/LEFT($AY$7,FIND(" ",$AY$7))</f>
        <v>0</v>
      </c>
      <c r="AZ122" s="30">
        <f ca="1">(_xlfn.IFNA(VLOOKUP(SUMPRODUCT(LARGE(($C$8:$C122=Table1[[#This Row],[Climber]])*$A$8:$A122,4)),$A$8:$AW122,MATCH($AW$7,$A$7:$AW$7,FALSE),FALSE),0)+_xlfn.IFNA(VLOOKUP(SUMPRODUCT(LARGE(($C$8:$C122=Table1[[#This Row],[Climber]])*$A$8:$A122,5)),$A$8:$AW122,MATCH($AW$7,$A$7:$AW$7,FALSE),FALSE),0)+_xlfn.IFNA(VLOOKUP(SUMPRODUCT(LARGE(($C$8:$C122=Table1[[#This Row],[Climber]])*$A$8:$A122,6)),$A$8:$AW122,MATCH($AW$7,$A$7:$AW$7,FALSE),FALSE),0))/3</f>
        <v>0</v>
      </c>
      <c r="BA122" s="46">
        <f ca="1">_xlfn.MAXIFS(INDIRECT("$AW"&amp;IF(SUMPRODUCT(LARGE(($C$8:$C122=$C122)*$A$8:$A122,LEFT($BA$7,FIND(" ",$BA$7)-1)))=0,8,SUMPRODUCT(LARGE(($C$8:$C122=$C122)*$A$8:$A122,LEFT($BA$7,FIND(" ",$BA$7)-1)))+7)&amp;":$AW"&amp;ROW()),INDIRECT("$C"&amp;IF(SUMPRODUCT(LARGE(($C$8:$C122=$C122)*$A$8:$A122,LEFT($BA$7,FIND(" ",$BA$7)-1)))=0,8,SUMPRODUCT(LARGE(($C$8:$C122=$C122)*$A$8:$A122,LEFT($BA$7,FIND(" ",$BA$7)-1)))+7)&amp;":$C"&amp;ROW()),$C122)</f>
        <v>0</v>
      </c>
      <c r="BB122" s="46" t="str">
        <f ca="1">VLOOKUP(MAX(BG122,$AX122),'RC Lookup'!$G$14:$J$20,2,TRUE)</f>
        <v>T1</v>
      </c>
      <c r="BC122" s="46">
        <f ca="1">_xlfn.IFNA(VLOOKUP(VLOOKUP($C122,'RC Lookup'!$O$3:$P$50,2,FALSE),'RC Lookup'!$H$14:$J$23,2,FALSE),0)*AW122</f>
        <v>0</v>
      </c>
      <c r="BD122" s="6">
        <f ca="1">_xlfn.IFNA(VLOOKUP(SUMPRODUCT(LARGE(($C$8:$C122=Table1[[#This Row],[Climber]])*$A$8:$A122,1)),$A$8:$BC122,55,FALSE),0)/LEFT($AX$7,FIND(" ",$AX$7))+_xlfn.IFNA(VLOOKUP(SUMPRODUCT(LARGE(($C$8:$C122=Table1[[#This Row],[Climber]])*$A$8:$A122,MIN(2,COUNTIFS($C$8:$C122,$C122)))),$A$8:$BC122,55,FALSE),0)/LEFT($AX$7,FIND(" ",$AX$7))+_xlfn.IFNA(VLOOKUP(SUMPRODUCT(LARGE(($C$8:$C122=Table1[[#This Row],[Climber]])*$A$8:$A122,MIN(3,COUNTIFS($C$8:$C122,$C122)))),$A$8:$BC122,55,FALSE),0)/LEFT($AX$7,FIND(" ",$AX$7))</f>
        <v>0</v>
      </c>
      <c r="BE122" s="6">
        <f ca="1">(_xlfn.IFNA(VLOOKUP(SUMPRODUCT(LARGE(($C$8:$C122=Table1[[#This Row],[Climber]])*$A$8:$A122,4)),$A$8:$BD122,55,FALSE),0)+_xlfn.IFNA(VLOOKUP(SUMPRODUCT(LARGE(($C$8:$C122=Table1[[#This Row],[Climber]])*$A$8:$A122,5)),$A$8:$BD122,55,FALSE),0)+_xlfn.IFNA(VLOOKUP(SUMPRODUCT(LARGE(($C$8:$C122=Table1[[#This Row],[Climber]])*$A$8:$A122,6)),$A$8:$BD122,55,FALSE),0))/3</f>
        <v>0</v>
      </c>
      <c r="BF122" s="46">
        <f ca="1">_xlfn.MAXIFS(INDIRECT("$BC"&amp;IF(SUMPRODUCT(LARGE(($C$8:$C122=$C122)*$A$8:$A122,LEFT($BA$7,FIND(" ",$BA$7)-1)))=0,8,SUMPRODUCT(LARGE(($C$8:$C122=$C122)*$A$8:$A122,LEFT($BA$7,FIND(" ",$BA$7)-1)))+7)&amp;":$BC"&amp;ROW()),INDIRECT("$C"&amp;IF(SUMPRODUCT(LARGE(($C$8:$C122=$C122)*$A$8:$A122,LEFT($BA$7,FIND(" ",$BA$7)-1)))=0,8,SUMPRODUCT(LARGE(($C$8:$C122=$C122)*$A$8:$A122,LEFT($BA$7,FIND(" ",$BA$7)-1)))+7)&amp;":$C"&amp;ROW()),$C122)</f>
        <v>0</v>
      </c>
      <c r="BG122" s="46">
        <f t="array" aca="1" ref="BG122" ca="1">IFERROR(SUMPRODUCT(LARGE(($C$8:$C122=Table1[[#This Row],[Climber]])*$AW$8:$AW122,ROW(INDIRECT("1:5")))),AW122)/MIN(COUNTIFS($C$8:$C122,C122),5)</f>
        <v>0</v>
      </c>
    </row>
    <row r="123" spans="1:59" x14ac:dyDescent="0.3">
      <c r="A123" s="125">
        <f t="shared" si="1"/>
        <v>116</v>
      </c>
      <c r="B123" s="25">
        <f>'Rock Climbing Log'!B123</f>
        <v>0</v>
      </c>
      <c r="C123" s="126">
        <f>'Rock Climbing Log'!C123</f>
        <v>0</v>
      </c>
      <c r="D123" s="26">
        <f>_xlfn.IFNA(IF(LEFT('Rock Climbing Log'!D123)="C",_xlfn.IFNA(VLOOKUP('Rock Climbing Log'!D123,'RC Lookup'!$A$3:$B$9,2,FALSE),0.5),VLOOKUP('Rock Climbing Log'!D123,'RC Lookup'!$G$3:$H$5,2,FALSE)),0)*VLOOKUP(D$7,'RC Lookup'!$D$3:$E$18,2,FALSE)</f>
        <v>0</v>
      </c>
      <c r="E123" s="26">
        <f>_xlfn.IFNA(IF(LEFT('Rock Climbing Log'!E123)="C",_xlfn.IFNA(VLOOKUP('Rock Climbing Log'!E123,'RC Lookup'!$A$3:$B$9,2,FALSE),0.5),VLOOKUP('Rock Climbing Log'!E123,'RC Lookup'!$G$3:$H$5,2,FALSE)),0)*VLOOKUP(D$7,'RC Lookup'!$D$3:$E$18,2,FALSE)</f>
        <v>0</v>
      </c>
      <c r="F123" s="26">
        <f>_xlfn.IFNA(IF(LEFT('Rock Climbing Log'!F123)="C",_xlfn.IFNA(VLOOKUP('Rock Climbing Log'!F123,'RC Lookup'!$A$3:$B$9,2,FALSE),0.5),VLOOKUP('Rock Climbing Log'!F123,'RC Lookup'!$G$3:$H$5,2,FALSE)),0)*VLOOKUP(D$7,'RC Lookup'!$D$3:$E$18,2,FALSE)</f>
        <v>0</v>
      </c>
      <c r="G123" s="26">
        <f>_xlfn.IFNA(IF(LEFT('Rock Climbing Log'!G123)="C",_xlfn.IFNA(VLOOKUP('Rock Climbing Log'!G123,'RC Lookup'!$A$3:$B$9,2,FALSE),0.5),VLOOKUP('Rock Climbing Log'!G123,'RC Lookup'!$G$3:$H$5,2,FALSE)),0)*VLOOKUP(G$7,'RC Lookup'!$D$3:$E$18,2,FALSE)</f>
        <v>0</v>
      </c>
      <c r="H123" s="26">
        <f>_xlfn.IFNA(IF(LEFT('Rock Climbing Log'!H123)="C",_xlfn.IFNA(VLOOKUP('Rock Climbing Log'!H123,'RC Lookup'!$A$3:$B$9,2,FALSE),0.5),VLOOKUP('Rock Climbing Log'!H123,'RC Lookup'!$G$3:$H$5,2,FALSE)),0)*VLOOKUP(G$7,'RC Lookup'!$D$3:$E$18,2,FALSE)</f>
        <v>0</v>
      </c>
      <c r="I123" s="26">
        <f>_xlfn.IFNA(IF(LEFT('Rock Climbing Log'!I123)="C",_xlfn.IFNA(VLOOKUP('Rock Climbing Log'!I123,'RC Lookup'!$A$3:$B$9,2,FALSE),0.5),VLOOKUP('Rock Climbing Log'!I123,'RC Lookup'!$G$3:$H$5,2,FALSE)),0)*VLOOKUP(G$7,'RC Lookup'!$D$3:$E$18,2,FALSE)</f>
        <v>0</v>
      </c>
      <c r="J123" s="26">
        <f>_xlfn.IFNA(IF(LEFT('Rock Climbing Log'!J123)="C",_xlfn.IFNA(VLOOKUP('Rock Climbing Log'!J123,'RC Lookup'!$A$3:$B$9,2,FALSE),0.5),VLOOKUP('Rock Climbing Log'!J123,'RC Lookup'!$G$3:$H$5,2,FALSE)),0)*VLOOKUP(J$7,'RC Lookup'!$D$3:$E$18,2,FALSE)</f>
        <v>0</v>
      </c>
      <c r="K123" s="26">
        <f>_xlfn.IFNA(IF(LEFT('Rock Climbing Log'!K123)="C",_xlfn.IFNA(VLOOKUP('Rock Climbing Log'!K123,'RC Lookup'!$A$3:$B$9,2,FALSE),0.5),VLOOKUP('Rock Climbing Log'!K123,'RC Lookup'!$G$3:$H$5,2,FALSE)),0)*VLOOKUP(J$7,'RC Lookup'!$D$3:$E$18,2,FALSE)</f>
        <v>0</v>
      </c>
      <c r="L123" s="26">
        <f>_xlfn.IFNA(IF(LEFT('Rock Climbing Log'!L123)="C",_xlfn.IFNA(VLOOKUP('Rock Climbing Log'!L123,'RC Lookup'!$A$3:$B$9,2,FALSE),0.5),VLOOKUP('Rock Climbing Log'!L123,'RC Lookup'!$G$3:$H$5,2,FALSE)),0)*VLOOKUP(J$7,'RC Lookup'!$D$3:$E$18,2,FALSE)</f>
        <v>0</v>
      </c>
      <c r="M123" s="26">
        <f>_xlfn.IFNA(IF(LEFT('Rock Climbing Log'!M123)="C",_xlfn.IFNA(VLOOKUP('Rock Climbing Log'!M123,'RC Lookup'!$A$3:$B$9,2,FALSE),0.5),VLOOKUP('Rock Climbing Log'!M123,'RC Lookup'!$G$3:$H$5,2,FALSE)),0)*VLOOKUP(M$7,'RC Lookup'!$D$3:$E$18,2,FALSE)</f>
        <v>0</v>
      </c>
      <c r="N123" s="26">
        <f>_xlfn.IFNA(IF(LEFT('Rock Climbing Log'!N123)="C",_xlfn.IFNA(VLOOKUP('Rock Climbing Log'!N123,'RC Lookup'!$A$3:$B$9,2,FALSE),0.5),VLOOKUP('Rock Climbing Log'!N123,'RC Lookup'!$G$3:$H$5,2,FALSE)),0)*VLOOKUP(M$7,'RC Lookup'!$D$3:$E$18,2,FALSE)</f>
        <v>0</v>
      </c>
      <c r="O123" s="26">
        <f>_xlfn.IFNA(IF(LEFT('Rock Climbing Log'!O123)="C",_xlfn.IFNA(VLOOKUP('Rock Climbing Log'!O123,'RC Lookup'!$A$3:$B$9,2,FALSE),0.5),VLOOKUP('Rock Climbing Log'!O123,'RC Lookup'!$G$3:$H$5,2,FALSE)),0)*VLOOKUP(M$7,'RC Lookup'!$D$3:$E$18,2,FALSE)</f>
        <v>0</v>
      </c>
      <c r="P123" s="26">
        <f>_xlfn.IFNA(IF(LEFT('Rock Climbing Log'!P123)="C",_xlfn.IFNA(VLOOKUP('Rock Climbing Log'!P123,'RC Lookup'!$A$3:$B$9,2,FALSE),0.5),VLOOKUP('Rock Climbing Log'!P123,'RC Lookup'!$G$3:$H$5,2,FALSE)),0)*VLOOKUP(P$7,'RC Lookup'!$D$3:$E$18,2,FALSE)</f>
        <v>0</v>
      </c>
      <c r="Q123" s="26">
        <f>_xlfn.IFNA(IF(LEFT('Rock Climbing Log'!Q123)="C",_xlfn.IFNA(VLOOKUP('Rock Climbing Log'!Q123,'RC Lookup'!$A$3:$B$9,2,FALSE),0.5),VLOOKUP('Rock Climbing Log'!Q123,'RC Lookup'!$G$3:$H$5,2,FALSE)),0)*VLOOKUP(P$7,'RC Lookup'!$D$3:$E$18,2,FALSE)</f>
        <v>0</v>
      </c>
      <c r="R123" s="26">
        <f>_xlfn.IFNA(IF(LEFT('Rock Climbing Log'!R123)="C",_xlfn.IFNA(VLOOKUP('Rock Climbing Log'!R123,'RC Lookup'!$A$3:$B$9,2,FALSE),0.5),VLOOKUP('Rock Climbing Log'!R123,'RC Lookup'!$G$3:$H$5,2,FALSE)),0)*VLOOKUP(P$7,'RC Lookup'!$D$3:$E$18,2,FALSE)</f>
        <v>0</v>
      </c>
      <c r="S123" s="26">
        <f>_xlfn.IFNA(IF(LEFT('Rock Climbing Log'!S123)="C",_xlfn.IFNA(VLOOKUP('Rock Climbing Log'!S123,'RC Lookup'!$A$3:$B$9,2,FALSE),0.5),VLOOKUP('Rock Climbing Log'!S123,'RC Lookup'!$G$3:$H$5,2,FALSE)),0)*VLOOKUP(S$7,'RC Lookup'!$D$3:$E$18,2,FALSE)</f>
        <v>0</v>
      </c>
      <c r="T123" s="26">
        <f>_xlfn.IFNA(IF(LEFT('Rock Climbing Log'!T123)="C",_xlfn.IFNA(VLOOKUP('Rock Climbing Log'!T123,'RC Lookup'!$A$3:$B$9,2,FALSE),0.5),VLOOKUP('Rock Climbing Log'!T123,'RC Lookup'!$G$3:$H$5,2,FALSE)),0)*VLOOKUP(S$7,'RC Lookup'!$D$3:$E$18,2,FALSE)</f>
        <v>0</v>
      </c>
      <c r="U123" s="26">
        <f>_xlfn.IFNA(IF(LEFT('Rock Climbing Log'!U123)="C",_xlfn.IFNA(VLOOKUP('Rock Climbing Log'!U123,'RC Lookup'!$A$3:$B$9,2,FALSE),0.5),VLOOKUP('Rock Climbing Log'!U123,'RC Lookup'!$G$3:$H$5,2,FALSE)),0)*VLOOKUP(S$7,'RC Lookup'!$D$3:$E$18,2,FALSE)</f>
        <v>0</v>
      </c>
      <c r="V123" s="26">
        <f>_xlfn.IFNA(IF(LEFT('Rock Climbing Log'!V123)="C",_xlfn.IFNA(VLOOKUP('Rock Climbing Log'!V123,'RC Lookup'!$A$3:$B$9,2,FALSE),0.5),VLOOKUP('Rock Climbing Log'!V123,'RC Lookup'!$G$3:$H$5,2,FALSE)),0)*VLOOKUP(V$7,'RC Lookup'!$D$3:$E$18,2,FALSE)</f>
        <v>0</v>
      </c>
      <c r="W123" s="26">
        <f>_xlfn.IFNA(IF(LEFT('Rock Climbing Log'!W123)="C",_xlfn.IFNA(VLOOKUP('Rock Climbing Log'!W123,'RC Lookup'!$A$3:$B$9,2,FALSE),0.5),VLOOKUP('Rock Climbing Log'!W123,'RC Lookup'!$G$3:$H$5,2,FALSE)),0)*VLOOKUP(V$7,'RC Lookup'!$D$3:$E$18,2,FALSE)</f>
        <v>0</v>
      </c>
      <c r="X123" s="26">
        <f>_xlfn.IFNA(IF(LEFT('Rock Climbing Log'!X123)="C",_xlfn.IFNA(VLOOKUP('Rock Climbing Log'!X123,'RC Lookup'!$A$3:$B$9,2,FALSE),0.5),VLOOKUP('Rock Climbing Log'!X123,'RC Lookup'!$G$3:$H$5,2,FALSE)),0)*VLOOKUP(V$7,'RC Lookup'!$D$3:$E$18,2,FALSE)</f>
        <v>0</v>
      </c>
      <c r="Y123" s="26">
        <f>_xlfn.IFNA(IF(LEFT('Rock Climbing Log'!Y123)="C",_xlfn.IFNA(VLOOKUP('Rock Climbing Log'!Y123,'RC Lookup'!$A$3:$B$9,2,FALSE),0.5),VLOOKUP('Rock Climbing Log'!Y123,'RC Lookup'!$G$3:$H$5,2,FALSE)),0)*VLOOKUP(Y$7,'RC Lookup'!$D$3:$E$18,2,FALSE)</f>
        <v>0</v>
      </c>
      <c r="Z123" s="26">
        <f>_xlfn.IFNA(IF(LEFT('Rock Climbing Log'!Z123)="C",_xlfn.IFNA(VLOOKUP('Rock Climbing Log'!Z123,'RC Lookup'!$A$3:$B$9,2,FALSE),0.5),VLOOKUP('Rock Climbing Log'!Z123,'RC Lookup'!$G$3:$H$5,2,FALSE)),0)*VLOOKUP(Y$7,'RC Lookup'!$D$3:$E$18,2,FALSE)</f>
        <v>0</v>
      </c>
      <c r="AA123" s="26">
        <f>_xlfn.IFNA(IF(LEFT('Rock Climbing Log'!AA123)="C",_xlfn.IFNA(VLOOKUP('Rock Climbing Log'!AA123,'RC Lookup'!$A$3:$B$9,2,FALSE),0.5),VLOOKUP('Rock Climbing Log'!AA123,'RC Lookup'!$G$3:$H$5,2,FALSE)),0)*VLOOKUP(Y$7,'RC Lookup'!$D$3:$E$18,2,FALSE)</f>
        <v>0</v>
      </c>
      <c r="AB123" s="26">
        <f>_xlfn.IFNA(IF(LEFT('Rock Climbing Log'!AB123)="C",_xlfn.IFNA(VLOOKUP('Rock Climbing Log'!AB123,'RC Lookup'!$A$3:$B$9,2,FALSE),0.5),VLOOKUP('Rock Climbing Log'!AB123,'RC Lookup'!$G$3:$H$5,2,FALSE)),0)*VLOOKUP(AB$7,'RC Lookup'!$D$3:$E$18,2,FALSE)</f>
        <v>0</v>
      </c>
      <c r="AC123" s="26">
        <f>_xlfn.IFNA(IF(LEFT('Rock Climbing Log'!AC123)="C",_xlfn.IFNA(VLOOKUP('Rock Climbing Log'!AC123,'RC Lookup'!$A$3:$B$9,2,FALSE),0.5),VLOOKUP('Rock Climbing Log'!AC123,'RC Lookup'!$G$3:$H$5,2,FALSE)),0)*VLOOKUP(AB$7,'RC Lookup'!$D$3:$E$18,2,FALSE)</f>
        <v>0</v>
      </c>
      <c r="AD123" s="26">
        <f>_xlfn.IFNA(IF(LEFT('Rock Climbing Log'!AD123)="C",_xlfn.IFNA(VLOOKUP('Rock Climbing Log'!AD123,'RC Lookup'!$A$3:$B$9,2,FALSE),0.5),VLOOKUP('Rock Climbing Log'!AD123,'RC Lookup'!$G$3:$H$5,2,FALSE)),0)*VLOOKUP(AB$7,'RC Lookup'!$D$3:$E$18,2,FALSE)</f>
        <v>0</v>
      </c>
      <c r="AE123" s="26">
        <f>_xlfn.IFNA(IF(LEFT('Rock Climbing Log'!AE123)="C",_xlfn.IFNA(VLOOKUP('Rock Climbing Log'!AE123,'RC Lookup'!$A$3:$B$9,2,FALSE),0.5),VLOOKUP('Rock Climbing Log'!AE123,'RC Lookup'!$G$3:$H$5,2,FALSE)),0)*VLOOKUP(AE$7,'RC Lookup'!$D$3:$E$18,2,FALSE)</f>
        <v>0</v>
      </c>
      <c r="AF123" s="26">
        <f>_xlfn.IFNA(IF(LEFT('Rock Climbing Log'!AF123)="C",_xlfn.IFNA(VLOOKUP('Rock Climbing Log'!AF123,'RC Lookup'!$A$3:$B$9,2,FALSE),0.5),VLOOKUP('Rock Climbing Log'!AF123,'RC Lookup'!$G$3:$H$5,2,FALSE)),0)*VLOOKUP(AE$7,'RC Lookup'!$D$3:$E$18,2,FALSE)</f>
        <v>0</v>
      </c>
      <c r="AG123" s="26">
        <f>_xlfn.IFNA(IF(LEFT('Rock Climbing Log'!AG123)="C",_xlfn.IFNA(VLOOKUP('Rock Climbing Log'!AG123,'RC Lookup'!$A$3:$B$9,2,FALSE),0.5),VLOOKUP('Rock Climbing Log'!AG123,'RC Lookup'!$G$3:$H$5,2,FALSE)),0)*VLOOKUP(AE$7,'RC Lookup'!$D$3:$E$18,2,FALSE)</f>
        <v>0</v>
      </c>
      <c r="AH123" s="26">
        <f>_xlfn.IFNA(IF(LEFT('Rock Climbing Log'!AH123)="C",_xlfn.IFNA(VLOOKUP('Rock Climbing Log'!AH123,'RC Lookup'!$A$3:$B$9,2,FALSE),0.5),VLOOKUP('Rock Climbing Log'!AH123,'RC Lookup'!$G$3:$H$5,2,FALSE)),0)*VLOOKUP(AH$7,'RC Lookup'!$D$3:$E$18,2,FALSE)</f>
        <v>0</v>
      </c>
      <c r="AI123" s="26">
        <f>_xlfn.IFNA(IF(LEFT('Rock Climbing Log'!AI123)="C",_xlfn.IFNA(VLOOKUP('Rock Climbing Log'!AI123,'RC Lookup'!$A$3:$B$9,2,FALSE),0.5),VLOOKUP('Rock Climbing Log'!AI123,'RC Lookup'!$G$3:$H$5,2,FALSE)),0)*VLOOKUP(AH$7,'RC Lookup'!$D$3:$E$18,2,FALSE)</f>
        <v>0</v>
      </c>
      <c r="AJ123" s="26">
        <f>_xlfn.IFNA(IF(LEFT('Rock Climbing Log'!AJ123)="C",_xlfn.IFNA(VLOOKUP('Rock Climbing Log'!AJ123,'RC Lookup'!$A$3:$B$9,2,FALSE),0.5),VLOOKUP('Rock Climbing Log'!AJ123,'RC Lookup'!$G$3:$H$5,2,FALSE)),0)*VLOOKUP(AH$7,'RC Lookup'!$D$3:$E$18,2,FALSE)</f>
        <v>0</v>
      </c>
      <c r="AK123" s="26">
        <f>_xlfn.IFNA(IF(LEFT('Rock Climbing Log'!AK123)="C",_xlfn.IFNA(VLOOKUP('Rock Climbing Log'!AK123,'RC Lookup'!$A$3:$B$9,2,FALSE),0.5),VLOOKUP('Rock Climbing Log'!AK123,'RC Lookup'!$G$3:$H$5,2,FALSE)),0)*VLOOKUP(AK$7,'RC Lookup'!$D$3:$E$18,2,FALSE)</f>
        <v>0</v>
      </c>
      <c r="AL123" s="26">
        <f>_xlfn.IFNA(IF(LEFT('Rock Climbing Log'!AL123)="C",_xlfn.IFNA(VLOOKUP('Rock Climbing Log'!AL123,'RC Lookup'!$A$3:$B$9,2,FALSE),0.5),VLOOKUP('Rock Climbing Log'!AL123,'RC Lookup'!$G$3:$H$5,2,FALSE)),0)*VLOOKUP(AK$7,'RC Lookup'!$D$3:$E$18,2,FALSE)</f>
        <v>0</v>
      </c>
      <c r="AM123" s="26">
        <f>_xlfn.IFNA(IF(LEFT('Rock Climbing Log'!AM123)="C",_xlfn.IFNA(VLOOKUP('Rock Climbing Log'!AM123,'RC Lookup'!$A$3:$B$9,2,FALSE),0.5),VLOOKUP('Rock Climbing Log'!AM123,'RC Lookup'!$G$3:$H$5,2,FALSE)),0)*VLOOKUP(AK$7,'RC Lookup'!$D$3:$E$18,2,FALSE)</f>
        <v>0</v>
      </c>
      <c r="AN123" s="26">
        <f>_xlfn.IFNA(IF(LEFT('Rock Climbing Log'!AN123)="C",_xlfn.IFNA(VLOOKUP('Rock Climbing Log'!AN123,'RC Lookup'!$A$3:$B$9,2,FALSE),0.5),VLOOKUP('Rock Climbing Log'!AN123,'RC Lookup'!$G$3:$H$5,2,FALSE)),0)*VLOOKUP(AN$7,'RC Lookup'!$D$3:$E$18,2,FALSE)</f>
        <v>0</v>
      </c>
      <c r="AO123" s="26">
        <f>_xlfn.IFNA(IF(LEFT('Rock Climbing Log'!AO123)="C",_xlfn.IFNA(VLOOKUP('Rock Climbing Log'!AO123,'RC Lookup'!$A$3:$B$9,2,FALSE),0.5),VLOOKUP('Rock Climbing Log'!AO123,'RC Lookup'!$G$3:$H$5,2,FALSE)),0)*VLOOKUP(AN$7,'RC Lookup'!$D$3:$E$18,2,FALSE)</f>
        <v>0</v>
      </c>
      <c r="AP123" s="26">
        <f>_xlfn.IFNA(IF(LEFT('Rock Climbing Log'!AP123)="C",_xlfn.IFNA(VLOOKUP('Rock Climbing Log'!AP123,'RC Lookup'!$A$3:$B$9,2,FALSE),0.5),VLOOKUP('Rock Climbing Log'!AP123,'RC Lookup'!$G$3:$H$5,2,FALSE)),0)*VLOOKUP(AN$7,'RC Lookup'!$D$3:$E$18,2,FALSE)</f>
        <v>0</v>
      </c>
      <c r="AQ123" s="26">
        <f>_xlfn.IFNA(IF(LEFT('Rock Climbing Log'!AQ123)="C",_xlfn.IFNA(VLOOKUP('Rock Climbing Log'!AQ123,'RC Lookup'!$A$3:$B$9,2,FALSE),0.5),VLOOKUP('Rock Climbing Log'!AQ123,'RC Lookup'!$G$3:$H$5,2,FALSE)),0)*VLOOKUP(AQ$7,'RC Lookup'!$D$3:$E$18,2,FALSE)</f>
        <v>0</v>
      </c>
      <c r="AR123" s="26">
        <f>_xlfn.IFNA(IF(LEFT('Rock Climbing Log'!AR123)="C",_xlfn.IFNA(VLOOKUP('Rock Climbing Log'!AR123,'RC Lookup'!$A$3:$B$9,2,FALSE),0.5),VLOOKUP('Rock Climbing Log'!AR123,'RC Lookup'!$G$3:$H$5,2,FALSE)),0)*VLOOKUP(AQ$7,'RC Lookup'!$D$3:$E$18,2,FALSE)</f>
        <v>0</v>
      </c>
      <c r="AS123" s="26">
        <f>_xlfn.IFNA(IF(LEFT('Rock Climbing Log'!AS123)="C",_xlfn.IFNA(VLOOKUP('Rock Climbing Log'!AS123,'RC Lookup'!$A$3:$B$9,2,FALSE),0.5),VLOOKUP('Rock Climbing Log'!AS123,'RC Lookup'!$G$3:$H$5,2,FALSE)),0)*VLOOKUP(AQ$7,'RC Lookup'!$D$3:$E$18,2,FALSE)</f>
        <v>0</v>
      </c>
      <c r="AT123" s="26">
        <f>_xlfn.IFNA(IF(LEFT('Rock Climbing Log'!AT123)="C",_xlfn.IFNA(VLOOKUP('Rock Climbing Log'!AT123,'RC Lookup'!$A$3:$B$9,2,FALSE),0.5),VLOOKUP('Rock Climbing Log'!AT123,'RC Lookup'!$G$3:$H$5,2,FALSE)),0)*VLOOKUP(AT$7,'RC Lookup'!$D$3:$E$18,2,FALSE)</f>
        <v>0</v>
      </c>
      <c r="AU123" s="26">
        <f>_xlfn.IFNA(IF(LEFT('Rock Climbing Log'!AU123)="C",_xlfn.IFNA(VLOOKUP('Rock Climbing Log'!AU123,'RC Lookup'!$A$3:$B$9,2,FALSE),0.5),VLOOKUP('Rock Climbing Log'!AU123,'RC Lookup'!$G$3:$H$5,2,FALSE)),0)*VLOOKUP(AT$7,'RC Lookup'!$D$3:$E$18,2,FALSE)</f>
        <v>0</v>
      </c>
      <c r="AV123" s="26">
        <f>_xlfn.IFNA(IF(LEFT('Rock Climbing Log'!AV123)="C",_xlfn.IFNA(VLOOKUP('Rock Climbing Log'!AV123,'RC Lookup'!$A$3:$B$9,2,FALSE),0.5),VLOOKUP('Rock Climbing Log'!AV123,'RC Lookup'!$G$3:$H$5,2,FALSE)),0)*VLOOKUP(AT$7,'RC Lookup'!$D$3:$E$18,2,FALSE)</f>
        <v>0</v>
      </c>
      <c r="AW123" s="30">
        <f t="shared" ca="1" si="4"/>
        <v>0</v>
      </c>
      <c r="AX123" s="30">
        <f ca="1">_xlfn.IFNA(VLOOKUP(SUMPRODUCT(LARGE(($C$8:$C123=Table1[[#This Row],[Climber]])*$A$8:$A123,1)),$A$8:$AW123,MATCH($AW$7,$A$7:$AW$7,FALSE),FALSE),0)/LEFT($AX$7,FIND(" ",$AX$7))+_xlfn.IFNA(VLOOKUP(SUMPRODUCT(LARGE(($C$8:$C123=Table1[[#This Row],[Climber]])*$A$8:$A123,MIN(2,COUNTIFS($C$8:$C123,$C123)))),$A$8:$AW123,MATCH($AW$7,$A$7:$AW$7,FALSE),FALSE),0)/LEFT($AX$7,FIND(" ",$AX$7))+_xlfn.IFNA(VLOOKUP(SUMPRODUCT(LARGE(($C$8:$C123=Table1[[#This Row],[Climber]])*$A$8:$A123,MIN(3,COUNTIFS($C$8:$C123,$C123)))),$A$8:$AW123,MATCH($AW$7,$A$7:$AW$7,FALSE),FALSE),0)/LEFT($AX$7,FIND(" ",$AX$7))</f>
        <v>0</v>
      </c>
      <c r="AY123" s="30">
        <f ca="1">_xlfn.IFNA(VLOOKUP(SUMPRODUCT(LARGE(($C$8:$C123=Table1[[#This Row],[Climber]])*$A$8:$A123,1)),$A$8:$AW123,MATCH($AW$7,$A$7:$AW$7,FALSE),FALSE),0)/LEFT($AY$7,FIND(" ",$AY$7))+_xlfn.IFNA(VLOOKUP(SUMPRODUCT(LARGE(($C$8:$C123=Table1[[#This Row],[Climber]])*$A$8:$A123,MIN(2,COUNTIFS($C$8:$C123,$C123)))),$A$8:$AW123,MATCH($AW$7,$A$7:$AW$7,FALSE),FALSE),0)/LEFT($AY$7,FIND(" ",$AY$7))+_xlfn.IFNA(VLOOKUP(SUMPRODUCT(LARGE(($C$8:$C123=Table1[[#This Row],[Climber]])*$A$8:$A123,MIN(3,COUNTIFS($C$8:$C123,$C123)))),$A$8:$AW123,MATCH($AW$7,$A$7:$AW$7,FALSE),FALSE),0)/LEFT($AY$7,FIND(" ",$AY$7))+_xlfn.IFNA(VLOOKUP(SUMPRODUCT(LARGE(($C$8:$C123=Table1[[#This Row],[Climber]])*$A$8:$A123,MIN(4,COUNTIFS($C$8:$C123,$C123)))),$A$8:$AW123,MATCH($AW$7,$A$7:$AW$7,FALSE),FALSE),0)/LEFT($AY$7,FIND(" ",$AY$7))+_xlfn.IFNA(VLOOKUP(SUMPRODUCT(LARGE(($C$8:$C123=Table1[[#This Row],[Climber]])*$A$8:$A123,MIN(5,COUNTIFS($C$8:$C123,$C123)))),$A$8:$AW123,MATCH($AW$7,$A$7:$AW$7,FALSE),FALSE),0)/LEFT($AY$7,FIND(" ",$AY$7))</f>
        <v>0</v>
      </c>
      <c r="AZ123" s="30">
        <f ca="1">(_xlfn.IFNA(VLOOKUP(SUMPRODUCT(LARGE(($C$8:$C123=Table1[[#This Row],[Climber]])*$A$8:$A123,4)),$A$8:$AW123,MATCH($AW$7,$A$7:$AW$7,FALSE),FALSE),0)+_xlfn.IFNA(VLOOKUP(SUMPRODUCT(LARGE(($C$8:$C123=Table1[[#This Row],[Climber]])*$A$8:$A123,5)),$A$8:$AW123,MATCH($AW$7,$A$7:$AW$7,FALSE),FALSE),0)+_xlfn.IFNA(VLOOKUP(SUMPRODUCT(LARGE(($C$8:$C123=Table1[[#This Row],[Climber]])*$A$8:$A123,6)),$A$8:$AW123,MATCH($AW$7,$A$7:$AW$7,FALSE),FALSE),0))/3</f>
        <v>0</v>
      </c>
      <c r="BA123" s="46">
        <f ca="1">_xlfn.MAXIFS(INDIRECT("$AW"&amp;IF(SUMPRODUCT(LARGE(($C$8:$C123=$C123)*$A$8:$A123,LEFT($BA$7,FIND(" ",$BA$7)-1)))=0,8,SUMPRODUCT(LARGE(($C$8:$C123=$C123)*$A$8:$A123,LEFT($BA$7,FIND(" ",$BA$7)-1)))+7)&amp;":$AW"&amp;ROW()),INDIRECT("$C"&amp;IF(SUMPRODUCT(LARGE(($C$8:$C123=$C123)*$A$8:$A123,LEFT($BA$7,FIND(" ",$BA$7)-1)))=0,8,SUMPRODUCT(LARGE(($C$8:$C123=$C123)*$A$8:$A123,LEFT($BA$7,FIND(" ",$BA$7)-1)))+7)&amp;":$C"&amp;ROW()),$C123)</f>
        <v>0</v>
      </c>
      <c r="BB123" s="46" t="str">
        <f ca="1">VLOOKUP(MAX(BG123,$AX123),'RC Lookup'!$G$14:$J$20,2,TRUE)</f>
        <v>T1</v>
      </c>
      <c r="BC123" s="46">
        <f ca="1">_xlfn.IFNA(VLOOKUP(VLOOKUP($C123,'RC Lookup'!$O$3:$P$50,2,FALSE),'RC Lookup'!$H$14:$J$23,2,FALSE),0)*AW123</f>
        <v>0</v>
      </c>
      <c r="BD123" s="6">
        <f ca="1">_xlfn.IFNA(VLOOKUP(SUMPRODUCT(LARGE(($C$8:$C123=Table1[[#This Row],[Climber]])*$A$8:$A123,1)),$A$8:$BC123,55,FALSE),0)/LEFT($AX$7,FIND(" ",$AX$7))+_xlfn.IFNA(VLOOKUP(SUMPRODUCT(LARGE(($C$8:$C123=Table1[[#This Row],[Climber]])*$A$8:$A123,MIN(2,COUNTIFS($C$8:$C123,$C123)))),$A$8:$BC123,55,FALSE),0)/LEFT($AX$7,FIND(" ",$AX$7))+_xlfn.IFNA(VLOOKUP(SUMPRODUCT(LARGE(($C$8:$C123=Table1[[#This Row],[Climber]])*$A$8:$A123,MIN(3,COUNTIFS($C$8:$C123,$C123)))),$A$8:$BC123,55,FALSE),0)/LEFT($AX$7,FIND(" ",$AX$7))</f>
        <v>0</v>
      </c>
      <c r="BE123" s="6">
        <f ca="1">(_xlfn.IFNA(VLOOKUP(SUMPRODUCT(LARGE(($C$8:$C123=Table1[[#This Row],[Climber]])*$A$8:$A123,4)),$A$8:$BD123,55,FALSE),0)+_xlfn.IFNA(VLOOKUP(SUMPRODUCT(LARGE(($C$8:$C123=Table1[[#This Row],[Climber]])*$A$8:$A123,5)),$A$8:$BD123,55,FALSE),0)+_xlfn.IFNA(VLOOKUP(SUMPRODUCT(LARGE(($C$8:$C123=Table1[[#This Row],[Climber]])*$A$8:$A123,6)),$A$8:$BD123,55,FALSE),0))/3</f>
        <v>0</v>
      </c>
      <c r="BF123" s="46">
        <f ca="1">_xlfn.MAXIFS(INDIRECT("$BC"&amp;IF(SUMPRODUCT(LARGE(($C$8:$C123=$C123)*$A$8:$A123,LEFT($BA$7,FIND(" ",$BA$7)-1)))=0,8,SUMPRODUCT(LARGE(($C$8:$C123=$C123)*$A$8:$A123,LEFT($BA$7,FIND(" ",$BA$7)-1)))+7)&amp;":$BC"&amp;ROW()),INDIRECT("$C"&amp;IF(SUMPRODUCT(LARGE(($C$8:$C123=$C123)*$A$8:$A123,LEFT($BA$7,FIND(" ",$BA$7)-1)))=0,8,SUMPRODUCT(LARGE(($C$8:$C123=$C123)*$A$8:$A123,LEFT($BA$7,FIND(" ",$BA$7)-1)))+7)&amp;":$C"&amp;ROW()),$C123)</f>
        <v>0</v>
      </c>
      <c r="BG123" s="46">
        <f t="array" aca="1" ref="BG123" ca="1">IFERROR(SUMPRODUCT(LARGE(($C$8:$C123=Table1[[#This Row],[Climber]])*$AW$8:$AW123,ROW(INDIRECT("1:5")))),AW123)/MIN(COUNTIFS($C$8:$C123,C123),5)</f>
        <v>0</v>
      </c>
    </row>
    <row r="124" spans="1:59" x14ac:dyDescent="0.3">
      <c r="A124" s="125">
        <f t="shared" si="1"/>
        <v>117</v>
      </c>
      <c r="B124" s="25">
        <f>'Rock Climbing Log'!B124</f>
        <v>0</v>
      </c>
      <c r="C124" s="126">
        <f>'Rock Climbing Log'!C124</f>
        <v>0</v>
      </c>
      <c r="D124" s="26">
        <f>_xlfn.IFNA(IF(LEFT('Rock Climbing Log'!D124)="C",_xlfn.IFNA(VLOOKUP('Rock Climbing Log'!D124,'RC Lookup'!$A$3:$B$9,2,FALSE),0.5),VLOOKUP('Rock Climbing Log'!D124,'RC Lookup'!$G$3:$H$5,2,FALSE)),0)*VLOOKUP(D$7,'RC Lookup'!$D$3:$E$18,2,FALSE)</f>
        <v>0</v>
      </c>
      <c r="E124" s="26">
        <f>_xlfn.IFNA(IF(LEFT('Rock Climbing Log'!E124)="C",_xlfn.IFNA(VLOOKUP('Rock Climbing Log'!E124,'RC Lookup'!$A$3:$B$9,2,FALSE),0.5),VLOOKUP('Rock Climbing Log'!E124,'RC Lookup'!$G$3:$H$5,2,FALSE)),0)*VLOOKUP(D$7,'RC Lookup'!$D$3:$E$18,2,FALSE)</f>
        <v>0</v>
      </c>
      <c r="F124" s="26">
        <f>_xlfn.IFNA(IF(LEFT('Rock Climbing Log'!F124)="C",_xlfn.IFNA(VLOOKUP('Rock Climbing Log'!F124,'RC Lookup'!$A$3:$B$9,2,FALSE),0.5),VLOOKUP('Rock Climbing Log'!F124,'RC Lookup'!$G$3:$H$5,2,FALSE)),0)*VLOOKUP(D$7,'RC Lookup'!$D$3:$E$18,2,FALSE)</f>
        <v>0</v>
      </c>
      <c r="G124" s="26">
        <f>_xlfn.IFNA(IF(LEFT('Rock Climbing Log'!G124)="C",_xlfn.IFNA(VLOOKUP('Rock Climbing Log'!G124,'RC Lookup'!$A$3:$B$9,2,FALSE),0.5),VLOOKUP('Rock Climbing Log'!G124,'RC Lookup'!$G$3:$H$5,2,FALSE)),0)*VLOOKUP(G$7,'RC Lookup'!$D$3:$E$18,2,FALSE)</f>
        <v>0</v>
      </c>
      <c r="H124" s="26">
        <f>_xlfn.IFNA(IF(LEFT('Rock Climbing Log'!H124)="C",_xlfn.IFNA(VLOOKUP('Rock Climbing Log'!H124,'RC Lookup'!$A$3:$B$9,2,FALSE),0.5),VLOOKUP('Rock Climbing Log'!H124,'RC Lookup'!$G$3:$H$5,2,FALSE)),0)*VLOOKUP(G$7,'RC Lookup'!$D$3:$E$18,2,FALSE)</f>
        <v>0</v>
      </c>
      <c r="I124" s="26">
        <f>_xlfn.IFNA(IF(LEFT('Rock Climbing Log'!I124)="C",_xlfn.IFNA(VLOOKUP('Rock Climbing Log'!I124,'RC Lookup'!$A$3:$B$9,2,FALSE),0.5),VLOOKUP('Rock Climbing Log'!I124,'RC Lookup'!$G$3:$H$5,2,FALSE)),0)*VLOOKUP(G$7,'RC Lookup'!$D$3:$E$18,2,FALSE)</f>
        <v>0</v>
      </c>
      <c r="J124" s="26">
        <f>_xlfn.IFNA(IF(LEFT('Rock Climbing Log'!J124)="C",_xlfn.IFNA(VLOOKUP('Rock Climbing Log'!J124,'RC Lookup'!$A$3:$B$9,2,FALSE),0.5),VLOOKUP('Rock Climbing Log'!J124,'RC Lookup'!$G$3:$H$5,2,FALSE)),0)*VLOOKUP(J$7,'RC Lookup'!$D$3:$E$18,2,FALSE)</f>
        <v>0</v>
      </c>
      <c r="K124" s="26">
        <f>_xlfn.IFNA(IF(LEFT('Rock Climbing Log'!K124)="C",_xlfn.IFNA(VLOOKUP('Rock Climbing Log'!K124,'RC Lookup'!$A$3:$B$9,2,FALSE),0.5),VLOOKUP('Rock Climbing Log'!K124,'RC Lookup'!$G$3:$H$5,2,FALSE)),0)*VLOOKUP(J$7,'RC Lookup'!$D$3:$E$18,2,FALSE)</f>
        <v>0</v>
      </c>
      <c r="L124" s="26">
        <f>_xlfn.IFNA(IF(LEFT('Rock Climbing Log'!L124)="C",_xlfn.IFNA(VLOOKUP('Rock Climbing Log'!L124,'RC Lookup'!$A$3:$B$9,2,FALSE),0.5),VLOOKUP('Rock Climbing Log'!L124,'RC Lookup'!$G$3:$H$5,2,FALSE)),0)*VLOOKUP(J$7,'RC Lookup'!$D$3:$E$18,2,FALSE)</f>
        <v>0</v>
      </c>
      <c r="M124" s="26">
        <f>_xlfn.IFNA(IF(LEFT('Rock Climbing Log'!M124)="C",_xlfn.IFNA(VLOOKUP('Rock Climbing Log'!M124,'RC Lookup'!$A$3:$B$9,2,FALSE),0.5),VLOOKUP('Rock Climbing Log'!M124,'RC Lookup'!$G$3:$H$5,2,FALSE)),0)*VLOOKUP(M$7,'RC Lookup'!$D$3:$E$18,2,FALSE)</f>
        <v>0</v>
      </c>
      <c r="N124" s="26">
        <f>_xlfn.IFNA(IF(LEFT('Rock Climbing Log'!N124)="C",_xlfn.IFNA(VLOOKUP('Rock Climbing Log'!N124,'RC Lookup'!$A$3:$B$9,2,FALSE),0.5),VLOOKUP('Rock Climbing Log'!N124,'RC Lookup'!$G$3:$H$5,2,FALSE)),0)*VLOOKUP(M$7,'RC Lookup'!$D$3:$E$18,2,FALSE)</f>
        <v>0</v>
      </c>
      <c r="O124" s="26">
        <f>_xlfn.IFNA(IF(LEFT('Rock Climbing Log'!O124)="C",_xlfn.IFNA(VLOOKUP('Rock Climbing Log'!O124,'RC Lookup'!$A$3:$B$9,2,FALSE),0.5),VLOOKUP('Rock Climbing Log'!O124,'RC Lookup'!$G$3:$H$5,2,FALSE)),0)*VLOOKUP(M$7,'RC Lookup'!$D$3:$E$18,2,FALSE)</f>
        <v>0</v>
      </c>
      <c r="P124" s="26">
        <f>_xlfn.IFNA(IF(LEFT('Rock Climbing Log'!P124)="C",_xlfn.IFNA(VLOOKUP('Rock Climbing Log'!P124,'RC Lookup'!$A$3:$B$9,2,FALSE),0.5),VLOOKUP('Rock Climbing Log'!P124,'RC Lookup'!$G$3:$H$5,2,FALSE)),0)*VLOOKUP(P$7,'RC Lookup'!$D$3:$E$18,2,FALSE)</f>
        <v>0</v>
      </c>
      <c r="Q124" s="26">
        <f>_xlfn.IFNA(IF(LEFT('Rock Climbing Log'!Q124)="C",_xlfn.IFNA(VLOOKUP('Rock Climbing Log'!Q124,'RC Lookup'!$A$3:$B$9,2,FALSE),0.5),VLOOKUP('Rock Climbing Log'!Q124,'RC Lookup'!$G$3:$H$5,2,FALSE)),0)*VLOOKUP(P$7,'RC Lookup'!$D$3:$E$18,2,FALSE)</f>
        <v>0</v>
      </c>
      <c r="R124" s="26">
        <f>_xlfn.IFNA(IF(LEFT('Rock Climbing Log'!R124)="C",_xlfn.IFNA(VLOOKUP('Rock Climbing Log'!R124,'RC Lookup'!$A$3:$B$9,2,FALSE),0.5),VLOOKUP('Rock Climbing Log'!R124,'RC Lookup'!$G$3:$H$5,2,FALSE)),0)*VLOOKUP(P$7,'RC Lookup'!$D$3:$E$18,2,FALSE)</f>
        <v>0</v>
      </c>
      <c r="S124" s="26">
        <f>_xlfn.IFNA(IF(LEFT('Rock Climbing Log'!S124)="C",_xlfn.IFNA(VLOOKUP('Rock Climbing Log'!S124,'RC Lookup'!$A$3:$B$9,2,FALSE),0.5),VLOOKUP('Rock Climbing Log'!S124,'RC Lookup'!$G$3:$H$5,2,FALSE)),0)*VLOOKUP(S$7,'RC Lookup'!$D$3:$E$18,2,FALSE)</f>
        <v>0</v>
      </c>
      <c r="T124" s="26">
        <f>_xlfn.IFNA(IF(LEFT('Rock Climbing Log'!T124)="C",_xlfn.IFNA(VLOOKUP('Rock Climbing Log'!T124,'RC Lookup'!$A$3:$B$9,2,FALSE),0.5),VLOOKUP('Rock Climbing Log'!T124,'RC Lookup'!$G$3:$H$5,2,FALSE)),0)*VLOOKUP(S$7,'RC Lookup'!$D$3:$E$18,2,FALSE)</f>
        <v>0</v>
      </c>
      <c r="U124" s="26">
        <f>_xlfn.IFNA(IF(LEFT('Rock Climbing Log'!U124)="C",_xlfn.IFNA(VLOOKUP('Rock Climbing Log'!U124,'RC Lookup'!$A$3:$B$9,2,FALSE),0.5),VLOOKUP('Rock Climbing Log'!U124,'RC Lookup'!$G$3:$H$5,2,FALSE)),0)*VLOOKUP(S$7,'RC Lookup'!$D$3:$E$18,2,FALSE)</f>
        <v>0</v>
      </c>
      <c r="V124" s="26">
        <f>_xlfn.IFNA(IF(LEFT('Rock Climbing Log'!V124)="C",_xlfn.IFNA(VLOOKUP('Rock Climbing Log'!V124,'RC Lookup'!$A$3:$B$9,2,FALSE),0.5),VLOOKUP('Rock Climbing Log'!V124,'RC Lookup'!$G$3:$H$5,2,FALSE)),0)*VLOOKUP(V$7,'RC Lookup'!$D$3:$E$18,2,FALSE)</f>
        <v>0</v>
      </c>
      <c r="W124" s="26">
        <f>_xlfn.IFNA(IF(LEFT('Rock Climbing Log'!W124)="C",_xlfn.IFNA(VLOOKUP('Rock Climbing Log'!W124,'RC Lookup'!$A$3:$B$9,2,FALSE),0.5),VLOOKUP('Rock Climbing Log'!W124,'RC Lookup'!$G$3:$H$5,2,FALSE)),0)*VLOOKUP(V$7,'RC Lookup'!$D$3:$E$18,2,FALSE)</f>
        <v>0</v>
      </c>
      <c r="X124" s="26">
        <f>_xlfn.IFNA(IF(LEFT('Rock Climbing Log'!X124)="C",_xlfn.IFNA(VLOOKUP('Rock Climbing Log'!X124,'RC Lookup'!$A$3:$B$9,2,FALSE),0.5),VLOOKUP('Rock Climbing Log'!X124,'RC Lookup'!$G$3:$H$5,2,FALSE)),0)*VLOOKUP(V$7,'RC Lookup'!$D$3:$E$18,2,FALSE)</f>
        <v>0</v>
      </c>
      <c r="Y124" s="26">
        <f>_xlfn.IFNA(IF(LEFT('Rock Climbing Log'!Y124)="C",_xlfn.IFNA(VLOOKUP('Rock Climbing Log'!Y124,'RC Lookup'!$A$3:$B$9,2,FALSE),0.5),VLOOKUP('Rock Climbing Log'!Y124,'RC Lookup'!$G$3:$H$5,2,FALSE)),0)*VLOOKUP(Y$7,'RC Lookup'!$D$3:$E$18,2,FALSE)</f>
        <v>0</v>
      </c>
      <c r="Z124" s="26">
        <f>_xlfn.IFNA(IF(LEFT('Rock Climbing Log'!Z124)="C",_xlfn.IFNA(VLOOKUP('Rock Climbing Log'!Z124,'RC Lookup'!$A$3:$B$9,2,FALSE),0.5),VLOOKUP('Rock Climbing Log'!Z124,'RC Lookup'!$G$3:$H$5,2,FALSE)),0)*VLOOKUP(Y$7,'RC Lookup'!$D$3:$E$18,2,FALSE)</f>
        <v>0</v>
      </c>
      <c r="AA124" s="26">
        <f>_xlfn.IFNA(IF(LEFT('Rock Climbing Log'!AA124)="C",_xlfn.IFNA(VLOOKUP('Rock Climbing Log'!AA124,'RC Lookup'!$A$3:$B$9,2,FALSE),0.5),VLOOKUP('Rock Climbing Log'!AA124,'RC Lookup'!$G$3:$H$5,2,FALSE)),0)*VLOOKUP(Y$7,'RC Lookup'!$D$3:$E$18,2,FALSE)</f>
        <v>0</v>
      </c>
      <c r="AB124" s="26">
        <f>_xlfn.IFNA(IF(LEFT('Rock Climbing Log'!AB124)="C",_xlfn.IFNA(VLOOKUP('Rock Climbing Log'!AB124,'RC Lookup'!$A$3:$B$9,2,FALSE),0.5),VLOOKUP('Rock Climbing Log'!AB124,'RC Lookup'!$G$3:$H$5,2,FALSE)),0)*VLOOKUP(AB$7,'RC Lookup'!$D$3:$E$18,2,FALSE)</f>
        <v>0</v>
      </c>
      <c r="AC124" s="26">
        <f>_xlfn.IFNA(IF(LEFT('Rock Climbing Log'!AC124)="C",_xlfn.IFNA(VLOOKUP('Rock Climbing Log'!AC124,'RC Lookup'!$A$3:$B$9,2,FALSE),0.5),VLOOKUP('Rock Climbing Log'!AC124,'RC Lookup'!$G$3:$H$5,2,FALSE)),0)*VLOOKUP(AB$7,'RC Lookup'!$D$3:$E$18,2,FALSE)</f>
        <v>0</v>
      </c>
      <c r="AD124" s="26">
        <f>_xlfn.IFNA(IF(LEFT('Rock Climbing Log'!AD124)="C",_xlfn.IFNA(VLOOKUP('Rock Climbing Log'!AD124,'RC Lookup'!$A$3:$B$9,2,FALSE),0.5),VLOOKUP('Rock Climbing Log'!AD124,'RC Lookup'!$G$3:$H$5,2,FALSE)),0)*VLOOKUP(AB$7,'RC Lookup'!$D$3:$E$18,2,FALSE)</f>
        <v>0</v>
      </c>
      <c r="AE124" s="26">
        <f>_xlfn.IFNA(IF(LEFT('Rock Climbing Log'!AE124)="C",_xlfn.IFNA(VLOOKUP('Rock Climbing Log'!AE124,'RC Lookup'!$A$3:$B$9,2,FALSE),0.5),VLOOKUP('Rock Climbing Log'!AE124,'RC Lookup'!$G$3:$H$5,2,FALSE)),0)*VLOOKUP(AE$7,'RC Lookup'!$D$3:$E$18,2,FALSE)</f>
        <v>0</v>
      </c>
      <c r="AF124" s="26">
        <f>_xlfn.IFNA(IF(LEFT('Rock Climbing Log'!AF124)="C",_xlfn.IFNA(VLOOKUP('Rock Climbing Log'!AF124,'RC Lookup'!$A$3:$B$9,2,FALSE),0.5),VLOOKUP('Rock Climbing Log'!AF124,'RC Lookup'!$G$3:$H$5,2,FALSE)),0)*VLOOKUP(AE$7,'RC Lookup'!$D$3:$E$18,2,FALSE)</f>
        <v>0</v>
      </c>
      <c r="AG124" s="26">
        <f>_xlfn.IFNA(IF(LEFT('Rock Climbing Log'!AG124)="C",_xlfn.IFNA(VLOOKUP('Rock Climbing Log'!AG124,'RC Lookup'!$A$3:$B$9,2,FALSE),0.5),VLOOKUP('Rock Climbing Log'!AG124,'RC Lookup'!$G$3:$H$5,2,FALSE)),0)*VLOOKUP(AE$7,'RC Lookup'!$D$3:$E$18,2,FALSE)</f>
        <v>0</v>
      </c>
      <c r="AH124" s="26">
        <f>_xlfn.IFNA(IF(LEFT('Rock Climbing Log'!AH124)="C",_xlfn.IFNA(VLOOKUP('Rock Climbing Log'!AH124,'RC Lookup'!$A$3:$B$9,2,FALSE),0.5),VLOOKUP('Rock Climbing Log'!AH124,'RC Lookup'!$G$3:$H$5,2,FALSE)),0)*VLOOKUP(AH$7,'RC Lookup'!$D$3:$E$18,2,FALSE)</f>
        <v>0</v>
      </c>
      <c r="AI124" s="26">
        <f>_xlfn.IFNA(IF(LEFT('Rock Climbing Log'!AI124)="C",_xlfn.IFNA(VLOOKUP('Rock Climbing Log'!AI124,'RC Lookup'!$A$3:$B$9,2,FALSE),0.5),VLOOKUP('Rock Climbing Log'!AI124,'RC Lookup'!$G$3:$H$5,2,FALSE)),0)*VLOOKUP(AH$7,'RC Lookup'!$D$3:$E$18,2,FALSE)</f>
        <v>0</v>
      </c>
      <c r="AJ124" s="26">
        <f>_xlfn.IFNA(IF(LEFT('Rock Climbing Log'!AJ124)="C",_xlfn.IFNA(VLOOKUP('Rock Climbing Log'!AJ124,'RC Lookup'!$A$3:$B$9,2,FALSE),0.5),VLOOKUP('Rock Climbing Log'!AJ124,'RC Lookup'!$G$3:$H$5,2,FALSE)),0)*VLOOKUP(AH$7,'RC Lookup'!$D$3:$E$18,2,FALSE)</f>
        <v>0</v>
      </c>
      <c r="AK124" s="26">
        <f>_xlfn.IFNA(IF(LEFT('Rock Climbing Log'!AK124)="C",_xlfn.IFNA(VLOOKUP('Rock Climbing Log'!AK124,'RC Lookup'!$A$3:$B$9,2,FALSE),0.5),VLOOKUP('Rock Climbing Log'!AK124,'RC Lookup'!$G$3:$H$5,2,FALSE)),0)*VLOOKUP(AK$7,'RC Lookup'!$D$3:$E$18,2,FALSE)</f>
        <v>0</v>
      </c>
      <c r="AL124" s="26">
        <f>_xlfn.IFNA(IF(LEFT('Rock Climbing Log'!AL124)="C",_xlfn.IFNA(VLOOKUP('Rock Climbing Log'!AL124,'RC Lookup'!$A$3:$B$9,2,FALSE),0.5),VLOOKUP('Rock Climbing Log'!AL124,'RC Lookup'!$G$3:$H$5,2,FALSE)),0)*VLOOKUP(AK$7,'RC Lookup'!$D$3:$E$18,2,FALSE)</f>
        <v>0</v>
      </c>
      <c r="AM124" s="26">
        <f>_xlfn.IFNA(IF(LEFT('Rock Climbing Log'!AM124)="C",_xlfn.IFNA(VLOOKUP('Rock Climbing Log'!AM124,'RC Lookup'!$A$3:$B$9,2,FALSE),0.5),VLOOKUP('Rock Climbing Log'!AM124,'RC Lookup'!$G$3:$H$5,2,FALSE)),0)*VLOOKUP(AK$7,'RC Lookup'!$D$3:$E$18,2,FALSE)</f>
        <v>0</v>
      </c>
      <c r="AN124" s="26">
        <f>_xlfn.IFNA(IF(LEFT('Rock Climbing Log'!AN124)="C",_xlfn.IFNA(VLOOKUP('Rock Climbing Log'!AN124,'RC Lookup'!$A$3:$B$9,2,FALSE),0.5),VLOOKUP('Rock Climbing Log'!AN124,'RC Lookup'!$G$3:$H$5,2,FALSE)),0)*VLOOKUP(AN$7,'RC Lookup'!$D$3:$E$18,2,FALSE)</f>
        <v>0</v>
      </c>
      <c r="AO124" s="26">
        <f>_xlfn.IFNA(IF(LEFT('Rock Climbing Log'!AO124)="C",_xlfn.IFNA(VLOOKUP('Rock Climbing Log'!AO124,'RC Lookup'!$A$3:$B$9,2,FALSE),0.5),VLOOKUP('Rock Climbing Log'!AO124,'RC Lookup'!$G$3:$H$5,2,FALSE)),0)*VLOOKUP(AN$7,'RC Lookup'!$D$3:$E$18,2,FALSE)</f>
        <v>0</v>
      </c>
      <c r="AP124" s="26">
        <f>_xlfn.IFNA(IF(LEFT('Rock Climbing Log'!AP124)="C",_xlfn.IFNA(VLOOKUP('Rock Climbing Log'!AP124,'RC Lookup'!$A$3:$B$9,2,FALSE),0.5),VLOOKUP('Rock Climbing Log'!AP124,'RC Lookup'!$G$3:$H$5,2,FALSE)),0)*VLOOKUP(AN$7,'RC Lookup'!$D$3:$E$18,2,FALSE)</f>
        <v>0</v>
      </c>
      <c r="AQ124" s="26">
        <f>_xlfn.IFNA(IF(LEFT('Rock Climbing Log'!AQ124)="C",_xlfn.IFNA(VLOOKUP('Rock Climbing Log'!AQ124,'RC Lookup'!$A$3:$B$9,2,FALSE),0.5),VLOOKUP('Rock Climbing Log'!AQ124,'RC Lookup'!$G$3:$H$5,2,FALSE)),0)*VLOOKUP(AQ$7,'RC Lookup'!$D$3:$E$18,2,FALSE)</f>
        <v>0</v>
      </c>
      <c r="AR124" s="26">
        <f>_xlfn.IFNA(IF(LEFT('Rock Climbing Log'!AR124)="C",_xlfn.IFNA(VLOOKUP('Rock Climbing Log'!AR124,'RC Lookup'!$A$3:$B$9,2,FALSE),0.5),VLOOKUP('Rock Climbing Log'!AR124,'RC Lookup'!$G$3:$H$5,2,FALSE)),0)*VLOOKUP(AQ$7,'RC Lookup'!$D$3:$E$18,2,FALSE)</f>
        <v>0</v>
      </c>
      <c r="AS124" s="26">
        <f>_xlfn.IFNA(IF(LEFT('Rock Climbing Log'!AS124)="C",_xlfn.IFNA(VLOOKUP('Rock Climbing Log'!AS124,'RC Lookup'!$A$3:$B$9,2,FALSE),0.5),VLOOKUP('Rock Climbing Log'!AS124,'RC Lookup'!$G$3:$H$5,2,FALSE)),0)*VLOOKUP(AQ$7,'RC Lookup'!$D$3:$E$18,2,FALSE)</f>
        <v>0</v>
      </c>
      <c r="AT124" s="26">
        <f>_xlfn.IFNA(IF(LEFT('Rock Climbing Log'!AT124)="C",_xlfn.IFNA(VLOOKUP('Rock Climbing Log'!AT124,'RC Lookup'!$A$3:$B$9,2,FALSE),0.5),VLOOKUP('Rock Climbing Log'!AT124,'RC Lookup'!$G$3:$H$5,2,FALSE)),0)*VLOOKUP(AT$7,'RC Lookup'!$D$3:$E$18,2,FALSE)</f>
        <v>0</v>
      </c>
      <c r="AU124" s="26">
        <f>_xlfn.IFNA(IF(LEFT('Rock Climbing Log'!AU124)="C",_xlfn.IFNA(VLOOKUP('Rock Climbing Log'!AU124,'RC Lookup'!$A$3:$B$9,2,FALSE),0.5),VLOOKUP('Rock Climbing Log'!AU124,'RC Lookup'!$G$3:$H$5,2,FALSE)),0)*VLOOKUP(AT$7,'RC Lookup'!$D$3:$E$18,2,FALSE)</f>
        <v>0</v>
      </c>
      <c r="AV124" s="26">
        <f>_xlfn.IFNA(IF(LEFT('Rock Climbing Log'!AV124)="C",_xlfn.IFNA(VLOOKUP('Rock Climbing Log'!AV124,'RC Lookup'!$A$3:$B$9,2,FALSE),0.5),VLOOKUP('Rock Climbing Log'!AV124,'RC Lookup'!$G$3:$H$5,2,FALSE)),0)*VLOOKUP(AT$7,'RC Lookup'!$D$3:$E$18,2,FALSE)</f>
        <v>0</v>
      </c>
      <c r="AW124" s="30">
        <f t="shared" ca="1" si="4"/>
        <v>0</v>
      </c>
      <c r="AX124" s="30">
        <f ca="1">_xlfn.IFNA(VLOOKUP(SUMPRODUCT(LARGE(($C$8:$C124=Table1[[#This Row],[Climber]])*$A$8:$A124,1)),$A$8:$AW124,MATCH($AW$7,$A$7:$AW$7,FALSE),FALSE),0)/LEFT($AX$7,FIND(" ",$AX$7))+_xlfn.IFNA(VLOOKUP(SUMPRODUCT(LARGE(($C$8:$C124=Table1[[#This Row],[Climber]])*$A$8:$A124,MIN(2,COUNTIFS($C$8:$C124,$C124)))),$A$8:$AW124,MATCH($AW$7,$A$7:$AW$7,FALSE),FALSE),0)/LEFT($AX$7,FIND(" ",$AX$7))+_xlfn.IFNA(VLOOKUP(SUMPRODUCT(LARGE(($C$8:$C124=Table1[[#This Row],[Climber]])*$A$8:$A124,MIN(3,COUNTIFS($C$8:$C124,$C124)))),$A$8:$AW124,MATCH($AW$7,$A$7:$AW$7,FALSE),FALSE),0)/LEFT($AX$7,FIND(" ",$AX$7))</f>
        <v>0</v>
      </c>
      <c r="AY124" s="30">
        <f ca="1">_xlfn.IFNA(VLOOKUP(SUMPRODUCT(LARGE(($C$8:$C124=Table1[[#This Row],[Climber]])*$A$8:$A124,1)),$A$8:$AW124,MATCH($AW$7,$A$7:$AW$7,FALSE),FALSE),0)/LEFT($AY$7,FIND(" ",$AY$7))+_xlfn.IFNA(VLOOKUP(SUMPRODUCT(LARGE(($C$8:$C124=Table1[[#This Row],[Climber]])*$A$8:$A124,MIN(2,COUNTIFS($C$8:$C124,$C124)))),$A$8:$AW124,MATCH($AW$7,$A$7:$AW$7,FALSE),FALSE),0)/LEFT($AY$7,FIND(" ",$AY$7))+_xlfn.IFNA(VLOOKUP(SUMPRODUCT(LARGE(($C$8:$C124=Table1[[#This Row],[Climber]])*$A$8:$A124,MIN(3,COUNTIFS($C$8:$C124,$C124)))),$A$8:$AW124,MATCH($AW$7,$A$7:$AW$7,FALSE),FALSE),0)/LEFT($AY$7,FIND(" ",$AY$7))+_xlfn.IFNA(VLOOKUP(SUMPRODUCT(LARGE(($C$8:$C124=Table1[[#This Row],[Climber]])*$A$8:$A124,MIN(4,COUNTIFS($C$8:$C124,$C124)))),$A$8:$AW124,MATCH($AW$7,$A$7:$AW$7,FALSE),FALSE),0)/LEFT($AY$7,FIND(" ",$AY$7))+_xlfn.IFNA(VLOOKUP(SUMPRODUCT(LARGE(($C$8:$C124=Table1[[#This Row],[Climber]])*$A$8:$A124,MIN(5,COUNTIFS($C$8:$C124,$C124)))),$A$8:$AW124,MATCH($AW$7,$A$7:$AW$7,FALSE),FALSE),0)/LEFT($AY$7,FIND(" ",$AY$7))</f>
        <v>0</v>
      </c>
      <c r="AZ124" s="30">
        <f ca="1">(_xlfn.IFNA(VLOOKUP(SUMPRODUCT(LARGE(($C$8:$C124=Table1[[#This Row],[Climber]])*$A$8:$A124,4)),$A$8:$AW124,MATCH($AW$7,$A$7:$AW$7,FALSE),FALSE),0)+_xlfn.IFNA(VLOOKUP(SUMPRODUCT(LARGE(($C$8:$C124=Table1[[#This Row],[Climber]])*$A$8:$A124,5)),$A$8:$AW124,MATCH($AW$7,$A$7:$AW$7,FALSE),FALSE),0)+_xlfn.IFNA(VLOOKUP(SUMPRODUCT(LARGE(($C$8:$C124=Table1[[#This Row],[Climber]])*$A$8:$A124,6)),$A$8:$AW124,MATCH($AW$7,$A$7:$AW$7,FALSE),FALSE),0))/3</f>
        <v>0</v>
      </c>
      <c r="BA124" s="46">
        <f ca="1">_xlfn.MAXIFS(INDIRECT("$AW"&amp;IF(SUMPRODUCT(LARGE(($C$8:$C124=$C124)*$A$8:$A124,LEFT($BA$7,FIND(" ",$BA$7)-1)))=0,8,SUMPRODUCT(LARGE(($C$8:$C124=$C124)*$A$8:$A124,LEFT($BA$7,FIND(" ",$BA$7)-1)))+7)&amp;":$AW"&amp;ROW()),INDIRECT("$C"&amp;IF(SUMPRODUCT(LARGE(($C$8:$C124=$C124)*$A$8:$A124,LEFT($BA$7,FIND(" ",$BA$7)-1)))=0,8,SUMPRODUCT(LARGE(($C$8:$C124=$C124)*$A$8:$A124,LEFT($BA$7,FIND(" ",$BA$7)-1)))+7)&amp;":$C"&amp;ROW()),$C124)</f>
        <v>0</v>
      </c>
      <c r="BB124" s="46" t="str">
        <f ca="1">VLOOKUP(MAX(BG124,$AX124),'RC Lookup'!$G$14:$J$20,2,TRUE)</f>
        <v>T1</v>
      </c>
      <c r="BC124" s="46">
        <f ca="1">_xlfn.IFNA(VLOOKUP(VLOOKUP($C124,'RC Lookup'!$O$3:$P$50,2,FALSE),'RC Lookup'!$H$14:$J$23,2,FALSE),0)*AW124</f>
        <v>0</v>
      </c>
      <c r="BD124" s="6">
        <f ca="1">_xlfn.IFNA(VLOOKUP(SUMPRODUCT(LARGE(($C$8:$C124=Table1[[#This Row],[Climber]])*$A$8:$A124,1)),$A$8:$BC124,55,FALSE),0)/LEFT($AX$7,FIND(" ",$AX$7))+_xlfn.IFNA(VLOOKUP(SUMPRODUCT(LARGE(($C$8:$C124=Table1[[#This Row],[Climber]])*$A$8:$A124,MIN(2,COUNTIFS($C$8:$C124,$C124)))),$A$8:$BC124,55,FALSE),0)/LEFT($AX$7,FIND(" ",$AX$7))+_xlfn.IFNA(VLOOKUP(SUMPRODUCT(LARGE(($C$8:$C124=Table1[[#This Row],[Climber]])*$A$8:$A124,MIN(3,COUNTIFS($C$8:$C124,$C124)))),$A$8:$BC124,55,FALSE),0)/LEFT($AX$7,FIND(" ",$AX$7))</f>
        <v>0</v>
      </c>
      <c r="BE124" s="6">
        <f ca="1">(_xlfn.IFNA(VLOOKUP(SUMPRODUCT(LARGE(($C$8:$C124=Table1[[#This Row],[Climber]])*$A$8:$A124,4)),$A$8:$BD124,55,FALSE),0)+_xlfn.IFNA(VLOOKUP(SUMPRODUCT(LARGE(($C$8:$C124=Table1[[#This Row],[Climber]])*$A$8:$A124,5)),$A$8:$BD124,55,FALSE),0)+_xlfn.IFNA(VLOOKUP(SUMPRODUCT(LARGE(($C$8:$C124=Table1[[#This Row],[Climber]])*$A$8:$A124,6)),$A$8:$BD124,55,FALSE),0))/3</f>
        <v>0</v>
      </c>
      <c r="BF124" s="46">
        <f ca="1">_xlfn.MAXIFS(INDIRECT("$BC"&amp;IF(SUMPRODUCT(LARGE(($C$8:$C124=$C124)*$A$8:$A124,LEFT($BA$7,FIND(" ",$BA$7)-1)))=0,8,SUMPRODUCT(LARGE(($C$8:$C124=$C124)*$A$8:$A124,LEFT($BA$7,FIND(" ",$BA$7)-1)))+7)&amp;":$BC"&amp;ROW()),INDIRECT("$C"&amp;IF(SUMPRODUCT(LARGE(($C$8:$C124=$C124)*$A$8:$A124,LEFT($BA$7,FIND(" ",$BA$7)-1)))=0,8,SUMPRODUCT(LARGE(($C$8:$C124=$C124)*$A$8:$A124,LEFT($BA$7,FIND(" ",$BA$7)-1)))+7)&amp;":$C"&amp;ROW()),$C124)</f>
        <v>0</v>
      </c>
      <c r="BG124" s="46">
        <f t="array" aca="1" ref="BG124" ca="1">IFERROR(SUMPRODUCT(LARGE(($C$8:$C124=Table1[[#This Row],[Climber]])*$AW$8:$AW124,ROW(INDIRECT("1:5")))),AW124)/MIN(COUNTIFS($C$8:$C124,C124),5)</f>
        <v>0</v>
      </c>
    </row>
    <row r="125" spans="1:59" x14ac:dyDescent="0.3">
      <c r="A125" s="125">
        <f t="shared" si="1"/>
        <v>118</v>
      </c>
      <c r="B125" s="25">
        <f>'Rock Climbing Log'!B125</f>
        <v>0</v>
      </c>
      <c r="C125" s="126">
        <f>'Rock Climbing Log'!C125</f>
        <v>0</v>
      </c>
      <c r="D125" s="26">
        <f>_xlfn.IFNA(IF(LEFT('Rock Climbing Log'!D125)="C",_xlfn.IFNA(VLOOKUP('Rock Climbing Log'!D125,'RC Lookup'!$A$3:$B$9,2,FALSE),0.5),VLOOKUP('Rock Climbing Log'!D125,'RC Lookup'!$G$3:$H$5,2,FALSE)),0)*VLOOKUP(D$7,'RC Lookup'!$D$3:$E$18,2,FALSE)</f>
        <v>0</v>
      </c>
      <c r="E125" s="26">
        <f>_xlfn.IFNA(IF(LEFT('Rock Climbing Log'!E125)="C",_xlfn.IFNA(VLOOKUP('Rock Climbing Log'!E125,'RC Lookup'!$A$3:$B$9,2,FALSE),0.5),VLOOKUP('Rock Climbing Log'!E125,'RC Lookup'!$G$3:$H$5,2,FALSE)),0)*VLOOKUP(D$7,'RC Lookup'!$D$3:$E$18,2,FALSE)</f>
        <v>0</v>
      </c>
      <c r="F125" s="26">
        <f>_xlfn.IFNA(IF(LEFT('Rock Climbing Log'!F125)="C",_xlfn.IFNA(VLOOKUP('Rock Climbing Log'!F125,'RC Lookup'!$A$3:$B$9,2,FALSE),0.5),VLOOKUP('Rock Climbing Log'!F125,'RC Lookup'!$G$3:$H$5,2,FALSE)),0)*VLOOKUP(D$7,'RC Lookup'!$D$3:$E$18,2,FALSE)</f>
        <v>0</v>
      </c>
      <c r="G125" s="26">
        <f>_xlfn.IFNA(IF(LEFT('Rock Climbing Log'!G125)="C",_xlfn.IFNA(VLOOKUP('Rock Climbing Log'!G125,'RC Lookup'!$A$3:$B$9,2,FALSE),0.5),VLOOKUP('Rock Climbing Log'!G125,'RC Lookup'!$G$3:$H$5,2,FALSE)),0)*VLOOKUP(G$7,'RC Lookup'!$D$3:$E$18,2,FALSE)</f>
        <v>0</v>
      </c>
      <c r="H125" s="26">
        <f>_xlfn.IFNA(IF(LEFT('Rock Climbing Log'!H125)="C",_xlfn.IFNA(VLOOKUP('Rock Climbing Log'!H125,'RC Lookup'!$A$3:$B$9,2,FALSE),0.5),VLOOKUP('Rock Climbing Log'!H125,'RC Lookup'!$G$3:$H$5,2,FALSE)),0)*VLOOKUP(G$7,'RC Lookup'!$D$3:$E$18,2,FALSE)</f>
        <v>0</v>
      </c>
      <c r="I125" s="26">
        <f>_xlfn.IFNA(IF(LEFT('Rock Climbing Log'!I125)="C",_xlfn.IFNA(VLOOKUP('Rock Climbing Log'!I125,'RC Lookup'!$A$3:$B$9,2,FALSE),0.5),VLOOKUP('Rock Climbing Log'!I125,'RC Lookup'!$G$3:$H$5,2,FALSE)),0)*VLOOKUP(G$7,'RC Lookup'!$D$3:$E$18,2,FALSE)</f>
        <v>0</v>
      </c>
      <c r="J125" s="26">
        <f>_xlfn.IFNA(IF(LEFT('Rock Climbing Log'!J125)="C",_xlfn.IFNA(VLOOKUP('Rock Climbing Log'!J125,'RC Lookup'!$A$3:$B$9,2,FALSE),0.5),VLOOKUP('Rock Climbing Log'!J125,'RC Lookup'!$G$3:$H$5,2,FALSE)),0)*VLOOKUP(J$7,'RC Lookup'!$D$3:$E$18,2,FALSE)</f>
        <v>0</v>
      </c>
      <c r="K125" s="26">
        <f>_xlfn.IFNA(IF(LEFT('Rock Climbing Log'!K125)="C",_xlfn.IFNA(VLOOKUP('Rock Climbing Log'!K125,'RC Lookup'!$A$3:$B$9,2,FALSE),0.5),VLOOKUP('Rock Climbing Log'!K125,'RC Lookup'!$G$3:$H$5,2,FALSE)),0)*VLOOKUP(J$7,'RC Lookup'!$D$3:$E$18,2,FALSE)</f>
        <v>0</v>
      </c>
      <c r="L125" s="26">
        <f>_xlfn.IFNA(IF(LEFT('Rock Climbing Log'!L125)="C",_xlfn.IFNA(VLOOKUP('Rock Climbing Log'!L125,'RC Lookup'!$A$3:$B$9,2,FALSE),0.5),VLOOKUP('Rock Climbing Log'!L125,'RC Lookup'!$G$3:$H$5,2,FALSE)),0)*VLOOKUP(J$7,'RC Lookup'!$D$3:$E$18,2,FALSE)</f>
        <v>0</v>
      </c>
      <c r="M125" s="26">
        <f>_xlfn.IFNA(IF(LEFT('Rock Climbing Log'!M125)="C",_xlfn.IFNA(VLOOKUP('Rock Climbing Log'!M125,'RC Lookup'!$A$3:$B$9,2,FALSE),0.5),VLOOKUP('Rock Climbing Log'!M125,'RC Lookup'!$G$3:$H$5,2,FALSE)),0)*VLOOKUP(M$7,'RC Lookup'!$D$3:$E$18,2,FALSE)</f>
        <v>0</v>
      </c>
      <c r="N125" s="26">
        <f>_xlfn.IFNA(IF(LEFT('Rock Climbing Log'!N125)="C",_xlfn.IFNA(VLOOKUP('Rock Climbing Log'!N125,'RC Lookup'!$A$3:$B$9,2,FALSE),0.5),VLOOKUP('Rock Climbing Log'!N125,'RC Lookup'!$G$3:$H$5,2,FALSE)),0)*VLOOKUP(M$7,'RC Lookup'!$D$3:$E$18,2,FALSE)</f>
        <v>0</v>
      </c>
      <c r="O125" s="26">
        <f>_xlfn.IFNA(IF(LEFT('Rock Climbing Log'!O125)="C",_xlfn.IFNA(VLOOKUP('Rock Climbing Log'!O125,'RC Lookup'!$A$3:$B$9,2,FALSE),0.5),VLOOKUP('Rock Climbing Log'!O125,'RC Lookup'!$G$3:$H$5,2,FALSE)),0)*VLOOKUP(M$7,'RC Lookup'!$D$3:$E$18,2,FALSE)</f>
        <v>0</v>
      </c>
      <c r="P125" s="26">
        <f>_xlfn.IFNA(IF(LEFT('Rock Climbing Log'!P125)="C",_xlfn.IFNA(VLOOKUP('Rock Climbing Log'!P125,'RC Lookup'!$A$3:$B$9,2,FALSE),0.5),VLOOKUP('Rock Climbing Log'!P125,'RC Lookup'!$G$3:$H$5,2,FALSE)),0)*VLOOKUP(P$7,'RC Lookup'!$D$3:$E$18,2,FALSE)</f>
        <v>0</v>
      </c>
      <c r="Q125" s="26">
        <f>_xlfn.IFNA(IF(LEFT('Rock Climbing Log'!Q125)="C",_xlfn.IFNA(VLOOKUP('Rock Climbing Log'!Q125,'RC Lookup'!$A$3:$B$9,2,FALSE),0.5),VLOOKUP('Rock Climbing Log'!Q125,'RC Lookup'!$G$3:$H$5,2,FALSE)),0)*VLOOKUP(P$7,'RC Lookup'!$D$3:$E$18,2,FALSE)</f>
        <v>0</v>
      </c>
      <c r="R125" s="26">
        <f>_xlfn.IFNA(IF(LEFT('Rock Climbing Log'!R125)="C",_xlfn.IFNA(VLOOKUP('Rock Climbing Log'!R125,'RC Lookup'!$A$3:$B$9,2,FALSE),0.5),VLOOKUP('Rock Climbing Log'!R125,'RC Lookup'!$G$3:$H$5,2,FALSE)),0)*VLOOKUP(P$7,'RC Lookup'!$D$3:$E$18,2,FALSE)</f>
        <v>0</v>
      </c>
      <c r="S125" s="26">
        <f>_xlfn.IFNA(IF(LEFT('Rock Climbing Log'!S125)="C",_xlfn.IFNA(VLOOKUP('Rock Climbing Log'!S125,'RC Lookup'!$A$3:$B$9,2,FALSE),0.5),VLOOKUP('Rock Climbing Log'!S125,'RC Lookup'!$G$3:$H$5,2,FALSE)),0)*VLOOKUP(S$7,'RC Lookup'!$D$3:$E$18,2,FALSE)</f>
        <v>0</v>
      </c>
      <c r="T125" s="26">
        <f>_xlfn.IFNA(IF(LEFT('Rock Climbing Log'!T125)="C",_xlfn.IFNA(VLOOKUP('Rock Climbing Log'!T125,'RC Lookup'!$A$3:$B$9,2,FALSE),0.5),VLOOKUP('Rock Climbing Log'!T125,'RC Lookup'!$G$3:$H$5,2,FALSE)),0)*VLOOKUP(S$7,'RC Lookup'!$D$3:$E$18,2,FALSE)</f>
        <v>0</v>
      </c>
      <c r="U125" s="26">
        <f>_xlfn.IFNA(IF(LEFT('Rock Climbing Log'!U125)="C",_xlfn.IFNA(VLOOKUP('Rock Climbing Log'!U125,'RC Lookup'!$A$3:$B$9,2,FALSE),0.5),VLOOKUP('Rock Climbing Log'!U125,'RC Lookup'!$G$3:$H$5,2,FALSE)),0)*VLOOKUP(S$7,'RC Lookup'!$D$3:$E$18,2,FALSE)</f>
        <v>0</v>
      </c>
      <c r="V125" s="26">
        <f>_xlfn.IFNA(IF(LEFT('Rock Climbing Log'!V125)="C",_xlfn.IFNA(VLOOKUP('Rock Climbing Log'!V125,'RC Lookup'!$A$3:$B$9,2,FALSE),0.5),VLOOKUP('Rock Climbing Log'!V125,'RC Lookup'!$G$3:$H$5,2,FALSE)),0)*VLOOKUP(V$7,'RC Lookup'!$D$3:$E$18,2,FALSE)</f>
        <v>0</v>
      </c>
      <c r="W125" s="26">
        <f>_xlfn.IFNA(IF(LEFT('Rock Climbing Log'!W125)="C",_xlfn.IFNA(VLOOKUP('Rock Climbing Log'!W125,'RC Lookup'!$A$3:$B$9,2,FALSE),0.5),VLOOKUP('Rock Climbing Log'!W125,'RC Lookup'!$G$3:$H$5,2,FALSE)),0)*VLOOKUP(V$7,'RC Lookup'!$D$3:$E$18,2,FALSE)</f>
        <v>0</v>
      </c>
      <c r="X125" s="26">
        <f>_xlfn.IFNA(IF(LEFT('Rock Climbing Log'!X125)="C",_xlfn.IFNA(VLOOKUP('Rock Climbing Log'!X125,'RC Lookup'!$A$3:$B$9,2,FALSE),0.5),VLOOKUP('Rock Climbing Log'!X125,'RC Lookup'!$G$3:$H$5,2,FALSE)),0)*VLOOKUP(V$7,'RC Lookup'!$D$3:$E$18,2,FALSE)</f>
        <v>0</v>
      </c>
      <c r="Y125" s="26">
        <f>_xlfn.IFNA(IF(LEFT('Rock Climbing Log'!Y125)="C",_xlfn.IFNA(VLOOKUP('Rock Climbing Log'!Y125,'RC Lookup'!$A$3:$B$9,2,FALSE),0.5),VLOOKUP('Rock Climbing Log'!Y125,'RC Lookup'!$G$3:$H$5,2,FALSE)),0)*VLOOKUP(Y$7,'RC Lookup'!$D$3:$E$18,2,FALSE)</f>
        <v>0</v>
      </c>
      <c r="Z125" s="26">
        <f>_xlfn.IFNA(IF(LEFT('Rock Climbing Log'!Z125)="C",_xlfn.IFNA(VLOOKUP('Rock Climbing Log'!Z125,'RC Lookup'!$A$3:$B$9,2,FALSE),0.5),VLOOKUP('Rock Climbing Log'!Z125,'RC Lookup'!$G$3:$H$5,2,FALSE)),0)*VLOOKUP(Y$7,'RC Lookup'!$D$3:$E$18,2,FALSE)</f>
        <v>0</v>
      </c>
      <c r="AA125" s="26">
        <f>_xlfn.IFNA(IF(LEFT('Rock Climbing Log'!AA125)="C",_xlfn.IFNA(VLOOKUP('Rock Climbing Log'!AA125,'RC Lookup'!$A$3:$B$9,2,FALSE),0.5),VLOOKUP('Rock Climbing Log'!AA125,'RC Lookup'!$G$3:$H$5,2,FALSE)),0)*VLOOKUP(Y$7,'RC Lookup'!$D$3:$E$18,2,FALSE)</f>
        <v>0</v>
      </c>
      <c r="AB125" s="26">
        <f>_xlfn.IFNA(IF(LEFT('Rock Climbing Log'!AB125)="C",_xlfn.IFNA(VLOOKUP('Rock Climbing Log'!AB125,'RC Lookup'!$A$3:$B$9,2,FALSE),0.5),VLOOKUP('Rock Climbing Log'!AB125,'RC Lookup'!$G$3:$H$5,2,FALSE)),0)*VLOOKUP(AB$7,'RC Lookup'!$D$3:$E$18,2,FALSE)</f>
        <v>0</v>
      </c>
      <c r="AC125" s="26">
        <f>_xlfn.IFNA(IF(LEFT('Rock Climbing Log'!AC125)="C",_xlfn.IFNA(VLOOKUP('Rock Climbing Log'!AC125,'RC Lookup'!$A$3:$B$9,2,FALSE),0.5),VLOOKUP('Rock Climbing Log'!AC125,'RC Lookup'!$G$3:$H$5,2,FALSE)),0)*VLOOKUP(AB$7,'RC Lookup'!$D$3:$E$18,2,FALSE)</f>
        <v>0</v>
      </c>
      <c r="AD125" s="26">
        <f>_xlfn.IFNA(IF(LEFT('Rock Climbing Log'!AD125)="C",_xlfn.IFNA(VLOOKUP('Rock Climbing Log'!AD125,'RC Lookup'!$A$3:$B$9,2,FALSE),0.5),VLOOKUP('Rock Climbing Log'!AD125,'RC Lookup'!$G$3:$H$5,2,FALSE)),0)*VLOOKUP(AB$7,'RC Lookup'!$D$3:$E$18,2,FALSE)</f>
        <v>0</v>
      </c>
      <c r="AE125" s="26">
        <f>_xlfn.IFNA(IF(LEFT('Rock Climbing Log'!AE125)="C",_xlfn.IFNA(VLOOKUP('Rock Climbing Log'!AE125,'RC Lookup'!$A$3:$B$9,2,FALSE),0.5),VLOOKUP('Rock Climbing Log'!AE125,'RC Lookup'!$G$3:$H$5,2,FALSE)),0)*VLOOKUP(AE$7,'RC Lookup'!$D$3:$E$18,2,FALSE)</f>
        <v>0</v>
      </c>
      <c r="AF125" s="26">
        <f>_xlfn.IFNA(IF(LEFT('Rock Climbing Log'!AF125)="C",_xlfn.IFNA(VLOOKUP('Rock Climbing Log'!AF125,'RC Lookup'!$A$3:$B$9,2,FALSE),0.5),VLOOKUP('Rock Climbing Log'!AF125,'RC Lookup'!$G$3:$H$5,2,FALSE)),0)*VLOOKUP(AE$7,'RC Lookup'!$D$3:$E$18,2,FALSE)</f>
        <v>0</v>
      </c>
      <c r="AG125" s="26">
        <f>_xlfn.IFNA(IF(LEFT('Rock Climbing Log'!AG125)="C",_xlfn.IFNA(VLOOKUP('Rock Climbing Log'!AG125,'RC Lookup'!$A$3:$B$9,2,FALSE),0.5),VLOOKUP('Rock Climbing Log'!AG125,'RC Lookup'!$G$3:$H$5,2,FALSE)),0)*VLOOKUP(AE$7,'RC Lookup'!$D$3:$E$18,2,FALSE)</f>
        <v>0</v>
      </c>
      <c r="AH125" s="26">
        <f>_xlfn.IFNA(IF(LEFT('Rock Climbing Log'!AH125)="C",_xlfn.IFNA(VLOOKUP('Rock Climbing Log'!AH125,'RC Lookup'!$A$3:$B$9,2,FALSE),0.5),VLOOKUP('Rock Climbing Log'!AH125,'RC Lookup'!$G$3:$H$5,2,FALSE)),0)*VLOOKUP(AH$7,'RC Lookup'!$D$3:$E$18,2,FALSE)</f>
        <v>0</v>
      </c>
      <c r="AI125" s="26">
        <f>_xlfn.IFNA(IF(LEFT('Rock Climbing Log'!AI125)="C",_xlfn.IFNA(VLOOKUP('Rock Climbing Log'!AI125,'RC Lookup'!$A$3:$B$9,2,FALSE),0.5),VLOOKUP('Rock Climbing Log'!AI125,'RC Lookup'!$G$3:$H$5,2,FALSE)),0)*VLOOKUP(AH$7,'RC Lookup'!$D$3:$E$18,2,FALSE)</f>
        <v>0</v>
      </c>
      <c r="AJ125" s="26">
        <f>_xlfn.IFNA(IF(LEFT('Rock Climbing Log'!AJ125)="C",_xlfn.IFNA(VLOOKUP('Rock Climbing Log'!AJ125,'RC Lookup'!$A$3:$B$9,2,FALSE),0.5),VLOOKUP('Rock Climbing Log'!AJ125,'RC Lookup'!$G$3:$H$5,2,FALSE)),0)*VLOOKUP(AH$7,'RC Lookup'!$D$3:$E$18,2,FALSE)</f>
        <v>0</v>
      </c>
      <c r="AK125" s="26">
        <f>_xlfn.IFNA(IF(LEFT('Rock Climbing Log'!AK125)="C",_xlfn.IFNA(VLOOKUP('Rock Climbing Log'!AK125,'RC Lookup'!$A$3:$B$9,2,FALSE),0.5),VLOOKUP('Rock Climbing Log'!AK125,'RC Lookup'!$G$3:$H$5,2,FALSE)),0)*VLOOKUP(AK$7,'RC Lookup'!$D$3:$E$18,2,FALSE)</f>
        <v>0</v>
      </c>
      <c r="AL125" s="26">
        <f>_xlfn.IFNA(IF(LEFT('Rock Climbing Log'!AL125)="C",_xlfn.IFNA(VLOOKUP('Rock Climbing Log'!AL125,'RC Lookup'!$A$3:$B$9,2,FALSE),0.5),VLOOKUP('Rock Climbing Log'!AL125,'RC Lookup'!$G$3:$H$5,2,FALSE)),0)*VLOOKUP(AK$7,'RC Lookup'!$D$3:$E$18,2,FALSE)</f>
        <v>0</v>
      </c>
      <c r="AM125" s="26">
        <f>_xlfn.IFNA(IF(LEFT('Rock Climbing Log'!AM125)="C",_xlfn.IFNA(VLOOKUP('Rock Climbing Log'!AM125,'RC Lookup'!$A$3:$B$9,2,FALSE),0.5),VLOOKUP('Rock Climbing Log'!AM125,'RC Lookup'!$G$3:$H$5,2,FALSE)),0)*VLOOKUP(AK$7,'RC Lookup'!$D$3:$E$18,2,FALSE)</f>
        <v>0</v>
      </c>
      <c r="AN125" s="26">
        <f>_xlfn.IFNA(IF(LEFT('Rock Climbing Log'!AN125)="C",_xlfn.IFNA(VLOOKUP('Rock Climbing Log'!AN125,'RC Lookup'!$A$3:$B$9,2,FALSE),0.5),VLOOKUP('Rock Climbing Log'!AN125,'RC Lookup'!$G$3:$H$5,2,FALSE)),0)*VLOOKUP(AN$7,'RC Lookup'!$D$3:$E$18,2,FALSE)</f>
        <v>0</v>
      </c>
      <c r="AO125" s="26">
        <f>_xlfn.IFNA(IF(LEFT('Rock Climbing Log'!AO125)="C",_xlfn.IFNA(VLOOKUP('Rock Climbing Log'!AO125,'RC Lookup'!$A$3:$B$9,2,FALSE),0.5),VLOOKUP('Rock Climbing Log'!AO125,'RC Lookup'!$G$3:$H$5,2,FALSE)),0)*VLOOKUP(AN$7,'RC Lookup'!$D$3:$E$18,2,FALSE)</f>
        <v>0</v>
      </c>
      <c r="AP125" s="26">
        <f>_xlfn.IFNA(IF(LEFT('Rock Climbing Log'!AP125)="C",_xlfn.IFNA(VLOOKUP('Rock Climbing Log'!AP125,'RC Lookup'!$A$3:$B$9,2,FALSE),0.5),VLOOKUP('Rock Climbing Log'!AP125,'RC Lookup'!$G$3:$H$5,2,FALSE)),0)*VLOOKUP(AN$7,'RC Lookup'!$D$3:$E$18,2,FALSE)</f>
        <v>0</v>
      </c>
      <c r="AQ125" s="26">
        <f>_xlfn.IFNA(IF(LEFT('Rock Climbing Log'!AQ125)="C",_xlfn.IFNA(VLOOKUP('Rock Climbing Log'!AQ125,'RC Lookup'!$A$3:$B$9,2,FALSE),0.5),VLOOKUP('Rock Climbing Log'!AQ125,'RC Lookup'!$G$3:$H$5,2,FALSE)),0)*VLOOKUP(AQ$7,'RC Lookup'!$D$3:$E$18,2,FALSE)</f>
        <v>0</v>
      </c>
      <c r="AR125" s="26">
        <f>_xlfn.IFNA(IF(LEFT('Rock Climbing Log'!AR125)="C",_xlfn.IFNA(VLOOKUP('Rock Climbing Log'!AR125,'RC Lookup'!$A$3:$B$9,2,FALSE),0.5),VLOOKUP('Rock Climbing Log'!AR125,'RC Lookup'!$G$3:$H$5,2,FALSE)),0)*VLOOKUP(AQ$7,'RC Lookup'!$D$3:$E$18,2,FALSE)</f>
        <v>0</v>
      </c>
      <c r="AS125" s="26">
        <f>_xlfn.IFNA(IF(LEFT('Rock Climbing Log'!AS125)="C",_xlfn.IFNA(VLOOKUP('Rock Climbing Log'!AS125,'RC Lookup'!$A$3:$B$9,2,FALSE),0.5),VLOOKUP('Rock Climbing Log'!AS125,'RC Lookup'!$G$3:$H$5,2,FALSE)),0)*VLOOKUP(AQ$7,'RC Lookup'!$D$3:$E$18,2,FALSE)</f>
        <v>0</v>
      </c>
      <c r="AT125" s="26">
        <f>_xlfn.IFNA(IF(LEFT('Rock Climbing Log'!AT125)="C",_xlfn.IFNA(VLOOKUP('Rock Climbing Log'!AT125,'RC Lookup'!$A$3:$B$9,2,FALSE),0.5),VLOOKUP('Rock Climbing Log'!AT125,'RC Lookup'!$G$3:$H$5,2,FALSE)),0)*VLOOKUP(AT$7,'RC Lookup'!$D$3:$E$18,2,FALSE)</f>
        <v>0</v>
      </c>
      <c r="AU125" s="26">
        <f>_xlfn.IFNA(IF(LEFT('Rock Climbing Log'!AU125)="C",_xlfn.IFNA(VLOOKUP('Rock Climbing Log'!AU125,'RC Lookup'!$A$3:$B$9,2,FALSE),0.5),VLOOKUP('Rock Climbing Log'!AU125,'RC Lookup'!$G$3:$H$5,2,FALSE)),0)*VLOOKUP(AT$7,'RC Lookup'!$D$3:$E$18,2,FALSE)</f>
        <v>0</v>
      </c>
      <c r="AV125" s="26">
        <f>_xlfn.IFNA(IF(LEFT('Rock Climbing Log'!AV125)="C",_xlfn.IFNA(VLOOKUP('Rock Climbing Log'!AV125,'RC Lookup'!$A$3:$B$9,2,FALSE),0.5),VLOOKUP('Rock Climbing Log'!AV125,'RC Lookup'!$G$3:$H$5,2,FALSE)),0)*VLOOKUP(AT$7,'RC Lookup'!$D$3:$E$18,2,FALSE)</f>
        <v>0</v>
      </c>
      <c r="AW125" s="30">
        <f t="shared" ca="1" si="4"/>
        <v>0</v>
      </c>
      <c r="AX125" s="30">
        <f ca="1">_xlfn.IFNA(VLOOKUP(SUMPRODUCT(LARGE(($C$8:$C125=Table1[[#This Row],[Climber]])*$A$8:$A125,1)),$A$8:$AW125,MATCH($AW$7,$A$7:$AW$7,FALSE),FALSE),0)/LEFT($AX$7,FIND(" ",$AX$7))+_xlfn.IFNA(VLOOKUP(SUMPRODUCT(LARGE(($C$8:$C125=Table1[[#This Row],[Climber]])*$A$8:$A125,MIN(2,COUNTIFS($C$8:$C125,$C125)))),$A$8:$AW125,MATCH($AW$7,$A$7:$AW$7,FALSE),FALSE),0)/LEFT($AX$7,FIND(" ",$AX$7))+_xlfn.IFNA(VLOOKUP(SUMPRODUCT(LARGE(($C$8:$C125=Table1[[#This Row],[Climber]])*$A$8:$A125,MIN(3,COUNTIFS($C$8:$C125,$C125)))),$A$8:$AW125,MATCH($AW$7,$A$7:$AW$7,FALSE),FALSE),0)/LEFT($AX$7,FIND(" ",$AX$7))</f>
        <v>0</v>
      </c>
      <c r="AY125" s="30">
        <f ca="1">_xlfn.IFNA(VLOOKUP(SUMPRODUCT(LARGE(($C$8:$C125=Table1[[#This Row],[Climber]])*$A$8:$A125,1)),$A$8:$AW125,MATCH($AW$7,$A$7:$AW$7,FALSE),FALSE),0)/LEFT($AY$7,FIND(" ",$AY$7))+_xlfn.IFNA(VLOOKUP(SUMPRODUCT(LARGE(($C$8:$C125=Table1[[#This Row],[Climber]])*$A$8:$A125,MIN(2,COUNTIFS($C$8:$C125,$C125)))),$A$8:$AW125,MATCH($AW$7,$A$7:$AW$7,FALSE),FALSE),0)/LEFT($AY$7,FIND(" ",$AY$7))+_xlfn.IFNA(VLOOKUP(SUMPRODUCT(LARGE(($C$8:$C125=Table1[[#This Row],[Climber]])*$A$8:$A125,MIN(3,COUNTIFS($C$8:$C125,$C125)))),$A$8:$AW125,MATCH($AW$7,$A$7:$AW$7,FALSE),FALSE),0)/LEFT($AY$7,FIND(" ",$AY$7))+_xlfn.IFNA(VLOOKUP(SUMPRODUCT(LARGE(($C$8:$C125=Table1[[#This Row],[Climber]])*$A$8:$A125,MIN(4,COUNTIFS($C$8:$C125,$C125)))),$A$8:$AW125,MATCH($AW$7,$A$7:$AW$7,FALSE),FALSE),0)/LEFT($AY$7,FIND(" ",$AY$7))+_xlfn.IFNA(VLOOKUP(SUMPRODUCT(LARGE(($C$8:$C125=Table1[[#This Row],[Climber]])*$A$8:$A125,MIN(5,COUNTIFS($C$8:$C125,$C125)))),$A$8:$AW125,MATCH($AW$7,$A$7:$AW$7,FALSE),FALSE),0)/LEFT($AY$7,FIND(" ",$AY$7))</f>
        <v>0</v>
      </c>
      <c r="AZ125" s="30">
        <f ca="1">(_xlfn.IFNA(VLOOKUP(SUMPRODUCT(LARGE(($C$8:$C125=Table1[[#This Row],[Climber]])*$A$8:$A125,4)),$A$8:$AW125,MATCH($AW$7,$A$7:$AW$7,FALSE),FALSE),0)+_xlfn.IFNA(VLOOKUP(SUMPRODUCT(LARGE(($C$8:$C125=Table1[[#This Row],[Climber]])*$A$8:$A125,5)),$A$8:$AW125,MATCH($AW$7,$A$7:$AW$7,FALSE),FALSE),0)+_xlfn.IFNA(VLOOKUP(SUMPRODUCT(LARGE(($C$8:$C125=Table1[[#This Row],[Climber]])*$A$8:$A125,6)),$A$8:$AW125,MATCH($AW$7,$A$7:$AW$7,FALSE),FALSE),0))/3</f>
        <v>0</v>
      </c>
      <c r="BA125" s="46">
        <f ca="1">_xlfn.MAXIFS(INDIRECT("$AW"&amp;IF(SUMPRODUCT(LARGE(($C$8:$C125=$C125)*$A$8:$A125,LEFT($BA$7,FIND(" ",$BA$7)-1)))=0,8,SUMPRODUCT(LARGE(($C$8:$C125=$C125)*$A$8:$A125,LEFT($BA$7,FIND(" ",$BA$7)-1)))+7)&amp;":$AW"&amp;ROW()),INDIRECT("$C"&amp;IF(SUMPRODUCT(LARGE(($C$8:$C125=$C125)*$A$8:$A125,LEFT($BA$7,FIND(" ",$BA$7)-1)))=0,8,SUMPRODUCT(LARGE(($C$8:$C125=$C125)*$A$8:$A125,LEFT($BA$7,FIND(" ",$BA$7)-1)))+7)&amp;":$C"&amp;ROW()),$C125)</f>
        <v>0</v>
      </c>
      <c r="BB125" s="46" t="str">
        <f ca="1">VLOOKUP(MAX(BG125,$AX125),'RC Lookup'!$G$14:$J$20,2,TRUE)</f>
        <v>T1</v>
      </c>
      <c r="BC125" s="46">
        <f ca="1">_xlfn.IFNA(VLOOKUP(VLOOKUP($C125,'RC Lookup'!$O$3:$P$50,2,FALSE),'RC Lookup'!$H$14:$J$23,2,FALSE),0)*AW125</f>
        <v>0</v>
      </c>
      <c r="BD125" s="6">
        <f ca="1">_xlfn.IFNA(VLOOKUP(SUMPRODUCT(LARGE(($C$8:$C125=Table1[[#This Row],[Climber]])*$A$8:$A125,1)),$A$8:$BC125,55,FALSE),0)/LEFT($AX$7,FIND(" ",$AX$7))+_xlfn.IFNA(VLOOKUP(SUMPRODUCT(LARGE(($C$8:$C125=Table1[[#This Row],[Climber]])*$A$8:$A125,MIN(2,COUNTIFS($C$8:$C125,$C125)))),$A$8:$BC125,55,FALSE),0)/LEFT($AX$7,FIND(" ",$AX$7))+_xlfn.IFNA(VLOOKUP(SUMPRODUCT(LARGE(($C$8:$C125=Table1[[#This Row],[Climber]])*$A$8:$A125,MIN(3,COUNTIFS($C$8:$C125,$C125)))),$A$8:$BC125,55,FALSE),0)/LEFT($AX$7,FIND(" ",$AX$7))</f>
        <v>0</v>
      </c>
      <c r="BE125" s="6">
        <f ca="1">(_xlfn.IFNA(VLOOKUP(SUMPRODUCT(LARGE(($C$8:$C125=Table1[[#This Row],[Climber]])*$A$8:$A125,4)),$A$8:$BD125,55,FALSE),0)+_xlfn.IFNA(VLOOKUP(SUMPRODUCT(LARGE(($C$8:$C125=Table1[[#This Row],[Climber]])*$A$8:$A125,5)),$A$8:$BD125,55,FALSE),0)+_xlfn.IFNA(VLOOKUP(SUMPRODUCT(LARGE(($C$8:$C125=Table1[[#This Row],[Climber]])*$A$8:$A125,6)),$A$8:$BD125,55,FALSE),0))/3</f>
        <v>0</v>
      </c>
      <c r="BF125" s="46">
        <f ca="1">_xlfn.MAXIFS(INDIRECT("$BC"&amp;IF(SUMPRODUCT(LARGE(($C$8:$C125=$C125)*$A$8:$A125,LEFT($BA$7,FIND(" ",$BA$7)-1)))=0,8,SUMPRODUCT(LARGE(($C$8:$C125=$C125)*$A$8:$A125,LEFT($BA$7,FIND(" ",$BA$7)-1)))+7)&amp;":$BC"&amp;ROW()),INDIRECT("$C"&amp;IF(SUMPRODUCT(LARGE(($C$8:$C125=$C125)*$A$8:$A125,LEFT($BA$7,FIND(" ",$BA$7)-1)))=0,8,SUMPRODUCT(LARGE(($C$8:$C125=$C125)*$A$8:$A125,LEFT($BA$7,FIND(" ",$BA$7)-1)))+7)&amp;":$C"&amp;ROW()),$C125)</f>
        <v>0</v>
      </c>
      <c r="BG125" s="46">
        <f t="array" aca="1" ref="BG125" ca="1">IFERROR(SUMPRODUCT(LARGE(($C$8:$C125=Table1[[#This Row],[Climber]])*$AW$8:$AW125,ROW(INDIRECT("1:5")))),AW125)/MIN(COUNTIFS($C$8:$C125,C125),5)</f>
        <v>0</v>
      </c>
    </row>
    <row r="126" spans="1:59" x14ac:dyDescent="0.3">
      <c r="A126" s="125">
        <f t="shared" si="1"/>
        <v>119</v>
      </c>
      <c r="B126" s="25">
        <f>'Rock Climbing Log'!B126</f>
        <v>0</v>
      </c>
      <c r="C126" s="126">
        <f>'Rock Climbing Log'!C126</f>
        <v>0</v>
      </c>
      <c r="D126" s="26">
        <f>_xlfn.IFNA(IF(LEFT('Rock Climbing Log'!D126)="C",_xlfn.IFNA(VLOOKUP('Rock Climbing Log'!D126,'RC Lookup'!$A$3:$B$9,2,FALSE),0.5),VLOOKUP('Rock Climbing Log'!D126,'RC Lookup'!$G$3:$H$5,2,FALSE)),0)*VLOOKUP(D$7,'RC Lookup'!$D$3:$E$18,2,FALSE)</f>
        <v>0</v>
      </c>
      <c r="E126" s="26">
        <f>_xlfn.IFNA(IF(LEFT('Rock Climbing Log'!E126)="C",_xlfn.IFNA(VLOOKUP('Rock Climbing Log'!E126,'RC Lookup'!$A$3:$B$9,2,FALSE),0.5),VLOOKUP('Rock Climbing Log'!E126,'RC Lookup'!$G$3:$H$5,2,FALSE)),0)*VLOOKUP(D$7,'RC Lookup'!$D$3:$E$18,2,FALSE)</f>
        <v>0</v>
      </c>
      <c r="F126" s="26">
        <f>_xlfn.IFNA(IF(LEFT('Rock Climbing Log'!F126)="C",_xlfn.IFNA(VLOOKUP('Rock Climbing Log'!F126,'RC Lookup'!$A$3:$B$9,2,FALSE),0.5),VLOOKUP('Rock Climbing Log'!F126,'RC Lookup'!$G$3:$H$5,2,FALSE)),0)*VLOOKUP(D$7,'RC Lookup'!$D$3:$E$18,2,FALSE)</f>
        <v>0</v>
      </c>
      <c r="G126" s="26">
        <f>_xlfn.IFNA(IF(LEFT('Rock Climbing Log'!G126)="C",_xlfn.IFNA(VLOOKUP('Rock Climbing Log'!G126,'RC Lookup'!$A$3:$B$9,2,FALSE),0.5),VLOOKUP('Rock Climbing Log'!G126,'RC Lookup'!$G$3:$H$5,2,FALSE)),0)*VLOOKUP(G$7,'RC Lookup'!$D$3:$E$18,2,FALSE)</f>
        <v>0</v>
      </c>
      <c r="H126" s="26">
        <f>_xlfn.IFNA(IF(LEFT('Rock Climbing Log'!H126)="C",_xlfn.IFNA(VLOOKUP('Rock Climbing Log'!H126,'RC Lookup'!$A$3:$B$9,2,FALSE),0.5),VLOOKUP('Rock Climbing Log'!H126,'RC Lookup'!$G$3:$H$5,2,FALSE)),0)*VLOOKUP(G$7,'RC Lookup'!$D$3:$E$18,2,FALSE)</f>
        <v>0</v>
      </c>
      <c r="I126" s="26">
        <f>_xlfn.IFNA(IF(LEFT('Rock Climbing Log'!I126)="C",_xlfn.IFNA(VLOOKUP('Rock Climbing Log'!I126,'RC Lookup'!$A$3:$B$9,2,FALSE),0.5),VLOOKUP('Rock Climbing Log'!I126,'RC Lookup'!$G$3:$H$5,2,FALSE)),0)*VLOOKUP(G$7,'RC Lookup'!$D$3:$E$18,2,FALSE)</f>
        <v>0</v>
      </c>
      <c r="J126" s="26">
        <f>_xlfn.IFNA(IF(LEFT('Rock Climbing Log'!J126)="C",_xlfn.IFNA(VLOOKUP('Rock Climbing Log'!J126,'RC Lookup'!$A$3:$B$9,2,FALSE),0.5),VLOOKUP('Rock Climbing Log'!J126,'RC Lookup'!$G$3:$H$5,2,FALSE)),0)*VLOOKUP(J$7,'RC Lookup'!$D$3:$E$18,2,FALSE)</f>
        <v>0</v>
      </c>
      <c r="K126" s="26">
        <f>_xlfn.IFNA(IF(LEFT('Rock Climbing Log'!K126)="C",_xlfn.IFNA(VLOOKUP('Rock Climbing Log'!K126,'RC Lookup'!$A$3:$B$9,2,FALSE),0.5),VLOOKUP('Rock Climbing Log'!K126,'RC Lookup'!$G$3:$H$5,2,FALSE)),0)*VLOOKUP(J$7,'RC Lookup'!$D$3:$E$18,2,FALSE)</f>
        <v>0</v>
      </c>
      <c r="L126" s="26">
        <f>_xlfn.IFNA(IF(LEFT('Rock Climbing Log'!L126)="C",_xlfn.IFNA(VLOOKUP('Rock Climbing Log'!L126,'RC Lookup'!$A$3:$B$9,2,FALSE),0.5),VLOOKUP('Rock Climbing Log'!L126,'RC Lookup'!$G$3:$H$5,2,FALSE)),0)*VLOOKUP(J$7,'RC Lookup'!$D$3:$E$18,2,FALSE)</f>
        <v>0</v>
      </c>
      <c r="M126" s="26">
        <f>_xlfn.IFNA(IF(LEFT('Rock Climbing Log'!M126)="C",_xlfn.IFNA(VLOOKUP('Rock Climbing Log'!M126,'RC Lookup'!$A$3:$B$9,2,FALSE),0.5),VLOOKUP('Rock Climbing Log'!M126,'RC Lookup'!$G$3:$H$5,2,FALSE)),0)*VLOOKUP(M$7,'RC Lookup'!$D$3:$E$18,2,FALSE)</f>
        <v>0</v>
      </c>
      <c r="N126" s="26">
        <f>_xlfn.IFNA(IF(LEFT('Rock Climbing Log'!N126)="C",_xlfn.IFNA(VLOOKUP('Rock Climbing Log'!N126,'RC Lookup'!$A$3:$B$9,2,FALSE),0.5),VLOOKUP('Rock Climbing Log'!N126,'RC Lookup'!$G$3:$H$5,2,FALSE)),0)*VLOOKUP(M$7,'RC Lookup'!$D$3:$E$18,2,FALSE)</f>
        <v>0</v>
      </c>
      <c r="O126" s="26">
        <f>_xlfn.IFNA(IF(LEFT('Rock Climbing Log'!O126)="C",_xlfn.IFNA(VLOOKUP('Rock Climbing Log'!O126,'RC Lookup'!$A$3:$B$9,2,FALSE),0.5),VLOOKUP('Rock Climbing Log'!O126,'RC Lookup'!$G$3:$H$5,2,FALSE)),0)*VLOOKUP(M$7,'RC Lookup'!$D$3:$E$18,2,FALSE)</f>
        <v>0</v>
      </c>
      <c r="P126" s="26">
        <f>_xlfn.IFNA(IF(LEFT('Rock Climbing Log'!P126)="C",_xlfn.IFNA(VLOOKUP('Rock Climbing Log'!P126,'RC Lookup'!$A$3:$B$9,2,FALSE),0.5),VLOOKUP('Rock Climbing Log'!P126,'RC Lookup'!$G$3:$H$5,2,FALSE)),0)*VLOOKUP(P$7,'RC Lookup'!$D$3:$E$18,2,FALSE)</f>
        <v>0</v>
      </c>
      <c r="Q126" s="26">
        <f>_xlfn.IFNA(IF(LEFT('Rock Climbing Log'!Q126)="C",_xlfn.IFNA(VLOOKUP('Rock Climbing Log'!Q126,'RC Lookup'!$A$3:$B$9,2,FALSE),0.5),VLOOKUP('Rock Climbing Log'!Q126,'RC Lookup'!$G$3:$H$5,2,FALSE)),0)*VLOOKUP(P$7,'RC Lookup'!$D$3:$E$18,2,FALSE)</f>
        <v>0</v>
      </c>
      <c r="R126" s="26">
        <f>_xlfn.IFNA(IF(LEFT('Rock Climbing Log'!R126)="C",_xlfn.IFNA(VLOOKUP('Rock Climbing Log'!R126,'RC Lookup'!$A$3:$B$9,2,FALSE),0.5),VLOOKUP('Rock Climbing Log'!R126,'RC Lookup'!$G$3:$H$5,2,FALSE)),0)*VLOOKUP(P$7,'RC Lookup'!$D$3:$E$18,2,FALSE)</f>
        <v>0</v>
      </c>
      <c r="S126" s="26">
        <f>_xlfn.IFNA(IF(LEFT('Rock Climbing Log'!S126)="C",_xlfn.IFNA(VLOOKUP('Rock Climbing Log'!S126,'RC Lookup'!$A$3:$B$9,2,FALSE),0.5),VLOOKUP('Rock Climbing Log'!S126,'RC Lookup'!$G$3:$H$5,2,FALSE)),0)*VLOOKUP(S$7,'RC Lookup'!$D$3:$E$18,2,FALSE)</f>
        <v>0</v>
      </c>
      <c r="T126" s="26">
        <f>_xlfn.IFNA(IF(LEFT('Rock Climbing Log'!T126)="C",_xlfn.IFNA(VLOOKUP('Rock Climbing Log'!T126,'RC Lookup'!$A$3:$B$9,2,FALSE),0.5),VLOOKUP('Rock Climbing Log'!T126,'RC Lookup'!$G$3:$H$5,2,FALSE)),0)*VLOOKUP(S$7,'RC Lookup'!$D$3:$E$18,2,FALSE)</f>
        <v>0</v>
      </c>
      <c r="U126" s="26">
        <f>_xlfn.IFNA(IF(LEFT('Rock Climbing Log'!U126)="C",_xlfn.IFNA(VLOOKUP('Rock Climbing Log'!U126,'RC Lookup'!$A$3:$B$9,2,FALSE),0.5),VLOOKUP('Rock Climbing Log'!U126,'RC Lookup'!$G$3:$H$5,2,FALSE)),0)*VLOOKUP(S$7,'RC Lookup'!$D$3:$E$18,2,FALSE)</f>
        <v>0</v>
      </c>
      <c r="V126" s="26">
        <f>_xlfn.IFNA(IF(LEFT('Rock Climbing Log'!V126)="C",_xlfn.IFNA(VLOOKUP('Rock Climbing Log'!V126,'RC Lookup'!$A$3:$B$9,2,FALSE),0.5),VLOOKUP('Rock Climbing Log'!V126,'RC Lookup'!$G$3:$H$5,2,FALSE)),0)*VLOOKUP(V$7,'RC Lookup'!$D$3:$E$18,2,FALSE)</f>
        <v>0</v>
      </c>
      <c r="W126" s="26">
        <f>_xlfn.IFNA(IF(LEFT('Rock Climbing Log'!W126)="C",_xlfn.IFNA(VLOOKUP('Rock Climbing Log'!W126,'RC Lookup'!$A$3:$B$9,2,FALSE),0.5),VLOOKUP('Rock Climbing Log'!W126,'RC Lookup'!$G$3:$H$5,2,FALSE)),0)*VLOOKUP(V$7,'RC Lookup'!$D$3:$E$18,2,FALSE)</f>
        <v>0</v>
      </c>
      <c r="X126" s="26">
        <f>_xlfn.IFNA(IF(LEFT('Rock Climbing Log'!X126)="C",_xlfn.IFNA(VLOOKUP('Rock Climbing Log'!X126,'RC Lookup'!$A$3:$B$9,2,FALSE),0.5),VLOOKUP('Rock Climbing Log'!X126,'RC Lookup'!$G$3:$H$5,2,FALSE)),0)*VLOOKUP(V$7,'RC Lookup'!$D$3:$E$18,2,FALSE)</f>
        <v>0</v>
      </c>
      <c r="Y126" s="26">
        <f>_xlfn.IFNA(IF(LEFT('Rock Climbing Log'!Y126)="C",_xlfn.IFNA(VLOOKUP('Rock Climbing Log'!Y126,'RC Lookup'!$A$3:$B$9,2,FALSE),0.5),VLOOKUP('Rock Climbing Log'!Y126,'RC Lookup'!$G$3:$H$5,2,FALSE)),0)*VLOOKUP(Y$7,'RC Lookup'!$D$3:$E$18,2,FALSE)</f>
        <v>0</v>
      </c>
      <c r="Z126" s="26">
        <f>_xlfn.IFNA(IF(LEFT('Rock Climbing Log'!Z126)="C",_xlfn.IFNA(VLOOKUP('Rock Climbing Log'!Z126,'RC Lookup'!$A$3:$B$9,2,FALSE),0.5),VLOOKUP('Rock Climbing Log'!Z126,'RC Lookup'!$G$3:$H$5,2,FALSE)),0)*VLOOKUP(Y$7,'RC Lookup'!$D$3:$E$18,2,FALSE)</f>
        <v>0</v>
      </c>
      <c r="AA126" s="26">
        <f>_xlfn.IFNA(IF(LEFT('Rock Climbing Log'!AA126)="C",_xlfn.IFNA(VLOOKUP('Rock Climbing Log'!AA126,'RC Lookup'!$A$3:$B$9,2,FALSE),0.5),VLOOKUP('Rock Climbing Log'!AA126,'RC Lookup'!$G$3:$H$5,2,FALSE)),0)*VLOOKUP(Y$7,'RC Lookup'!$D$3:$E$18,2,FALSE)</f>
        <v>0</v>
      </c>
      <c r="AB126" s="26">
        <f>_xlfn.IFNA(IF(LEFT('Rock Climbing Log'!AB126)="C",_xlfn.IFNA(VLOOKUP('Rock Climbing Log'!AB126,'RC Lookup'!$A$3:$B$9,2,FALSE),0.5),VLOOKUP('Rock Climbing Log'!AB126,'RC Lookup'!$G$3:$H$5,2,FALSE)),0)*VLOOKUP(AB$7,'RC Lookup'!$D$3:$E$18,2,FALSE)</f>
        <v>0</v>
      </c>
      <c r="AC126" s="26">
        <f>_xlfn.IFNA(IF(LEFT('Rock Climbing Log'!AC126)="C",_xlfn.IFNA(VLOOKUP('Rock Climbing Log'!AC126,'RC Lookup'!$A$3:$B$9,2,FALSE),0.5),VLOOKUP('Rock Climbing Log'!AC126,'RC Lookup'!$G$3:$H$5,2,FALSE)),0)*VLOOKUP(AB$7,'RC Lookup'!$D$3:$E$18,2,FALSE)</f>
        <v>0</v>
      </c>
      <c r="AD126" s="26">
        <f>_xlfn.IFNA(IF(LEFT('Rock Climbing Log'!AD126)="C",_xlfn.IFNA(VLOOKUP('Rock Climbing Log'!AD126,'RC Lookup'!$A$3:$B$9,2,FALSE),0.5),VLOOKUP('Rock Climbing Log'!AD126,'RC Lookup'!$G$3:$H$5,2,FALSE)),0)*VLOOKUP(AB$7,'RC Lookup'!$D$3:$E$18,2,FALSE)</f>
        <v>0</v>
      </c>
      <c r="AE126" s="26">
        <f>_xlfn.IFNA(IF(LEFT('Rock Climbing Log'!AE126)="C",_xlfn.IFNA(VLOOKUP('Rock Climbing Log'!AE126,'RC Lookup'!$A$3:$B$9,2,FALSE),0.5),VLOOKUP('Rock Climbing Log'!AE126,'RC Lookup'!$G$3:$H$5,2,FALSE)),0)*VLOOKUP(AE$7,'RC Lookup'!$D$3:$E$18,2,FALSE)</f>
        <v>0</v>
      </c>
      <c r="AF126" s="26">
        <f>_xlfn.IFNA(IF(LEFT('Rock Climbing Log'!AF126)="C",_xlfn.IFNA(VLOOKUP('Rock Climbing Log'!AF126,'RC Lookup'!$A$3:$B$9,2,FALSE),0.5),VLOOKUP('Rock Climbing Log'!AF126,'RC Lookup'!$G$3:$H$5,2,FALSE)),0)*VLOOKUP(AE$7,'RC Lookup'!$D$3:$E$18,2,FALSE)</f>
        <v>0</v>
      </c>
      <c r="AG126" s="26">
        <f>_xlfn.IFNA(IF(LEFT('Rock Climbing Log'!AG126)="C",_xlfn.IFNA(VLOOKUP('Rock Climbing Log'!AG126,'RC Lookup'!$A$3:$B$9,2,FALSE),0.5),VLOOKUP('Rock Climbing Log'!AG126,'RC Lookup'!$G$3:$H$5,2,FALSE)),0)*VLOOKUP(AE$7,'RC Lookup'!$D$3:$E$18,2,FALSE)</f>
        <v>0</v>
      </c>
      <c r="AH126" s="26">
        <f>_xlfn.IFNA(IF(LEFT('Rock Climbing Log'!AH126)="C",_xlfn.IFNA(VLOOKUP('Rock Climbing Log'!AH126,'RC Lookup'!$A$3:$B$9,2,FALSE),0.5),VLOOKUP('Rock Climbing Log'!AH126,'RC Lookup'!$G$3:$H$5,2,FALSE)),0)*VLOOKUP(AH$7,'RC Lookup'!$D$3:$E$18,2,FALSE)</f>
        <v>0</v>
      </c>
      <c r="AI126" s="26">
        <f>_xlfn.IFNA(IF(LEFT('Rock Climbing Log'!AI126)="C",_xlfn.IFNA(VLOOKUP('Rock Climbing Log'!AI126,'RC Lookup'!$A$3:$B$9,2,FALSE),0.5),VLOOKUP('Rock Climbing Log'!AI126,'RC Lookup'!$G$3:$H$5,2,FALSE)),0)*VLOOKUP(AH$7,'RC Lookup'!$D$3:$E$18,2,FALSE)</f>
        <v>0</v>
      </c>
      <c r="AJ126" s="26">
        <f>_xlfn.IFNA(IF(LEFT('Rock Climbing Log'!AJ126)="C",_xlfn.IFNA(VLOOKUP('Rock Climbing Log'!AJ126,'RC Lookup'!$A$3:$B$9,2,FALSE),0.5),VLOOKUP('Rock Climbing Log'!AJ126,'RC Lookup'!$G$3:$H$5,2,FALSE)),0)*VLOOKUP(AH$7,'RC Lookup'!$D$3:$E$18,2,FALSE)</f>
        <v>0</v>
      </c>
      <c r="AK126" s="26">
        <f>_xlfn.IFNA(IF(LEFT('Rock Climbing Log'!AK126)="C",_xlfn.IFNA(VLOOKUP('Rock Climbing Log'!AK126,'RC Lookup'!$A$3:$B$9,2,FALSE),0.5),VLOOKUP('Rock Climbing Log'!AK126,'RC Lookup'!$G$3:$H$5,2,FALSE)),0)*VLOOKUP(AK$7,'RC Lookup'!$D$3:$E$18,2,FALSE)</f>
        <v>0</v>
      </c>
      <c r="AL126" s="26">
        <f>_xlfn.IFNA(IF(LEFT('Rock Climbing Log'!AL126)="C",_xlfn.IFNA(VLOOKUP('Rock Climbing Log'!AL126,'RC Lookup'!$A$3:$B$9,2,FALSE),0.5),VLOOKUP('Rock Climbing Log'!AL126,'RC Lookup'!$G$3:$H$5,2,FALSE)),0)*VLOOKUP(AK$7,'RC Lookup'!$D$3:$E$18,2,FALSE)</f>
        <v>0</v>
      </c>
      <c r="AM126" s="26">
        <f>_xlfn.IFNA(IF(LEFT('Rock Climbing Log'!AM126)="C",_xlfn.IFNA(VLOOKUP('Rock Climbing Log'!AM126,'RC Lookup'!$A$3:$B$9,2,FALSE),0.5),VLOOKUP('Rock Climbing Log'!AM126,'RC Lookup'!$G$3:$H$5,2,FALSE)),0)*VLOOKUP(AK$7,'RC Lookup'!$D$3:$E$18,2,FALSE)</f>
        <v>0</v>
      </c>
      <c r="AN126" s="26">
        <f>_xlfn.IFNA(IF(LEFT('Rock Climbing Log'!AN126)="C",_xlfn.IFNA(VLOOKUP('Rock Climbing Log'!AN126,'RC Lookup'!$A$3:$B$9,2,FALSE),0.5),VLOOKUP('Rock Climbing Log'!AN126,'RC Lookup'!$G$3:$H$5,2,FALSE)),0)*VLOOKUP(AN$7,'RC Lookup'!$D$3:$E$18,2,FALSE)</f>
        <v>0</v>
      </c>
      <c r="AO126" s="26">
        <f>_xlfn.IFNA(IF(LEFT('Rock Climbing Log'!AO126)="C",_xlfn.IFNA(VLOOKUP('Rock Climbing Log'!AO126,'RC Lookup'!$A$3:$B$9,2,FALSE),0.5),VLOOKUP('Rock Climbing Log'!AO126,'RC Lookup'!$G$3:$H$5,2,FALSE)),0)*VLOOKUP(AN$7,'RC Lookup'!$D$3:$E$18,2,FALSE)</f>
        <v>0</v>
      </c>
      <c r="AP126" s="26">
        <f>_xlfn.IFNA(IF(LEFT('Rock Climbing Log'!AP126)="C",_xlfn.IFNA(VLOOKUP('Rock Climbing Log'!AP126,'RC Lookup'!$A$3:$B$9,2,FALSE),0.5),VLOOKUP('Rock Climbing Log'!AP126,'RC Lookup'!$G$3:$H$5,2,FALSE)),0)*VLOOKUP(AN$7,'RC Lookup'!$D$3:$E$18,2,FALSE)</f>
        <v>0</v>
      </c>
      <c r="AQ126" s="26">
        <f>_xlfn.IFNA(IF(LEFT('Rock Climbing Log'!AQ126)="C",_xlfn.IFNA(VLOOKUP('Rock Climbing Log'!AQ126,'RC Lookup'!$A$3:$B$9,2,FALSE),0.5),VLOOKUP('Rock Climbing Log'!AQ126,'RC Lookup'!$G$3:$H$5,2,FALSE)),0)*VLOOKUP(AQ$7,'RC Lookup'!$D$3:$E$18,2,FALSE)</f>
        <v>0</v>
      </c>
      <c r="AR126" s="26">
        <f>_xlfn.IFNA(IF(LEFT('Rock Climbing Log'!AR126)="C",_xlfn.IFNA(VLOOKUP('Rock Climbing Log'!AR126,'RC Lookup'!$A$3:$B$9,2,FALSE),0.5),VLOOKUP('Rock Climbing Log'!AR126,'RC Lookup'!$G$3:$H$5,2,FALSE)),0)*VLOOKUP(AQ$7,'RC Lookup'!$D$3:$E$18,2,FALSE)</f>
        <v>0</v>
      </c>
      <c r="AS126" s="26">
        <f>_xlfn.IFNA(IF(LEFT('Rock Climbing Log'!AS126)="C",_xlfn.IFNA(VLOOKUP('Rock Climbing Log'!AS126,'RC Lookup'!$A$3:$B$9,2,FALSE),0.5),VLOOKUP('Rock Climbing Log'!AS126,'RC Lookup'!$G$3:$H$5,2,FALSE)),0)*VLOOKUP(AQ$7,'RC Lookup'!$D$3:$E$18,2,FALSE)</f>
        <v>0</v>
      </c>
      <c r="AT126" s="26">
        <f>_xlfn.IFNA(IF(LEFT('Rock Climbing Log'!AT126)="C",_xlfn.IFNA(VLOOKUP('Rock Climbing Log'!AT126,'RC Lookup'!$A$3:$B$9,2,FALSE),0.5),VLOOKUP('Rock Climbing Log'!AT126,'RC Lookup'!$G$3:$H$5,2,FALSE)),0)*VLOOKUP(AT$7,'RC Lookup'!$D$3:$E$18,2,FALSE)</f>
        <v>0</v>
      </c>
      <c r="AU126" s="26">
        <f>_xlfn.IFNA(IF(LEFT('Rock Climbing Log'!AU126)="C",_xlfn.IFNA(VLOOKUP('Rock Climbing Log'!AU126,'RC Lookup'!$A$3:$B$9,2,FALSE),0.5),VLOOKUP('Rock Climbing Log'!AU126,'RC Lookup'!$G$3:$H$5,2,FALSE)),0)*VLOOKUP(AT$7,'RC Lookup'!$D$3:$E$18,2,FALSE)</f>
        <v>0</v>
      </c>
      <c r="AV126" s="26">
        <f>_xlfn.IFNA(IF(LEFT('Rock Climbing Log'!AV126)="C",_xlfn.IFNA(VLOOKUP('Rock Climbing Log'!AV126,'RC Lookup'!$A$3:$B$9,2,FALSE),0.5),VLOOKUP('Rock Climbing Log'!AV126,'RC Lookup'!$G$3:$H$5,2,FALSE)),0)*VLOOKUP(AT$7,'RC Lookup'!$D$3:$E$18,2,FALSE)</f>
        <v>0</v>
      </c>
      <c r="AW126" s="30">
        <f t="shared" ca="1" si="4"/>
        <v>0</v>
      </c>
      <c r="AX126" s="30">
        <f ca="1">_xlfn.IFNA(VLOOKUP(SUMPRODUCT(LARGE(($C$8:$C126=Table1[[#This Row],[Climber]])*$A$8:$A126,1)),$A$8:$AW126,MATCH($AW$7,$A$7:$AW$7,FALSE),FALSE),0)/LEFT($AX$7,FIND(" ",$AX$7))+_xlfn.IFNA(VLOOKUP(SUMPRODUCT(LARGE(($C$8:$C126=Table1[[#This Row],[Climber]])*$A$8:$A126,MIN(2,COUNTIFS($C$8:$C126,$C126)))),$A$8:$AW126,MATCH($AW$7,$A$7:$AW$7,FALSE),FALSE),0)/LEFT($AX$7,FIND(" ",$AX$7))+_xlfn.IFNA(VLOOKUP(SUMPRODUCT(LARGE(($C$8:$C126=Table1[[#This Row],[Climber]])*$A$8:$A126,MIN(3,COUNTIFS($C$8:$C126,$C126)))),$A$8:$AW126,MATCH($AW$7,$A$7:$AW$7,FALSE),FALSE),0)/LEFT($AX$7,FIND(" ",$AX$7))</f>
        <v>0</v>
      </c>
      <c r="AY126" s="30">
        <f ca="1">_xlfn.IFNA(VLOOKUP(SUMPRODUCT(LARGE(($C$8:$C126=Table1[[#This Row],[Climber]])*$A$8:$A126,1)),$A$8:$AW126,MATCH($AW$7,$A$7:$AW$7,FALSE),FALSE),0)/LEFT($AY$7,FIND(" ",$AY$7))+_xlfn.IFNA(VLOOKUP(SUMPRODUCT(LARGE(($C$8:$C126=Table1[[#This Row],[Climber]])*$A$8:$A126,MIN(2,COUNTIFS($C$8:$C126,$C126)))),$A$8:$AW126,MATCH($AW$7,$A$7:$AW$7,FALSE),FALSE),0)/LEFT($AY$7,FIND(" ",$AY$7))+_xlfn.IFNA(VLOOKUP(SUMPRODUCT(LARGE(($C$8:$C126=Table1[[#This Row],[Climber]])*$A$8:$A126,MIN(3,COUNTIFS($C$8:$C126,$C126)))),$A$8:$AW126,MATCH($AW$7,$A$7:$AW$7,FALSE),FALSE),0)/LEFT($AY$7,FIND(" ",$AY$7))+_xlfn.IFNA(VLOOKUP(SUMPRODUCT(LARGE(($C$8:$C126=Table1[[#This Row],[Climber]])*$A$8:$A126,MIN(4,COUNTIFS($C$8:$C126,$C126)))),$A$8:$AW126,MATCH($AW$7,$A$7:$AW$7,FALSE),FALSE),0)/LEFT($AY$7,FIND(" ",$AY$7))+_xlfn.IFNA(VLOOKUP(SUMPRODUCT(LARGE(($C$8:$C126=Table1[[#This Row],[Climber]])*$A$8:$A126,MIN(5,COUNTIFS($C$8:$C126,$C126)))),$A$8:$AW126,MATCH($AW$7,$A$7:$AW$7,FALSE),FALSE),0)/LEFT($AY$7,FIND(" ",$AY$7))</f>
        <v>0</v>
      </c>
      <c r="AZ126" s="30">
        <f ca="1">(_xlfn.IFNA(VLOOKUP(SUMPRODUCT(LARGE(($C$8:$C126=Table1[[#This Row],[Climber]])*$A$8:$A126,4)),$A$8:$AW126,MATCH($AW$7,$A$7:$AW$7,FALSE),FALSE),0)+_xlfn.IFNA(VLOOKUP(SUMPRODUCT(LARGE(($C$8:$C126=Table1[[#This Row],[Climber]])*$A$8:$A126,5)),$A$8:$AW126,MATCH($AW$7,$A$7:$AW$7,FALSE),FALSE),0)+_xlfn.IFNA(VLOOKUP(SUMPRODUCT(LARGE(($C$8:$C126=Table1[[#This Row],[Climber]])*$A$8:$A126,6)),$A$8:$AW126,MATCH($AW$7,$A$7:$AW$7,FALSE),FALSE),0))/3</f>
        <v>0</v>
      </c>
      <c r="BA126" s="46">
        <f ca="1">_xlfn.MAXIFS(INDIRECT("$AW"&amp;IF(SUMPRODUCT(LARGE(($C$8:$C126=$C126)*$A$8:$A126,LEFT($BA$7,FIND(" ",$BA$7)-1)))=0,8,SUMPRODUCT(LARGE(($C$8:$C126=$C126)*$A$8:$A126,LEFT($BA$7,FIND(" ",$BA$7)-1)))+7)&amp;":$AW"&amp;ROW()),INDIRECT("$C"&amp;IF(SUMPRODUCT(LARGE(($C$8:$C126=$C126)*$A$8:$A126,LEFT($BA$7,FIND(" ",$BA$7)-1)))=0,8,SUMPRODUCT(LARGE(($C$8:$C126=$C126)*$A$8:$A126,LEFT($BA$7,FIND(" ",$BA$7)-1)))+7)&amp;":$C"&amp;ROW()),$C126)</f>
        <v>0</v>
      </c>
      <c r="BB126" s="46" t="str">
        <f ca="1">VLOOKUP(MAX(BG126,$AX126),'RC Lookup'!$G$14:$J$20,2,TRUE)</f>
        <v>T1</v>
      </c>
      <c r="BC126" s="46">
        <f ca="1">_xlfn.IFNA(VLOOKUP(VLOOKUP($C126,'RC Lookup'!$O$3:$P$50,2,FALSE),'RC Lookup'!$H$14:$J$23,2,FALSE),0)*AW126</f>
        <v>0</v>
      </c>
      <c r="BD126" s="6">
        <f ca="1">_xlfn.IFNA(VLOOKUP(SUMPRODUCT(LARGE(($C$8:$C126=Table1[[#This Row],[Climber]])*$A$8:$A126,1)),$A$8:$BC126,55,FALSE),0)/LEFT($AX$7,FIND(" ",$AX$7))+_xlfn.IFNA(VLOOKUP(SUMPRODUCT(LARGE(($C$8:$C126=Table1[[#This Row],[Climber]])*$A$8:$A126,MIN(2,COUNTIFS($C$8:$C126,$C126)))),$A$8:$BC126,55,FALSE),0)/LEFT($AX$7,FIND(" ",$AX$7))+_xlfn.IFNA(VLOOKUP(SUMPRODUCT(LARGE(($C$8:$C126=Table1[[#This Row],[Climber]])*$A$8:$A126,MIN(3,COUNTIFS($C$8:$C126,$C126)))),$A$8:$BC126,55,FALSE),0)/LEFT($AX$7,FIND(" ",$AX$7))</f>
        <v>0</v>
      </c>
      <c r="BE126" s="6">
        <f ca="1">(_xlfn.IFNA(VLOOKUP(SUMPRODUCT(LARGE(($C$8:$C126=Table1[[#This Row],[Climber]])*$A$8:$A126,4)),$A$8:$BD126,55,FALSE),0)+_xlfn.IFNA(VLOOKUP(SUMPRODUCT(LARGE(($C$8:$C126=Table1[[#This Row],[Climber]])*$A$8:$A126,5)),$A$8:$BD126,55,FALSE),0)+_xlfn.IFNA(VLOOKUP(SUMPRODUCT(LARGE(($C$8:$C126=Table1[[#This Row],[Climber]])*$A$8:$A126,6)),$A$8:$BD126,55,FALSE),0))/3</f>
        <v>0</v>
      </c>
      <c r="BF126" s="46">
        <f ca="1">_xlfn.MAXIFS(INDIRECT("$BC"&amp;IF(SUMPRODUCT(LARGE(($C$8:$C126=$C126)*$A$8:$A126,LEFT($BA$7,FIND(" ",$BA$7)-1)))=0,8,SUMPRODUCT(LARGE(($C$8:$C126=$C126)*$A$8:$A126,LEFT($BA$7,FIND(" ",$BA$7)-1)))+7)&amp;":$BC"&amp;ROW()),INDIRECT("$C"&amp;IF(SUMPRODUCT(LARGE(($C$8:$C126=$C126)*$A$8:$A126,LEFT($BA$7,FIND(" ",$BA$7)-1)))=0,8,SUMPRODUCT(LARGE(($C$8:$C126=$C126)*$A$8:$A126,LEFT($BA$7,FIND(" ",$BA$7)-1)))+7)&amp;":$C"&amp;ROW()),$C126)</f>
        <v>0</v>
      </c>
      <c r="BG126" s="46">
        <f t="array" aca="1" ref="BG126" ca="1">IFERROR(SUMPRODUCT(LARGE(($C$8:$C126=Table1[[#This Row],[Climber]])*$AW$8:$AW126,ROW(INDIRECT("1:5")))),AW126)/MIN(COUNTIFS($C$8:$C126,C126),5)</f>
        <v>0</v>
      </c>
    </row>
    <row r="127" spans="1:59" x14ac:dyDescent="0.3">
      <c r="A127" s="125">
        <f t="shared" si="1"/>
        <v>120</v>
      </c>
      <c r="B127" s="25">
        <f>'Rock Climbing Log'!B127</f>
        <v>0</v>
      </c>
      <c r="C127" s="126">
        <f>'Rock Climbing Log'!C127</f>
        <v>0</v>
      </c>
      <c r="D127" s="26">
        <f>_xlfn.IFNA(IF(LEFT('Rock Climbing Log'!D127)="C",_xlfn.IFNA(VLOOKUP('Rock Climbing Log'!D127,'RC Lookup'!$A$3:$B$9,2,FALSE),0.5),VLOOKUP('Rock Climbing Log'!D127,'RC Lookup'!$G$3:$H$5,2,FALSE)),0)*VLOOKUP(D$7,'RC Lookup'!$D$3:$E$18,2,FALSE)</f>
        <v>0</v>
      </c>
      <c r="E127" s="26">
        <f>_xlfn.IFNA(IF(LEFT('Rock Climbing Log'!E127)="C",_xlfn.IFNA(VLOOKUP('Rock Climbing Log'!E127,'RC Lookup'!$A$3:$B$9,2,FALSE),0.5),VLOOKUP('Rock Climbing Log'!E127,'RC Lookup'!$G$3:$H$5,2,FALSE)),0)*VLOOKUP(D$7,'RC Lookup'!$D$3:$E$18,2,FALSE)</f>
        <v>0</v>
      </c>
      <c r="F127" s="26">
        <f>_xlfn.IFNA(IF(LEFT('Rock Climbing Log'!F127)="C",_xlfn.IFNA(VLOOKUP('Rock Climbing Log'!F127,'RC Lookup'!$A$3:$B$9,2,FALSE),0.5),VLOOKUP('Rock Climbing Log'!F127,'RC Lookup'!$G$3:$H$5,2,FALSE)),0)*VLOOKUP(D$7,'RC Lookup'!$D$3:$E$18,2,FALSE)</f>
        <v>0</v>
      </c>
      <c r="G127" s="26">
        <f>_xlfn.IFNA(IF(LEFT('Rock Climbing Log'!G127)="C",_xlfn.IFNA(VLOOKUP('Rock Climbing Log'!G127,'RC Lookup'!$A$3:$B$9,2,FALSE),0.5),VLOOKUP('Rock Climbing Log'!G127,'RC Lookup'!$G$3:$H$5,2,FALSE)),0)*VLOOKUP(G$7,'RC Lookup'!$D$3:$E$18,2,FALSE)</f>
        <v>0</v>
      </c>
      <c r="H127" s="26">
        <f>_xlfn.IFNA(IF(LEFT('Rock Climbing Log'!H127)="C",_xlfn.IFNA(VLOOKUP('Rock Climbing Log'!H127,'RC Lookup'!$A$3:$B$9,2,FALSE),0.5),VLOOKUP('Rock Climbing Log'!H127,'RC Lookup'!$G$3:$H$5,2,FALSE)),0)*VLOOKUP(G$7,'RC Lookup'!$D$3:$E$18,2,FALSE)</f>
        <v>0</v>
      </c>
      <c r="I127" s="26">
        <f>_xlfn.IFNA(IF(LEFT('Rock Climbing Log'!I127)="C",_xlfn.IFNA(VLOOKUP('Rock Climbing Log'!I127,'RC Lookup'!$A$3:$B$9,2,FALSE),0.5),VLOOKUP('Rock Climbing Log'!I127,'RC Lookup'!$G$3:$H$5,2,FALSE)),0)*VLOOKUP(G$7,'RC Lookup'!$D$3:$E$18,2,FALSE)</f>
        <v>0</v>
      </c>
      <c r="J127" s="26">
        <f>_xlfn.IFNA(IF(LEFT('Rock Climbing Log'!J127)="C",_xlfn.IFNA(VLOOKUP('Rock Climbing Log'!J127,'RC Lookup'!$A$3:$B$9,2,FALSE),0.5),VLOOKUP('Rock Climbing Log'!J127,'RC Lookup'!$G$3:$H$5,2,FALSE)),0)*VLOOKUP(J$7,'RC Lookup'!$D$3:$E$18,2,FALSE)</f>
        <v>0</v>
      </c>
      <c r="K127" s="26">
        <f>_xlfn.IFNA(IF(LEFT('Rock Climbing Log'!K127)="C",_xlfn.IFNA(VLOOKUP('Rock Climbing Log'!K127,'RC Lookup'!$A$3:$B$9,2,FALSE),0.5),VLOOKUP('Rock Climbing Log'!K127,'RC Lookup'!$G$3:$H$5,2,FALSE)),0)*VLOOKUP(J$7,'RC Lookup'!$D$3:$E$18,2,FALSE)</f>
        <v>0</v>
      </c>
      <c r="L127" s="26">
        <f>_xlfn.IFNA(IF(LEFT('Rock Climbing Log'!L127)="C",_xlfn.IFNA(VLOOKUP('Rock Climbing Log'!L127,'RC Lookup'!$A$3:$B$9,2,FALSE),0.5),VLOOKUP('Rock Climbing Log'!L127,'RC Lookup'!$G$3:$H$5,2,FALSE)),0)*VLOOKUP(J$7,'RC Lookup'!$D$3:$E$18,2,FALSE)</f>
        <v>0</v>
      </c>
      <c r="M127" s="26">
        <f>_xlfn.IFNA(IF(LEFT('Rock Climbing Log'!M127)="C",_xlfn.IFNA(VLOOKUP('Rock Climbing Log'!M127,'RC Lookup'!$A$3:$B$9,2,FALSE),0.5),VLOOKUP('Rock Climbing Log'!M127,'RC Lookup'!$G$3:$H$5,2,FALSE)),0)*VLOOKUP(M$7,'RC Lookup'!$D$3:$E$18,2,FALSE)</f>
        <v>0</v>
      </c>
      <c r="N127" s="26">
        <f>_xlfn.IFNA(IF(LEFT('Rock Climbing Log'!N127)="C",_xlfn.IFNA(VLOOKUP('Rock Climbing Log'!N127,'RC Lookup'!$A$3:$B$9,2,FALSE),0.5),VLOOKUP('Rock Climbing Log'!N127,'RC Lookup'!$G$3:$H$5,2,FALSE)),0)*VLOOKUP(M$7,'RC Lookup'!$D$3:$E$18,2,FALSE)</f>
        <v>0</v>
      </c>
      <c r="O127" s="26">
        <f>_xlfn.IFNA(IF(LEFT('Rock Climbing Log'!O127)="C",_xlfn.IFNA(VLOOKUP('Rock Climbing Log'!O127,'RC Lookup'!$A$3:$B$9,2,FALSE),0.5),VLOOKUP('Rock Climbing Log'!O127,'RC Lookup'!$G$3:$H$5,2,FALSE)),0)*VLOOKUP(M$7,'RC Lookup'!$D$3:$E$18,2,FALSE)</f>
        <v>0</v>
      </c>
      <c r="P127" s="26">
        <f>_xlfn.IFNA(IF(LEFT('Rock Climbing Log'!P127)="C",_xlfn.IFNA(VLOOKUP('Rock Climbing Log'!P127,'RC Lookup'!$A$3:$B$9,2,FALSE),0.5),VLOOKUP('Rock Climbing Log'!P127,'RC Lookup'!$G$3:$H$5,2,FALSE)),0)*VLOOKUP(P$7,'RC Lookup'!$D$3:$E$18,2,FALSE)</f>
        <v>0</v>
      </c>
      <c r="Q127" s="26">
        <f>_xlfn.IFNA(IF(LEFT('Rock Climbing Log'!Q127)="C",_xlfn.IFNA(VLOOKUP('Rock Climbing Log'!Q127,'RC Lookup'!$A$3:$B$9,2,FALSE),0.5),VLOOKUP('Rock Climbing Log'!Q127,'RC Lookup'!$G$3:$H$5,2,FALSE)),0)*VLOOKUP(P$7,'RC Lookup'!$D$3:$E$18,2,FALSE)</f>
        <v>0</v>
      </c>
      <c r="R127" s="26">
        <f>_xlfn.IFNA(IF(LEFT('Rock Climbing Log'!R127)="C",_xlfn.IFNA(VLOOKUP('Rock Climbing Log'!R127,'RC Lookup'!$A$3:$B$9,2,FALSE),0.5),VLOOKUP('Rock Climbing Log'!R127,'RC Lookup'!$G$3:$H$5,2,FALSE)),0)*VLOOKUP(P$7,'RC Lookup'!$D$3:$E$18,2,FALSE)</f>
        <v>0</v>
      </c>
      <c r="S127" s="26">
        <f>_xlfn.IFNA(IF(LEFT('Rock Climbing Log'!S127)="C",_xlfn.IFNA(VLOOKUP('Rock Climbing Log'!S127,'RC Lookup'!$A$3:$B$9,2,FALSE),0.5),VLOOKUP('Rock Climbing Log'!S127,'RC Lookup'!$G$3:$H$5,2,FALSE)),0)*VLOOKUP(S$7,'RC Lookup'!$D$3:$E$18,2,FALSE)</f>
        <v>0</v>
      </c>
      <c r="T127" s="26">
        <f>_xlfn.IFNA(IF(LEFT('Rock Climbing Log'!T127)="C",_xlfn.IFNA(VLOOKUP('Rock Climbing Log'!T127,'RC Lookup'!$A$3:$B$9,2,FALSE),0.5),VLOOKUP('Rock Climbing Log'!T127,'RC Lookup'!$G$3:$H$5,2,FALSE)),0)*VLOOKUP(S$7,'RC Lookup'!$D$3:$E$18,2,FALSE)</f>
        <v>0</v>
      </c>
      <c r="U127" s="26">
        <f>_xlfn.IFNA(IF(LEFT('Rock Climbing Log'!U127)="C",_xlfn.IFNA(VLOOKUP('Rock Climbing Log'!U127,'RC Lookup'!$A$3:$B$9,2,FALSE),0.5),VLOOKUP('Rock Climbing Log'!U127,'RC Lookup'!$G$3:$H$5,2,FALSE)),0)*VLOOKUP(S$7,'RC Lookup'!$D$3:$E$18,2,FALSE)</f>
        <v>0</v>
      </c>
      <c r="V127" s="26">
        <f>_xlfn.IFNA(IF(LEFT('Rock Climbing Log'!V127)="C",_xlfn.IFNA(VLOOKUP('Rock Climbing Log'!V127,'RC Lookup'!$A$3:$B$9,2,FALSE),0.5),VLOOKUP('Rock Climbing Log'!V127,'RC Lookup'!$G$3:$H$5,2,FALSE)),0)*VLOOKUP(V$7,'RC Lookup'!$D$3:$E$18,2,FALSE)</f>
        <v>0</v>
      </c>
      <c r="W127" s="26">
        <f>_xlfn.IFNA(IF(LEFT('Rock Climbing Log'!W127)="C",_xlfn.IFNA(VLOOKUP('Rock Climbing Log'!W127,'RC Lookup'!$A$3:$B$9,2,FALSE),0.5),VLOOKUP('Rock Climbing Log'!W127,'RC Lookup'!$G$3:$H$5,2,FALSE)),0)*VLOOKUP(V$7,'RC Lookup'!$D$3:$E$18,2,FALSE)</f>
        <v>0</v>
      </c>
      <c r="X127" s="26">
        <f>_xlfn.IFNA(IF(LEFT('Rock Climbing Log'!X127)="C",_xlfn.IFNA(VLOOKUP('Rock Climbing Log'!X127,'RC Lookup'!$A$3:$B$9,2,FALSE),0.5),VLOOKUP('Rock Climbing Log'!X127,'RC Lookup'!$G$3:$H$5,2,FALSE)),0)*VLOOKUP(V$7,'RC Lookup'!$D$3:$E$18,2,FALSE)</f>
        <v>0</v>
      </c>
      <c r="Y127" s="26">
        <f>_xlfn.IFNA(IF(LEFT('Rock Climbing Log'!Y127)="C",_xlfn.IFNA(VLOOKUP('Rock Climbing Log'!Y127,'RC Lookup'!$A$3:$B$9,2,FALSE),0.5),VLOOKUP('Rock Climbing Log'!Y127,'RC Lookup'!$G$3:$H$5,2,FALSE)),0)*VLOOKUP(Y$7,'RC Lookup'!$D$3:$E$18,2,FALSE)</f>
        <v>0</v>
      </c>
      <c r="Z127" s="26">
        <f>_xlfn.IFNA(IF(LEFT('Rock Climbing Log'!Z127)="C",_xlfn.IFNA(VLOOKUP('Rock Climbing Log'!Z127,'RC Lookup'!$A$3:$B$9,2,FALSE),0.5),VLOOKUP('Rock Climbing Log'!Z127,'RC Lookup'!$G$3:$H$5,2,FALSE)),0)*VLOOKUP(Y$7,'RC Lookup'!$D$3:$E$18,2,FALSE)</f>
        <v>0</v>
      </c>
      <c r="AA127" s="26">
        <f>_xlfn.IFNA(IF(LEFT('Rock Climbing Log'!AA127)="C",_xlfn.IFNA(VLOOKUP('Rock Climbing Log'!AA127,'RC Lookup'!$A$3:$B$9,2,FALSE),0.5),VLOOKUP('Rock Climbing Log'!AA127,'RC Lookup'!$G$3:$H$5,2,FALSE)),0)*VLOOKUP(Y$7,'RC Lookup'!$D$3:$E$18,2,FALSE)</f>
        <v>0</v>
      </c>
      <c r="AB127" s="26">
        <f>_xlfn.IFNA(IF(LEFT('Rock Climbing Log'!AB127)="C",_xlfn.IFNA(VLOOKUP('Rock Climbing Log'!AB127,'RC Lookup'!$A$3:$B$9,2,FALSE),0.5),VLOOKUP('Rock Climbing Log'!AB127,'RC Lookup'!$G$3:$H$5,2,FALSE)),0)*VLOOKUP(AB$7,'RC Lookup'!$D$3:$E$18,2,FALSE)</f>
        <v>0</v>
      </c>
      <c r="AC127" s="26">
        <f>_xlfn.IFNA(IF(LEFT('Rock Climbing Log'!AC127)="C",_xlfn.IFNA(VLOOKUP('Rock Climbing Log'!AC127,'RC Lookup'!$A$3:$B$9,2,FALSE),0.5),VLOOKUP('Rock Climbing Log'!AC127,'RC Lookup'!$G$3:$H$5,2,FALSE)),0)*VLOOKUP(AB$7,'RC Lookup'!$D$3:$E$18,2,FALSE)</f>
        <v>0</v>
      </c>
      <c r="AD127" s="26">
        <f>_xlfn.IFNA(IF(LEFT('Rock Climbing Log'!AD127)="C",_xlfn.IFNA(VLOOKUP('Rock Climbing Log'!AD127,'RC Lookup'!$A$3:$B$9,2,FALSE),0.5),VLOOKUP('Rock Climbing Log'!AD127,'RC Lookup'!$G$3:$H$5,2,FALSE)),0)*VLOOKUP(AB$7,'RC Lookup'!$D$3:$E$18,2,FALSE)</f>
        <v>0</v>
      </c>
      <c r="AE127" s="26">
        <f>_xlfn.IFNA(IF(LEFT('Rock Climbing Log'!AE127)="C",_xlfn.IFNA(VLOOKUP('Rock Climbing Log'!AE127,'RC Lookup'!$A$3:$B$9,2,FALSE),0.5),VLOOKUP('Rock Climbing Log'!AE127,'RC Lookup'!$G$3:$H$5,2,FALSE)),0)*VLOOKUP(AE$7,'RC Lookup'!$D$3:$E$18,2,FALSE)</f>
        <v>0</v>
      </c>
      <c r="AF127" s="26">
        <f>_xlfn.IFNA(IF(LEFT('Rock Climbing Log'!AF127)="C",_xlfn.IFNA(VLOOKUP('Rock Climbing Log'!AF127,'RC Lookup'!$A$3:$B$9,2,FALSE),0.5),VLOOKUP('Rock Climbing Log'!AF127,'RC Lookup'!$G$3:$H$5,2,FALSE)),0)*VLOOKUP(AE$7,'RC Lookup'!$D$3:$E$18,2,FALSE)</f>
        <v>0</v>
      </c>
      <c r="AG127" s="26">
        <f>_xlfn.IFNA(IF(LEFT('Rock Climbing Log'!AG127)="C",_xlfn.IFNA(VLOOKUP('Rock Climbing Log'!AG127,'RC Lookup'!$A$3:$B$9,2,FALSE),0.5),VLOOKUP('Rock Climbing Log'!AG127,'RC Lookup'!$G$3:$H$5,2,FALSE)),0)*VLOOKUP(AE$7,'RC Lookup'!$D$3:$E$18,2,FALSE)</f>
        <v>0</v>
      </c>
      <c r="AH127" s="26">
        <f>_xlfn.IFNA(IF(LEFT('Rock Climbing Log'!AH127)="C",_xlfn.IFNA(VLOOKUP('Rock Climbing Log'!AH127,'RC Lookup'!$A$3:$B$9,2,FALSE),0.5),VLOOKUP('Rock Climbing Log'!AH127,'RC Lookup'!$G$3:$H$5,2,FALSE)),0)*VLOOKUP(AH$7,'RC Lookup'!$D$3:$E$18,2,FALSE)</f>
        <v>0</v>
      </c>
      <c r="AI127" s="26">
        <f>_xlfn.IFNA(IF(LEFT('Rock Climbing Log'!AI127)="C",_xlfn.IFNA(VLOOKUP('Rock Climbing Log'!AI127,'RC Lookup'!$A$3:$B$9,2,FALSE),0.5),VLOOKUP('Rock Climbing Log'!AI127,'RC Lookup'!$G$3:$H$5,2,FALSE)),0)*VLOOKUP(AH$7,'RC Lookup'!$D$3:$E$18,2,FALSE)</f>
        <v>0</v>
      </c>
      <c r="AJ127" s="26">
        <f>_xlfn.IFNA(IF(LEFT('Rock Climbing Log'!AJ127)="C",_xlfn.IFNA(VLOOKUP('Rock Climbing Log'!AJ127,'RC Lookup'!$A$3:$B$9,2,FALSE),0.5),VLOOKUP('Rock Climbing Log'!AJ127,'RC Lookup'!$G$3:$H$5,2,FALSE)),0)*VLOOKUP(AH$7,'RC Lookup'!$D$3:$E$18,2,FALSE)</f>
        <v>0</v>
      </c>
      <c r="AK127" s="26">
        <f>_xlfn.IFNA(IF(LEFT('Rock Climbing Log'!AK127)="C",_xlfn.IFNA(VLOOKUP('Rock Climbing Log'!AK127,'RC Lookup'!$A$3:$B$9,2,FALSE),0.5),VLOOKUP('Rock Climbing Log'!AK127,'RC Lookup'!$G$3:$H$5,2,FALSE)),0)*VLOOKUP(AK$7,'RC Lookup'!$D$3:$E$18,2,FALSE)</f>
        <v>0</v>
      </c>
      <c r="AL127" s="26">
        <f>_xlfn.IFNA(IF(LEFT('Rock Climbing Log'!AL127)="C",_xlfn.IFNA(VLOOKUP('Rock Climbing Log'!AL127,'RC Lookup'!$A$3:$B$9,2,FALSE),0.5),VLOOKUP('Rock Climbing Log'!AL127,'RC Lookup'!$G$3:$H$5,2,FALSE)),0)*VLOOKUP(AK$7,'RC Lookup'!$D$3:$E$18,2,FALSE)</f>
        <v>0</v>
      </c>
      <c r="AM127" s="26">
        <f>_xlfn.IFNA(IF(LEFT('Rock Climbing Log'!AM127)="C",_xlfn.IFNA(VLOOKUP('Rock Climbing Log'!AM127,'RC Lookup'!$A$3:$B$9,2,FALSE),0.5),VLOOKUP('Rock Climbing Log'!AM127,'RC Lookup'!$G$3:$H$5,2,FALSE)),0)*VLOOKUP(AK$7,'RC Lookup'!$D$3:$E$18,2,FALSE)</f>
        <v>0</v>
      </c>
      <c r="AN127" s="26">
        <f>_xlfn.IFNA(IF(LEFT('Rock Climbing Log'!AN127)="C",_xlfn.IFNA(VLOOKUP('Rock Climbing Log'!AN127,'RC Lookup'!$A$3:$B$9,2,FALSE),0.5),VLOOKUP('Rock Climbing Log'!AN127,'RC Lookup'!$G$3:$H$5,2,FALSE)),0)*VLOOKUP(AN$7,'RC Lookup'!$D$3:$E$18,2,FALSE)</f>
        <v>0</v>
      </c>
      <c r="AO127" s="26">
        <f>_xlfn.IFNA(IF(LEFT('Rock Climbing Log'!AO127)="C",_xlfn.IFNA(VLOOKUP('Rock Climbing Log'!AO127,'RC Lookup'!$A$3:$B$9,2,FALSE),0.5),VLOOKUP('Rock Climbing Log'!AO127,'RC Lookup'!$G$3:$H$5,2,FALSE)),0)*VLOOKUP(AN$7,'RC Lookup'!$D$3:$E$18,2,FALSE)</f>
        <v>0</v>
      </c>
      <c r="AP127" s="26">
        <f>_xlfn.IFNA(IF(LEFT('Rock Climbing Log'!AP127)="C",_xlfn.IFNA(VLOOKUP('Rock Climbing Log'!AP127,'RC Lookup'!$A$3:$B$9,2,FALSE),0.5),VLOOKUP('Rock Climbing Log'!AP127,'RC Lookup'!$G$3:$H$5,2,FALSE)),0)*VLOOKUP(AN$7,'RC Lookup'!$D$3:$E$18,2,FALSE)</f>
        <v>0</v>
      </c>
      <c r="AQ127" s="26">
        <f>_xlfn.IFNA(IF(LEFT('Rock Climbing Log'!AQ127)="C",_xlfn.IFNA(VLOOKUP('Rock Climbing Log'!AQ127,'RC Lookup'!$A$3:$B$9,2,FALSE),0.5),VLOOKUP('Rock Climbing Log'!AQ127,'RC Lookup'!$G$3:$H$5,2,FALSE)),0)*VLOOKUP(AQ$7,'RC Lookup'!$D$3:$E$18,2,FALSE)</f>
        <v>0</v>
      </c>
      <c r="AR127" s="26">
        <f>_xlfn.IFNA(IF(LEFT('Rock Climbing Log'!AR127)="C",_xlfn.IFNA(VLOOKUP('Rock Climbing Log'!AR127,'RC Lookup'!$A$3:$B$9,2,FALSE),0.5),VLOOKUP('Rock Climbing Log'!AR127,'RC Lookup'!$G$3:$H$5,2,FALSE)),0)*VLOOKUP(AQ$7,'RC Lookup'!$D$3:$E$18,2,FALSE)</f>
        <v>0</v>
      </c>
      <c r="AS127" s="26">
        <f>_xlfn.IFNA(IF(LEFT('Rock Climbing Log'!AS127)="C",_xlfn.IFNA(VLOOKUP('Rock Climbing Log'!AS127,'RC Lookup'!$A$3:$B$9,2,FALSE),0.5),VLOOKUP('Rock Climbing Log'!AS127,'RC Lookup'!$G$3:$H$5,2,FALSE)),0)*VLOOKUP(AQ$7,'RC Lookup'!$D$3:$E$18,2,FALSE)</f>
        <v>0</v>
      </c>
      <c r="AT127" s="26">
        <f>_xlfn.IFNA(IF(LEFT('Rock Climbing Log'!AT127)="C",_xlfn.IFNA(VLOOKUP('Rock Climbing Log'!AT127,'RC Lookup'!$A$3:$B$9,2,FALSE),0.5),VLOOKUP('Rock Climbing Log'!AT127,'RC Lookup'!$G$3:$H$5,2,FALSE)),0)*VLOOKUP(AT$7,'RC Lookup'!$D$3:$E$18,2,FALSE)</f>
        <v>0</v>
      </c>
      <c r="AU127" s="26">
        <f>_xlfn.IFNA(IF(LEFT('Rock Climbing Log'!AU127)="C",_xlfn.IFNA(VLOOKUP('Rock Climbing Log'!AU127,'RC Lookup'!$A$3:$B$9,2,FALSE),0.5),VLOOKUP('Rock Climbing Log'!AU127,'RC Lookup'!$G$3:$H$5,2,FALSE)),0)*VLOOKUP(AT$7,'RC Lookup'!$D$3:$E$18,2,FALSE)</f>
        <v>0</v>
      </c>
      <c r="AV127" s="26">
        <f>_xlfn.IFNA(IF(LEFT('Rock Climbing Log'!AV127)="C",_xlfn.IFNA(VLOOKUP('Rock Climbing Log'!AV127,'RC Lookup'!$A$3:$B$9,2,FALSE),0.5),VLOOKUP('Rock Climbing Log'!AV127,'RC Lookup'!$G$3:$H$5,2,FALSE)),0)*VLOOKUP(AT$7,'RC Lookup'!$D$3:$E$18,2,FALSE)</f>
        <v>0</v>
      </c>
      <c r="AW127" s="30">
        <f t="shared" ca="1" si="4"/>
        <v>0</v>
      </c>
      <c r="AX127" s="30">
        <f ca="1">_xlfn.IFNA(VLOOKUP(SUMPRODUCT(LARGE(($C$8:$C127=Table1[[#This Row],[Climber]])*$A$8:$A127,1)),$A$8:$AW127,MATCH($AW$7,$A$7:$AW$7,FALSE),FALSE),0)/LEFT($AX$7,FIND(" ",$AX$7))+_xlfn.IFNA(VLOOKUP(SUMPRODUCT(LARGE(($C$8:$C127=Table1[[#This Row],[Climber]])*$A$8:$A127,MIN(2,COUNTIFS($C$8:$C127,$C127)))),$A$8:$AW127,MATCH($AW$7,$A$7:$AW$7,FALSE),FALSE),0)/LEFT($AX$7,FIND(" ",$AX$7))+_xlfn.IFNA(VLOOKUP(SUMPRODUCT(LARGE(($C$8:$C127=Table1[[#This Row],[Climber]])*$A$8:$A127,MIN(3,COUNTIFS($C$8:$C127,$C127)))),$A$8:$AW127,MATCH($AW$7,$A$7:$AW$7,FALSE),FALSE),0)/LEFT($AX$7,FIND(" ",$AX$7))</f>
        <v>0</v>
      </c>
      <c r="AY127" s="30">
        <f ca="1">_xlfn.IFNA(VLOOKUP(SUMPRODUCT(LARGE(($C$8:$C127=Table1[[#This Row],[Climber]])*$A$8:$A127,1)),$A$8:$AW127,MATCH($AW$7,$A$7:$AW$7,FALSE),FALSE),0)/LEFT($AY$7,FIND(" ",$AY$7))+_xlfn.IFNA(VLOOKUP(SUMPRODUCT(LARGE(($C$8:$C127=Table1[[#This Row],[Climber]])*$A$8:$A127,MIN(2,COUNTIFS($C$8:$C127,$C127)))),$A$8:$AW127,MATCH($AW$7,$A$7:$AW$7,FALSE),FALSE),0)/LEFT($AY$7,FIND(" ",$AY$7))+_xlfn.IFNA(VLOOKUP(SUMPRODUCT(LARGE(($C$8:$C127=Table1[[#This Row],[Climber]])*$A$8:$A127,MIN(3,COUNTIFS($C$8:$C127,$C127)))),$A$8:$AW127,MATCH($AW$7,$A$7:$AW$7,FALSE),FALSE),0)/LEFT($AY$7,FIND(" ",$AY$7))+_xlfn.IFNA(VLOOKUP(SUMPRODUCT(LARGE(($C$8:$C127=Table1[[#This Row],[Climber]])*$A$8:$A127,MIN(4,COUNTIFS($C$8:$C127,$C127)))),$A$8:$AW127,MATCH($AW$7,$A$7:$AW$7,FALSE),FALSE),0)/LEFT($AY$7,FIND(" ",$AY$7))+_xlfn.IFNA(VLOOKUP(SUMPRODUCT(LARGE(($C$8:$C127=Table1[[#This Row],[Climber]])*$A$8:$A127,MIN(5,COUNTIFS($C$8:$C127,$C127)))),$A$8:$AW127,MATCH($AW$7,$A$7:$AW$7,FALSE),FALSE),0)/LEFT($AY$7,FIND(" ",$AY$7))</f>
        <v>0</v>
      </c>
      <c r="AZ127" s="30">
        <f ca="1">(_xlfn.IFNA(VLOOKUP(SUMPRODUCT(LARGE(($C$8:$C127=Table1[[#This Row],[Climber]])*$A$8:$A127,4)),$A$8:$AW127,MATCH($AW$7,$A$7:$AW$7,FALSE),FALSE),0)+_xlfn.IFNA(VLOOKUP(SUMPRODUCT(LARGE(($C$8:$C127=Table1[[#This Row],[Climber]])*$A$8:$A127,5)),$A$8:$AW127,MATCH($AW$7,$A$7:$AW$7,FALSE),FALSE),0)+_xlfn.IFNA(VLOOKUP(SUMPRODUCT(LARGE(($C$8:$C127=Table1[[#This Row],[Climber]])*$A$8:$A127,6)),$A$8:$AW127,MATCH($AW$7,$A$7:$AW$7,FALSE),FALSE),0))/3</f>
        <v>0</v>
      </c>
      <c r="BA127" s="46">
        <f ca="1">_xlfn.MAXIFS(INDIRECT("$AW"&amp;IF(SUMPRODUCT(LARGE(($C$8:$C127=$C127)*$A$8:$A127,LEFT($BA$7,FIND(" ",$BA$7)-1)))=0,8,SUMPRODUCT(LARGE(($C$8:$C127=$C127)*$A$8:$A127,LEFT($BA$7,FIND(" ",$BA$7)-1)))+7)&amp;":$AW"&amp;ROW()),INDIRECT("$C"&amp;IF(SUMPRODUCT(LARGE(($C$8:$C127=$C127)*$A$8:$A127,LEFT($BA$7,FIND(" ",$BA$7)-1)))=0,8,SUMPRODUCT(LARGE(($C$8:$C127=$C127)*$A$8:$A127,LEFT($BA$7,FIND(" ",$BA$7)-1)))+7)&amp;":$C"&amp;ROW()),$C127)</f>
        <v>0</v>
      </c>
      <c r="BB127" s="46" t="str">
        <f ca="1">VLOOKUP(MAX(BG127,$AX127),'RC Lookup'!$G$14:$J$20,2,TRUE)</f>
        <v>T1</v>
      </c>
      <c r="BC127" s="46">
        <f ca="1">_xlfn.IFNA(VLOOKUP(VLOOKUP($C127,'RC Lookup'!$O$3:$P$50,2,FALSE),'RC Lookup'!$H$14:$J$23,2,FALSE),0)*AW127</f>
        <v>0</v>
      </c>
      <c r="BD127" s="6">
        <f ca="1">_xlfn.IFNA(VLOOKUP(SUMPRODUCT(LARGE(($C$8:$C127=Table1[[#This Row],[Climber]])*$A$8:$A127,1)),$A$8:$BC127,55,FALSE),0)/LEFT($AX$7,FIND(" ",$AX$7))+_xlfn.IFNA(VLOOKUP(SUMPRODUCT(LARGE(($C$8:$C127=Table1[[#This Row],[Climber]])*$A$8:$A127,MIN(2,COUNTIFS($C$8:$C127,$C127)))),$A$8:$BC127,55,FALSE),0)/LEFT($AX$7,FIND(" ",$AX$7))+_xlfn.IFNA(VLOOKUP(SUMPRODUCT(LARGE(($C$8:$C127=Table1[[#This Row],[Climber]])*$A$8:$A127,MIN(3,COUNTIFS($C$8:$C127,$C127)))),$A$8:$BC127,55,FALSE),0)/LEFT($AX$7,FIND(" ",$AX$7))</f>
        <v>0</v>
      </c>
      <c r="BE127" s="6">
        <f ca="1">(_xlfn.IFNA(VLOOKUP(SUMPRODUCT(LARGE(($C$8:$C127=Table1[[#This Row],[Climber]])*$A$8:$A127,4)),$A$8:$BD127,55,FALSE),0)+_xlfn.IFNA(VLOOKUP(SUMPRODUCT(LARGE(($C$8:$C127=Table1[[#This Row],[Climber]])*$A$8:$A127,5)),$A$8:$BD127,55,FALSE),0)+_xlfn.IFNA(VLOOKUP(SUMPRODUCT(LARGE(($C$8:$C127=Table1[[#This Row],[Climber]])*$A$8:$A127,6)),$A$8:$BD127,55,FALSE),0))/3</f>
        <v>0</v>
      </c>
      <c r="BF127" s="46">
        <f ca="1">_xlfn.MAXIFS(INDIRECT("$BC"&amp;IF(SUMPRODUCT(LARGE(($C$8:$C127=$C127)*$A$8:$A127,LEFT($BA$7,FIND(" ",$BA$7)-1)))=0,8,SUMPRODUCT(LARGE(($C$8:$C127=$C127)*$A$8:$A127,LEFT($BA$7,FIND(" ",$BA$7)-1)))+7)&amp;":$BC"&amp;ROW()),INDIRECT("$C"&amp;IF(SUMPRODUCT(LARGE(($C$8:$C127=$C127)*$A$8:$A127,LEFT($BA$7,FIND(" ",$BA$7)-1)))=0,8,SUMPRODUCT(LARGE(($C$8:$C127=$C127)*$A$8:$A127,LEFT($BA$7,FIND(" ",$BA$7)-1)))+7)&amp;":$C"&amp;ROW()),$C127)</f>
        <v>0</v>
      </c>
      <c r="BG127" s="46">
        <f t="array" aca="1" ref="BG127" ca="1">IFERROR(SUMPRODUCT(LARGE(($C$8:$C127=Table1[[#This Row],[Climber]])*$AW$8:$AW127,ROW(INDIRECT("1:5")))),AW127)/MIN(COUNTIFS($C$8:$C127,C127),5)</f>
        <v>0</v>
      </c>
    </row>
    <row r="128" spans="1:59" x14ac:dyDescent="0.3">
      <c r="A128" s="125">
        <f t="shared" si="1"/>
        <v>121</v>
      </c>
      <c r="B128" s="25">
        <f>'Rock Climbing Log'!B128</f>
        <v>0</v>
      </c>
      <c r="C128" s="126">
        <f>'Rock Climbing Log'!C128</f>
        <v>0</v>
      </c>
      <c r="D128" s="26">
        <f>_xlfn.IFNA(IF(LEFT('Rock Climbing Log'!D128)="C",_xlfn.IFNA(VLOOKUP('Rock Climbing Log'!D128,'RC Lookup'!$A$3:$B$9,2,FALSE),0.5),VLOOKUP('Rock Climbing Log'!D128,'RC Lookup'!$G$3:$H$5,2,FALSE)),0)*VLOOKUP(D$7,'RC Lookup'!$D$3:$E$18,2,FALSE)</f>
        <v>0</v>
      </c>
      <c r="E128" s="26">
        <f>_xlfn.IFNA(IF(LEFT('Rock Climbing Log'!E128)="C",_xlfn.IFNA(VLOOKUP('Rock Climbing Log'!E128,'RC Lookup'!$A$3:$B$9,2,FALSE),0.5),VLOOKUP('Rock Climbing Log'!E128,'RC Lookup'!$G$3:$H$5,2,FALSE)),0)*VLOOKUP(D$7,'RC Lookup'!$D$3:$E$18,2,FALSE)</f>
        <v>0</v>
      </c>
      <c r="F128" s="26">
        <f>_xlfn.IFNA(IF(LEFT('Rock Climbing Log'!F128)="C",_xlfn.IFNA(VLOOKUP('Rock Climbing Log'!F128,'RC Lookup'!$A$3:$B$9,2,FALSE),0.5),VLOOKUP('Rock Climbing Log'!F128,'RC Lookup'!$G$3:$H$5,2,FALSE)),0)*VLOOKUP(D$7,'RC Lookup'!$D$3:$E$18,2,FALSE)</f>
        <v>0</v>
      </c>
      <c r="G128" s="26">
        <f>_xlfn.IFNA(IF(LEFT('Rock Climbing Log'!G128)="C",_xlfn.IFNA(VLOOKUP('Rock Climbing Log'!G128,'RC Lookup'!$A$3:$B$9,2,FALSE),0.5),VLOOKUP('Rock Climbing Log'!G128,'RC Lookup'!$G$3:$H$5,2,FALSE)),0)*VLOOKUP(G$7,'RC Lookup'!$D$3:$E$18,2,FALSE)</f>
        <v>0</v>
      </c>
      <c r="H128" s="26">
        <f>_xlfn.IFNA(IF(LEFT('Rock Climbing Log'!H128)="C",_xlfn.IFNA(VLOOKUP('Rock Climbing Log'!H128,'RC Lookup'!$A$3:$B$9,2,FALSE),0.5),VLOOKUP('Rock Climbing Log'!H128,'RC Lookup'!$G$3:$H$5,2,FALSE)),0)*VLOOKUP(G$7,'RC Lookup'!$D$3:$E$18,2,FALSE)</f>
        <v>0</v>
      </c>
      <c r="I128" s="26">
        <f>_xlfn.IFNA(IF(LEFT('Rock Climbing Log'!I128)="C",_xlfn.IFNA(VLOOKUP('Rock Climbing Log'!I128,'RC Lookup'!$A$3:$B$9,2,FALSE),0.5),VLOOKUP('Rock Climbing Log'!I128,'RC Lookup'!$G$3:$H$5,2,FALSE)),0)*VLOOKUP(G$7,'RC Lookup'!$D$3:$E$18,2,FALSE)</f>
        <v>0</v>
      </c>
      <c r="J128" s="26">
        <f>_xlfn.IFNA(IF(LEFT('Rock Climbing Log'!J128)="C",_xlfn.IFNA(VLOOKUP('Rock Climbing Log'!J128,'RC Lookup'!$A$3:$B$9,2,FALSE),0.5),VLOOKUP('Rock Climbing Log'!J128,'RC Lookup'!$G$3:$H$5,2,FALSE)),0)*VLOOKUP(J$7,'RC Lookup'!$D$3:$E$18,2,FALSE)</f>
        <v>0</v>
      </c>
      <c r="K128" s="26">
        <f>_xlfn.IFNA(IF(LEFT('Rock Climbing Log'!K128)="C",_xlfn.IFNA(VLOOKUP('Rock Climbing Log'!K128,'RC Lookup'!$A$3:$B$9,2,FALSE),0.5),VLOOKUP('Rock Climbing Log'!K128,'RC Lookup'!$G$3:$H$5,2,FALSE)),0)*VLOOKUP(J$7,'RC Lookup'!$D$3:$E$18,2,FALSE)</f>
        <v>0</v>
      </c>
      <c r="L128" s="26">
        <f>_xlfn.IFNA(IF(LEFT('Rock Climbing Log'!L128)="C",_xlfn.IFNA(VLOOKUP('Rock Climbing Log'!L128,'RC Lookup'!$A$3:$B$9,2,FALSE),0.5),VLOOKUP('Rock Climbing Log'!L128,'RC Lookup'!$G$3:$H$5,2,FALSE)),0)*VLOOKUP(J$7,'RC Lookup'!$D$3:$E$18,2,FALSE)</f>
        <v>0</v>
      </c>
      <c r="M128" s="26">
        <f>_xlfn.IFNA(IF(LEFT('Rock Climbing Log'!M128)="C",_xlfn.IFNA(VLOOKUP('Rock Climbing Log'!M128,'RC Lookup'!$A$3:$B$9,2,FALSE),0.5),VLOOKUP('Rock Climbing Log'!M128,'RC Lookup'!$G$3:$H$5,2,FALSE)),0)*VLOOKUP(M$7,'RC Lookup'!$D$3:$E$18,2,FALSE)</f>
        <v>0</v>
      </c>
      <c r="N128" s="26">
        <f>_xlfn.IFNA(IF(LEFT('Rock Climbing Log'!N128)="C",_xlfn.IFNA(VLOOKUP('Rock Climbing Log'!N128,'RC Lookup'!$A$3:$B$9,2,FALSE),0.5),VLOOKUP('Rock Climbing Log'!N128,'RC Lookup'!$G$3:$H$5,2,FALSE)),0)*VLOOKUP(M$7,'RC Lookup'!$D$3:$E$18,2,FALSE)</f>
        <v>0</v>
      </c>
      <c r="O128" s="26">
        <f>_xlfn.IFNA(IF(LEFT('Rock Climbing Log'!O128)="C",_xlfn.IFNA(VLOOKUP('Rock Climbing Log'!O128,'RC Lookup'!$A$3:$B$9,2,FALSE),0.5),VLOOKUP('Rock Climbing Log'!O128,'RC Lookup'!$G$3:$H$5,2,FALSE)),0)*VLOOKUP(M$7,'RC Lookup'!$D$3:$E$18,2,FALSE)</f>
        <v>0</v>
      </c>
      <c r="P128" s="26">
        <f>_xlfn.IFNA(IF(LEFT('Rock Climbing Log'!P128)="C",_xlfn.IFNA(VLOOKUP('Rock Climbing Log'!P128,'RC Lookup'!$A$3:$B$9,2,FALSE),0.5),VLOOKUP('Rock Climbing Log'!P128,'RC Lookup'!$G$3:$H$5,2,FALSE)),0)*VLOOKUP(P$7,'RC Lookup'!$D$3:$E$18,2,FALSE)</f>
        <v>0</v>
      </c>
      <c r="Q128" s="26">
        <f>_xlfn.IFNA(IF(LEFT('Rock Climbing Log'!Q128)="C",_xlfn.IFNA(VLOOKUP('Rock Climbing Log'!Q128,'RC Lookup'!$A$3:$B$9,2,FALSE),0.5),VLOOKUP('Rock Climbing Log'!Q128,'RC Lookup'!$G$3:$H$5,2,FALSE)),0)*VLOOKUP(P$7,'RC Lookup'!$D$3:$E$18,2,FALSE)</f>
        <v>0</v>
      </c>
      <c r="R128" s="26">
        <f>_xlfn.IFNA(IF(LEFT('Rock Climbing Log'!R128)="C",_xlfn.IFNA(VLOOKUP('Rock Climbing Log'!R128,'RC Lookup'!$A$3:$B$9,2,FALSE),0.5),VLOOKUP('Rock Climbing Log'!R128,'RC Lookup'!$G$3:$H$5,2,FALSE)),0)*VLOOKUP(P$7,'RC Lookup'!$D$3:$E$18,2,FALSE)</f>
        <v>0</v>
      </c>
      <c r="S128" s="26">
        <f>_xlfn.IFNA(IF(LEFT('Rock Climbing Log'!S128)="C",_xlfn.IFNA(VLOOKUP('Rock Climbing Log'!S128,'RC Lookup'!$A$3:$B$9,2,FALSE),0.5),VLOOKUP('Rock Climbing Log'!S128,'RC Lookup'!$G$3:$H$5,2,FALSE)),0)*VLOOKUP(S$7,'RC Lookup'!$D$3:$E$18,2,FALSE)</f>
        <v>0</v>
      </c>
      <c r="T128" s="26">
        <f>_xlfn.IFNA(IF(LEFT('Rock Climbing Log'!T128)="C",_xlfn.IFNA(VLOOKUP('Rock Climbing Log'!T128,'RC Lookup'!$A$3:$B$9,2,FALSE),0.5),VLOOKUP('Rock Climbing Log'!T128,'RC Lookup'!$G$3:$H$5,2,FALSE)),0)*VLOOKUP(S$7,'RC Lookup'!$D$3:$E$18,2,FALSE)</f>
        <v>0</v>
      </c>
      <c r="U128" s="26">
        <f>_xlfn.IFNA(IF(LEFT('Rock Climbing Log'!U128)="C",_xlfn.IFNA(VLOOKUP('Rock Climbing Log'!U128,'RC Lookup'!$A$3:$B$9,2,FALSE),0.5),VLOOKUP('Rock Climbing Log'!U128,'RC Lookup'!$G$3:$H$5,2,FALSE)),0)*VLOOKUP(S$7,'RC Lookup'!$D$3:$E$18,2,FALSE)</f>
        <v>0</v>
      </c>
      <c r="V128" s="26">
        <f>_xlfn.IFNA(IF(LEFT('Rock Climbing Log'!V128)="C",_xlfn.IFNA(VLOOKUP('Rock Climbing Log'!V128,'RC Lookup'!$A$3:$B$9,2,FALSE),0.5),VLOOKUP('Rock Climbing Log'!V128,'RC Lookup'!$G$3:$H$5,2,FALSE)),0)*VLOOKUP(V$7,'RC Lookup'!$D$3:$E$18,2,FALSE)</f>
        <v>0</v>
      </c>
      <c r="W128" s="26">
        <f>_xlfn.IFNA(IF(LEFT('Rock Climbing Log'!W128)="C",_xlfn.IFNA(VLOOKUP('Rock Climbing Log'!W128,'RC Lookup'!$A$3:$B$9,2,FALSE),0.5),VLOOKUP('Rock Climbing Log'!W128,'RC Lookup'!$G$3:$H$5,2,FALSE)),0)*VLOOKUP(V$7,'RC Lookup'!$D$3:$E$18,2,FALSE)</f>
        <v>0</v>
      </c>
      <c r="X128" s="26">
        <f>_xlfn.IFNA(IF(LEFT('Rock Climbing Log'!X128)="C",_xlfn.IFNA(VLOOKUP('Rock Climbing Log'!X128,'RC Lookup'!$A$3:$B$9,2,FALSE),0.5),VLOOKUP('Rock Climbing Log'!X128,'RC Lookup'!$G$3:$H$5,2,FALSE)),0)*VLOOKUP(V$7,'RC Lookup'!$D$3:$E$18,2,FALSE)</f>
        <v>0</v>
      </c>
      <c r="Y128" s="26">
        <f>_xlfn.IFNA(IF(LEFT('Rock Climbing Log'!Y128)="C",_xlfn.IFNA(VLOOKUP('Rock Climbing Log'!Y128,'RC Lookup'!$A$3:$B$9,2,FALSE),0.5),VLOOKUP('Rock Climbing Log'!Y128,'RC Lookup'!$G$3:$H$5,2,FALSE)),0)*VLOOKUP(Y$7,'RC Lookup'!$D$3:$E$18,2,FALSE)</f>
        <v>0</v>
      </c>
      <c r="Z128" s="26">
        <f>_xlfn.IFNA(IF(LEFT('Rock Climbing Log'!Z128)="C",_xlfn.IFNA(VLOOKUP('Rock Climbing Log'!Z128,'RC Lookup'!$A$3:$B$9,2,FALSE),0.5),VLOOKUP('Rock Climbing Log'!Z128,'RC Lookup'!$G$3:$H$5,2,FALSE)),0)*VLOOKUP(Y$7,'RC Lookup'!$D$3:$E$18,2,FALSE)</f>
        <v>0</v>
      </c>
      <c r="AA128" s="26">
        <f>_xlfn.IFNA(IF(LEFT('Rock Climbing Log'!AA128)="C",_xlfn.IFNA(VLOOKUP('Rock Climbing Log'!AA128,'RC Lookup'!$A$3:$B$9,2,FALSE),0.5),VLOOKUP('Rock Climbing Log'!AA128,'RC Lookup'!$G$3:$H$5,2,FALSE)),0)*VLOOKUP(Y$7,'RC Lookup'!$D$3:$E$18,2,FALSE)</f>
        <v>0</v>
      </c>
      <c r="AB128" s="26">
        <f>_xlfn.IFNA(IF(LEFT('Rock Climbing Log'!AB128)="C",_xlfn.IFNA(VLOOKUP('Rock Climbing Log'!AB128,'RC Lookup'!$A$3:$B$9,2,FALSE),0.5),VLOOKUP('Rock Climbing Log'!AB128,'RC Lookup'!$G$3:$H$5,2,FALSE)),0)*VLOOKUP(AB$7,'RC Lookup'!$D$3:$E$18,2,FALSE)</f>
        <v>0</v>
      </c>
      <c r="AC128" s="26">
        <f>_xlfn.IFNA(IF(LEFT('Rock Climbing Log'!AC128)="C",_xlfn.IFNA(VLOOKUP('Rock Climbing Log'!AC128,'RC Lookup'!$A$3:$B$9,2,FALSE),0.5),VLOOKUP('Rock Climbing Log'!AC128,'RC Lookup'!$G$3:$H$5,2,FALSE)),0)*VLOOKUP(AB$7,'RC Lookup'!$D$3:$E$18,2,FALSE)</f>
        <v>0</v>
      </c>
      <c r="AD128" s="26">
        <f>_xlfn.IFNA(IF(LEFT('Rock Climbing Log'!AD128)="C",_xlfn.IFNA(VLOOKUP('Rock Climbing Log'!AD128,'RC Lookup'!$A$3:$B$9,2,FALSE),0.5),VLOOKUP('Rock Climbing Log'!AD128,'RC Lookup'!$G$3:$H$5,2,FALSE)),0)*VLOOKUP(AB$7,'RC Lookup'!$D$3:$E$18,2,FALSE)</f>
        <v>0</v>
      </c>
      <c r="AE128" s="26">
        <f>_xlfn.IFNA(IF(LEFT('Rock Climbing Log'!AE128)="C",_xlfn.IFNA(VLOOKUP('Rock Climbing Log'!AE128,'RC Lookup'!$A$3:$B$9,2,FALSE),0.5),VLOOKUP('Rock Climbing Log'!AE128,'RC Lookup'!$G$3:$H$5,2,FALSE)),0)*VLOOKUP(AE$7,'RC Lookup'!$D$3:$E$18,2,FALSE)</f>
        <v>0</v>
      </c>
      <c r="AF128" s="26">
        <f>_xlfn.IFNA(IF(LEFT('Rock Climbing Log'!AF128)="C",_xlfn.IFNA(VLOOKUP('Rock Climbing Log'!AF128,'RC Lookup'!$A$3:$B$9,2,FALSE),0.5),VLOOKUP('Rock Climbing Log'!AF128,'RC Lookup'!$G$3:$H$5,2,FALSE)),0)*VLOOKUP(AE$7,'RC Lookup'!$D$3:$E$18,2,FALSE)</f>
        <v>0</v>
      </c>
      <c r="AG128" s="26">
        <f>_xlfn.IFNA(IF(LEFT('Rock Climbing Log'!AG128)="C",_xlfn.IFNA(VLOOKUP('Rock Climbing Log'!AG128,'RC Lookup'!$A$3:$B$9,2,FALSE),0.5),VLOOKUP('Rock Climbing Log'!AG128,'RC Lookup'!$G$3:$H$5,2,FALSE)),0)*VLOOKUP(AE$7,'RC Lookup'!$D$3:$E$18,2,FALSE)</f>
        <v>0</v>
      </c>
      <c r="AH128" s="26">
        <f>_xlfn.IFNA(IF(LEFT('Rock Climbing Log'!AH128)="C",_xlfn.IFNA(VLOOKUP('Rock Climbing Log'!AH128,'RC Lookup'!$A$3:$B$9,2,FALSE),0.5),VLOOKUP('Rock Climbing Log'!AH128,'RC Lookup'!$G$3:$H$5,2,FALSE)),0)*VLOOKUP(AH$7,'RC Lookup'!$D$3:$E$18,2,FALSE)</f>
        <v>0</v>
      </c>
      <c r="AI128" s="26">
        <f>_xlfn.IFNA(IF(LEFT('Rock Climbing Log'!AI128)="C",_xlfn.IFNA(VLOOKUP('Rock Climbing Log'!AI128,'RC Lookup'!$A$3:$B$9,2,FALSE),0.5),VLOOKUP('Rock Climbing Log'!AI128,'RC Lookup'!$G$3:$H$5,2,FALSE)),0)*VLOOKUP(AH$7,'RC Lookup'!$D$3:$E$18,2,FALSE)</f>
        <v>0</v>
      </c>
      <c r="AJ128" s="26">
        <f>_xlfn.IFNA(IF(LEFT('Rock Climbing Log'!AJ128)="C",_xlfn.IFNA(VLOOKUP('Rock Climbing Log'!AJ128,'RC Lookup'!$A$3:$B$9,2,FALSE),0.5),VLOOKUP('Rock Climbing Log'!AJ128,'RC Lookup'!$G$3:$H$5,2,FALSE)),0)*VLOOKUP(AH$7,'RC Lookup'!$D$3:$E$18,2,FALSE)</f>
        <v>0</v>
      </c>
      <c r="AK128" s="26">
        <f>_xlfn.IFNA(IF(LEFT('Rock Climbing Log'!AK128)="C",_xlfn.IFNA(VLOOKUP('Rock Climbing Log'!AK128,'RC Lookup'!$A$3:$B$9,2,FALSE),0.5),VLOOKUP('Rock Climbing Log'!AK128,'RC Lookup'!$G$3:$H$5,2,FALSE)),0)*VLOOKUP(AK$7,'RC Lookup'!$D$3:$E$18,2,FALSE)</f>
        <v>0</v>
      </c>
      <c r="AL128" s="26">
        <f>_xlfn.IFNA(IF(LEFT('Rock Climbing Log'!AL128)="C",_xlfn.IFNA(VLOOKUP('Rock Climbing Log'!AL128,'RC Lookup'!$A$3:$B$9,2,FALSE),0.5),VLOOKUP('Rock Climbing Log'!AL128,'RC Lookup'!$G$3:$H$5,2,FALSE)),0)*VLOOKUP(AK$7,'RC Lookup'!$D$3:$E$18,2,FALSE)</f>
        <v>0</v>
      </c>
      <c r="AM128" s="26">
        <f>_xlfn.IFNA(IF(LEFT('Rock Climbing Log'!AM128)="C",_xlfn.IFNA(VLOOKUP('Rock Climbing Log'!AM128,'RC Lookup'!$A$3:$B$9,2,FALSE),0.5),VLOOKUP('Rock Climbing Log'!AM128,'RC Lookup'!$G$3:$H$5,2,FALSE)),0)*VLOOKUP(AK$7,'RC Lookup'!$D$3:$E$18,2,FALSE)</f>
        <v>0</v>
      </c>
      <c r="AN128" s="26">
        <f>_xlfn.IFNA(IF(LEFT('Rock Climbing Log'!AN128)="C",_xlfn.IFNA(VLOOKUP('Rock Climbing Log'!AN128,'RC Lookup'!$A$3:$B$9,2,FALSE),0.5),VLOOKUP('Rock Climbing Log'!AN128,'RC Lookup'!$G$3:$H$5,2,FALSE)),0)*VLOOKUP(AN$7,'RC Lookup'!$D$3:$E$18,2,FALSE)</f>
        <v>0</v>
      </c>
      <c r="AO128" s="26">
        <f>_xlfn.IFNA(IF(LEFT('Rock Climbing Log'!AO128)="C",_xlfn.IFNA(VLOOKUP('Rock Climbing Log'!AO128,'RC Lookup'!$A$3:$B$9,2,FALSE),0.5),VLOOKUP('Rock Climbing Log'!AO128,'RC Lookup'!$G$3:$H$5,2,FALSE)),0)*VLOOKUP(AN$7,'RC Lookup'!$D$3:$E$18,2,FALSE)</f>
        <v>0</v>
      </c>
      <c r="AP128" s="26">
        <f>_xlfn.IFNA(IF(LEFT('Rock Climbing Log'!AP128)="C",_xlfn.IFNA(VLOOKUP('Rock Climbing Log'!AP128,'RC Lookup'!$A$3:$B$9,2,FALSE),0.5),VLOOKUP('Rock Climbing Log'!AP128,'RC Lookup'!$G$3:$H$5,2,FALSE)),0)*VLOOKUP(AN$7,'RC Lookup'!$D$3:$E$18,2,FALSE)</f>
        <v>0</v>
      </c>
      <c r="AQ128" s="26">
        <f>_xlfn.IFNA(IF(LEFT('Rock Climbing Log'!AQ128)="C",_xlfn.IFNA(VLOOKUP('Rock Climbing Log'!AQ128,'RC Lookup'!$A$3:$B$9,2,FALSE),0.5),VLOOKUP('Rock Climbing Log'!AQ128,'RC Lookup'!$G$3:$H$5,2,FALSE)),0)*VLOOKUP(AQ$7,'RC Lookup'!$D$3:$E$18,2,FALSE)</f>
        <v>0</v>
      </c>
      <c r="AR128" s="26">
        <f>_xlfn.IFNA(IF(LEFT('Rock Climbing Log'!AR128)="C",_xlfn.IFNA(VLOOKUP('Rock Climbing Log'!AR128,'RC Lookup'!$A$3:$B$9,2,FALSE),0.5),VLOOKUP('Rock Climbing Log'!AR128,'RC Lookup'!$G$3:$H$5,2,FALSE)),0)*VLOOKUP(AQ$7,'RC Lookup'!$D$3:$E$18,2,FALSE)</f>
        <v>0</v>
      </c>
      <c r="AS128" s="26">
        <f>_xlfn.IFNA(IF(LEFT('Rock Climbing Log'!AS128)="C",_xlfn.IFNA(VLOOKUP('Rock Climbing Log'!AS128,'RC Lookup'!$A$3:$B$9,2,FALSE),0.5),VLOOKUP('Rock Climbing Log'!AS128,'RC Lookup'!$G$3:$H$5,2,FALSE)),0)*VLOOKUP(AQ$7,'RC Lookup'!$D$3:$E$18,2,FALSE)</f>
        <v>0</v>
      </c>
      <c r="AT128" s="26">
        <f>_xlfn.IFNA(IF(LEFT('Rock Climbing Log'!AT128)="C",_xlfn.IFNA(VLOOKUP('Rock Climbing Log'!AT128,'RC Lookup'!$A$3:$B$9,2,FALSE),0.5),VLOOKUP('Rock Climbing Log'!AT128,'RC Lookup'!$G$3:$H$5,2,FALSE)),0)*VLOOKUP(AT$7,'RC Lookup'!$D$3:$E$18,2,FALSE)</f>
        <v>0</v>
      </c>
      <c r="AU128" s="26">
        <f>_xlfn.IFNA(IF(LEFT('Rock Climbing Log'!AU128)="C",_xlfn.IFNA(VLOOKUP('Rock Climbing Log'!AU128,'RC Lookup'!$A$3:$B$9,2,FALSE),0.5),VLOOKUP('Rock Climbing Log'!AU128,'RC Lookup'!$G$3:$H$5,2,FALSE)),0)*VLOOKUP(AT$7,'RC Lookup'!$D$3:$E$18,2,FALSE)</f>
        <v>0</v>
      </c>
      <c r="AV128" s="26">
        <f>_xlfn.IFNA(IF(LEFT('Rock Climbing Log'!AV128)="C",_xlfn.IFNA(VLOOKUP('Rock Climbing Log'!AV128,'RC Lookup'!$A$3:$B$9,2,FALSE),0.5),VLOOKUP('Rock Climbing Log'!AV128,'RC Lookup'!$G$3:$H$5,2,FALSE)),0)*VLOOKUP(AT$7,'RC Lookup'!$D$3:$E$18,2,FALSE)</f>
        <v>0</v>
      </c>
      <c r="AW128" s="30">
        <f t="shared" ca="1" si="4"/>
        <v>0</v>
      </c>
      <c r="AX128" s="30">
        <f ca="1">_xlfn.IFNA(VLOOKUP(SUMPRODUCT(LARGE(($C$8:$C128=Table1[[#This Row],[Climber]])*$A$8:$A128,1)),$A$8:$AW128,MATCH($AW$7,$A$7:$AW$7,FALSE),FALSE),0)/LEFT($AX$7,FIND(" ",$AX$7))+_xlfn.IFNA(VLOOKUP(SUMPRODUCT(LARGE(($C$8:$C128=Table1[[#This Row],[Climber]])*$A$8:$A128,MIN(2,COUNTIFS($C$8:$C128,$C128)))),$A$8:$AW128,MATCH($AW$7,$A$7:$AW$7,FALSE),FALSE),0)/LEFT($AX$7,FIND(" ",$AX$7))+_xlfn.IFNA(VLOOKUP(SUMPRODUCT(LARGE(($C$8:$C128=Table1[[#This Row],[Climber]])*$A$8:$A128,MIN(3,COUNTIFS($C$8:$C128,$C128)))),$A$8:$AW128,MATCH($AW$7,$A$7:$AW$7,FALSE),FALSE),0)/LEFT($AX$7,FIND(" ",$AX$7))</f>
        <v>0</v>
      </c>
      <c r="AY128" s="30">
        <f ca="1">_xlfn.IFNA(VLOOKUP(SUMPRODUCT(LARGE(($C$8:$C128=Table1[[#This Row],[Climber]])*$A$8:$A128,1)),$A$8:$AW128,MATCH($AW$7,$A$7:$AW$7,FALSE),FALSE),0)/LEFT($AY$7,FIND(" ",$AY$7))+_xlfn.IFNA(VLOOKUP(SUMPRODUCT(LARGE(($C$8:$C128=Table1[[#This Row],[Climber]])*$A$8:$A128,MIN(2,COUNTIFS($C$8:$C128,$C128)))),$A$8:$AW128,MATCH($AW$7,$A$7:$AW$7,FALSE),FALSE),0)/LEFT($AY$7,FIND(" ",$AY$7))+_xlfn.IFNA(VLOOKUP(SUMPRODUCT(LARGE(($C$8:$C128=Table1[[#This Row],[Climber]])*$A$8:$A128,MIN(3,COUNTIFS($C$8:$C128,$C128)))),$A$8:$AW128,MATCH($AW$7,$A$7:$AW$7,FALSE),FALSE),0)/LEFT($AY$7,FIND(" ",$AY$7))+_xlfn.IFNA(VLOOKUP(SUMPRODUCT(LARGE(($C$8:$C128=Table1[[#This Row],[Climber]])*$A$8:$A128,MIN(4,COUNTIFS($C$8:$C128,$C128)))),$A$8:$AW128,MATCH($AW$7,$A$7:$AW$7,FALSE),FALSE),0)/LEFT($AY$7,FIND(" ",$AY$7))+_xlfn.IFNA(VLOOKUP(SUMPRODUCT(LARGE(($C$8:$C128=Table1[[#This Row],[Climber]])*$A$8:$A128,MIN(5,COUNTIFS($C$8:$C128,$C128)))),$A$8:$AW128,MATCH($AW$7,$A$7:$AW$7,FALSE),FALSE),0)/LEFT($AY$7,FIND(" ",$AY$7))</f>
        <v>0</v>
      </c>
      <c r="AZ128" s="30">
        <f ca="1">(_xlfn.IFNA(VLOOKUP(SUMPRODUCT(LARGE(($C$8:$C128=Table1[[#This Row],[Climber]])*$A$8:$A128,4)),$A$8:$AW128,MATCH($AW$7,$A$7:$AW$7,FALSE),FALSE),0)+_xlfn.IFNA(VLOOKUP(SUMPRODUCT(LARGE(($C$8:$C128=Table1[[#This Row],[Climber]])*$A$8:$A128,5)),$A$8:$AW128,MATCH($AW$7,$A$7:$AW$7,FALSE),FALSE),0)+_xlfn.IFNA(VLOOKUP(SUMPRODUCT(LARGE(($C$8:$C128=Table1[[#This Row],[Climber]])*$A$8:$A128,6)),$A$8:$AW128,MATCH($AW$7,$A$7:$AW$7,FALSE),FALSE),0))/3</f>
        <v>0</v>
      </c>
      <c r="BA128" s="46">
        <f ca="1">_xlfn.MAXIFS(INDIRECT("$AW"&amp;IF(SUMPRODUCT(LARGE(($C$8:$C128=$C128)*$A$8:$A128,LEFT($BA$7,FIND(" ",$BA$7)-1)))=0,8,SUMPRODUCT(LARGE(($C$8:$C128=$C128)*$A$8:$A128,LEFT($BA$7,FIND(" ",$BA$7)-1)))+7)&amp;":$AW"&amp;ROW()),INDIRECT("$C"&amp;IF(SUMPRODUCT(LARGE(($C$8:$C128=$C128)*$A$8:$A128,LEFT($BA$7,FIND(" ",$BA$7)-1)))=0,8,SUMPRODUCT(LARGE(($C$8:$C128=$C128)*$A$8:$A128,LEFT($BA$7,FIND(" ",$BA$7)-1)))+7)&amp;":$C"&amp;ROW()),$C128)</f>
        <v>0</v>
      </c>
      <c r="BB128" s="46" t="str">
        <f ca="1">VLOOKUP(MAX(BG128,$AX128),'RC Lookup'!$G$14:$J$20,2,TRUE)</f>
        <v>T1</v>
      </c>
      <c r="BC128" s="46">
        <f ca="1">_xlfn.IFNA(VLOOKUP(VLOOKUP($C128,'RC Lookup'!$O$3:$P$50,2,FALSE),'RC Lookup'!$H$14:$J$23,2,FALSE),0)*AW128</f>
        <v>0</v>
      </c>
      <c r="BD128" s="6">
        <f ca="1">_xlfn.IFNA(VLOOKUP(SUMPRODUCT(LARGE(($C$8:$C128=Table1[[#This Row],[Climber]])*$A$8:$A128,1)),$A$8:$BC128,55,FALSE),0)/LEFT($AX$7,FIND(" ",$AX$7))+_xlfn.IFNA(VLOOKUP(SUMPRODUCT(LARGE(($C$8:$C128=Table1[[#This Row],[Climber]])*$A$8:$A128,MIN(2,COUNTIFS($C$8:$C128,$C128)))),$A$8:$BC128,55,FALSE),0)/LEFT($AX$7,FIND(" ",$AX$7))+_xlfn.IFNA(VLOOKUP(SUMPRODUCT(LARGE(($C$8:$C128=Table1[[#This Row],[Climber]])*$A$8:$A128,MIN(3,COUNTIFS($C$8:$C128,$C128)))),$A$8:$BC128,55,FALSE),0)/LEFT($AX$7,FIND(" ",$AX$7))</f>
        <v>0</v>
      </c>
      <c r="BE128" s="6">
        <f ca="1">(_xlfn.IFNA(VLOOKUP(SUMPRODUCT(LARGE(($C$8:$C128=Table1[[#This Row],[Climber]])*$A$8:$A128,4)),$A$8:$BD128,55,FALSE),0)+_xlfn.IFNA(VLOOKUP(SUMPRODUCT(LARGE(($C$8:$C128=Table1[[#This Row],[Climber]])*$A$8:$A128,5)),$A$8:$BD128,55,FALSE),0)+_xlfn.IFNA(VLOOKUP(SUMPRODUCT(LARGE(($C$8:$C128=Table1[[#This Row],[Climber]])*$A$8:$A128,6)),$A$8:$BD128,55,FALSE),0))/3</f>
        <v>0</v>
      </c>
      <c r="BF128" s="46">
        <f ca="1">_xlfn.MAXIFS(INDIRECT("$BC"&amp;IF(SUMPRODUCT(LARGE(($C$8:$C128=$C128)*$A$8:$A128,LEFT($BA$7,FIND(" ",$BA$7)-1)))=0,8,SUMPRODUCT(LARGE(($C$8:$C128=$C128)*$A$8:$A128,LEFT($BA$7,FIND(" ",$BA$7)-1)))+7)&amp;":$BC"&amp;ROW()),INDIRECT("$C"&amp;IF(SUMPRODUCT(LARGE(($C$8:$C128=$C128)*$A$8:$A128,LEFT($BA$7,FIND(" ",$BA$7)-1)))=0,8,SUMPRODUCT(LARGE(($C$8:$C128=$C128)*$A$8:$A128,LEFT($BA$7,FIND(" ",$BA$7)-1)))+7)&amp;":$C"&amp;ROW()),$C128)</f>
        <v>0</v>
      </c>
      <c r="BG128" s="46">
        <f t="array" aca="1" ref="BG128" ca="1">IFERROR(SUMPRODUCT(LARGE(($C$8:$C128=Table1[[#This Row],[Climber]])*$AW$8:$AW128,ROW(INDIRECT("1:5")))),AW128)/MIN(COUNTIFS($C$8:$C128,C128),5)</f>
        <v>0</v>
      </c>
    </row>
    <row r="129" spans="1:59" x14ac:dyDescent="0.3">
      <c r="A129" s="125">
        <f t="shared" si="1"/>
        <v>122</v>
      </c>
      <c r="B129" s="25">
        <f>'Rock Climbing Log'!B129</f>
        <v>0</v>
      </c>
      <c r="C129" s="126">
        <f>'Rock Climbing Log'!C129</f>
        <v>0</v>
      </c>
      <c r="D129" s="26">
        <f>_xlfn.IFNA(IF(LEFT('Rock Climbing Log'!D129)="C",_xlfn.IFNA(VLOOKUP('Rock Climbing Log'!D129,'RC Lookup'!$A$3:$B$9,2,FALSE),0.5),VLOOKUP('Rock Climbing Log'!D129,'RC Lookup'!$G$3:$H$5,2,FALSE)),0)*VLOOKUP(D$7,'RC Lookup'!$D$3:$E$18,2,FALSE)</f>
        <v>0</v>
      </c>
      <c r="E129" s="26">
        <f>_xlfn.IFNA(IF(LEFT('Rock Climbing Log'!E129)="C",_xlfn.IFNA(VLOOKUP('Rock Climbing Log'!E129,'RC Lookup'!$A$3:$B$9,2,FALSE),0.5),VLOOKUP('Rock Climbing Log'!E129,'RC Lookup'!$G$3:$H$5,2,FALSE)),0)*VLOOKUP(D$7,'RC Lookup'!$D$3:$E$18,2,FALSE)</f>
        <v>0</v>
      </c>
      <c r="F129" s="26">
        <f>_xlfn.IFNA(IF(LEFT('Rock Climbing Log'!F129)="C",_xlfn.IFNA(VLOOKUP('Rock Climbing Log'!F129,'RC Lookup'!$A$3:$B$9,2,FALSE),0.5),VLOOKUP('Rock Climbing Log'!F129,'RC Lookup'!$G$3:$H$5,2,FALSE)),0)*VLOOKUP(D$7,'RC Lookup'!$D$3:$E$18,2,FALSE)</f>
        <v>0</v>
      </c>
      <c r="G129" s="26">
        <f>_xlfn.IFNA(IF(LEFT('Rock Climbing Log'!G129)="C",_xlfn.IFNA(VLOOKUP('Rock Climbing Log'!G129,'RC Lookup'!$A$3:$B$9,2,FALSE),0.5),VLOOKUP('Rock Climbing Log'!G129,'RC Lookup'!$G$3:$H$5,2,FALSE)),0)*VLOOKUP(G$7,'RC Lookup'!$D$3:$E$18,2,FALSE)</f>
        <v>0</v>
      </c>
      <c r="H129" s="26">
        <f>_xlfn.IFNA(IF(LEFT('Rock Climbing Log'!H129)="C",_xlfn.IFNA(VLOOKUP('Rock Climbing Log'!H129,'RC Lookup'!$A$3:$B$9,2,FALSE),0.5),VLOOKUP('Rock Climbing Log'!H129,'RC Lookup'!$G$3:$H$5,2,FALSE)),0)*VLOOKUP(G$7,'RC Lookup'!$D$3:$E$18,2,FALSE)</f>
        <v>0</v>
      </c>
      <c r="I129" s="26">
        <f>_xlfn.IFNA(IF(LEFT('Rock Climbing Log'!I129)="C",_xlfn.IFNA(VLOOKUP('Rock Climbing Log'!I129,'RC Lookup'!$A$3:$B$9,2,FALSE),0.5),VLOOKUP('Rock Climbing Log'!I129,'RC Lookup'!$G$3:$H$5,2,FALSE)),0)*VLOOKUP(G$7,'RC Lookup'!$D$3:$E$18,2,FALSE)</f>
        <v>0</v>
      </c>
      <c r="J129" s="26">
        <f>_xlfn.IFNA(IF(LEFT('Rock Climbing Log'!J129)="C",_xlfn.IFNA(VLOOKUP('Rock Climbing Log'!J129,'RC Lookup'!$A$3:$B$9,2,FALSE),0.5),VLOOKUP('Rock Climbing Log'!J129,'RC Lookup'!$G$3:$H$5,2,FALSE)),0)*VLOOKUP(J$7,'RC Lookup'!$D$3:$E$18,2,FALSE)</f>
        <v>0</v>
      </c>
      <c r="K129" s="26">
        <f>_xlfn.IFNA(IF(LEFT('Rock Climbing Log'!K129)="C",_xlfn.IFNA(VLOOKUP('Rock Climbing Log'!K129,'RC Lookup'!$A$3:$B$9,2,FALSE),0.5),VLOOKUP('Rock Climbing Log'!K129,'RC Lookup'!$G$3:$H$5,2,FALSE)),0)*VLOOKUP(J$7,'RC Lookup'!$D$3:$E$18,2,FALSE)</f>
        <v>0</v>
      </c>
      <c r="L129" s="26">
        <f>_xlfn.IFNA(IF(LEFT('Rock Climbing Log'!L129)="C",_xlfn.IFNA(VLOOKUP('Rock Climbing Log'!L129,'RC Lookup'!$A$3:$B$9,2,FALSE),0.5),VLOOKUP('Rock Climbing Log'!L129,'RC Lookup'!$G$3:$H$5,2,FALSE)),0)*VLOOKUP(J$7,'RC Lookup'!$D$3:$E$18,2,FALSE)</f>
        <v>0</v>
      </c>
      <c r="M129" s="26">
        <f>_xlfn.IFNA(IF(LEFT('Rock Climbing Log'!M129)="C",_xlfn.IFNA(VLOOKUP('Rock Climbing Log'!M129,'RC Lookup'!$A$3:$B$9,2,FALSE),0.5),VLOOKUP('Rock Climbing Log'!M129,'RC Lookup'!$G$3:$H$5,2,FALSE)),0)*VLOOKUP(M$7,'RC Lookup'!$D$3:$E$18,2,FALSE)</f>
        <v>0</v>
      </c>
      <c r="N129" s="26">
        <f>_xlfn.IFNA(IF(LEFT('Rock Climbing Log'!N129)="C",_xlfn.IFNA(VLOOKUP('Rock Climbing Log'!N129,'RC Lookup'!$A$3:$B$9,2,FALSE),0.5),VLOOKUP('Rock Climbing Log'!N129,'RC Lookup'!$G$3:$H$5,2,FALSE)),0)*VLOOKUP(M$7,'RC Lookup'!$D$3:$E$18,2,FALSE)</f>
        <v>0</v>
      </c>
      <c r="O129" s="26">
        <f>_xlfn.IFNA(IF(LEFT('Rock Climbing Log'!O129)="C",_xlfn.IFNA(VLOOKUP('Rock Climbing Log'!O129,'RC Lookup'!$A$3:$B$9,2,FALSE),0.5),VLOOKUP('Rock Climbing Log'!O129,'RC Lookup'!$G$3:$H$5,2,FALSE)),0)*VLOOKUP(M$7,'RC Lookup'!$D$3:$E$18,2,FALSE)</f>
        <v>0</v>
      </c>
      <c r="P129" s="26">
        <f>_xlfn.IFNA(IF(LEFT('Rock Climbing Log'!P129)="C",_xlfn.IFNA(VLOOKUP('Rock Climbing Log'!P129,'RC Lookup'!$A$3:$B$9,2,FALSE),0.5),VLOOKUP('Rock Climbing Log'!P129,'RC Lookup'!$G$3:$H$5,2,FALSE)),0)*VLOOKUP(P$7,'RC Lookup'!$D$3:$E$18,2,FALSE)</f>
        <v>0</v>
      </c>
      <c r="Q129" s="26">
        <f>_xlfn.IFNA(IF(LEFT('Rock Climbing Log'!Q129)="C",_xlfn.IFNA(VLOOKUP('Rock Climbing Log'!Q129,'RC Lookup'!$A$3:$B$9,2,FALSE),0.5),VLOOKUP('Rock Climbing Log'!Q129,'RC Lookup'!$G$3:$H$5,2,FALSE)),0)*VLOOKUP(P$7,'RC Lookup'!$D$3:$E$18,2,FALSE)</f>
        <v>0</v>
      </c>
      <c r="R129" s="26">
        <f>_xlfn.IFNA(IF(LEFT('Rock Climbing Log'!R129)="C",_xlfn.IFNA(VLOOKUP('Rock Climbing Log'!R129,'RC Lookup'!$A$3:$B$9,2,FALSE),0.5),VLOOKUP('Rock Climbing Log'!R129,'RC Lookup'!$G$3:$H$5,2,FALSE)),0)*VLOOKUP(P$7,'RC Lookup'!$D$3:$E$18,2,FALSE)</f>
        <v>0</v>
      </c>
      <c r="S129" s="26">
        <f>_xlfn.IFNA(IF(LEFT('Rock Climbing Log'!S129)="C",_xlfn.IFNA(VLOOKUP('Rock Climbing Log'!S129,'RC Lookup'!$A$3:$B$9,2,FALSE),0.5),VLOOKUP('Rock Climbing Log'!S129,'RC Lookup'!$G$3:$H$5,2,FALSE)),0)*VLOOKUP(S$7,'RC Lookup'!$D$3:$E$18,2,FALSE)</f>
        <v>0</v>
      </c>
      <c r="T129" s="26">
        <f>_xlfn.IFNA(IF(LEFT('Rock Climbing Log'!T129)="C",_xlfn.IFNA(VLOOKUP('Rock Climbing Log'!T129,'RC Lookup'!$A$3:$B$9,2,FALSE),0.5),VLOOKUP('Rock Climbing Log'!T129,'RC Lookup'!$G$3:$H$5,2,FALSE)),0)*VLOOKUP(S$7,'RC Lookup'!$D$3:$E$18,2,FALSE)</f>
        <v>0</v>
      </c>
      <c r="U129" s="26">
        <f>_xlfn.IFNA(IF(LEFT('Rock Climbing Log'!U129)="C",_xlfn.IFNA(VLOOKUP('Rock Climbing Log'!U129,'RC Lookup'!$A$3:$B$9,2,FALSE),0.5),VLOOKUP('Rock Climbing Log'!U129,'RC Lookup'!$G$3:$H$5,2,FALSE)),0)*VLOOKUP(S$7,'RC Lookup'!$D$3:$E$18,2,FALSE)</f>
        <v>0</v>
      </c>
      <c r="V129" s="26">
        <f>_xlfn.IFNA(IF(LEFT('Rock Climbing Log'!V129)="C",_xlfn.IFNA(VLOOKUP('Rock Climbing Log'!V129,'RC Lookup'!$A$3:$B$9,2,FALSE),0.5),VLOOKUP('Rock Climbing Log'!V129,'RC Lookup'!$G$3:$H$5,2,FALSE)),0)*VLOOKUP(V$7,'RC Lookup'!$D$3:$E$18,2,FALSE)</f>
        <v>0</v>
      </c>
      <c r="W129" s="26">
        <f>_xlfn.IFNA(IF(LEFT('Rock Climbing Log'!W129)="C",_xlfn.IFNA(VLOOKUP('Rock Climbing Log'!W129,'RC Lookup'!$A$3:$B$9,2,FALSE),0.5),VLOOKUP('Rock Climbing Log'!W129,'RC Lookup'!$G$3:$H$5,2,FALSE)),0)*VLOOKUP(V$7,'RC Lookup'!$D$3:$E$18,2,FALSE)</f>
        <v>0</v>
      </c>
      <c r="X129" s="26">
        <f>_xlfn.IFNA(IF(LEFT('Rock Climbing Log'!X129)="C",_xlfn.IFNA(VLOOKUP('Rock Climbing Log'!X129,'RC Lookup'!$A$3:$B$9,2,FALSE),0.5),VLOOKUP('Rock Climbing Log'!X129,'RC Lookup'!$G$3:$H$5,2,FALSE)),0)*VLOOKUP(V$7,'RC Lookup'!$D$3:$E$18,2,FALSE)</f>
        <v>0</v>
      </c>
      <c r="Y129" s="26">
        <f>_xlfn.IFNA(IF(LEFT('Rock Climbing Log'!Y129)="C",_xlfn.IFNA(VLOOKUP('Rock Climbing Log'!Y129,'RC Lookup'!$A$3:$B$9,2,FALSE),0.5),VLOOKUP('Rock Climbing Log'!Y129,'RC Lookup'!$G$3:$H$5,2,FALSE)),0)*VLOOKUP(Y$7,'RC Lookup'!$D$3:$E$18,2,FALSE)</f>
        <v>0</v>
      </c>
      <c r="Z129" s="26">
        <f>_xlfn.IFNA(IF(LEFT('Rock Climbing Log'!Z129)="C",_xlfn.IFNA(VLOOKUP('Rock Climbing Log'!Z129,'RC Lookup'!$A$3:$B$9,2,FALSE),0.5),VLOOKUP('Rock Climbing Log'!Z129,'RC Lookup'!$G$3:$H$5,2,FALSE)),0)*VLOOKUP(Y$7,'RC Lookup'!$D$3:$E$18,2,FALSE)</f>
        <v>0</v>
      </c>
      <c r="AA129" s="26">
        <f>_xlfn.IFNA(IF(LEFT('Rock Climbing Log'!AA129)="C",_xlfn.IFNA(VLOOKUP('Rock Climbing Log'!AA129,'RC Lookup'!$A$3:$B$9,2,FALSE),0.5),VLOOKUP('Rock Climbing Log'!AA129,'RC Lookup'!$G$3:$H$5,2,FALSE)),0)*VLOOKUP(Y$7,'RC Lookup'!$D$3:$E$18,2,FALSE)</f>
        <v>0</v>
      </c>
      <c r="AB129" s="26">
        <f>_xlfn.IFNA(IF(LEFT('Rock Climbing Log'!AB129)="C",_xlfn.IFNA(VLOOKUP('Rock Climbing Log'!AB129,'RC Lookup'!$A$3:$B$9,2,FALSE),0.5),VLOOKUP('Rock Climbing Log'!AB129,'RC Lookup'!$G$3:$H$5,2,FALSE)),0)*VLOOKUP(AB$7,'RC Lookup'!$D$3:$E$18,2,FALSE)</f>
        <v>0</v>
      </c>
      <c r="AC129" s="26">
        <f>_xlfn.IFNA(IF(LEFT('Rock Climbing Log'!AC129)="C",_xlfn.IFNA(VLOOKUP('Rock Climbing Log'!AC129,'RC Lookup'!$A$3:$B$9,2,FALSE),0.5),VLOOKUP('Rock Climbing Log'!AC129,'RC Lookup'!$G$3:$H$5,2,FALSE)),0)*VLOOKUP(AB$7,'RC Lookup'!$D$3:$E$18,2,FALSE)</f>
        <v>0</v>
      </c>
      <c r="AD129" s="26">
        <f>_xlfn.IFNA(IF(LEFT('Rock Climbing Log'!AD129)="C",_xlfn.IFNA(VLOOKUP('Rock Climbing Log'!AD129,'RC Lookup'!$A$3:$B$9,2,FALSE),0.5),VLOOKUP('Rock Climbing Log'!AD129,'RC Lookup'!$G$3:$H$5,2,FALSE)),0)*VLOOKUP(AB$7,'RC Lookup'!$D$3:$E$18,2,FALSE)</f>
        <v>0</v>
      </c>
      <c r="AE129" s="26">
        <f>_xlfn.IFNA(IF(LEFT('Rock Climbing Log'!AE129)="C",_xlfn.IFNA(VLOOKUP('Rock Climbing Log'!AE129,'RC Lookup'!$A$3:$B$9,2,FALSE),0.5),VLOOKUP('Rock Climbing Log'!AE129,'RC Lookup'!$G$3:$H$5,2,FALSE)),0)*VLOOKUP(AE$7,'RC Lookup'!$D$3:$E$18,2,FALSE)</f>
        <v>0</v>
      </c>
      <c r="AF129" s="26">
        <f>_xlfn.IFNA(IF(LEFT('Rock Climbing Log'!AF129)="C",_xlfn.IFNA(VLOOKUP('Rock Climbing Log'!AF129,'RC Lookup'!$A$3:$B$9,2,FALSE),0.5),VLOOKUP('Rock Climbing Log'!AF129,'RC Lookup'!$G$3:$H$5,2,FALSE)),0)*VLOOKUP(AE$7,'RC Lookup'!$D$3:$E$18,2,FALSE)</f>
        <v>0</v>
      </c>
      <c r="AG129" s="26">
        <f>_xlfn.IFNA(IF(LEFT('Rock Climbing Log'!AG129)="C",_xlfn.IFNA(VLOOKUP('Rock Climbing Log'!AG129,'RC Lookup'!$A$3:$B$9,2,FALSE),0.5),VLOOKUP('Rock Climbing Log'!AG129,'RC Lookup'!$G$3:$H$5,2,FALSE)),0)*VLOOKUP(AE$7,'RC Lookup'!$D$3:$E$18,2,FALSE)</f>
        <v>0</v>
      </c>
      <c r="AH129" s="26">
        <f>_xlfn.IFNA(IF(LEFT('Rock Climbing Log'!AH129)="C",_xlfn.IFNA(VLOOKUP('Rock Climbing Log'!AH129,'RC Lookup'!$A$3:$B$9,2,FALSE),0.5),VLOOKUP('Rock Climbing Log'!AH129,'RC Lookup'!$G$3:$H$5,2,FALSE)),0)*VLOOKUP(AH$7,'RC Lookup'!$D$3:$E$18,2,FALSE)</f>
        <v>0</v>
      </c>
      <c r="AI129" s="26">
        <f>_xlfn.IFNA(IF(LEFT('Rock Climbing Log'!AI129)="C",_xlfn.IFNA(VLOOKUP('Rock Climbing Log'!AI129,'RC Lookup'!$A$3:$B$9,2,FALSE),0.5),VLOOKUP('Rock Climbing Log'!AI129,'RC Lookup'!$G$3:$H$5,2,FALSE)),0)*VLOOKUP(AH$7,'RC Lookup'!$D$3:$E$18,2,FALSE)</f>
        <v>0</v>
      </c>
      <c r="AJ129" s="26">
        <f>_xlfn.IFNA(IF(LEFT('Rock Climbing Log'!AJ129)="C",_xlfn.IFNA(VLOOKUP('Rock Climbing Log'!AJ129,'RC Lookup'!$A$3:$B$9,2,FALSE),0.5),VLOOKUP('Rock Climbing Log'!AJ129,'RC Lookup'!$G$3:$H$5,2,FALSE)),0)*VLOOKUP(AH$7,'RC Lookup'!$D$3:$E$18,2,FALSE)</f>
        <v>0</v>
      </c>
      <c r="AK129" s="26">
        <f>_xlfn.IFNA(IF(LEFT('Rock Climbing Log'!AK129)="C",_xlfn.IFNA(VLOOKUP('Rock Climbing Log'!AK129,'RC Lookup'!$A$3:$B$9,2,FALSE),0.5),VLOOKUP('Rock Climbing Log'!AK129,'RC Lookup'!$G$3:$H$5,2,FALSE)),0)*VLOOKUP(AK$7,'RC Lookup'!$D$3:$E$18,2,FALSE)</f>
        <v>0</v>
      </c>
      <c r="AL129" s="26">
        <f>_xlfn.IFNA(IF(LEFT('Rock Climbing Log'!AL129)="C",_xlfn.IFNA(VLOOKUP('Rock Climbing Log'!AL129,'RC Lookup'!$A$3:$B$9,2,FALSE),0.5),VLOOKUP('Rock Climbing Log'!AL129,'RC Lookup'!$G$3:$H$5,2,FALSE)),0)*VLOOKUP(AK$7,'RC Lookup'!$D$3:$E$18,2,FALSE)</f>
        <v>0</v>
      </c>
      <c r="AM129" s="26">
        <f>_xlfn.IFNA(IF(LEFT('Rock Climbing Log'!AM129)="C",_xlfn.IFNA(VLOOKUP('Rock Climbing Log'!AM129,'RC Lookup'!$A$3:$B$9,2,FALSE),0.5),VLOOKUP('Rock Climbing Log'!AM129,'RC Lookup'!$G$3:$H$5,2,FALSE)),0)*VLOOKUP(AK$7,'RC Lookup'!$D$3:$E$18,2,FALSE)</f>
        <v>0</v>
      </c>
      <c r="AN129" s="26">
        <f>_xlfn.IFNA(IF(LEFT('Rock Climbing Log'!AN129)="C",_xlfn.IFNA(VLOOKUP('Rock Climbing Log'!AN129,'RC Lookup'!$A$3:$B$9,2,FALSE),0.5),VLOOKUP('Rock Climbing Log'!AN129,'RC Lookup'!$G$3:$H$5,2,FALSE)),0)*VLOOKUP(AN$7,'RC Lookup'!$D$3:$E$18,2,FALSE)</f>
        <v>0</v>
      </c>
      <c r="AO129" s="26">
        <f>_xlfn.IFNA(IF(LEFT('Rock Climbing Log'!AO129)="C",_xlfn.IFNA(VLOOKUP('Rock Climbing Log'!AO129,'RC Lookup'!$A$3:$B$9,2,FALSE),0.5),VLOOKUP('Rock Climbing Log'!AO129,'RC Lookup'!$G$3:$H$5,2,FALSE)),0)*VLOOKUP(AN$7,'RC Lookup'!$D$3:$E$18,2,FALSE)</f>
        <v>0</v>
      </c>
      <c r="AP129" s="26">
        <f>_xlfn.IFNA(IF(LEFT('Rock Climbing Log'!AP129)="C",_xlfn.IFNA(VLOOKUP('Rock Climbing Log'!AP129,'RC Lookup'!$A$3:$B$9,2,FALSE),0.5),VLOOKUP('Rock Climbing Log'!AP129,'RC Lookup'!$G$3:$H$5,2,FALSE)),0)*VLOOKUP(AN$7,'RC Lookup'!$D$3:$E$18,2,FALSE)</f>
        <v>0</v>
      </c>
      <c r="AQ129" s="26">
        <f>_xlfn.IFNA(IF(LEFT('Rock Climbing Log'!AQ129)="C",_xlfn.IFNA(VLOOKUP('Rock Climbing Log'!AQ129,'RC Lookup'!$A$3:$B$9,2,FALSE),0.5),VLOOKUP('Rock Climbing Log'!AQ129,'RC Lookup'!$G$3:$H$5,2,FALSE)),0)*VLOOKUP(AQ$7,'RC Lookup'!$D$3:$E$18,2,FALSE)</f>
        <v>0</v>
      </c>
      <c r="AR129" s="26">
        <f>_xlfn.IFNA(IF(LEFT('Rock Climbing Log'!AR129)="C",_xlfn.IFNA(VLOOKUP('Rock Climbing Log'!AR129,'RC Lookup'!$A$3:$B$9,2,FALSE),0.5),VLOOKUP('Rock Climbing Log'!AR129,'RC Lookup'!$G$3:$H$5,2,FALSE)),0)*VLOOKUP(AQ$7,'RC Lookup'!$D$3:$E$18,2,FALSE)</f>
        <v>0</v>
      </c>
      <c r="AS129" s="26">
        <f>_xlfn.IFNA(IF(LEFT('Rock Climbing Log'!AS129)="C",_xlfn.IFNA(VLOOKUP('Rock Climbing Log'!AS129,'RC Lookup'!$A$3:$B$9,2,FALSE),0.5),VLOOKUP('Rock Climbing Log'!AS129,'RC Lookup'!$G$3:$H$5,2,FALSE)),0)*VLOOKUP(AQ$7,'RC Lookup'!$D$3:$E$18,2,FALSE)</f>
        <v>0</v>
      </c>
      <c r="AT129" s="26">
        <f>_xlfn.IFNA(IF(LEFT('Rock Climbing Log'!AT129)="C",_xlfn.IFNA(VLOOKUP('Rock Climbing Log'!AT129,'RC Lookup'!$A$3:$B$9,2,FALSE),0.5),VLOOKUP('Rock Climbing Log'!AT129,'RC Lookup'!$G$3:$H$5,2,FALSE)),0)*VLOOKUP(AT$7,'RC Lookup'!$D$3:$E$18,2,FALSE)</f>
        <v>0</v>
      </c>
      <c r="AU129" s="26">
        <f>_xlfn.IFNA(IF(LEFT('Rock Climbing Log'!AU129)="C",_xlfn.IFNA(VLOOKUP('Rock Climbing Log'!AU129,'RC Lookup'!$A$3:$B$9,2,FALSE),0.5),VLOOKUP('Rock Climbing Log'!AU129,'RC Lookup'!$G$3:$H$5,2,FALSE)),0)*VLOOKUP(AT$7,'RC Lookup'!$D$3:$E$18,2,FALSE)</f>
        <v>0</v>
      </c>
      <c r="AV129" s="26">
        <f>_xlfn.IFNA(IF(LEFT('Rock Climbing Log'!AV129)="C",_xlfn.IFNA(VLOOKUP('Rock Climbing Log'!AV129,'RC Lookup'!$A$3:$B$9,2,FALSE),0.5),VLOOKUP('Rock Climbing Log'!AV129,'RC Lookup'!$G$3:$H$5,2,FALSE)),0)*VLOOKUP(AT$7,'RC Lookup'!$D$3:$E$18,2,FALSE)</f>
        <v>0</v>
      </c>
      <c r="AW129" s="30">
        <f t="shared" ca="1" si="4"/>
        <v>0</v>
      </c>
      <c r="AX129" s="30">
        <f ca="1">_xlfn.IFNA(VLOOKUP(SUMPRODUCT(LARGE(($C$8:$C129=Table1[[#This Row],[Climber]])*$A$8:$A129,1)),$A$8:$AW129,MATCH($AW$7,$A$7:$AW$7,FALSE),FALSE),0)/LEFT($AX$7,FIND(" ",$AX$7))+_xlfn.IFNA(VLOOKUP(SUMPRODUCT(LARGE(($C$8:$C129=Table1[[#This Row],[Climber]])*$A$8:$A129,MIN(2,COUNTIFS($C$8:$C129,$C129)))),$A$8:$AW129,MATCH($AW$7,$A$7:$AW$7,FALSE),FALSE),0)/LEFT($AX$7,FIND(" ",$AX$7))+_xlfn.IFNA(VLOOKUP(SUMPRODUCT(LARGE(($C$8:$C129=Table1[[#This Row],[Climber]])*$A$8:$A129,MIN(3,COUNTIFS($C$8:$C129,$C129)))),$A$8:$AW129,MATCH($AW$7,$A$7:$AW$7,FALSE),FALSE),0)/LEFT($AX$7,FIND(" ",$AX$7))</f>
        <v>0</v>
      </c>
      <c r="AY129" s="30">
        <f ca="1">_xlfn.IFNA(VLOOKUP(SUMPRODUCT(LARGE(($C$8:$C129=Table1[[#This Row],[Climber]])*$A$8:$A129,1)),$A$8:$AW129,MATCH($AW$7,$A$7:$AW$7,FALSE),FALSE),0)/LEFT($AY$7,FIND(" ",$AY$7))+_xlfn.IFNA(VLOOKUP(SUMPRODUCT(LARGE(($C$8:$C129=Table1[[#This Row],[Climber]])*$A$8:$A129,MIN(2,COUNTIFS($C$8:$C129,$C129)))),$A$8:$AW129,MATCH($AW$7,$A$7:$AW$7,FALSE),FALSE),0)/LEFT($AY$7,FIND(" ",$AY$7))+_xlfn.IFNA(VLOOKUP(SUMPRODUCT(LARGE(($C$8:$C129=Table1[[#This Row],[Climber]])*$A$8:$A129,MIN(3,COUNTIFS($C$8:$C129,$C129)))),$A$8:$AW129,MATCH($AW$7,$A$7:$AW$7,FALSE),FALSE),0)/LEFT($AY$7,FIND(" ",$AY$7))+_xlfn.IFNA(VLOOKUP(SUMPRODUCT(LARGE(($C$8:$C129=Table1[[#This Row],[Climber]])*$A$8:$A129,MIN(4,COUNTIFS($C$8:$C129,$C129)))),$A$8:$AW129,MATCH($AW$7,$A$7:$AW$7,FALSE),FALSE),0)/LEFT($AY$7,FIND(" ",$AY$7))+_xlfn.IFNA(VLOOKUP(SUMPRODUCT(LARGE(($C$8:$C129=Table1[[#This Row],[Climber]])*$A$8:$A129,MIN(5,COUNTIFS($C$8:$C129,$C129)))),$A$8:$AW129,MATCH($AW$7,$A$7:$AW$7,FALSE),FALSE),0)/LEFT($AY$7,FIND(" ",$AY$7))</f>
        <v>0</v>
      </c>
      <c r="AZ129" s="30">
        <f ca="1">(_xlfn.IFNA(VLOOKUP(SUMPRODUCT(LARGE(($C$8:$C129=Table1[[#This Row],[Climber]])*$A$8:$A129,4)),$A$8:$AW129,MATCH($AW$7,$A$7:$AW$7,FALSE),FALSE),0)+_xlfn.IFNA(VLOOKUP(SUMPRODUCT(LARGE(($C$8:$C129=Table1[[#This Row],[Climber]])*$A$8:$A129,5)),$A$8:$AW129,MATCH($AW$7,$A$7:$AW$7,FALSE),FALSE),0)+_xlfn.IFNA(VLOOKUP(SUMPRODUCT(LARGE(($C$8:$C129=Table1[[#This Row],[Climber]])*$A$8:$A129,6)),$A$8:$AW129,MATCH($AW$7,$A$7:$AW$7,FALSE),FALSE),0))/3</f>
        <v>0</v>
      </c>
      <c r="BA129" s="46">
        <f ca="1">_xlfn.MAXIFS(INDIRECT("$AW"&amp;IF(SUMPRODUCT(LARGE(($C$8:$C129=$C129)*$A$8:$A129,LEFT($BA$7,FIND(" ",$BA$7)-1)))=0,8,SUMPRODUCT(LARGE(($C$8:$C129=$C129)*$A$8:$A129,LEFT($BA$7,FIND(" ",$BA$7)-1)))+7)&amp;":$AW"&amp;ROW()),INDIRECT("$C"&amp;IF(SUMPRODUCT(LARGE(($C$8:$C129=$C129)*$A$8:$A129,LEFT($BA$7,FIND(" ",$BA$7)-1)))=0,8,SUMPRODUCT(LARGE(($C$8:$C129=$C129)*$A$8:$A129,LEFT($BA$7,FIND(" ",$BA$7)-1)))+7)&amp;":$C"&amp;ROW()),$C129)</f>
        <v>0</v>
      </c>
      <c r="BB129" s="46" t="str">
        <f ca="1">VLOOKUP(MAX(BG129,$AX129),'RC Lookup'!$G$14:$J$20,2,TRUE)</f>
        <v>T1</v>
      </c>
      <c r="BC129" s="46">
        <f ca="1">_xlfn.IFNA(VLOOKUP(VLOOKUP($C129,'RC Lookup'!$O$3:$P$50,2,FALSE),'RC Lookup'!$H$14:$J$23,2,FALSE),0)*AW129</f>
        <v>0</v>
      </c>
      <c r="BD129" s="6">
        <f ca="1">_xlfn.IFNA(VLOOKUP(SUMPRODUCT(LARGE(($C$8:$C129=Table1[[#This Row],[Climber]])*$A$8:$A129,1)),$A$8:$BC129,55,FALSE),0)/LEFT($AX$7,FIND(" ",$AX$7))+_xlfn.IFNA(VLOOKUP(SUMPRODUCT(LARGE(($C$8:$C129=Table1[[#This Row],[Climber]])*$A$8:$A129,MIN(2,COUNTIFS($C$8:$C129,$C129)))),$A$8:$BC129,55,FALSE),0)/LEFT($AX$7,FIND(" ",$AX$7))+_xlfn.IFNA(VLOOKUP(SUMPRODUCT(LARGE(($C$8:$C129=Table1[[#This Row],[Climber]])*$A$8:$A129,MIN(3,COUNTIFS($C$8:$C129,$C129)))),$A$8:$BC129,55,FALSE),0)/LEFT($AX$7,FIND(" ",$AX$7))</f>
        <v>0</v>
      </c>
      <c r="BE129" s="6">
        <f ca="1">(_xlfn.IFNA(VLOOKUP(SUMPRODUCT(LARGE(($C$8:$C129=Table1[[#This Row],[Climber]])*$A$8:$A129,4)),$A$8:$BD129,55,FALSE),0)+_xlfn.IFNA(VLOOKUP(SUMPRODUCT(LARGE(($C$8:$C129=Table1[[#This Row],[Climber]])*$A$8:$A129,5)),$A$8:$BD129,55,FALSE),0)+_xlfn.IFNA(VLOOKUP(SUMPRODUCT(LARGE(($C$8:$C129=Table1[[#This Row],[Climber]])*$A$8:$A129,6)),$A$8:$BD129,55,FALSE),0))/3</f>
        <v>0</v>
      </c>
      <c r="BF129" s="46">
        <f ca="1">_xlfn.MAXIFS(INDIRECT("$BC"&amp;IF(SUMPRODUCT(LARGE(($C$8:$C129=$C129)*$A$8:$A129,LEFT($BA$7,FIND(" ",$BA$7)-1)))=0,8,SUMPRODUCT(LARGE(($C$8:$C129=$C129)*$A$8:$A129,LEFT($BA$7,FIND(" ",$BA$7)-1)))+7)&amp;":$BC"&amp;ROW()),INDIRECT("$C"&amp;IF(SUMPRODUCT(LARGE(($C$8:$C129=$C129)*$A$8:$A129,LEFT($BA$7,FIND(" ",$BA$7)-1)))=0,8,SUMPRODUCT(LARGE(($C$8:$C129=$C129)*$A$8:$A129,LEFT($BA$7,FIND(" ",$BA$7)-1)))+7)&amp;":$C"&amp;ROW()),$C129)</f>
        <v>0</v>
      </c>
      <c r="BG129" s="46">
        <f t="array" aca="1" ref="BG129" ca="1">IFERROR(SUMPRODUCT(LARGE(($C$8:$C129=Table1[[#This Row],[Climber]])*$AW$8:$AW129,ROW(INDIRECT("1:5")))),AW129)/MIN(COUNTIFS($C$8:$C129,C129),5)</f>
        <v>0</v>
      </c>
    </row>
    <row r="130" spans="1:59" x14ac:dyDescent="0.3">
      <c r="A130" s="125">
        <f t="shared" si="1"/>
        <v>123</v>
      </c>
      <c r="B130" s="25">
        <f>'Rock Climbing Log'!B130</f>
        <v>0</v>
      </c>
      <c r="C130" s="126">
        <f>'Rock Climbing Log'!C130</f>
        <v>0</v>
      </c>
      <c r="D130" s="26">
        <f>_xlfn.IFNA(IF(LEFT('Rock Climbing Log'!D130)="C",_xlfn.IFNA(VLOOKUP('Rock Climbing Log'!D130,'RC Lookup'!$A$3:$B$9,2,FALSE),0.5),VLOOKUP('Rock Climbing Log'!D130,'RC Lookup'!$G$3:$H$5,2,FALSE)),0)*VLOOKUP(D$7,'RC Lookup'!$D$3:$E$18,2,FALSE)</f>
        <v>0</v>
      </c>
      <c r="E130" s="26">
        <f>_xlfn.IFNA(IF(LEFT('Rock Climbing Log'!E130)="C",_xlfn.IFNA(VLOOKUP('Rock Climbing Log'!E130,'RC Lookup'!$A$3:$B$9,2,FALSE),0.5),VLOOKUP('Rock Climbing Log'!E130,'RC Lookup'!$G$3:$H$5,2,FALSE)),0)*VLOOKUP(D$7,'RC Lookup'!$D$3:$E$18,2,FALSE)</f>
        <v>0</v>
      </c>
      <c r="F130" s="26">
        <f>_xlfn.IFNA(IF(LEFT('Rock Climbing Log'!F130)="C",_xlfn.IFNA(VLOOKUP('Rock Climbing Log'!F130,'RC Lookup'!$A$3:$B$9,2,FALSE),0.5),VLOOKUP('Rock Climbing Log'!F130,'RC Lookup'!$G$3:$H$5,2,FALSE)),0)*VLOOKUP(D$7,'RC Lookup'!$D$3:$E$18,2,FALSE)</f>
        <v>0</v>
      </c>
      <c r="G130" s="26">
        <f>_xlfn.IFNA(IF(LEFT('Rock Climbing Log'!G130)="C",_xlfn.IFNA(VLOOKUP('Rock Climbing Log'!G130,'RC Lookup'!$A$3:$B$9,2,FALSE),0.5),VLOOKUP('Rock Climbing Log'!G130,'RC Lookup'!$G$3:$H$5,2,FALSE)),0)*VLOOKUP(G$7,'RC Lookup'!$D$3:$E$18,2,FALSE)</f>
        <v>0</v>
      </c>
      <c r="H130" s="26">
        <f>_xlfn.IFNA(IF(LEFT('Rock Climbing Log'!H130)="C",_xlfn.IFNA(VLOOKUP('Rock Climbing Log'!H130,'RC Lookup'!$A$3:$B$9,2,FALSE),0.5),VLOOKUP('Rock Climbing Log'!H130,'RC Lookup'!$G$3:$H$5,2,FALSE)),0)*VLOOKUP(G$7,'RC Lookup'!$D$3:$E$18,2,FALSE)</f>
        <v>0</v>
      </c>
      <c r="I130" s="26">
        <f>_xlfn.IFNA(IF(LEFT('Rock Climbing Log'!I130)="C",_xlfn.IFNA(VLOOKUP('Rock Climbing Log'!I130,'RC Lookup'!$A$3:$B$9,2,FALSE),0.5),VLOOKUP('Rock Climbing Log'!I130,'RC Lookup'!$G$3:$H$5,2,FALSE)),0)*VLOOKUP(G$7,'RC Lookup'!$D$3:$E$18,2,FALSE)</f>
        <v>0</v>
      </c>
      <c r="J130" s="26">
        <f>_xlfn.IFNA(IF(LEFT('Rock Climbing Log'!J130)="C",_xlfn.IFNA(VLOOKUP('Rock Climbing Log'!J130,'RC Lookup'!$A$3:$B$9,2,FALSE),0.5),VLOOKUP('Rock Climbing Log'!J130,'RC Lookup'!$G$3:$H$5,2,FALSE)),0)*VLOOKUP(J$7,'RC Lookup'!$D$3:$E$18,2,FALSE)</f>
        <v>0</v>
      </c>
      <c r="K130" s="26">
        <f>_xlfn.IFNA(IF(LEFT('Rock Climbing Log'!K130)="C",_xlfn.IFNA(VLOOKUP('Rock Climbing Log'!K130,'RC Lookup'!$A$3:$B$9,2,FALSE),0.5),VLOOKUP('Rock Climbing Log'!K130,'RC Lookup'!$G$3:$H$5,2,FALSE)),0)*VLOOKUP(J$7,'RC Lookup'!$D$3:$E$18,2,FALSE)</f>
        <v>0</v>
      </c>
      <c r="L130" s="26">
        <f>_xlfn.IFNA(IF(LEFT('Rock Climbing Log'!L130)="C",_xlfn.IFNA(VLOOKUP('Rock Climbing Log'!L130,'RC Lookup'!$A$3:$B$9,2,FALSE),0.5),VLOOKUP('Rock Climbing Log'!L130,'RC Lookup'!$G$3:$H$5,2,FALSE)),0)*VLOOKUP(J$7,'RC Lookup'!$D$3:$E$18,2,FALSE)</f>
        <v>0</v>
      </c>
      <c r="M130" s="26">
        <f>_xlfn.IFNA(IF(LEFT('Rock Climbing Log'!M130)="C",_xlfn.IFNA(VLOOKUP('Rock Climbing Log'!M130,'RC Lookup'!$A$3:$B$9,2,FALSE),0.5),VLOOKUP('Rock Climbing Log'!M130,'RC Lookup'!$G$3:$H$5,2,FALSE)),0)*VLOOKUP(M$7,'RC Lookup'!$D$3:$E$18,2,FALSE)</f>
        <v>0</v>
      </c>
      <c r="N130" s="26">
        <f>_xlfn.IFNA(IF(LEFT('Rock Climbing Log'!N130)="C",_xlfn.IFNA(VLOOKUP('Rock Climbing Log'!N130,'RC Lookup'!$A$3:$B$9,2,FALSE),0.5),VLOOKUP('Rock Climbing Log'!N130,'RC Lookup'!$G$3:$H$5,2,FALSE)),0)*VLOOKUP(M$7,'RC Lookup'!$D$3:$E$18,2,FALSE)</f>
        <v>0</v>
      </c>
      <c r="O130" s="26">
        <f>_xlfn.IFNA(IF(LEFT('Rock Climbing Log'!O130)="C",_xlfn.IFNA(VLOOKUP('Rock Climbing Log'!O130,'RC Lookup'!$A$3:$B$9,2,FALSE),0.5),VLOOKUP('Rock Climbing Log'!O130,'RC Lookup'!$G$3:$H$5,2,FALSE)),0)*VLOOKUP(M$7,'RC Lookup'!$D$3:$E$18,2,FALSE)</f>
        <v>0</v>
      </c>
      <c r="P130" s="26">
        <f>_xlfn.IFNA(IF(LEFT('Rock Climbing Log'!P130)="C",_xlfn.IFNA(VLOOKUP('Rock Climbing Log'!P130,'RC Lookup'!$A$3:$B$9,2,FALSE),0.5),VLOOKUP('Rock Climbing Log'!P130,'RC Lookup'!$G$3:$H$5,2,FALSE)),0)*VLOOKUP(P$7,'RC Lookup'!$D$3:$E$18,2,FALSE)</f>
        <v>0</v>
      </c>
      <c r="Q130" s="26">
        <f>_xlfn.IFNA(IF(LEFT('Rock Climbing Log'!Q130)="C",_xlfn.IFNA(VLOOKUP('Rock Climbing Log'!Q130,'RC Lookup'!$A$3:$B$9,2,FALSE),0.5),VLOOKUP('Rock Climbing Log'!Q130,'RC Lookup'!$G$3:$H$5,2,FALSE)),0)*VLOOKUP(P$7,'RC Lookup'!$D$3:$E$18,2,FALSE)</f>
        <v>0</v>
      </c>
      <c r="R130" s="26">
        <f>_xlfn.IFNA(IF(LEFT('Rock Climbing Log'!R130)="C",_xlfn.IFNA(VLOOKUP('Rock Climbing Log'!R130,'RC Lookup'!$A$3:$B$9,2,FALSE),0.5),VLOOKUP('Rock Climbing Log'!R130,'RC Lookup'!$G$3:$H$5,2,FALSE)),0)*VLOOKUP(P$7,'RC Lookup'!$D$3:$E$18,2,FALSE)</f>
        <v>0</v>
      </c>
      <c r="S130" s="26">
        <f>_xlfn.IFNA(IF(LEFT('Rock Climbing Log'!S130)="C",_xlfn.IFNA(VLOOKUP('Rock Climbing Log'!S130,'RC Lookup'!$A$3:$B$9,2,FALSE),0.5),VLOOKUP('Rock Climbing Log'!S130,'RC Lookup'!$G$3:$H$5,2,FALSE)),0)*VLOOKUP(S$7,'RC Lookup'!$D$3:$E$18,2,FALSE)</f>
        <v>0</v>
      </c>
      <c r="T130" s="26">
        <f>_xlfn.IFNA(IF(LEFT('Rock Climbing Log'!T130)="C",_xlfn.IFNA(VLOOKUP('Rock Climbing Log'!T130,'RC Lookup'!$A$3:$B$9,2,FALSE),0.5),VLOOKUP('Rock Climbing Log'!T130,'RC Lookup'!$G$3:$H$5,2,FALSE)),0)*VLOOKUP(S$7,'RC Lookup'!$D$3:$E$18,2,FALSE)</f>
        <v>0</v>
      </c>
      <c r="U130" s="26">
        <f>_xlfn.IFNA(IF(LEFT('Rock Climbing Log'!U130)="C",_xlfn.IFNA(VLOOKUP('Rock Climbing Log'!U130,'RC Lookup'!$A$3:$B$9,2,FALSE),0.5),VLOOKUP('Rock Climbing Log'!U130,'RC Lookup'!$G$3:$H$5,2,FALSE)),0)*VLOOKUP(S$7,'RC Lookup'!$D$3:$E$18,2,FALSE)</f>
        <v>0</v>
      </c>
      <c r="V130" s="26">
        <f>_xlfn.IFNA(IF(LEFT('Rock Climbing Log'!V130)="C",_xlfn.IFNA(VLOOKUP('Rock Climbing Log'!V130,'RC Lookup'!$A$3:$B$9,2,FALSE),0.5),VLOOKUP('Rock Climbing Log'!V130,'RC Lookup'!$G$3:$H$5,2,FALSE)),0)*VLOOKUP(V$7,'RC Lookup'!$D$3:$E$18,2,FALSE)</f>
        <v>0</v>
      </c>
      <c r="W130" s="26">
        <f>_xlfn.IFNA(IF(LEFT('Rock Climbing Log'!W130)="C",_xlfn.IFNA(VLOOKUP('Rock Climbing Log'!W130,'RC Lookup'!$A$3:$B$9,2,FALSE),0.5),VLOOKUP('Rock Climbing Log'!W130,'RC Lookup'!$G$3:$H$5,2,FALSE)),0)*VLOOKUP(V$7,'RC Lookup'!$D$3:$E$18,2,FALSE)</f>
        <v>0</v>
      </c>
      <c r="X130" s="26">
        <f>_xlfn.IFNA(IF(LEFT('Rock Climbing Log'!X130)="C",_xlfn.IFNA(VLOOKUP('Rock Climbing Log'!X130,'RC Lookup'!$A$3:$B$9,2,FALSE),0.5),VLOOKUP('Rock Climbing Log'!X130,'RC Lookup'!$G$3:$H$5,2,FALSE)),0)*VLOOKUP(V$7,'RC Lookup'!$D$3:$E$18,2,FALSE)</f>
        <v>0</v>
      </c>
      <c r="Y130" s="26">
        <f>_xlfn.IFNA(IF(LEFT('Rock Climbing Log'!Y130)="C",_xlfn.IFNA(VLOOKUP('Rock Climbing Log'!Y130,'RC Lookup'!$A$3:$B$9,2,FALSE),0.5),VLOOKUP('Rock Climbing Log'!Y130,'RC Lookup'!$G$3:$H$5,2,FALSE)),0)*VLOOKUP(Y$7,'RC Lookup'!$D$3:$E$18,2,FALSE)</f>
        <v>0</v>
      </c>
      <c r="Z130" s="26">
        <f>_xlfn.IFNA(IF(LEFT('Rock Climbing Log'!Z130)="C",_xlfn.IFNA(VLOOKUP('Rock Climbing Log'!Z130,'RC Lookup'!$A$3:$B$9,2,FALSE),0.5),VLOOKUP('Rock Climbing Log'!Z130,'RC Lookup'!$G$3:$H$5,2,FALSE)),0)*VLOOKUP(Y$7,'RC Lookup'!$D$3:$E$18,2,FALSE)</f>
        <v>0</v>
      </c>
      <c r="AA130" s="26">
        <f>_xlfn.IFNA(IF(LEFT('Rock Climbing Log'!AA130)="C",_xlfn.IFNA(VLOOKUP('Rock Climbing Log'!AA130,'RC Lookup'!$A$3:$B$9,2,FALSE),0.5),VLOOKUP('Rock Climbing Log'!AA130,'RC Lookup'!$G$3:$H$5,2,FALSE)),0)*VLOOKUP(Y$7,'RC Lookup'!$D$3:$E$18,2,FALSE)</f>
        <v>0</v>
      </c>
      <c r="AB130" s="26">
        <f>_xlfn.IFNA(IF(LEFT('Rock Climbing Log'!AB130)="C",_xlfn.IFNA(VLOOKUP('Rock Climbing Log'!AB130,'RC Lookup'!$A$3:$B$9,2,FALSE),0.5),VLOOKUP('Rock Climbing Log'!AB130,'RC Lookup'!$G$3:$H$5,2,FALSE)),0)*VLOOKUP(AB$7,'RC Lookup'!$D$3:$E$18,2,FALSE)</f>
        <v>0</v>
      </c>
      <c r="AC130" s="26">
        <f>_xlfn.IFNA(IF(LEFT('Rock Climbing Log'!AC130)="C",_xlfn.IFNA(VLOOKUP('Rock Climbing Log'!AC130,'RC Lookup'!$A$3:$B$9,2,FALSE),0.5),VLOOKUP('Rock Climbing Log'!AC130,'RC Lookup'!$G$3:$H$5,2,FALSE)),0)*VLOOKUP(AB$7,'RC Lookup'!$D$3:$E$18,2,FALSE)</f>
        <v>0</v>
      </c>
      <c r="AD130" s="26">
        <f>_xlfn.IFNA(IF(LEFT('Rock Climbing Log'!AD130)="C",_xlfn.IFNA(VLOOKUP('Rock Climbing Log'!AD130,'RC Lookup'!$A$3:$B$9,2,FALSE),0.5),VLOOKUP('Rock Climbing Log'!AD130,'RC Lookup'!$G$3:$H$5,2,FALSE)),0)*VLOOKUP(AB$7,'RC Lookup'!$D$3:$E$18,2,FALSE)</f>
        <v>0</v>
      </c>
      <c r="AE130" s="26">
        <f>_xlfn.IFNA(IF(LEFT('Rock Climbing Log'!AE130)="C",_xlfn.IFNA(VLOOKUP('Rock Climbing Log'!AE130,'RC Lookup'!$A$3:$B$9,2,FALSE),0.5),VLOOKUP('Rock Climbing Log'!AE130,'RC Lookup'!$G$3:$H$5,2,FALSE)),0)*VLOOKUP(AE$7,'RC Lookup'!$D$3:$E$18,2,FALSE)</f>
        <v>0</v>
      </c>
      <c r="AF130" s="26">
        <f>_xlfn.IFNA(IF(LEFT('Rock Climbing Log'!AF130)="C",_xlfn.IFNA(VLOOKUP('Rock Climbing Log'!AF130,'RC Lookup'!$A$3:$B$9,2,FALSE),0.5),VLOOKUP('Rock Climbing Log'!AF130,'RC Lookup'!$G$3:$H$5,2,FALSE)),0)*VLOOKUP(AE$7,'RC Lookup'!$D$3:$E$18,2,FALSE)</f>
        <v>0</v>
      </c>
      <c r="AG130" s="26">
        <f>_xlfn.IFNA(IF(LEFT('Rock Climbing Log'!AG130)="C",_xlfn.IFNA(VLOOKUP('Rock Climbing Log'!AG130,'RC Lookup'!$A$3:$B$9,2,FALSE),0.5),VLOOKUP('Rock Climbing Log'!AG130,'RC Lookup'!$G$3:$H$5,2,FALSE)),0)*VLOOKUP(AE$7,'RC Lookup'!$D$3:$E$18,2,FALSE)</f>
        <v>0</v>
      </c>
      <c r="AH130" s="26">
        <f>_xlfn.IFNA(IF(LEFT('Rock Climbing Log'!AH130)="C",_xlfn.IFNA(VLOOKUP('Rock Climbing Log'!AH130,'RC Lookup'!$A$3:$B$9,2,FALSE),0.5),VLOOKUP('Rock Climbing Log'!AH130,'RC Lookup'!$G$3:$H$5,2,FALSE)),0)*VLOOKUP(AH$7,'RC Lookup'!$D$3:$E$18,2,FALSE)</f>
        <v>0</v>
      </c>
      <c r="AI130" s="26">
        <f>_xlfn.IFNA(IF(LEFT('Rock Climbing Log'!AI130)="C",_xlfn.IFNA(VLOOKUP('Rock Climbing Log'!AI130,'RC Lookup'!$A$3:$B$9,2,FALSE),0.5),VLOOKUP('Rock Climbing Log'!AI130,'RC Lookup'!$G$3:$H$5,2,FALSE)),0)*VLOOKUP(AH$7,'RC Lookup'!$D$3:$E$18,2,FALSE)</f>
        <v>0</v>
      </c>
      <c r="AJ130" s="26">
        <f>_xlfn.IFNA(IF(LEFT('Rock Climbing Log'!AJ130)="C",_xlfn.IFNA(VLOOKUP('Rock Climbing Log'!AJ130,'RC Lookup'!$A$3:$B$9,2,FALSE),0.5),VLOOKUP('Rock Climbing Log'!AJ130,'RC Lookup'!$G$3:$H$5,2,FALSE)),0)*VLOOKUP(AH$7,'RC Lookup'!$D$3:$E$18,2,FALSE)</f>
        <v>0</v>
      </c>
      <c r="AK130" s="26">
        <f>_xlfn.IFNA(IF(LEFT('Rock Climbing Log'!AK130)="C",_xlfn.IFNA(VLOOKUP('Rock Climbing Log'!AK130,'RC Lookup'!$A$3:$B$9,2,FALSE),0.5),VLOOKUP('Rock Climbing Log'!AK130,'RC Lookup'!$G$3:$H$5,2,FALSE)),0)*VLOOKUP(AK$7,'RC Lookup'!$D$3:$E$18,2,FALSE)</f>
        <v>0</v>
      </c>
      <c r="AL130" s="26">
        <f>_xlfn.IFNA(IF(LEFT('Rock Climbing Log'!AL130)="C",_xlfn.IFNA(VLOOKUP('Rock Climbing Log'!AL130,'RC Lookup'!$A$3:$B$9,2,FALSE),0.5),VLOOKUP('Rock Climbing Log'!AL130,'RC Lookup'!$G$3:$H$5,2,FALSE)),0)*VLOOKUP(AK$7,'RC Lookup'!$D$3:$E$18,2,FALSE)</f>
        <v>0</v>
      </c>
      <c r="AM130" s="26">
        <f>_xlfn.IFNA(IF(LEFT('Rock Climbing Log'!AM130)="C",_xlfn.IFNA(VLOOKUP('Rock Climbing Log'!AM130,'RC Lookup'!$A$3:$B$9,2,FALSE),0.5),VLOOKUP('Rock Climbing Log'!AM130,'RC Lookup'!$G$3:$H$5,2,FALSE)),0)*VLOOKUP(AK$7,'RC Lookup'!$D$3:$E$18,2,FALSE)</f>
        <v>0</v>
      </c>
      <c r="AN130" s="26">
        <f>_xlfn.IFNA(IF(LEFT('Rock Climbing Log'!AN130)="C",_xlfn.IFNA(VLOOKUP('Rock Climbing Log'!AN130,'RC Lookup'!$A$3:$B$9,2,FALSE),0.5),VLOOKUP('Rock Climbing Log'!AN130,'RC Lookup'!$G$3:$H$5,2,FALSE)),0)*VLOOKUP(AN$7,'RC Lookup'!$D$3:$E$18,2,FALSE)</f>
        <v>0</v>
      </c>
      <c r="AO130" s="26">
        <f>_xlfn.IFNA(IF(LEFT('Rock Climbing Log'!AO130)="C",_xlfn.IFNA(VLOOKUP('Rock Climbing Log'!AO130,'RC Lookup'!$A$3:$B$9,2,FALSE),0.5),VLOOKUP('Rock Climbing Log'!AO130,'RC Lookup'!$G$3:$H$5,2,FALSE)),0)*VLOOKUP(AN$7,'RC Lookup'!$D$3:$E$18,2,FALSE)</f>
        <v>0</v>
      </c>
      <c r="AP130" s="26">
        <f>_xlfn.IFNA(IF(LEFT('Rock Climbing Log'!AP130)="C",_xlfn.IFNA(VLOOKUP('Rock Climbing Log'!AP130,'RC Lookup'!$A$3:$B$9,2,FALSE),0.5),VLOOKUP('Rock Climbing Log'!AP130,'RC Lookup'!$G$3:$H$5,2,FALSE)),0)*VLOOKUP(AN$7,'RC Lookup'!$D$3:$E$18,2,FALSE)</f>
        <v>0</v>
      </c>
      <c r="AQ130" s="26">
        <f>_xlfn.IFNA(IF(LEFT('Rock Climbing Log'!AQ130)="C",_xlfn.IFNA(VLOOKUP('Rock Climbing Log'!AQ130,'RC Lookup'!$A$3:$B$9,2,FALSE),0.5),VLOOKUP('Rock Climbing Log'!AQ130,'RC Lookup'!$G$3:$H$5,2,FALSE)),0)*VLOOKUP(AQ$7,'RC Lookup'!$D$3:$E$18,2,FALSE)</f>
        <v>0</v>
      </c>
      <c r="AR130" s="26">
        <f>_xlfn.IFNA(IF(LEFT('Rock Climbing Log'!AR130)="C",_xlfn.IFNA(VLOOKUP('Rock Climbing Log'!AR130,'RC Lookup'!$A$3:$B$9,2,FALSE),0.5),VLOOKUP('Rock Climbing Log'!AR130,'RC Lookup'!$G$3:$H$5,2,FALSE)),0)*VLOOKUP(AQ$7,'RC Lookup'!$D$3:$E$18,2,FALSE)</f>
        <v>0</v>
      </c>
      <c r="AS130" s="26">
        <f>_xlfn.IFNA(IF(LEFT('Rock Climbing Log'!AS130)="C",_xlfn.IFNA(VLOOKUP('Rock Climbing Log'!AS130,'RC Lookup'!$A$3:$B$9,2,FALSE),0.5),VLOOKUP('Rock Climbing Log'!AS130,'RC Lookup'!$G$3:$H$5,2,FALSE)),0)*VLOOKUP(AQ$7,'RC Lookup'!$D$3:$E$18,2,FALSE)</f>
        <v>0</v>
      </c>
      <c r="AT130" s="26">
        <f>_xlfn.IFNA(IF(LEFT('Rock Climbing Log'!AT130)="C",_xlfn.IFNA(VLOOKUP('Rock Climbing Log'!AT130,'RC Lookup'!$A$3:$B$9,2,FALSE),0.5),VLOOKUP('Rock Climbing Log'!AT130,'RC Lookup'!$G$3:$H$5,2,FALSE)),0)*VLOOKUP(AT$7,'RC Lookup'!$D$3:$E$18,2,FALSE)</f>
        <v>0</v>
      </c>
      <c r="AU130" s="26">
        <f>_xlfn.IFNA(IF(LEFT('Rock Climbing Log'!AU130)="C",_xlfn.IFNA(VLOOKUP('Rock Climbing Log'!AU130,'RC Lookup'!$A$3:$B$9,2,FALSE),0.5),VLOOKUP('Rock Climbing Log'!AU130,'RC Lookup'!$G$3:$H$5,2,FALSE)),0)*VLOOKUP(AT$7,'RC Lookup'!$D$3:$E$18,2,FALSE)</f>
        <v>0</v>
      </c>
      <c r="AV130" s="26">
        <f>_xlfn.IFNA(IF(LEFT('Rock Climbing Log'!AV130)="C",_xlfn.IFNA(VLOOKUP('Rock Climbing Log'!AV130,'RC Lookup'!$A$3:$B$9,2,FALSE),0.5),VLOOKUP('Rock Climbing Log'!AV130,'RC Lookup'!$G$3:$H$5,2,FALSE)),0)*VLOOKUP(AT$7,'RC Lookup'!$D$3:$E$18,2,FALSE)</f>
        <v>0</v>
      </c>
      <c r="AW130" s="30">
        <f t="shared" ca="1" si="4"/>
        <v>0</v>
      </c>
      <c r="AX130" s="30">
        <f ca="1">_xlfn.IFNA(VLOOKUP(SUMPRODUCT(LARGE(($C$8:$C130=Table1[[#This Row],[Climber]])*$A$8:$A130,1)),$A$8:$AW130,MATCH($AW$7,$A$7:$AW$7,FALSE),FALSE),0)/LEFT($AX$7,FIND(" ",$AX$7))+_xlfn.IFNA(VLOOKUP(SUMPRODUCT(LARGE(($C$8:$C130=Table1[[#This Row],[Climber]])*$A$8:$A130,MIN(2,COUNTIFS($C$8:$C130,$C130)))),$A$8:$AW130,MATCH($AW$7,$A$7:$AW$7,FALSE),FALSE),0)/LEFT($AX$7,FIND(" ",$AX$7))+_xlfn.IFNA(VLOOKUP(SUMPRODUCT(LARGE(($C$8:$C130=Table1[[#This Row],[Climber]])*$A$8:$A130,MIN(3,COUNTIFS($C$8:$C130,$C130)))),$A$8:$AW130,MATCH($AW$7,$A$7:$AW$7,FALSE),FALSE),0)/LEFT($AX$7,FIND(" ",$AX$7))</f>
        <v>0</v>
      </c>
      <c r="AY130" s="30">
        <f ca="1">_xlfn.IFNA(VLOOKUP(SUMPRODUCT(LARGE(($C$8:$C130=Table1[[#This Row],[Climber]])*$A$8:$A130,1)),$A$8:$AW130,MATCH($AW$7,$A$7:$AW$7,FALSE),FALSE),0)/LEFT($AY$7,FIND(" ",$AY$7))+_xlfn.IFNA(VLOOKUP(SUMPRODUCT(LARGE(($C$8:$C130=Table1[[#This Row],[Climber]])*$A$8:$A130,MIN(2,COUNTIFS($C$8:$C130,$C130)))),$A$8:$AW130,MATCH($AW$7,$A$7:$AW$7,FALSE),FALSE),0)/LEFT($AY$7,FIND(" ",$AY$7))+_xlfn.IFNA(VLOOKUP(SUMPRODUCT(LARGE(($C$8:$C130=Table1[[#This Row],[Climber]])*$A$8:$A130,MIN(3,COUNTIFS($C$8:$C130,$C130)))),$A$8:$AW130,MATCH($AW$7,$A$7:$AW$7,FALSE),FALSE),0)/LEFT($AY$7,FIND(" ",$AY$7))+_xlfn.IFNA(VLOOKUP(SUMPRODUCT(LARGE(($C$8:$C130=Table1[[#This Row],[Climber]])*$A$8:$A130,MIN(4,COUNTIFS($C$8:$C130,$C130)))),$A$8:$AW130,MATCH($AW$7,$A$7:$AW$7,FALSE),FALSE),0)/LEFT($AY$7,FIND(" ",$AY$7))+_xlfn.IFNA(VLOOKUP(SUMPRODUCT(LARGE(($C$8:$C130=Table1[[#This Row],[Climber]])*$A$8:$A130,MIN(5,COUNTIFS($C$8:$C130,$C130)))),$A$8:$AW130,MATCH($AW$7,$A$7:$AW$7,FALSE),FALSE),0)/LEFT($AY$7,FIND(" ",$AY$7))</f>
        <v>0</v>
      </c>
      <c r="AZ130" s="30">
        <f ca="1">(_xlfn.IFNA(VLOOKUP(SUMPRODUCT(LARGE(($C$8:$C130=Table1[[#This Row],[Climber]])*$A$8:$A130,4)),$A$8:$AW130,MATCH($AW$7,$A$7:$AW$7,FALSE),FALSE),0)+_xlfn.IFNA(VLOOKUP(SUMPRODUCT(LARGE(($C$8:$C130=Table1[[#This Row],[Climber]])*$A$8:$A130,5)),$A$8:$AW130,MATCH($AW$7,$A$7:$AW$7,FALSE),FALSE),0)+_xlfn.IFNA(VLOOKUP(SUMPRODUCT(LARGE(($C$8:$C130=Table1[[#This Row],[Climber]])*$A$8:$A130,6)),$A$8:$AW130,MATCH($AW$7,$A$7:$AW$7,FALSE),FALSE),0))/3</f>
        <v>0</v>
      </c>
      <c r="BA130" s="46">
        <f ca="1">_xlfn.MAXIFS(INDIRECT("$AW"&amp;IF(SUMPRODUCT(LARGE(($C$8:$C130=$C130)*$A$8:$A130,LEFT($BA$7,FIND(" ",$BA$7)-1)))=0,8,SUMPRODUCT(LARGE(($C$8:$C130=$C130)*$A$8:$A130,LEFT($BA$7,FIND(" ",$BA$7)-1)))+7)&amp;":$AW"&amp;ROW()),INDIRECT("$C"&amp;IF(SUMPRODUCT(LARGE(($C$8:$C130=$C130)*$A$8:$A130,LEFT($BA$7,FIND(" ",$BA$7)-1)))=0,8,SUMPRODUCT(LARGE(($C$8:$C130=$C130)*$A$8:$A130,LEFT($BA$7,FIND(" ",$BA$7)-1)))+7)&amp;":$C"&amp;ROW()),$C130)</f>
        <v>0</v>
      </c>
      <c r="BB130" s="46" t="str">
        <f ca="1">VLOOKUP(MAX(BG130,$AX130),'RC Lookup'!$G$14:$J$20,2,TRUE)</f>
        <v>T1</v>
      </c>
      <c r="BC130" s="46">
        <f ca="1">_xlfn.IFNA(VLOOKUP(VLOOKUP($C130,'RC Lookup'!$O$3:$P$50,2,FALSE),'RC Lookup'!$H$14:$J$23,2,FALSE),0)*AW130</f>
        <v>0</v>
      </c>
      <c r="BD130" s="6">
        <f ca="1">_xlfn.IFNA(VLOOKUP(SUMPRODUCT(LARGE(($C$8:$C130=Table1[[#This Row],[Climber]])*$A$8:$A130,1)),$A$8:$BC130,55,FALSE),0)/LEFT($AX$7,FIND(" ",$AX$7))+_xlfn.IFNA(VLOOKUP(SUMPRODUCT(LARGE(($C$8:$C130=Table1[[#This Row],[Climber]])*$A$8:$A130,MIN(2,COUNTIFS($C$8:$C130,$C130)))),$A$8:$BC130,55,FALSE),0)/LEFT($AX$7,FIND(" ",$AX$7))+_xlfn.IFNA(VLOOKUP(SUMPRODUCT(LARGE(($C$8:$C130=Table1[[#This Row],[Climber]])*$A$8:$A130,MIN(3,COUNTIFS($C$8:$C130,$C130)))),$A$8:$BC130,55,FALSE),0)/LEFT($AX$7,FIND(" ",$AX$7))</f>
        <v>0</v>
      </c>
      <c r="BE130" s="6">
        <f ca="1">(_xlfn.IFNA(VLOOKUP(SUMPRODUCT(LARGE(($C$8:$C130=Table1[[#This Row],[Climber]])*$A$8:$A130,4)),$A$8:$BD130,55,FALSE),0)+_xlfn.IFNA(VLOOKUP(SUMPRODUCT(LARGE(($C$8:$C130=Table1[[#This Row],[Climber]])*$A$8:$A130,5)),$A$8:$BD130,55,FALSE),0)+_xlfn.IFNA(VLOOKUP(SUMPRODUCT(LARGE(($C$8:$C130=Table1[[#This Row],[Climber]])*$A$8:$A130,6)),$A$8:$BD130,55,FALSE),0))/3</f>
        <v>0</v>
      </c>
      <c r="BF130" s="46">
        <f ca="1">_xlfn.MAXIFS(INDIRECT("$BC"&amp;IF(SUMPRODUCT(LARGE(($C$8:$C130=$C130)*$A$8:$A130,LEFT($BA$7,FIND(" ",$BA$7)-1)))=0,8,SUMPRODUCT(LARGE(($C$8:$C130=$C130)*$A$8:$A130,LEFT($BA$7,FIND(" ",$BA$7)-1)))+7)&amp;":$BC"&amp;ROW()),INDIRECT("$C"&amp;IF(SUMPRODUCT(LARGE(($C$8:$C130=$C130)*$A$8:$A130,LEFT($BA$7,FIND(" ",$BA$7)-1)))=0,8,SUMPRODUCT(LARGE(($C$8:$C130=$C130)*$A$8:$A130,LEFT($BA$7,FIND(" ",$BA$7)-1)))+7)&amp;":$C"&amp;ROW()),$C130)</f>
        <v>0</v>
      </c>
      <c r="BG130" s="46">
        <f t="array" aca="1" ref="BG130" ca="1">IFERROR(SUMPRODUCT(LARGE(($C$8:$C130=Table1[[#This Row],[Climber]])*$AW$8:$AW130,ROW(INDIRECT("1:5")))),AW130)/MIN(COUNTIFS($C$8:$C130,C130),5)</f>
        <v>0</v>
      </c>
    </row>
    <row r="131" spans="1:59" x14ac:dyDescent="0.3">
      <c r="A131" s="125">
        <f t="shared" si="1"/>
        <v>124</v>
      </c>
      <c r="B131" s="25">
        <f>'Rock Climbing Log'!B131</f>
        <v>0</v>
      </c>
      <c r="C131" s="126">
        <f>'Rock Climbing Log'!C131</f>
        <v>0</v>
      </c>
      <c r="D131" s="26">
        <f>_xlfn.IFNA(IF(LEFT('Rock Climbing Log'!D131)="C",_xlfn.IFNA(VLOOKUP('Rock Climbing Log'!D131,'RC Lookup'!$A$3:$B$9,2,FALSE),0.5),VLOOKUP('Rock Climbing Log'!D131,'RC Lookup'!$G$3:$H$5,2,FALSE)),0)*VLOOKUP(D$7,'RC Lookup'!$D$3:$E$18,2,FALSE)</f>
        <v>0</v>
      </c>
      <c r="E131" s="26">
        <f>_xlfn.IFNA(IF(LEFT('Rock Climbing Log'!E131)="C",_xlfn.IFNA(VLOOKUP('Rock Climbing Log'!E131,'RC Lookup'!$A$3:$B$9,2,FALSE),0.5),VLOOKUP('Rock Climbing Log'!E131,'RC Lookup'!$G$3:$H$5,2,FALSE)),0)*VLOOKUP(D$7,'RC Lookup'!$D$3:$E$18,2,FALSE)</f>
        <v>0</v>
      </c>
      <c r="F131" s="26">
        <f>_xlfn.IFNA(IF(LEFT('Rock Climbing Log'!F131)="C",_xlfn.IFNA(VLOOKUP('Rock Climbing Log'!F131,'RC Lookup'!$A$3:$B$9,2,FALSE),0.5),VLOOKUP('Rock Climbing Log'!F131,'RC Lookup'!$G$3:$H$5,2,FALSE)),0)*VLOOKUP(D$7,'RC Lookup'!$D$3:$E$18,2,FALSE)</f>
        <v>0</v>
      </c>
      <c r="G131" s="26">
        <f>_xlfn.IFNA(IF(LEFT('Rock Climbing Log'!G131)="C",_xlfn.IFNA(VLOOKUP('Rock Climbing Log'!G131,'RC Lookup'!$A$3:$B$9,2,FALSE),0.5),VLOOKUP('Rock Climbing Log'!G131,'RC Lookup'!$G$3:$H$5,2,FALSE)),0)*VLOOKUP(G$7,'RC Lookup'!$D$3:$E$18,2,FALSE)</f>
        <v>0</v>
      </c>
      <c r="H131" s="26">
        <f>_xlfn.IFNA(IF(LEFT('Rock Climbing Log'!H131)="C",_xlfn.IFNA(VLOOKUP('Rock Climbing Log'!H131,'RC Lookup'!$A$3:$B$9,2,FALSE),0.5),VLOOKUP('Rock Climbing Log'!H131,'RC Lookup'!$G$3:$H$5,2,FALSE)),0)*VLOOKUP(G$7,'RC Lookup'!$D$3:$E$18,2,FALSE)</f>
        <v>0</v>
      </c>
      <c r="I131" s="26">
        <f>_xlfn.IFNA(IF(LEFT('Rock Climbing Log'!I131)="C",_xlfn.IFNA(VLOOKUP('Rock Climbing Log'!I131,'RC Lookup'!$A$3:$B$9,2,FALSE),0.5),VLOOKUP('Rock Climbing Log'!I131,'RC Lookup'!$G$3:$H$5,2,FALSE)),0)*VLOOKUP(G$7,'RC Lookup'!$D$3:$E$18,2,FALSE)</f>
        <v>0</v>
      </c>
      <c r="J131" s="26">
        <f>_xlfn.IFNA(IF(LEFT('Rock Climbing Log'!J131)="C",_xlfn.IFNA(VLOOKUP('Rock Climbing Log'!J131,'RC Lookup'!$A$3:$B$9,2,FALSE),0.5),VLOOKUP('Rock Climbing Log'!J131,'RC Lookup'!$G$3:$H$5,2,FALSE)),0)*VLOOKUP(J$7,'RC Lookup'!$D$3:$E$18,2,FALSE)</f>
        <v>0</v>
      </c>
      <c r="K131" s="26">
        <f>_xlfn.IFNA(IF(LEFT('Rock Climbing Log'!K131)="C",_xlfn.IFNA(VLOOKUP('Rock Climbing Log'!K131,'RC Lookup'!$A$3:$B$9,2,FALSE),0.5),VLOOKUP('Rock Climbing Log'!K131,'RC Lookup'!$G$3:$H$5,2,FALSE)),0)*VLOOKUP(J$7,'RC Lookup'!$D$3:$E$18,2,FALSE)</f>
        <v>0</v>
      </c>
      <c r="L131" s="26">
        <f>_xlfn.IFNA(IF(LEFT('Rock Climbing Log'!L131)="C",_xlfn.IFNA(VLOOKUP('Rock Climbing Log'!L131,'RC Lookup'!$A$3:$B$9,2,FALSE),0.5),VLOOKUP('Rock Climbing Log'!L131,'RC Lookup'!$G$3:$H$5,2,FALSE)),0)*VLOOKUP(J$7,'RC Lookup'!$D$3:$E$18,2,FALSE)</f>
        <v>0</v>
      </c>
      <c r="M131" s="26">
        <f>_xlfn.IFNA(IF(LEFT('Rock Climbing Log'!M131)="C",_xlfn.IFNA(VLOOKUP('Rock Climbing Log'!M131,'RC Lookup'!$A$3:$B$9,2,FALSE),0.5),VLOOKUP('Rock Climbing Log'!M131,'RC Lookup'!$G$3:$H$5,2,FALSE)),0)*VLOOKUP(M$7,'RC Lookup'!$D$3:$E$18,2,FALSE)</f>
        <v>0</v>
      </c>
      <c r="N131" s="26">
        <f>_xlfn.IFNA(IF(LEFT('Rock Climbing Log'!N131)="C",_xlfn.IFNA(VLOOKUP('Rock Climbing Log'!N131,'RC Lookup'!$A$3:$B$9,2,FALSE),0.5),VLOOKUP('Rock Climbing Log'!N131,'RC Lookup'!$G$3:$H$5,2,FALSE)),0)*VLOOKUP(M$7,'RC Lookup'!$D$3:$E$18,2,FALSE)</f>
        <v>0</v>
      </c>
      <c r="O131" s="26">
        <f>_xlfn.IFNA(IF(LEFT('Rock Climbing Log'!O131)="C",_xlfn.IFNA(VLOOKUP('Rock Climbing Log'!O131,'RC Lookup'!$A$3:$B$9,2,FALSE),0.5),VLOOKUP('Rock Climbing Log'!O131,'RC Lookup'!$G$3:$H$5,2,FALSE)),0)*VLOOKUP(M$7,'RC Lookup'!$D$3:$E$18,2,FALSE)</f>
        <v>0</v>
      </c>
      <c r="P131" s="26">
        <f>_xlfn.IFNA(IF(LEFT('Rock Climbing Log'!P131)="C",_xlfn.IFNA(VLOOKUP('Rock Climbing Log'!P131,'RC Lookup'!$A$3:$B$9,2,FALSE),0.5),VLOOKUP('Rock Climbing Log'!P131,'RC Lookup'!$G$3:$H$5,2,FALSE)),0)*VLOOKUP(P$7,'RC Lookup'!$D$3:$E$18,2,FALSE)</f>
        <v>0</v>
      </c>
      <c r="Q131" s="26">
        <f>_xlfn.IFNA(IF(LEFT('Rock Climbing Log'!Q131)="C",_xlfn.IFNA(VLOOKUP('Rock Climbing Log'!Q131,'RC Lookup'!$A$3:$B$9,2,FALSE),0.5),VLOOKUP('Rock Climbing Log'!Q131,'RC Lookup'!$G$3:$H$5,2,FALSE)),0)*VLOOKUP(P$7,'RC Lookup'!$D$3:$E$18,2,FALSE)</f>
        <v>0</v>
      </c>
      <c r="R131" s="26">
        <f>_xlfn.IFNA(IF(LEFT('Rock Climbing Log'!R131)="C",_xlfn.IFNA(VLOOKUP('Rock Climbing Log'!R131,'RC Lookup'!$A$3:$B$9,2,FALSE),0.5),VLOOKUP('Rock Climbing Log'!R131,'RC Lookup'!$G$3:$H$5,2,FALSE)),0)*VLOOKUP(P$7,'RC Lookup'!$D$3:$E$18,2,FALSE)</f>
        <v>0</v>
      </c>
      <c r="S131" s="26">
        <f>_xlfn.IFNA(IF(LEFT('Rock Climbing Log'!S131)="C",_xlfn.IFNA(VLOOKUP('Rock Climbing Log'!S131,'RC Lookup'!$A$3:$B$9,2,FALSE),0.5),VLOOKUP('Rock Climbing Log'!S131,'RC Lookup'!$G$3:$H$5,2,FALSE)),0)*VLOOKUP(S$7,'RC Lookup'!$D$3:$E$18,2,FALSE)</f>
        <v>0</v>
      </c>
      <c r="T131" s="26">
        <f>_xlfn.IFNA(IF(LEFT('Rock Climbing Log'!T131)="C",_xlfn.IFNA(VLOOKUP('Rock Climbing Log'!T131,'RC Lookup'!$A$3:$B$9,2,FALSE),0.5),VLOOKUP('Rock Climbing Log'!T131,'RC Lookup'!$G$3:$H$5,2,FALSE)),0)*VLOOKUP(S$7,'RC Lookup'!$D$3:$E$18,2,FALSE)</f>
        <v>0</v>
      </c>
      <c r="U131" s="26">
        <f>_xlfn.IFNA(IF(LEFT('Rock Climbing Log'!U131)="C",_xlfn.IFNA(VLOOKUP('Rock Climbing Log'!U131,'RC Lookup'!$A$3:$B$9,2,FALSE),0.5),VLOOKUP('Rock Climbing Log'!U131,'RC Lookup'!$G$3:$H$5,2,FALSE)),0)*VLOOKUP(S$7,'RC Lookup'!$D$3:$E$18,2,FALSE)</f>
        <v>0</v>
      </c>
      <c r="V131" s="26">
        <f>_xlfn.IFNA(IF(LEFT('Rock Climbing Log'!V131)="C",_xlfn.IFNA(VLOOKUP('Rock Climbing Log'!V131,'RC Lookup'!$A$3:$B$9,2,FALSE),0.5),VLOOKUP('Rock Climbing Log'!V131,'RC Lookup'!$G$3:$H$5,2,FALSE)),0)*VLOOKUP(V$7,'RC Lookup'!$D$3:$E$18,2,FALSE)</f>
        <v>0</v>
      </c>
      <c r="W131" s="26">
        <f>_xlfn.IFNA(IF(LEFT('Rock Climbing Log'!W131)="C",_xlfn.IFNA(VLOOKUP('Rock Climbing Log'!W131,'RC Lookup'!$A$3:$B$9,2,FALSE),0.5),VLOOKUP('Rock Climbing Log'!W131,'RC Lookup'!$G$3:$H$5,2,FALSE)),0)*VLOOKUP(V$7,'RC Lookup'!$D$3:$E$18,2,FALSE)</f>
        <v>0</v>
      </c>
      <c r="X131" s="26">
        <f>_xlfn.IFNA(IF(LEFT('Rock Climbing Log'!X131)="C",_xlfn.IFNA(VLOOKUP('Rock Climbing Log'!X131,'RC Lookup'!$A$3:$B$9,2,FALSE),0.5),VLOOKUP('Rock Climbing Log'!X131,'RC Lookup'!$G$3:$H$5,2,FALSE)),0)*VLOOKUP(V$7,'RC Lookup'!$D$3:$E$18,2,FALSE)</f>
        <v>0</v>
      </c>
      <c r="Y131" s="26">
        <f>_xlfn.IFNA(IF(LEFT('Rock Climbing Log'!Y131)="C",_xlfn.IFNA(VLOOKUP('Rock Climbing Log'!Y131,'RC Lookup'!$A$3:$B$9,2,FALSE),0.5),VLOOKUP('Rock Climbing Log'!Y131,'RC Lookup'!$G$3:$H$5,2,FALSE)),0)*VLOOKUP(Y$7,'RC Lookup'!$D$3:$E$18,2,FALSE)</f>
        <v>0</v>
      </c>
      <c r="Z131" s="26">
        <f>_xlfn.IFNA(IF(LEFT('Rock Climbing Log'!Z131)="C",_xlfn.IFNA(VLOOKUP('Rock Climbing Log'!Z131,'RC Lookup'!$A$3:$B$9,2,FALSE),0.5),VLOOKUP('Rock Climbing Log'!Z131,'RC Lookup'!$G$3:$H$5,2,FALSE)),0)*VLOOKUP(Y$7,'RC Lookup'!$D$3:$E$18,2,FALSE)</f>
        <v>0</v>
      </c>
      <c r="AA131" s="26">
        <f>_xlfn.IFNA(IF(LEFT('Rock Climbing Log'!AA131)="C",_xlfn.IFNA(VLOOKUP('Rock Climbing Log'!AA131,'RC Lookup'!$A$3:$B$9,2,FALSE),0.5),VLOOKUP('Rock Climbing Log'!AA131,'RC Lookup'!$G$3:$H$5,2,FALSE)),0)*VLOOKUP(Y$7,'RC Lookup'!$D$3:$E$18,2,FALSE)</f>
        <v>0</v>
      </c>
      <c r="AB131" s="26">
        <f>_xlfn.IFNA(IF(LEFT('Rock Climbing Log'!AB131)="C",_xlfn.IFNA(VLOOKUP('Rock Climbing Log'!AB131,'RC Lookup'!$A$3:$B$9,2,FALSE),0.5),VLOOKUP('Rock Climbing Log'!AB131,'RC Lookup'!$G$3:$H$5,2,FALSE)),0)*VLOOKUP(AB$7,'RC Lookup'!$D$3:$E$18,2,FALSE)</f>
        <v>0</v>
      </c>
      <c r="AC131" s="26">
        <f>_xlfn.IFNA(IF(LEFT('Rock Climbing Log'!AC131)="C",_xlfn.IFNA(VLOOKUP('Rock Climbing Log'!AC131,'RC Lookup'!$A$3:$B$9,2,FALSE),0.5),VLOOKUP('Rock Climbing Log'!AC131,'RC Lookup'!$G$3:$H$5,2,FALSE)),0)*VLOOKUP(AB$7,'RC Lookup'!$D$3:$E$18,2,FALSE)</f>
        <v>0</v>
      </c>
      <c r="AD131" s="26">
        <f>_xlfn.IFNA(IF(LEFT('Rock Climbing Log'!AD131)="C",_xlfn.IFNA(VLOOKUP('Rock Climbing Log'!AD131,'RC Lookup'!$A$3:$B$9,2,FALSE),0.5),VLOOKUP('Rock Climbing Log'!AD131,'RC Lookup'!$G$3:$H$5,2,FALSE)),0)*VLOOKUP(AB$7,'RC Lookup'!$D$3:$E$18,2,FALSE)</f>
        <v>0</v>
      </c>
      <c r="AE131" s="26">
        <f>_xlfn.IFNA(IF(LEFT('Rock Climbing Log'!AE131)="C",_xlfn.IFNA(VLOOKUP('Rock Climbing Log'!AE131,'RC Lookup'!$A$3:$B$9,2,FALSE),0.5),VLOOKUP('Rock Climbing Log'!AE131,'RC Lookup'!$G$3:$H$5,2,FALSE)),0)*VLOOKUP(AE$7,'RC Lookup'!$D$3:$E$18,2,FALSE)</f>
        <v>0</v>
      </c>
      <c r="AF131" s="26">
        <f>_xlfn.IFNA(IF(LEFT('Rock Climbing Log'!AF131)="C",_xlfn.IFNA(VLOOKUP('Rock Climbing Log'!AF131,'RC Lookup'!$A$3:$B$9,2,FALSE),0.5),VLOOKUP('Rock Climbing Log'!AF131,'RC Lookup'!$G$3:$H$5,2,FALSE)),0)*VLOOKUP(AE$7,'RC Lookup'!$D$3:$E$18,2,FALSE)</f>
        <v>0</v>
      </c>
      <c r="AG131" s="26">
        <f>_xlfn.IFNA(IF(LEFT('Rock Climbing Log'!AG131)="C",_xlfn.IFNA(VLOOKUP('Rock Climbing Log'!AG131,'RC Lookup'!$A$3:$B$9,2,FALSE),0.5),VLOOKUP('Rock Climbing Log'!AG131,'RC Lookup'!$G$3:$H$5,2,FALSE)),0)*VLOOKUP(AE$7,'RC Lookup'!$D$3:$E$18,2,FALSE)</f>
        <v>0</v>
      </c>
      <c r="AH131" s="26">
        <f>_xlfn.IFNA(IF(LEFT('Rock Climbing Log'!AH131)="C",_xlfn.IFNA(VLOOKUP('Rock Climbing Log'!AH131,'RC Lookup'!$A$3:$B$9,2,FALSE),0.5),VLOOKUP('Rock Climbing Log'!AH131,'RC Lookup'!$G$3:$H$5,2,FALSE)),0)*VLOOKUP(AH$7,'RC Lookup'!$D$3:$E$18,2,FALSE)</f>
        <v>0</v>
      </c>
      <c r="AI131" s="26">
        <f>_xlfn.IFNA(IF(LEFT('Rock Climbing Log'!AI131)="C",_xlfn.IFNA(VLOOKUP('Rock Climbing Log'!AI131,'RC Lookup'!$A$3:$B$9,2,FALSE),0.5),VLOOKUP('Rock Climbing Log'!AI131,'RC Lookup'!$G$3:$H$5,2,FALSE)),0)*VLOOKUP(AH$7,'RC Lookup'!$D$3:$E$18,2,FALSE)</f>
        <v>0</v>
      </c>
      <c r="AJ131" s="26">
        <f>_xlfn.IFNA(IF(LEFT('Rock Climbing Log'!AJ131)="C",_xlfn.IFNA(VLOOKUP('Rock Climbing Log'!AJ131,'RC Lookup'!$A$3:$B$9,2,FALSE),0.5),VLOOKUP('Rock Climbing Log'!AJ131,'RC Lookup'!$G$3:$H$5,2,FALSE)),0)*VLOOKUP(AH$7,'RC Lookup'!$D$3:$E$18,2,FALSE)</f>
        <v>0</v>
      </c>
      <c r="AK131" s="26">
        <f>_xlfn.IFNA(IF(LEFT('Rock Climbing Log'!AK131)="C",_xlfn.IFNA(VLOOKUP('Rock Climbing Log'!AK131,'RC Lookup'!$A$3:$B$9,2,FALSE),0.5),VLOOKUP('Rock Climbing Log'!AK131,'RC Lookup'!$G$3:$H$5,2,FALSE)),0)*VLOOKUP(AK$7,'RC Lookup'!$D$3:$E$18,2,FALSE)</f>
        <v>0</v>
      </c>
      <c r="AL131" s="26">
        <f>_xlfn.IFNA(IF(LEFT('Rock Climbing Log'!AL131)="C",_xlfn.IFNA(VLOOKUP('Rock Climbing Log'!AL131,'RC Lookup'!$A$3:$B$9,2,FALSE),0.5),VLOOKUP('Rock Climbing Log'!AL131,'RC Lookup'!$G$3:$H$5,2,FALSE)),0)*VLOOKUP(AK$7,'RC Lookup'!$D$3:$E$18,2,FALSE)</f>
        <v>0</v>
      </c>
      <c r="AM131" s="26">
        <f>_xlfn.IFNA(IF(LEFT('Rock Climbing Log'!AM131)="C",_xlfn.IFNA(VLOOKUP('Rock Climbing Log'!AM131,'RC Lookup'!$A$3:$B$9,2,FALSE),0.5),VLOOKUP('Rock Climbing Log'!AM131,'RC Lookup'!$G$3:$H$5,2,FALSE)),0)*VLOOKUP(AK$7,'RC Lookup'!$D$3:$E$18,2,FALSE)</f>
        <v>0</v>
      </c>
      <c r="AN131" s="26">
        <f>_xlfn.IFNA(IF(LEFT('Rock Climbing Log'!AN131)="C",_xlfn.IFNA(VLOOKUP('Rock Climbing Log'!AN131,'RC Lookup'!$A$3:$B$9,2,FALSE),0.5),VLOOKUP('Rock Climbing Log'!AN131,'RC Lookup'!$G$3:$H$5,2,FALSE)),0)*VLOOKUP(AN$7,'RC Lookup'!$D$3:$E$18,2,FALSE)</f>
        <v>0</v>
      </c>
      <c r="AO131" s="26">
        <f>_xlfn.IFNA(IF(LEFT('Rock Climbing Log'!AO131)="C",_xlfn.IFNA(VLOOKUP('Rock Climbing Log'!AO131,'RC Lookup'!$A$3:$B$9,2,FALSE),0.5),VLOOKUP('Rock Climbing Log'!AO131,'RC Lookup'!$G$3:$H$5,2,FALSE)),0)*VLOOKUP(AN$7,'RC Lookup'!$D$3:$E$18,2,FALSE)</f>
        <v>0</v>
      </c>
      <c r="AP131" s="26">
        <f>_xlfn.IFNA(IF(LEFT('Rock Climbing Log'!AP131)="C",_xlfn.IFNA(VLOOKUP('Rock Climbing Log'!AP131,'RC Lookup'!$A$3:$B$9,2,FALSE),0.5),VLOOKUP('Rock Climbing Log'!AP131,'RC Lookup'!$G$3:$H$5,2,FALSE)),0)*VLOOKUP(AN$7,'RC Lookup'!$D$3:$E$18,2,FALSE)</f>
        <v>0</v>
      </c>
      <c r="AQ131" s="26">
        <f>_xlfn.IFNA(IF(LEFT('Rock Climbing Log'!AQ131)="C",_xlfn.IFNA(VLOOKUP('Rock Climbing Log'!AQ131,'RC Lookup'!$A$3:$B$9,2,FALSE),0.5),VLOOKUP('Rock Climbing Log'!AQ131,'RC Lookup'!$G$3:$H$5,2,FALSE)),0)*VLOOKUP(AQ$7,'RC Lookup'!$D$3:$E$18,2,FALSE)</f>
        <v>0</v>
      </c>
      <c r="AR131" s="26">
        <f>_xlfn.IFNA(IF(LEFT('Rock Climbing Log'!AR131)="C",_xlfn.IFNA(VLOOKUP('Rock Climbing Log'!AR131,'RC Lookup'!$A$3:$B$9,2,FALSE),0.5),VLOOKUP('Rock Climbing Log'!AR131,'RC Lookup'!$G$3:$H$5,2,FALSE)),0)*VLOOKUP(AQ$7,'RC Lookup'!$D$3:$E$18,2,FALSE)</f>
        <v>0</v>
      </c>
      <c r="AS131" s="26">
        <f>_xlfn.IFNA(IF(LEFT('Rock Climbing Log'!AS131)="C",_xlfn.IFNA(VLOOKUP('Rock Climbing Log'!AS131,'RC Lookup'!$A$3:$B$9,2,FALSE),0.5),VLOOKUP('Rock Climbing Log'!AS131,'RC Lookup'!$G$3:$H$5,2,FALSE)),0)*VLOOKUP(AQ$7,'RC Lookup'!$D$3:$E$18,2,FALSE)</f>
        <v>0</v>
      </c>
      <c r="AT131" s="26">
        <f>_xlfn.IFNA(IF(LEFT('Rock Climbing Log'!AT131)="C",_xlfn.IFNA(VLOOKUP('Rock Climbing Log'!AT131,'RC Lookup'!$A$3:$B$9,2,FALSE),0.5),VLOOKUP('Rock Climbing Log'!AT131,'RC Lookup'!$G$3:$H$5,2,FALSE)),0)*VLOOKUP(AT$7,'RC Lookup'!$D$3:$E$18,2,FALSE)</f>
        <v>0</v>
      </c>
      <c r="AU131" s="26">
        <f>_xlfn.IFNA(IF(LEFT('Rock Climbing Log'!AU131)="C",_xlfn.IFNA(VLOOKUP('Rock Climbing Log'!AU131,'RC Lookup'!$A$3:$B$9,2,FALSE),0.5),VLOOKUP('Rock Climbing Log'!AU131,'RC Lookup'!$G$3:$H$5,2,FALSE)),0)*VLOOKUP(AT$7,'RC Lookup'!$D$3:$E$18,2,FALSE)</f>
        <v>0</v>
      </c>
      <c r="AV131" s="26">
        <f>_xlfn.IFNA(IF(LEFT('Rock Climbing Log'!AV131)="C",_xlfn.IFNA(VLOOKUP('Rock Climbing Log'!AV131,'RC Lookup'!$A$3:$B$9,2,FALSE),0.5),VLOOKUP('Rock Climbing Log'!AV131,'RC Lookup'!$G$3:$H$5,2,FALSE)),0)*VLOOKUP(AT$7,'RC Lookup'!$D$3:$E$18,2,FALSE)</f>
        <v>0</v>
      </c>
      <c r="AW131" s="30">
        <f t="shared" ca="1" si="4"/>
        <v>0</v>
      </c>
      <c r="AX131" s="30">
        <f ca="1">_xlfn.IFNA(VLOOKUP(SUMPRODUCT(LARGE(($C$8:$C131=Table1[[#This Row],[Climber]])*$A$8:$A131,1)),$A$8:$AW131,MATCH($AW$7,$A$7:$AW$7,FALSE),FALSE),0)/LEFT($AX$7,FIND(" ",$AX$7))+_xlfn.IFNA(VLOOKUP(SUMPRODUCT(LARGE(($C$8:$C131=Table1[[#This Row],[Climber]])*$A$8:$A131,MIN(2,COUNTIFS($C$8:$C131,$C131)))),$A$8:$AW131,MATCH($AW$7,$A$7:$AW$7,FALSE),FALSE),0)/LEFT($AX$7,FIND(" ",$AX$7))+_xlfn.IFNA(VLOOKUP(SUMPRODUCT(LARGE(($C$8:$C131=Table1[[#This Row],[Climber]])*$A$8:$A131,MIN(3,COUNTIFS($C$8:$C131,$C131)))),$A$8:$AW131,MATCH($AW$7,$A$7:$AW$7,FALSE),FALSE),0)/LEFT($AX$7,FIND(" ",$AX$7))</f>
        <v>0</v>
      </c>
      <c r="AY131" s="30">
        <f ca="1">_xlfn.IFNA(VLOOKUP(SUMPRODUCT(LARGE(($C$8:$C131=Table1[[#This Row],[Climber]])*$A$8:$A131,1)),$A$8:$AW131,MATCH($AW$7,$A$7:$AW$7,FALSE),FALSE),0)/LEFT($AY$7,FIND(" ",$AY$7))+_xlfn.IFNA(VLOOKUP(SUMPRODUCT(LARGE(($C$8:$C131=Table1[[#This Row],[Climber]])*$A$8:$A131,MIN(2,COUNTIFS($C$8:$C131,$C131)))),$A$8:$AW131,MATCH($AW$7,$A$7:$AW$7,FALSE),FALSE),0)/LEFT($AY$7,FIND(" ",$AY$7))+_xlfn.IFNA(VLOOKUP(SUMPRODUCT(LARGE(($C$8:$C131=Table1[[#This Row],[Climber]])*$A$8:$A131,MIN(3,COUNTIFS($C$8:$C131,$C131)))),$A$8:$AW131,MATCH($AW$7,$A$7:$AW$7,FALSE),FALSE),0)/LEFT($AY$7,FIND(" ",$AY$7))+_xlfn.IFNA(VLOOKUP(SUMPRODUCT(LARGE(($C$8:$C131=Table1[[#This Row],[Climber]])*$A$8:$A131,MIN(4,COUNTIFS($C$8:$C131,$C131)))),$A$8:$AW131,MATCH($AW$7,$A$7:$AW$7,FALSE),FALSE),0)/LEFT($AY$7,FIND(" ",$AY$7))+_xlfn.IFNA(VLOOKUP(SUMPRODUCT(LARGE(($C$8:$C131=Table1[[#This Row],[Climber]])*$A$8:$A131,MIN(5,COUNTIFS($C$8:$C131,$C131)))),$A$8:$AW131,MATCH($AW$7,$A$7:$AW$7,FALSE),FALSE),0)/LEFT($AY$7,FIND(" ",$AY$7))</f>
        <v>0</v>
      </c>
      <c r="AZ131" s="30">
        <f ca="1">(_xlfn.IFNA(VLOOKUP(SUMPRODUCT(LARGE(($C$8:$C131=Table1[[#This Row],[Climber]])*$A$8:$A131,4)),$A$8:$AW131,MATCH($AW$7,$A$7:$AW$7,FALSE),FALSE),0)+_xlfn.IFNA(VLOOKUP(SUMPRODUCT(LARGE(($C$8:$C131=Table1[[#This Row],[Climber]])*$A$8:$A131,5)),$A$8:$AW131,MATCH($AW$7,$A$7:$AW$7,FALSE),FALSE),0)+_xlfn.IFNA(VLOOKUP(SUMPRODUCT(LARGE(($C$8:$C131=Table1[[#This Row],[Climber]])*$A$8:$A131,6)),$A$8:$AW131,MATCH($AW$7,$A$7:$AW$7,FALSE),FALSE),0))/3</f>
        <v>0</v>
      </c>
      <c r="BA131" s="46">
        <f ca="1">_xlfn.MAXIFS(INDIRECT("$AW"&amp;IF(SUMPRODUCT(LARGE(($C$8:$C131=$C131)*$A$8:$A131,LEFT($BA$7,FIND(" ",$BA$7)-1)))=0,8,SUMPRODUCT(LARGE(($C$8:$C131=$C131)*$A$8:$A131,LEFT($BA$7,FIND(" ",$BA$7)-1)))+7)&amp;":$AW"&amp;ROW()),INDIRECT("$C"&amp;IF(SUMPRODUCT(LARGE(($C$8:$C131=$C131)*$A$8:$A131,LEFT($BA$7,FIND(" ",$BA$7)-1)))=0,8,SUMPRODUCT(LARGE(($C$8:$C131=$C131)*$A$8:$A131,LEFT($BA$7,FIND(" ",$BA$7)-1)))+7)&amp;":$C"&amp;ROW()),$C131)</f>
        <v>0</v>
      </c>
      <c r="BB131" s="46" t="str">
        <f ca="1">VLOOKUP(MAX(BG131,$AX131),'RC Lookup'!$G$14:$J$20,2,TRUE)</f>
        <v>T1</v>
      </c>
      <c r="BC131" s="46">
        <f ca="1">_xlfn.IFNA(VLOOKUP(VLOOKUP($C131,'RC Lookup'!$O$3:$P$50,2,FALSE),'RC Lookup'!$H$14:$J$23,2,FALSE),0)*AW131</f>
        <v>0</v>
      </c>
      <c r="BD131" s="6">
        <f ca="1">_xlfn.IFNA(VLOOKUP(SUMPRODUCT(LARGE(($C$8:$C131=Table1[[#This Row],[Climber]])*$A$8:$A131,1)),$A$8:$BC131,55,FALSE),0)/LEFT($AX$7,FIND(" ",$AX$7))+_xlfn.IFNA(VLOOKUP(SUMPRODUCT(LARGE(($C$8:$C131=Table1[[#This Row],[Climber]])*$A$8:$A131,MIN(2,COUNTIFS($C$8:$C131,$C131)))),$A$8:$BC131,55,FALSE),0)/LEFT($AX$7,FIND(" ",$AX$7))+_xlfn.IFNA(VLOOKUP(SUMPRODUCT(LARGE(($C$8:$C131=Table1[[#This Row],[Climber]])*$A$8:$A131,MIN(3,COUNTIFS($C$8:$C131,$C131)))),$A$8:$BC131,55,FALSE),0)/LEFT($AX$7,FIND(" ",$AX$7))</f>
        <v>0</v>
      </c>
      <c r="BE131" s="6">
        <f ca="1">(_xlfn.IFNA(VLOOKUP(SUMPRODUCT(LARGE(($C$8:$C131=Table1[[#This Row],[Climber]])*$A$8:$A131,4)),$A$8:$BD131,55,FALSE),0)+_xlfn.IFNA(VLOOKUP(SUMPRODUCT(LARGE(($C$8:$C131=Table1[[#This Row],[Climber]])*$A$8:$A131,5)),$A$8:$BD131,55,FALSE),0)+_xlfn.IFNA(VLOOKUP(SUMPRODUCT(LARGE(($C$8:$C131=Table1[[#This Row],[Climber]])*$A$8:$A131,6)),$A$8:$BD131,55,FALSE),0))/3</f>
        <v>0</v>
      </c>
      <c r="BF131" s="46">
        <f ca="1">_xlfn.MAXIFS(INDIRECT("$BC"&amp;IF(SUMPRODUCT(LARGE(($C$8:$C131=$C131)*$A$8:$A131,LEFT($BA$7,FIND(" ",$BA$7)-1)))=0,8,SUMPRODUCT(LARGE(($C$8:$C131=$C131)*$A$8:$A131,LEFT($BA$7,FIND(" ",$BA$7)-1)))+7)&amp;":$BC"&amp;ROW()),INDIRECT("$C"&amp;IF(SUMPRODUCT(LARGE(($C$8:$C131=$C131)*$A$8:$A131,LEFT($BA$7,FIND(" ",$BA$7)-1)))=0,8,SUMPRODUCT(LARGE(($C$8:$C131=$C131)*$A$8:$A131,LEFT($BA$7,FIND(" ",$BA$7)-1)))+7)&amp;":$C"&amp;ROW()),$C131)</f>
        <v>0</v>
      </c>
      <c r="BG131" s="46">
        <f t="array" aca="1" ref="BG131" ca="1">IFERROR(SUMPRODUCT(LARGE(($C$8:$C131=Table1[[#This Row],[Climber]])*$AW$8:$AW131,ROW(INDIRECT("1:5")))),AW131)/MIN(COUNTIFS($C$8:$C131,C131),5)</f>
        <v>0</v>
      </c>
    </row>
    <row r="132" spans="1:59" x14ac:dyDescent="0.3">
      <c r="A132" s="125">
        <f t="shared" si="1"/>
        <v>125</v>
      </c>
      <c r="B132" s="25">
        <f>'Rock Climbing Log'!B132</f>
        <v>0</v>
      </c>
      <c r="C132" s="126">
        <f>'Rock Climbing Log'!C132</f>
        <v>0</v>
      </c>
      <c r="D132" s="26">
        <f>_xlfn.IFNA(IF(LEFT('Rock Climbing Log'!D132)="C",_xlfn.IFNA(VLOOKUP('Rock Climbing Log'!D132,'RC Lookup'!$A$3:$B$9,2,FALSE),0.5),VLOOKUP('Rock Climbing Log'!D132,'RC Lookup'!$G$3:$H$5,2,FALSE)),0)*VLOOKUP(D$7,'RC Lookup'!$D$3:$E$18,2,FALSE)</f>
        <v>0</v>
      </c>
      <c r="E132" s="26">
        <f>_xlfn.IFNA(IF(LEFT('Rock Climbing Log'!E132)="C",_xlfn.IFNA(VLOOKUP('Rock Climbing Log'!E132,'RC Lookup'!$A$3:$B$9,2,FALSE),0.5),VLOOKUP('Rock Climbing Log'!E132,'RC Lookup'!$G$3:$H$5,2,FALSE)),0)*VLOOKUP(D$7,'RC Lookup'!$D$3:$E$18,2,FALSE)</f>
        <v>0</v>
      </c>
      <c r="F132" s="26">
        <f>_xlfn.IFNA(IF(LEFT('Rock Climbing Log'!F132)="C",_xlfn.IFNA(VLOOKUP('Rock Climbing Log'!F132,'RC Lookup'!$A$3:$B$9,2,FALSE),0.5),VLOOKUP('Rock Climbing Log'!F132,'RC Lookup'!$G$3:$H$5,2,FALSE)),0)*VLOOKUP(D$7,'RC Lookup'!$D$3:$E$18,2,FALSE)</f>
        <v>0</v>
      </c>
      <c r="G132" s="26">
        <f>_xlfn.IFNA(IF(LEFT('Rock Climbing Log'!G132)="C",_xlfn.IFNA(VLOOKUP('Rock Climbing Log'!G132,'RC Lookup'!$A$3:$B$9,2,FALSE),0.5),VLOOKUP('Rock Climbing Log'!G132,'RC Lookup'!$G$3:$H$5,2,FALSE)),0)*VLOOKUP(G$7,'RC Lookup'!$D$3:$E$18,2,FALSE)</f>
        <v>0</v>
      </c>
      <c r="H132" s="26">
        <f>_xlfn.IFNA(IF(LEFT('Rock Climbing Log'!H132)="C",_xlfn.IFNA(VLOOKUP('Rock Climbing Log'!H132,'RC Lookup'!$A$3:$B$9,2,FALSE),0.5),VLOOKUP('Rock Climbing Log'!H132,'RC Lookup'!$G$3:$H$5,2,FALSE)),0)*VLOOKUP(G$7,'RC Lookup'!$D$3:$E$18,2,FALSE)</f>
        <v>0</v>
      </c>
      <c r="I132" s="26">
        <f>_xlfn.IFNA(IF(LEFT('Rock Climbing Log'!I132)="C",_xlfn.IFNA(VLOOKUP('Rock Climbing Log'!I132,'RC Lookup'!$A$3:$B$9,2,FALSE),0.5),VLOOKUP('Rock Climbing Log'!I132,'RC Lookup'!$G$3:$H$5,2,FALSE)),0)*VLOOKUP(G$7,'RC Lookup'!$D$3:$E$18,2,FALSE)</f>
        <v>0</v>
      </c>
      <c r="J132" s="26">
        <f>_xlfn.IFNA(IF(LEFT('Rock Climbing Log'!J132)="C",_xlfn.IFNA(VLOOKUP('Rock Climbing Log'!J132,'RC Lookup'!$A$3:$B$9,2,FALSE),0.5),VLOOKUP('Rock Climbing Log'!J132,'RC Lookup'!$G$3:$H$5,2,FALSE)),0)*VLOOKUP(J$7,'RC Lookup'!$D$3:$E$18,2,FALSE)</f>
        <v>0</v>
      </c>
      <c r="K132" s="26">
        <f>_xlfn.IFNA(IF(LEFT('Rock Climbing Log'!K132)="C",_xlfn.IFNA(VLOOKUP('Rock Climbing Log'!K132,'RC Lookup'!$A$3:$B$9,2,FALSE),0.5),VLOOKUP('Rock Climbing Log'!K132,'RC Lookup'!$G$3:$H$5,2,FALSE)),0)*VLOOKUP(J$7,'RC Lookup'!$D$3:$E$18,2,FALSE)</f>
        <v>0</v>
      </c>
      <c r="L132" s="26">
        <f>_xlfn.IFNA(IF(LEFT('Rock Climbing Log'!L132)="C",_xlfn.IFNA(VLOOKUP('Rock Climbing Log'!L132,'RC Lookup'!$A$3:$B$9,2,FALSE),0.5),VLOOKUP('Rock Climbing Log'!L132,'RC Lookup'!$G$3:$H$5,2,FALSE)),0)*VLOOKUP(J$7,'RC Lookup'!$D$3:$E$18,2,FALSE)</f>
        <v>0</v>
      </c>
      <c r="M132" s="26">
        <f>_xlfn.IFNA(IF(LEFT('Rock Climbing Log'!M132)="C",_xlfn.IFNA(VLOOKUP('Rock Climbing Log'!M132,'RC Lookup'!$A$3:$B$9,2,FALSE),0.5),VLOOKUP('Rock Climbing Log'!M132,'RC Lookup'!$G$3:$H$5,2,FALSE)),0)*VLOOKUP(M$7,'RC Lookup'!$D$3:$E$18,2,FALSE)</f>
        <v>0</v>
      </c>
      <c r="N132" s="26">
        <f>_xlfn.IFNA(IF(LEFT('Rock Climbing Log'!N132)="C",_xlfn.IFNA(VLOOKUP('Rock Climbing Log'!N132,'RC Lookup'!$A$3:$B$9,2,FALSE),0.5),VLOOKUP('Rock Climbing Log'!N132,'RC Lookup'!$G$3:$H$5,2,FALSE)),0)*VLOOKUP(M$7,'RC Lookup'!$D$3:$E$18,2,FALSE)</f>
        <v>0</v>
      </c>
      <c r="O132" s="26">
        <f>_xlfn.IFNA(IF(LEFT('Rock Climbing Log'!O132)="C",_xlfn.IFNA(VLOOKUP('Rock Climbing Log'!O132,'RC Lookup'!$A$3:$B$9,2,FALSE),0.5),VLOOKUP('Rock Climbing Log'!O132,'RC Lookup'!$G$3:$H$5,2,FALSE)),0)*VLOOKUP(M$7,'RC Lookup'!$D$3:$E$18,2,FALSE)</f>
        <v>0</v>
      </c>
      <c r="P132" s="26">
        <f>_xlfn.IFNA(IF(LEFT('Rock Climbing Log'!P132)="C",_xlfn.IFNA(VLOOKUP('Rock Climbing Log'!P132,'RC Lookup'!$A$3:$B$9,2,FALSE),0.5),VLOOKUP('Rock Climbing Log'!P132,'RC Lookup'!$G$3:$H$5,2,FALSE)),0)*VLOOKUP(P$7,'RC Lookup'!$D$3:$E$18,2,FALSE)</f>
        <v>0</v>
      </c>
      <c r="Q132" s="26">
        <f>_xlfn.IFNA(IF(LEFT('Rock Climbing Log'!Q132)="C",_xlfn.IFNA(VLOOKUP('Rock Climbing Log'!Q132,'RC Lookup'!$A$3:$B$9,2,FALSE),0.5),VLOOKUP('Rock Climbing Log'!Q132,'RC Lookup'!$G$3:$H$5,2,FALSE)),0)*VLOOKUP(P$7,'RC Lookup'!$D$3:$E$18,2,FALSE)</f>
        <v>0</v>
      </c>
      <c r="R132" s="26">
        <f>_xlfn.IFNA(IF(LEFT('Rock Climbing Log'!R132)="C",_xlfn.IFNA(VLOOKUP('Rock Climbing Log'!R132,'RC Lookup'!$A$3:$B$9,2,FALSE),0.5),VLOOKUP('Rock Climbing Log'!R132,'RC Lookup'!$G$3:$H$5,2,FALSE)),0)*VLOOKUP(P$7,'RC Lookup'!$D$3:$E$18,2,FALSE)</f>
        <v>0</v>
      </c>
      <c r="S132" s="26">
        <f>_xlfn.IFNA(IF(LEFT('Rock Climbing Log'!S132)="C",_xlfn.IFNA(VLOOKUP('Rock Climbing Log'!S132,'RC Lookup'!$A$3:$B$9,2,FALSE),0.5),VLOOKUP('Rock Climbing Log'!S132,'RC Lookup'!$G$3:$H$5,2,FALSE)),0)*VLOOKUP(S$7,'RC Lookup'!$D$3:$E$18,2,FALSE)</f>
        <v>0</v>
      </c>
      <c r="T132" s="26">
        <f>_xlfn.IFNA(IF(LEFT('Rock Climbing Log'!T132)="C",_xlfn.IFNA(VLOOKUP('Rock Climbing Log'!T132,'RC Lookup'!$A$3:$B$9,2,FALSE),0.5),VLOOKUP('Rock Climbing Log'!T132,'RC Lookup'!$G$3:$H$5,2,FALSE)),0)*VLOOKUP(S$7,'RC Lookup'!$D$3:$E$18,2,FALSE)</f>
        <v>0</v>
      </c>
      <c r="U132" s="26">
        <f>_xlfn.IFNA(IF(LEFT('Rock Climbing Log'!U132)="C",_xlfn.IFNA(VLOOKUP('Rock Climbing Log'!U132,'RC Lookup'!$A$3:$B$9,2,FALSE),0.5),VLOOKUP('Rock Climbing Log'!U132,'RC Lookup'!$G$3:$H$5,2,FALSE)),0)*VLOOKUP(S$7,'RC Lookup'!$D$3:$E$18,2,FALSE)</f>
        <v>0</v>
      </c>
      <c r="V132" s="26">
        <f>_xlfn.IFNA(IF(LEFT('Rock Climbing Log'!V132)="C",_xlfn.IFNA(VLOOKUP('Rock Climbing Log'!V132,'RC Lookup'!$A$3:$B$9,2,FALSE),0.5),VLOOKUP('Rock Climbing Log'!V132,'RC Lookup'!$G$3:$H$5,2,FALSE)),0)*VLOOKUP(V$7,'RC Lookup'!$D$3:$E$18,2,FALSE)</f>
        <v>0</v>
      </c>
      <c r="W132" s="26">
        <f>_xlfn.IFNA(IF(LEFT('Rock Climbing Log'!W132)="C",_xlfn.IFNA(VLOOKUP('Rock Climbing Log'!W132,'RC Lookup'!$A$3:$B$9,2,FALSE),0.5),VLOOKUP('Rock Climbing Log'!W132,'RC Lookup'!$G$3:$H$5,2,FALSE)),0)*VLOOKUP(V$7,'RC Lookup'!$D$3:$E$18,2,FALSE)</f>
        <v>0</v>
      </c>
      <c r="X132" s="26">
        <f>_xlfn.IFNA(IF(LEFT('Rock Climbing Log'!X132)="C",_xlfn.IFNA(VLOOKUP('Rock Climbing Log'!X132,'RC Lookup'!$A$3:$B$9,2,FALSE),0.5),VLOOKUP('Rock Climbing Log'!X132,'RC Lookup'!$G$3:$H$5,2,FALSE)),0)*VLOOKUP(V$7,'RC Lookup'!$D$3:$E$18,2,FALSE)</f>
        <v>0</v>
      </c>
      <c r="Y132" s="26">
        <f>_xlfn.IFNA(IF(LEFT('Rock Climbing Log'!Y132)="C",_xlfn.IFNA(VLOOKUP('Rock Climbing Log'!Y132,'RC Lookup'!$A$3:$B$9,2,FALSE),0.5),VLOOKUP('Rock Climbing Log'!Y132,'RC Lookup'!$G$3:$H$5,2,FALSE)),0)*VLOOKUP(Y$7,'RC Lookup'!$D$3:$E$18,2,FALSE)</f>
        <v>0</v>
      </c>
      <c r="Z132" s="26">
        <f>_xlfn.IFNA(IF(LEFT('Rock Climbing Log'!Z132)="C",_xlfn.IFNA(VLOOKUP('Rock Climbing Log'!Z132,'RC Lookup'!$A$3:$B$9,2,FALSE),0.5),VLOOKUP('Rock Climbing Log'!Z132,'RC Lookup'!$G$3:$H$5,2,FALSE)),0)*VLOOKUP(Y$7,'RC Lookup'!$D$3:$E$18,2,FALSE)</f>
        <v>0</v>
      </c>
      <c r="AA132" s="26">
        <f>_xlfn.IFNA(IF(LEFT('Rock Climbing Log'!AA132)="C",_xlfn.IFNA(VLOOKUP('Rock Climbing Log'!AA132,'RC Lookup'!$A$3:$B$9,2,FALSE),0.5),VLOOKUP('Rock Climbing Log'!AA132,'RC Lookup'!$G$3:$H$5,2,FALSE)),0)*VLOOKUP(Y$7,'RC Lookup'!$D$3:$E$18,2,FALSE)</f>
        <v>0</v>
      </c>
      <c r="AB132" s="26">
        <f>_xlfn.IFNA(IF(LEFT('Rock Climbing Log'!AB132)="C",_xlfn.IFNA(VLOOKUP('Rock Climbing Log'!AB132,'RC Lookup'!$A$3:$B$9,2,FALSE),0.5),VLOOKUP('Rock Climbing Log'!AB132,'RC Lookup'!$G$3:$H$5,2,FALSE)),0)*VLOOKUP(AB$7,'RC Lookup'!$D$3:$E$18,2,FALSE)</f>
        <v>0</v>
      </c>
      <c r="AC132" s="26">
        <f>_xlfn.IFNA(IF(LEFT('Rock Climbing Log'!AC132)="C",_xlfn.IFNA(VLOOKUP('Rock Climbing Log'!AC132,'RC Lookup'!$A$3:$B$9,2,FALSE),0.5),VLOOKUP('Rock Climbing Log'!AC132,'RC Lookup'!$G$3:$H$5,2,FALSE)),0)*VLOOKUP(AB$7,'RC Lookup'!$D$3:$E$18,2,FALSE)</f>
        <v>0</v>
      </c>
      <c r="AD132" s="26">
        <f>_xlfn.IFNA(IF(LEFT('Rock Climbing Log'!AD132)="C",_xlfn.IFNA(VLOOKUP('Rock Climbing Log'!AD132,'RC Lookup'!$A$3:$B$9,2,FALSE),0.5),VLOOKUP('Rock Climbing Log'!AD132,'RC Lookup'!$G$3:$H$5,2,FALSE)),0)*VLOOKUP(AB$7,'RC Lookup'!$D$3:$E$18,2,FALSE)</f>
        <v>0</v>
      </c>
      <c r="AE132" s="26">
        <f>_xlfn.IFNA(IF(LEFT('Rock Climbing Log'!AE132)="C",_xlfn.IFNA(VLOOKUP('Rock Climbing Log'!AE132,'RC Lookup'!$A$3:$B$9,2,FALSE),0.5),VLOOKUP('Rock Climbing Log'!AE132,'RC Lookup'!$G$3:$H$5,2,FALSE)),0)*VLOOKUP(AE$7,'RC Lookup'!$D$3:$E$18,2,FALSE)</f>
        <v>0</v>
      </c>
      <c r="AF132" s="26">
        <f>_xlfn.IFNA(IF(LEFT('Rock Climbing Log'!AF132)="C",_xlfn.IFNA(VLOOKUP('Rock Climbing Log'!AF132,'RC Lookup'!$A$3:$B$9,2,FALSE),0.5),VLOOKUP('Rock Climbing Log'!AF132,'RC Lookup'!$G$3:$H$5,2,FALSE)),0)*VLOOKUP(AE$7,'RC Lookup'!$D$3:$E$18,2,FALSE)</f>
        <v>0</v>
      </c>
      <c r="AG132" s="26">
        <f>_xlfn.IFNA(IF(LEFT('Rock Climbing Log'!AG132)="C",_xlfn.IFNA(VLOOKUP('Rock Climbing Log'!AG132,'RC Lookup'!$A$3:$B$9,2,FALSE),0.5),VLOOKUP('Rock Climbing Log'!AG132,'RC Lookup'!$G$3:$H$5,2,FALSE)),0)*VLOOKUP(AE$7,'RC Lookup'!$D$3:$E$18,2,FALSE)</f>
        <v>0</v>
      </c>
      <c r="AH132" s="26">
        <f>_xlfn.IFNA(IF(LEFT('Rock Climbing Log'!AH132)="C",_xlfn.IFNA(VLOOKUP('Rock Climbing Log'!AH132,'RC Lookup'!$A$3:$B$9,2,FALSE),0.5),VLOOKUP('Rock Climbing Log'!AH132,'RC Lookup'!$G$3:$H$5,2,FALSE)),0)*VLOOKUP(AH$7,'RC Lookup'!$D$3:$E$18,2,FALSE)</f>
        <v>0</v>
      </c>
      <c r="AI132" s="26">
        <f>_xlfn.IFNA(IF(LEFT('Rock Climbing Log'!AI132)="C",_xlfn.IFNA(VLOOKUP('Rock Climbing Log'!AI132,'RC Lookup'!$A$3:$B$9,2,FALSE),0.5),VLOOKUP('Rock Climbing Log'!AI132,'RC Lookup'!$G$3:$H$5,2,FALSE)),0)*VLOOKUP(AH$7,'RC Lookup'!$D$3:$E$18,2,FALSE)</f>
        <v>0</v>
      </c>
      <c r="AJ132" s="26">
        <f>_xlfn.IFNA(IF(LEFT('Rock Climbing Log'!AJ132)="C",_xlfn.IFNA(VLOOKUP('Rock Climbing Log'!AJ132,'RC Lookup'!$A$3:$B$9,2,FALSE),0.5),VLOOKUP('Rock Climbing Log'!AJ132,'RC Lookup'!$G$3:$H$5,2,FALSE)),0)*VLOOKUP(AH$7,'RC Lookup'!$D$3:$E$18,2,FALSE)</f>
        <v>0</v>
      </c>
      <c r="AK132" s="26">
        <f>_xlfn.IFNA(IF(LEFT('Rock Climbing Log'!AK132)="C",_xlfn.IFNA(VLOOKUP('Rock Climbing Log'!AK132,'RC Lookup'!$A$3:$B$9,2,FALSE),0.5),VLOOKUP('Rock Climbing Log'!AK132,'RC Lookup'!$G$3:$H$5,2,FALSE)),0)*VLOOKUP(AK$7,'RC Lookup'!$D$3:$E$18,2,FALSE)</f>
        <v>0</v>
      </c>
      <c r="AL132" s="26">
        <f>_xlfn.IFNA(IF(LEFT('Rock Climbing Log'!AL132)="C",_xlfn.IFNA(VLOOKUP('Rock Climbing Log'!AL132,'RC Lookup'!$A$3:$B$9,2,FALSE),0.5),VLOOKUP('Rock Climbing Log'!AL132,'RC Lookup'!$G$3:$H$5,2,FALSE)),0)*VLOOKUP(AK$7,'RC Lookup'!$D$3:$E$18,2,FALSE)</f>
        <v>0</v>
      </c>
      <c r="AM132" s="26">
        <f>_xlfn.IFNA(IF(LEFT('Rock Climbing Log'!AM132)="C",_xlfn.IFNA(VLOOKUP('Rock Climbing Log'!AM132,'RC Lookup'!$A$3:$B$9,2,FALSE),0.5),VLOOKUP('Rock Climbing Log'!AM132,'RC Lookup'!$G$3:$H$5,2,FALSE)),0)*VLOOKUP(AK$7,'RC Lookup'!$D$3:$E$18,2,FALSE)</f>
        <v>0</v>
      </c>
      <c r="AN132" s="26">
        <f>_xlfn.IFNA(IF(LEFT('Rock Climbing Log'!AN132)="C",_xlfn.IFNA(VLOOKUP('Rock Climbing Log'!AN132,'RC Lookup'!$A$3:$B$9,2,FALSE),0.5),VLOOKUP('Rock Climbing Log'!AN132,'RC Lookup'!$G$3:$H$5,2,FALSE)),0)*VLOOKUP(AN$7,'RC Lookup'!$D$3:$E$18,2,FALSE)</f>
        <v>0</v>
      </c>
      <c r="AO132" s="26">
        <f>_xlfn.IFNA(IF(LEFT('Rock Climbing Log'!AO132)="C",_xlfn.IFNA(VLOOKUP('Rock Climbing Log'!AO132,'RC Lookup'!$A$3:$B$9,2,FALSE),0.5),VLOOKUP('Rock Climbing Log'!AO132,'RC Lookup'!$G$3:$H$5,2,FALSE)),0)*VLOOKUP(AN$7,'RC Lookup'!$D$3:$E$18,2,FALSE)</f>
        <v>0</v>
      </c>
      <c r="AP132" s="26">
        <f>_xlfn.IFNA(IF(LEFT('Rock Climbing Log'!AP132)="C",_xlfn.IFNA(VLOOKUP('Rock Climbing Log'!AP132,'RC Lookup'!$A$3:$B$9,2,FALSE),0.5),VLOOKUP('Rock Climbing Log'!AP132,'RC Lookup'!$G$3:$H$5,2,FALSE)),0)*VLOOKUP(AN$7,'RC Lookup'!$D$3:$E$18,2,FALSE)</f>
        <v>0</v>
      </c>
      <c r="AQ132" s="26">
        <f>_xlfn.IFNA(IF(LEFT('Rock Climbing Log'!AQ132)="C",_xlfn.IFNA(VLOOKUP('Rock Climbing Log'!AQ132,'RC Lookup'!$A$3:$B$9,2,FALSE),0.5),VLOOKUP('Rock Climbing Log'!AQ132,'RC Lookup'!$G$3:$H$5,2,FALSE)),0)*VLOOKUP(AQ$7,'RC Lookup'!$D$3:$E$18,2,FALSE)</f>
        <v>0</v>
      </c>
      <c r="AR132" s="26">
        <f>_xlfn.IFNA(IF(LEFT('Rock Climbing Log'!AR132)="C",_xlfn.IFNA(VLOOKUP('Rock Climbing Log'!AR132,'RC Lookup'!$A$3:$B$9,2,FALSE),0.5),VLOOKUP('Rock Climbing Log'!AR132,'RC Lookup'!$G$3:$H$5,2,FALSE)),0)*VLOOKUP(AQ$7,'RC Lookup'!$D$3:$E$18,2,FALSE)</f>
        <v>0</v>
      </c>
      <c r="AS132" s="26">
        <f>_xlfn.IFNA(IF(LEFT('Rock Climbing Log'!AS132)="C",_xlfn.IFNA(VLOOKUP('Rock Climbing Log'!AS132,'RC Lookup'!$A$3:$B$9,2,FALSE),0.5),VLOOKUP('Rock Climbing Log'!AS132,'RC Lookup'!$G$3:$H$5,2,FALSE)),0)*VLOOKUP(AQ$7,'RC Lookup'!$D$3:$E$18,2,FALSE)</f>
        <v>0</v>
      </c>
      <c r="AT132" s="26">
        <f>_xlfn.IFNA(IF(LEFT('Rock Climbing Log'!AT132)="C",_xlfn.IFNA(VLOOKUP('Rock Climbing Log'!AT132,'RC Lookup'!$A$3:$B$9,2,FALSE),0.5),VLOOKUP('Rock Climbing Log'!AT132,'RC Lookup'!$G$3:$H$5,2,FALSE)),0)*VLOOKUP(AT$7,'RC Lookup'!$D$3:$E$18,2,FALSE)</f>
        <v>0</v>
      </c>
      <c r="AU132" s="26">
        <f>_xlfn.IFNA(IF(LEFT('Rock Climbing Log'!AU132)="C",_xlfn.IFNA(VLOOKUP('Rock Climbing Log'!AU132,'RC Lookup'!$A$3:$B$9,2,FALSE),0.5),VLOOKUP('Rock Climbing Log'!AU132,'RC Lookup'!$G$3:$H$5,2,FALSE)),0)*VLOOKUP(AT$7,'RC Lookup'!$D$3:$E$18,2,FALSE)</f>
        <v>0</v>
      </c>
      <c r="AV132" s="26">
        <f>_xlfn.IFNA(IF(LEFT('Rock Climbing Log'!AV132)="C",_xlfn.IFNA(VLOOKUP('Rock Climbing Log'!AV132,'RC Lookup'!$A$3:$B$9,2,FALSE),0.5),VLOOKUP('Rock Climbing Log'!AV132,'RC Lookup'!$G$3:$H$5,2,FALSE)),0)*VLOOKUP(AT$7,'RC Lookup'!$D$3:$E$18,2,FALSE)</f>
        <v>0</v>
      </c>
      <c r="AW132" s="30">
        <f t="shared" ca="1" si="4"/>
        <v>0</v>
      </c>
      <c r="AX132" s="30">
        <f ca="1">_xlfn.IFNA(VLOOKUP(SUMPRODUCT(LARGE(($C$8:$C132=Table1[[#This Row],[Climber]])*$A$8:$A132,1)),$A$8:$AW132,MATCH($AW$7,$A$7:$AW$7,FALSE),FALSE),0)/LEFT($AX$7,FIND(" ",$AX$7))+_xlfn.IFNA(VLOOKUP(SUMPRODUCT(LARGE(($C$8:$C132=Table1[[#This Row],[Climber]])*$A$8:$A132,MIN(2,COUNTIFS($C$8:$C132,$C132)))),$A$8:$AW132,MATCH($AW$7,$A$7:$AW$7,FALSE),FALSE),0)/LEFT($AX$7,FIND(" ",$AX$7))+_xlfn.IFNA(VLOOKUP(SUMPRODUCT(LARGE(($C$8:$C132=Table1[[#This Row],[Climber]])*$A$8:$A132,MIN(3,COUNTIFS($C$8:$C132,$C132)))),$A$8:$AW132,MATCH($AW$7,$A$7:$AW$7,FALSE),FALSE),0)/LEFT($AX$7,FIND(" ",$AX$7))</f>
        <v>0</v>
      </c>
      <c r="AY132" s="30">
        <f ca="1">_xlfn.IFNA(VLOOKUP(SUMPRODUCT(LARGE(($C$8:$C132=Table1[[#This Row],[Climber]])*$A$8:$A132,1)),$A$8:$AW132,MATCH($AW$7,$A$7:$AW$7,FALSE),FALSE),0)/LEFT($AY$7,FIND(" ",$AY$7))+_xlfn.IFNA(VLOOKUP(SUMPRODUCT(LARGE(($C$8:$C132=Table1[[#This Row],[Climber]])*$A$8:$A132,MIN(2,COUNTIFS($C$8:$C132,$C132)))),$A$8:$AW132,MATCH($AW$7,$A$7:$AW$7,FALSE),FALSE),0)/LEFT($AY$7,FIND(" ",$AY$7))+_xlfn.IFNA(VLOOKUP(SUMPRODUCT(LARGE(($C$8:$C132=Table1[[#This Row],[Climber]])*$A$8:$A132,MIN(3,COUNTIFS($C$8:$C132,$C132)))),$A$8:$AW132,MATCH($AW$7,$A$7:$AW$7,FALSE),FALSE),0)/LEFT($AY$7,FIND(" ",$AY$7))+_xlfn.IFNA(VLOOKUP(SUMPRODUCT(LARGE(($C$8:$C132=Table1[[#This Row],[Climber]])*$A$8:$A132,MIN(4,COUNTIFS($C$8:$C132,$C132)))),$A$8:$AW132,MATCH($AW$7,$A$7:$AW$7,FALSE),FALSE),0)/LEFT($AY$7,FIND(" ",$AY$7))+_xlfn.IFNA(VLOOKUP(SUMPRODUCT(LARGE(($C$8:$C132=Table1[[#This Row],[Climber]])*$A$8:$A132,MIN(5,COUNTIFS($C$8:$C132,$C132)))),$A$8:$AW132,MATCH($AW$7,$A$7:$AW$7,FALSE),FALSE),0)/LEFT($AY$7,FIND(" ",$AY$7))</f>
        <v>0</v>
      </c>
      <c r="AZ132" s="30">
        <f ca="1">(_xlfn.IFNA(VLOOKUP(SUMPRODUCT(LARGE(($C$8:$C132=Table1[[#This Row],[Climber]])*$A$8:$A132,4)),$A$8:$AW132,MATCH($AW$7,$A$7:$AW$7,FALSE),FALSE),0)+_xlfn.IFNA(VLOOKUP(SUMPRODUCT(LARGE(($C$8:$C132=Table1[[#This Row],[Climber]])*$A$8:$A132,5)),$A$8:$AW132,MATCH($AW$7,$A$7:$AW$7,FALSE),FALSE),0)+_xlfn.IFNA(VLOOKUP(SUMPRODUCT(LARGE(($C$8:$C132=Table1[[#This Row],[Climber]])*$A$8:$A132,6)),$A$8:$AW132,MATCH($AW$7,$A$7:$AW$7,FALSE),FALSE),0))/3</f>
        <v>0</v>
      </c>
      <c r="BA132" s="46">
        <f ca="1">_xlfn.MAXIFS(INDIRECT("$AW"&amp;IF(SUMPRODUCT(LARGE(($C$8:$C132=$C132)*$A$8:$A132,LEFT($BA$7,FIND(" ",$BA$7)-1)))=0,8,SUMPRODUCT(LARGE(($C$8:$C132=$C132)*$A$8:$A132,LEFT($BA$7,FIND(" ",$BA$7)-1)))+7)&amp;":$AW"&amp;ROW()),INDIRECT("$C"&amp;IF(SUMPRODUCT(LARGE(($C$8:$C132=$C132)*$A$8:$A132,LEFT($BA$7,FIND(" ",$BA$7)-1)))=0,8,SUMPRODUCT(LARGE(($C$8:$C132=$C132)*$A$8:$A132,LEFT($BA$7,FIND(" ",$BA$7)-1)))+7)&amp;":$C"&amp;ROW()),$C132)</f>
        <v>0</v>
      </c>
      <c r="BB132" s="46" t="str">
        <f ca="1">VLOOKUP(MAX(BG132,$AX132),'RC Lookup'!$G$14:$J$20,2,TRUE)</f>
        <v>T1</v>
      </c>
      <c r="BC132" s="46">
        <f ca="1">_xlfn.IFNA(VLOOKUP(VLOOKUP($C132,'RC Lookup'!$O$3:$P$50,2,FALSE),'RC Lookup'!$H$14:$J$23,2,FALSE),0)*AW132</f>
        <v>0</v>
      </c>
      <c r="BD132" s="6">
        <f ca="1">_xlfn.IFNA(VLOOKUP(SUMPRODUCT(LARGE(($C$8:$C132=Table1[[#This Row],[Climber]])*$A$8:$A132,1)),$A$8:$BC132,55,FALSE),0)/LEFT($AX$7,FIND(" ",$AX$7))+_xlfn.IFNA(VLOOKUP(SUMPRODUCT(LARGE(($C$8:$C132=Table1[[#This Row],[Climber]])*$A$8:$A132,MIN(2,COUNTIFS($C$8:$C132,$C132)))),$A$8:$BC132,55,FALSE),0)/LEFT($AX$7,FIND(" ",$AX$7))+_xlfn.IFNA(VLOOKUP(SUMPRODUCT(LARGE(($C$8:$C132=Table1[[#This Row],[Climber]])*$A$8:$A132,MIN(3,COUNTIFS($C$8:$C132,$C132)))),$A$8:$BC132,55,FALSE),0)/LEFT($AX$7,FIND(" ",$AX$7))</f>
        <v>0</v>
      </c>
      <c r="BE132" s="6">
        <f ca="1">(_xlfn.IFNA(VLOOKUP(SUMPRODUCT(LARGE(($C$8:$C132=Table1[[#This Row],[Climber]])*$A$8:$A132,4)),$A$8:$BD132,55,FALSE),0)+_xlfn.IFNA(VLOOKUP(SUMPRODUCT(LARGE(($C$8:$C132=Table1[[#This Row],[Climber]])*$A$8:$A132,5)),$A$8:$BD132,55,FALSE),0)+_xlfn.IFNA(VLOOKUP(SUMPRODUCT(LARGE(($C$8:$C132=Table1[[#This Row],[Climber]])*$A$8:$A132,6)),$A$8:$BD132,55,FALSE),0))/3</f>
        <v>0</v>
      </c>
      <c r="BF132" s="46">
        <f ca="1">_xlfn.MAXIFS(INDIRECT("$BC"&amp;IF(SUMPRODUCT(LARGE(($C$8:$C132=$C132)*$A$8:$A132,LEFT($BA$7,FIND(" ",$BA$7)-1)))=0,8,SUMPRODUCT(LARGE(($C$8:$C132=$C132)*$A$8:$A132,LEFT($BA$7,FIND(" ",$BA$7)-1)))+7)&amp;":$BC"&amp;ROW()),INDIRECT("$C"&amp;IF(SUMPRODUCT(LARGE(($C$8:$C132=$C132)*$A$8:$A132,LEFT($BA$7,FIND(" ",$BA$7)-1)))=0,8,SUMPRODUCT(LARGE(($C$8:$C132=$C132)*$A$8:$A132,LEFT($BA$7,FIND(" ",$BA$7)-1)))+7)&amp;":$C"&amp;ROW()),$C132)</f>
        <v>0</v>
      </c>
      <c r="BG132" s="46">
        <f t="array" aca="1" ref="BG132" ca="1">IFERROR(SUMPRODUCT(LARGE(($C$8:$C132=Table1[[#This Row],[Climber]])*$AW$8:$AW132,ROW(INDIRECT("1:5")))),AW132)/MIN(COUNTIFS($C$8:$C132,C132),5)</f>
        <v>0</v>
      </c>
    </row>
    <row r="133" spans="1:59" x14ac:dyDescent="0.3">
      <c r="A133" s="125">
        <f t="shared" si="1"/>
        <v>126</v>
      </c>
      <c r="B133" s="25">
        <f>'Rock Climbing Log'!B133</f>
        <v>0</v>
      </c>
      <c r="C133" s="126">
        <f>'Rock Climbing Log'!C133</f>
        <v>0</v>
      </c>
      <c r="D133" s="26">
        <f>_xlfn.IFNA(IF(LEFT('Rock Climbing Log'!D133)="C",_xlfn.IFNA(VLOOKUP('Rock Climbing Log'!D133,'RC Lookup'!$A$3:$B$9,2,FALSE),0.5),VLOOKUP('Rock Climbing Log'!D133,'RC Lookup'!$G$3:$H$5,2,FALSE)),0)*VLOOKUP(D$7,'RC Lookup'!$D$3:$E$18,2,FALSE)</f>
        <v>0</v>
      </c>
      <c r="E133" s="26">
        <f>_xlfn.IFNA(IF(LEFT('Rock Climbing Log'!E133)="C",_xlfn.IFNA(VLOOKUP('Rock Climbing Log'!E133,'RC Lookup'!$A$3:$B$9,2,FALSE),0.5),VLOOKUP('Rock Climbing Log'!E133,'RC Lookup'!$G$3:$H$5,2,FALSE)),0)*VLOOKUP(D$7,'RC Lookup'!$D$3:$E$18,2,FALSE)</f>
        <v>0</v>
      </c>
      <c r="F133" s="26">
        <f>_xlfn.IFNA(IF(LEFT('Rock Climbing Log'!F133)="C",_xlfn.IFNA(VLOOKUP('Rock Climbing Log'!F133,'RC Lookup'!$A$3:$B$9,2,FALSE),0.5),VLOOKUP('Rock Climbing Log'!F133,'RC Lookup'!$G$3:$H$5,2,FALSE)),0)*VLOOKUP(D$7,'RC Lookup'!$D$3:$E$18,2,FALSE)</f>
        <v>0</v>
      </c>
      <c r="G133" s="26">
        <f>_xlfn.IFNA(IF(LEFT('Rock Climbing Log'!G133)="C",_xlfn.IFNA(VLOOKUP('Rock Climbing Log'!G133,'RC Lookup'!$A$3:$B$9,2,FALSE),0.5),VLOOKUP('Rock Climbing Log'!G133,'RC Lookup'!$G$3:$H$5,2,FALSE)),0)*VLOOKUP(G$7,'RC Lookup'!$D$3:$E$18,2,FALSE)</f>
        <v>0</v>
      </c>
      <c r="H133" s="26">
        <f>_xlfn.IFNA(IF(LEFT('Rock Climbing Log'!H133)="C",_xlfn.IFNA(VLOOKUP('Rock Climbing Log'!H133,'RC Lookup'!$A$3:$B$9,2,FALSE),0.5),VLOOKUP('Rock Climbing Log'!H133,'RC Lookup'!$G$3:$H$5,2,FALSE)),0)*VLOOKUP(G$7,'RC Lookup'!$D$3:$E$18,2,FALSE)</f>
        <v>0</v>
      </c>
      <c r="I133" s="26">
        <f>_xlfn.IFNA(IF(LEFT('Rock Climbing Log'!I133)="C",_xlfn.IFNA(VLOOKUP('Rock Climbing Log'!I133,'RC Lookup'!$A$3:$B$9,2,FALSE),0.5),VLOOKUP('Rock Climbing Log'!I133,'RC Lookup'!$G$3:$H$5,2,FALSE)),0)*VLOOKUP(G$7,'RC Lookup'!$D$3:$E$18,2,FALSE)</f>
        <v>0</v>
      </c>
      <c r="J133" s="26">
        <f>_xlfn.IFNA(IF(LEFT('Rock Climbing Log'!J133)="C",_xlfn.IFNA(VLOOKUP('Rock Climbing Log'!J133,'RC Lookup'!$A$3:$B$9,2,FALSE),0.5),VLOOKUP('Rock Climbing Log'!J133,'RC Lookup'!$G$3:$H$5,2,FALSE)),0)*VLOOKUP(J$7,'RC Lookup'!$D$3:$E$18,2,FALSE)</f>
        <v>0</v>
      </c>
      <c r="K133" s="26">
        <f>_xlfn.IFNA(IF(LEFT('Rock Climbing Log'!K133)="C",_xlfn.IFNA(VLOOKUP('Rock Climbing Log'!K133,'RC Lookup'!$A$3:$B$9,2,FALSE),0.5),VLOOKUP('Rock Climbing Log'!K133,'RC Lookup'!$G$3:$H$5,2,FALSE)),0)*VLOOKUP(J$7,'RC Lookup'!$D$3:$E$18,2,FALSE)</f>
        <v>0</v>
      </c>
      <c r="L133" s="26">
        <f>_xlfn.IFNA(IF(LEFT('Rock Climbing Log'!L133)="C",_xlfn.IFNA(VLOOKUP('Rock Climbing Log'!L133,'RC Lookup'!$A$3:$B$9,2,FALSE),0.5),VLOOKUP('Rock Climbing Log'!L133,'RC Lookup'!$G$3:$H$5,2,FALSE)),0)*VLOOKUP(J$7,'RC Lookup'!$D$3:$E$18,2,FALSE)</f>
        <v>0</v>
      </c>
      <c r="M133" s="26">
        <f>_xlfn.IFNA(IF(LEFT('Rock Climbing Log'!M133)="C",_xlfn.IFNA(VLOOKUP('Rock Climbing Log'!M133,'RC Lookup'!$A$3:$B$9,2,FALSE),0.5),VLOOKUP('Rock Climbing Log'!M133,'RC Lookup'!$G$3:$H$5,2,FALSE)),0)*VLOOKUP(M$7,'RC Lookup'!$D$3:$E$18,2,FALSE)</f>
        <v>0</v>
      </c>
      <c r="N133" s="26">
        <f>_xlfn.IFNA(IF(LEFT('Rock Climbing Log'!N133)="C",_xlfn.IFNA(VLOOKUP('Rock Climbing Log'!N133,'RC Lookup'!$A$3:$B$9,2,FALSE),0.5),VLOOKUP('Rock Climbing Log'!N133,'RC Lookup'!$G$3:$H$5,2,FALSE)),0)*VLOOKUP(M$7,'RC Lookup'!$D$3:$E$18,2,FALSE)</f>
        <v>0</v>
      </c>
      <c r="O133" s="26">
        <f>_xlfn.IFNA(IF(LEFT('Rock Climbing Log'!O133)="C",_xlfn.IFNA(VLOOKUP('Rock Climbing Log'!O133,'RC Lookup'!$A$3:$B$9,2,FALSE),0.5),VLOOKUP('Rock Climbing Log'!O133,'RC Lookup'!$G$3:$H$5,2,FALSE)),0)*VLOOKUP(M$7,'RC Lookup'!$D$3:$E$18,2,FALSE)</f>
        <v>0</v>
      </c>
      <c r="P133" s="26">
        <f>_xlfn.IFNA(IF(LEFT('Rock Climbing Log'!P133)="C",_xlfn.IFNA(VLOOKUP('Rock Climbing Log'!P133,'RC Lookup'!$A$3:$B$9,2,FALSE),0.5),VLOOKUP('Rock Climbing Log'!P133,'RC Lookup'!$G$3:$H$5,2,FALSE)),0)*VLOOKUP(P$7,'RC Lookup'!$D$3:$E$18,2,FALSE)</f>
        <v>0</v>
      </c>
      <c r="Q133" s="26">
        <f>_xlfn.IFNA(IF(LEFT('Rock Climbing Log'!Q133)="C",_xlfn.IFNA(VLOOKUP('Rock Climbing Log'!Q133,'RC Lookup'!$A$3:$B$9,2,FALSE),0.5),VLOOKUP('Rock Climbing Log'!Q133,'RC Lookup'!$G$3:$H$5,2,FALSE)),0)*VLOOKUP(P$7,'RC Lookup'!$D$3:$E$18,2,FALSE)</f>
        <v>0</v>
      </c>
      <c r="R133" s="26">
        <f>_xlfn.IFNA(IF(LEFT('Rock Climbing Log'!R133)="C",_xlfn.IFNA(VLOOKUP('Rock Climbing Log'!R133,'RC Lookup'!$A$3:$B$9,2,FALSE),0.5),VLOOKUP('Rock Climbing Log'!R133,'RC Lookup'!$G$3:$H$5,2,FALSE)),0)*VLOOKUP(P$7,'RC Lookup'!$D$3:$E$18,2,FALSE)</f>
        <v>0</v>
      </c>
      <c r="S133" s="26">
        <f>_xlfn.IFNA(IF(LEFT('Rock Climbing Log'!S133)="C",_xlfn.IFNA(VLOOKUP('Rock Climbing Log'!S133,'RC Lookup'!$A$3:$B$9,2,FALSE),0.5),VLOOKUP('Rock Climbing Log'!S133,'RC Lookup'!$G$3:$H$5,2,FALSE)),0)*VLOOKUP(S$7,'RC Lookup'!$D$3:$E$18,2,FALSE)</f>
        <v>0</v>
      </c>
      <c r="T133" s="26">
        <f>_xlfn.IFNA(IF(LEFT('Rock Climbing Log'!T133)="C",_xlfn.IFNA(VLOOKUP('Rock Climbing Log'!T133,'RC Lookup'!$A$3:$B$9,2,FALSE),0.5),VLOOKUP('Rock Climbing Log'!T133,'RC Lookup'!$G$3:$H$5,2,FALSE)),0)*VLOOKUP(S$7,'RC Lookup'!$D$3:$E$18,2,FALSE)</f>
        <v>0</v>
      </c>
      <c r="U133" s="26">
        <f>_xlfn.IFNA(IF(LEFT('Rock Climbing Log'!U133)="C",_xlfn.IFNA(VLOOKUP('Rock Climbing Log'!U133,'RC Lookup'!$A$3:$B$9,2,FALSE),0.5),VLOOKUP('Rock Climbing Log'!U133,'RC Lookup'!$G$3:$H$5,2,FALSE)),0)*VLOOKUP(S$7,'RC Lookup'!$D$3:$E$18,2,FALSE)</f>
        <v>0</v>
      </c>
      <c r="V133" s="26">
        <f>_xlfn.IFNA(IF(LEFT('Rock Climbing Log'!V133)="C",_xlfn.IFNA(VLOOKUP('Rock Climbing Log'!V133,'RC Lookup'!$A$3:$B$9,2,FALSE),0.5),VLOOKUP('Rock Climbing Log'!V133,'RC Lookup'!$G$3:$H$5,2,FALSE)),0)*VLOOKUP(V$7,'RC Lookup'!$D$3:$E$18,2,FALSE)</f>
        <v>0</v>
      </c>
      <c r="W133" s="26">
        <f>_xlfn.IFNA(IF(LEFT('Rock Climbing Log'!W133)="C",_xlfn.IFNA(VLOOKUP('Rock Climbing Log'!W133,'RC Lookup'!$A$3:$B$9,2,FALSE),0.5),VLOOKUP('Rock Climbing Log'!W133,'RC Lookup'!$G$3:$H$5,2,FALSE)),0)*VLOOKUP(V$7,'RC Lookup'!$D$3:$E$18,2,FALSE)</f>
        <v>0</v>
      </c>
      <c r="X133" s="26">
        <f>_xlfn.IFNA(IF(LEFT('Rock Climbing Log'!X133)="C",_xlfn.IFNA(VLOOKUP('Rock Climbing Log'!X133,'RC Lookup'!$A$3:$B$9,2,FALSE),0.5),VLOOKUP('Rock Climbing Log'!X133,'RC Lookup'!$G$3:$H$5,2,FALSE)),0)*VLOOKUP(V$7,'RC Lookup'!$D$3:$E$18,2,FALSE)</f>
        <v>0</v>
      </c>
      <c r="Y133" s="26">
        <f>_xlfn.IFNA(IF(LEFT('Rock Climbing Log'!Y133)="C",_xlfn.IFNA(VLOOKUP('Rock Climbing Log'!Y133,'RC Lookup'!$A$3:$B$9,2,FALSE),0.5),VLOOKUP('Rock Climbing Log'!Y133,'RC Lookup'!$G$3:$H$5,2,FALSE)),0)*VLOOKUP(Y$7,'RC Lookup'!$D$3:$E$18,2,FALSE)</f>
        <v>0</v>
      </c>
      <c r="Z133" s="26">
        <f>_xlfn.IFNA(IF(LEFT('Rock Climbing Log'!Z133)="C",_xlfn.IFNA(VLOOKUP('Rock Climbing Log'!Z133,'RC Lookup'!$A$3:$B$9,2,FALSE),0.5),VLOOKUP('Rock Climbing Log'!Z133,'RC Lookup'!$G$3:$H$5,2,FALSE)),0)*VLOOKUP(Y$7,'RC Lookup'!$D$3:$E$18,2,FALSE)</f>
        <v>0</v>
      </c>
      <c r="AA133" s="26">
        <f>_xlfn.IFNA(IF(LEFT('Rock Climbing Log'!AA133)="C",_xlfn.IFNA(VLOOKUP('Rock Climbing Log'!AA133,'RC Lookup'!$A$3:$B$9,2,FALSE),0.5),VLOOKUP('Rock Climbing Log'!AA133,'RC Lookup'!$G$3:$H$5,2,FALSE)),0)*VLOOKUP(Y$7,'RC Lookup'!$D$3:$E$18,2,FALSE)</f>
        <v>0</v>
      </c>
      <c r="AB133" s="26">
        <f>_xlfn.IFNA(IF(LEFT('Rock Climbing Log'!AB133)="C",_xlfn.IFNA(VLOOKUP('Rock Climbing Log'!AB133,'RC Lookup'!$A$3:$B$9,2,FALSE),0.5),VLOOKUP('Rock Climbing Log'!AB133,'RC Lookup'!$G$3:$H$5,2,FALSE)),0)*VLOOKUP(AB$7,'RC Lookup'!$D$3:$E$18,2,FALSE)</f>
        <v>0</v>
      </c>
      <c r="AC133" s="26">
        <f>_xlfn.IFNA(IF(LEFT('Rock Climbing Log'!AC133)="C",_xlfn.IFNA(VLOOKUP('Rock Climbing Log'!AC133,'RC Lookup'!$A$3:$B$9,2,FALSE),0.5),VLOOKUP('Rock Climbing Log'!AC133,'RC Lookup'!$G$3:$H$5,2,FALSE)),0)*VLOOKUP(AB$7,'RC Lookup'!$D$3:$E$18,2,FALSE)</f>
        <v>0</v>
      </c>
      <c r="AD133" s="26">
        <f>_xlfn.IFNA(IF(LEFT('Rock Climbing Log'!AD133)="C",_xlfn.IFNA(VLOOKUP('Rock Climbing Log'!AD133,'RC Lookup'!$A$3:$B$9,2,FALSE),0.5),VLOOKUP('Rock Climbing Log'!AD133,'RC Lookup'!$G$3:$H$5,2,FALSE)),0)*VLOOKUP(AB$7,'RC Lookup'!$D$3:$E$18,2,FALSE)</f>
        <v>0</v>
      </c>
      <c r="AE133" s="26">
        <f>_xlfn.IFNA(IF(LEFT('Rock Climbing Log'!AE133)="C",_xlfn.IFNA(VLOOKUP('Rock Climbing Log'!AE133,'RC Lookup'!$A$3:$B$9,2,FALSE),0.5),VLOOKUP('Rock Climbing Log'!AE133,'RC Lookup'!$G$3:$H$5,2,FALSE)),0)*VLOOKUP(AE$7,'RC Lookup'!$D$3:$E$18,2,FALSE)</f>
        <v>0</v>
      </c>
      <c r="AF133" s="26">
        <f>_xlfn.IFNA(IF(LEFT('Rock Climbing Log'!AF133)="C",_xlfn.IFNA(VLOOKUP('Rock Climbing Log'!AF133,'RC Lookup'!$A$3:$B$9,2,FALSE),0.5),VLOOKUP('Rock Climbing Log'!AF133,'RC Lookup'!$G$3:$H$5,2,FALSE)),0)*VLOOKUP(AE$7,'RC Lookup'!$D$3:$E$18,2,FALSE)</f>
        <v>0</v>
      </c>
      <c r="AG133" s="26">
        <f>_xlfn.IFNA(IF(LEFT('Rock Climbing Log'!AG133)="C",_xlfn.IFNA(VLOOKUP('Rock Climbing Log'!AG133,'RC Lookup'!$A$3:$B$9,2,FALSE),0.5),VLOOKUP('Rock Climbing Log'!AG133,'RC Lookup'!$G$3:$H$5,2,FALSE)),0)*VLOOKUP(AE$7,'RC Lookup'!$D$3:$E$18,2,FALSE)</f>
        <v>0</v>
      </c>
      <c r="AH133" s="26">
        <f>_xlfn.IFNA(IF(LEFT('Rock Climbing Log'!AH133)="C",_xlfn.IFNA(VLOOKUP('Rock Climbing Log'!AH133,'RC Lookup'!$A$3:$B$9,2,FALSE),0.5),VLOOKUP('Rock Climbing Log'!AH133,'RC Lookup'!$G$3:$H$5,2,FALSE)),0)*VLOOKUP(AH$7,'RC Lookup'!$D$3:$E$18,2,FALSE)</f>
        <v>0</v>
      </c>
      <c r="AI133" s="26">
        <f>_xlfn.IFNA(IF(LEFT('Rock Climbing Log'!AI133)="C",_xlfn.IFNA(VLOOKUP('Rock Climbing Log'!AI133,'RC Lookup'!$A$3:$B$9,2,FALSE),0.5),VLOOKUP('Rock Climbing Log'!AI133,'RC Lookup'!$G$3:$H$5,2,FALSE)),0)*VLOOKUP(AH$7,'RC Lookup'!$D$3:$E$18,2,FALSE)</f>
        <v>0</v>
      </c>
      <c r="AJ133" s="26">
        <f>_xlfn.IFNA(IF(LEFT('Rock Climbing Log'!AJ133)="C",_xlfn.IFNA(VLOOKUP('Rock Climbing Log'!AJ133,'RC Lookup'!$A$3:$B$9,2,FALSE),0.5),VLOOKUP('Rock Climbing Log'!AJ133,'RC Lookup'!$G$3:$H$5,2,FALSE)),0)*VLOOKUP(AH$7,'RC Lookup'!$D$3:$E$18,2,FALSE)</f>
        <v>0</v>
      </c>
      <c r="AK133" s="26">
        <f>_xlfn.IFNA(IF(LEFT('Rock Climbing Log'!AK133)="C",_xlfn.IFNA(VLOOKUP('Rock Climbing Log'!AK133,'RC Lookup'!$A$3:$B$9,2,FALSE),0.5),VLOOKUP('Rock Climbing Log'!AK133,'RC Lookup'!$G$3:$H$5,2,FALSE)),0)*VLOOKUP(AK$7,'RC Lookup'!$D$3:$E$18,2,FALSE)</f>
        <v>0</v>
      </c>
      <c r="AL133" s="26">
        <f>_xlfn.IFNA(IF(LEFT('Rock Climbing Log'!AL133)="C",_xlfn.IFNA(VLOOKUP('Rock Climbing Log'!AL133,'RC Lookup'!$A$3:$B$9,2,FALSE),0.5),VLOOKUP('Rock Climbing Log'!AL133,'RC Lookup'!$G$3:$H$5,2,FALSE)),0)*VLOOKUP(AK$7,'RC Lookup'!$D$3:$E$18,2,FALSE)</f>
        <v>0</v>
      </c>
      <c r="AM133" s="26">
        <f>_xlfn.IFNA(IF(LEFT('Rock Climbing Log'!AM133)="C",_xlfn.IFNA(VLOOKUP('Rock Climbing Log'!AM133,'RC Lookup'!$A$3:$B$9,2,FALSE),0.5),VLOOKUP('Rock Climbing Log'!AM133,'RC Lookup'!$G$3:$H$5,2,FALSE)),0)*VLOOKUP(AK$7,'RC Lookup'!$D$3:$E$18,2,FALSE)</f>
        <v>0</v>
      </c>
      <c r="AN133" s="26">
        <f>_xlfn.IFNA(IF(LEFT('Rock Climbing Log'!AN133)="C",_xlfn.IFNA(VLOOKUP('Rock Climbing Log'!AN133,'RC Lookup'!$A$3:$B$9,2,FALSE),0.5),VLOOKUP('Rock Climbing Log'!AN133,'RC Lookup'!$G$3:$H$5,2,FALSE)),0)*VLOOKUP(AN$7,'RC Lookup'!$D$3:$E$18,2,FALSE)</f>
        <v>0</v>
      </c>
      <c r="AO133" s="26">
        <f>_xlfn.IFNA(IF(LEFT('Rock Climbing Log'!AO133)="C",_xlfn.IFNA(VLOOKUP('Rock Climbing Log'!AO133,'RC Lookup'!$A$3:$B$9,2,FALSE),0.5),VLOOKUP('Rock Climbing Log'!AO133,'RC Lookup'!$G$3:$H$5,2,FALSE)),0)*VLOOKUP(AN$7,'RC Lookup'!$D$3:$E$18,2,FALSE)</f>
        <v>0</v>
      </c>
      <c r="AP133" s="26">
        <f>_xlfn.IFNA(IF(LEFT('Rock Climbing Log'!AP133)="C",_xlfn.IFNA(VLOOKUP('Rock Climbing Log'!AP133,'RC Lookup'!$A$3:$B$9,2,FALSE),0.5),VLOOKUP('Rock Climbing Log'!AP133,'RC Lookup'!$G$3:$H$5,2,FALSE)),0)*VLOOKUP(AN$7,'RC Lookup'!$D$3:$E$18,2,FALSE)</f>
        <v>0</v>
      </c>
      <c r="AQ133" s="26">
        <f>_xlfn.IFNA(IF(LEFT('Rock Climbing Log'!AQ133)="C",_xlfn.IFNA(VLOOKUP('Rock Climbing Log'!AQ133,'RC Lookup'!$A$3:$B$9,2,FALSE),0.5),VLOOKUP('Rock Climbing Log'!AQ133,'RC Lookup'!$G$3:$H$5,2,FALSE)),0)*VLOOKUP(AQ$7,'RC Lookup'!$D$3:$E$18,2,FALSE)</f>
        <v>0</v>
      </c>
      <c r="AR133" s="26">
        <f>_xlfn.IFNA(IF(LEFT('Rock Climbing Log'!AR133)="C",_xlfn.IFNA(VLOOKUP('Rock Climbing Log'!AR133,'RC Lookup'!$A$3:$B$9,2,FALSE),0.5),VLOOKUP('Rock Climbing Log'!AR133,'RC Lookup'!$G$3:$H$5,2,FALSE)),0)*VLOOKUP(AQ$7,'RC Lookup'!$D$3:$E$18,2,FALSE)</f>
        <v>0</v>
      </c>
      <c r="AS133" s="26">
        <f>_xlfn.IFNA(IF(LEFT('Rock Climbing Log'!AS133)="C",_xlfn.IFNA(VLOOKUP('Rock Climbing Log'!AS133,'RC Lookup'!$A$3:$B$9,2,FALSE),0.5),VLOOKUP('Rock Climbing Log'!AS133,'RC Lookup'!$G$3:$H$5,2,FALSE)),0)*VLOOKUP(AQ$7,'RC Lookup'!$D$3:$E$18,2,FALSE)</f>
        <v>0</v>
      </c>
      <c r="AT133" s="26">
        <f>_xlfn.IFNA(IF(LEFT('Rock Climbing Log'!AT133)="C",_xlfn.IFNA(VLOOKUP('Rock Climbing Log'!AT133,'RC Lookup'!$A$3:$B$9,2,FALSE),0.5),VLOOKUP('Rock Climbing Log'!AT133,'RC Lookup'!$G$3:$H$5,2,FALSE)),0)*VLOOKUP(AT$7,'RC Lookup'!$D$3:$E$18,2,FALSE)</f>
        <v>0</v>
      </c>
      <c r="AU133" s="26">
        <f>_xlfn.IFNA(IF(LEFT('Rock Climbing Log'!AU133)="C",_xlfn.IFNA(VLOOKUP('Rock Climbing Log'!AU133,'RC Lookup'!$A$3:$B$9,2,FALSE),0.5),VLOOKUP('Rock Climbing Log'!AU133,'RC Lookup'!$G$3:$H$5,2,FALSE)),0)*VLOOKUP(AT$7,'RC Lookup'!$D$3:$E$18,2,FALSE)</f>
        <v>0</v>
      </c>
      <c r="AV133" s="26">
        <f>_xlfn.IFNA(IF(LEFT('Rock Climbing Log'!AV133)="C",_xlfn.IFNA(VLOOKUP('Rock Climbing Log'!AV133,'RC Lookup'!$A$3:$B$9,2,FALSE),0.5),VLOOKUP('Rock Climbing Log'!AV133,'RC Lookup'!$G$3:$H$5,2,FALSE)),0)*VLOOKUP(AT$7,'RC Lookup'!$D$3:$E$18,2,FALSE)</f>
        <v>0</v>
      </c>
      <c r="AW133" s="30">
        <f t="shared" ca="1" si="4"/>
        <v>0</v>
      </c>
      <c r="AX133" s="30">
        <f ca="1">_xlfn.IFNA(VLOOKUP(SUMPRODUCT(LARGE(($C$8:$C133=Table1[[#This Row],[Climber]])*$A$8:$A133,1)),$A$8:$AW133,MATCH($AW$7,$A$7:$AW$7,FALSE),FALSE),0)/LEFT($AX$7,FIND(" ",$AX$7))+_xlfn.IFNA(VLOOKUP(SUMPRODUCT(LARGE(($C$8:$C133=Table1[[#This Row],[Climber]])*$A$8:$A133,MIN(2,COUNTIFS($C$8:$C133,$C133)))),$A$8:$AW133,MATCH($AW$7,$A$7:$AW$7,FALSE),FALSE),0)/LEFT($AX$7,FIND(" ",$AX$7))+_xlfn.IFNA(VLOOKUP(SUMPRODUCT(LARGE(($C$8:$C133=Table1[[#This Row],[Climber]])*$A$8:$A133,MIN(3,COUNTIFS($C$8:$C133,$C133)))),$A$8:$AW133,MATCH($AW$7,$A$7:$AW$7,FALSE),FALSE),0)/LEFT($AX$7,FIND(" ",$AX$7))</f>
        <v>0</v>
      </c>
      <c r="AY133" s="30">
        <f ca="1">_xlfn.IFNA(VLOOKUP(SUMPRODUCT(LARGE(($C$8:$C133=Table1[[#This Row],[Climber]])*$A$8:$A133,1)),$A$8:$AW133,MATCH($AW$7,$A$7:$AW$7,FALSE),FALSE),0)/LEFT($AY$7,FIND(" ",$AY$7))+_xlfn.IFNA(VLOOKUP(SUMPRODUCT(LARGE(($C$8:$C133=Table1[[#This Row],[Climber]])*$A$8:$A133,MIN(2,COUNTIFS($C$8:$C133,$C133)))),$A$8:$AW133,MATCH($AW$7,$A$7:$AW$7,FALSE),FALSE),0)/LEFT($AY$7,FIND(" ",$AY$7))+_xlfn.IFNA(VLOOKUP(SUMPRODUCT(LARGE(($C$8:$C133=Table1[[#This Row],[Climber]])*$A$8:$A133,MIN(3,COUNTIFS($C$8:$C133,$C133)))),$A$8:$AW133,MATCH($AW$7,$A$7:$AW$7,FALSE),FALSE),0)/LEFT($AY$7,FIND(" ",$AY$7))+_xlfn.IFNA(VLOOKUP(SUMPRODUCT(LARGE(($C$8:$C133=Table1[[#This Row],[Climber]])*$A$8:$A133,MIN(4,COUNTIFS($C$8:$C133,$C133)))),$A$8:$AW133,MATCH($AW$7,$A$7:$AW$7,FALSE),FALSE),0)/LEFT($AY$7,FIND(" ",$AY$7))+_xlfn.IFNA(VLOOKUP(SUMPRODUCT(LARGE(($C$8:$C133=Table1[[#This Row],[Climber]])*$A$8:$A133,MIN(5,COUNTIFS($C$8:$C133,$C133)))),$A$8:$AW133,MATCH($AW$7,$A$7:$AW$7,FALSE),FALSE),0)/LEFT($AY$7,FIND(" ",$AY$7))</f>
        <v>0</v>
      </c>
      <c r="AZ133" s="30">
        <f ca="1">(_xlfn.IFNA(VLOOKUP(SUMPRODUCT(LARGE(($C$8:$C133=Table1[[#This Row],[Climber]])*$A$8:$A133,4)),$A$8:$AW133,MATCH($AW$7,$A$7:$AW$7,FALSE),FALSE),0)+_xlfn.IFNA(VLOOKUP(SUMPRODUCT(LARGE(($C$8:$C133=Table1[[#This Row],[Climber]])*$A$8:$A133,5)),$A$8:$AW133,MATCH($AW$7,$A$7:$AW$7,FALSE),FALSE),0)+_xlfn.IFNA(VLOOKUP(SUMPRODUCT(LARGE(($C$8:$C133=Table1[[#This Row],[Climber]])*$A$8:$A133,6)),$A$8:$AW133,MATCH($AW$7,$A$7:$AW$7,FALSE),FALSE),0))/3</f>
        <v>0</v>
      </c>
      <c r="BA133" s="46">
        <f ca="1">_xlfn.MAXIFS(INDIRECT("$AW"&amp;IF(SUMPRODUCT(LARGE(($C$8:$C133=$C133)*$A$8:$A133,LEFT($BA$7,FIND(" ",$BA$7)-1)))=0,8,SUMPRODUCT(LARGE(($C$8:$C133=$C133)*$A$8:$A133,LEFT($BA$7,FIND(" ",$BA$7)-1)))+7)&amp;":$AW"&amp;ROW()),INDIRECT("$C"&amp;IF(SUMPRODUCT(LARGE(($C$8:$C133=$C133)*$A$8:$A133,LEFT($BA$7,FIND(" ",$BA$7)-1)))=0,8,SUMPRODUCT(LARGE(($C$8:$C133=$C133)*$A$8:$A133,LEFT($BA$7,FIND(" ",$BA$7)-1)))+7)&amp;":$C"&amp;ROW()),$C133)</f>
        <v>0</v>
      </c>
      <c r="BB133" s="46" t="str">
        <f ca="1">VLOOKUP(MAX(BG133,$AX133),'RC Lookup'!$G$14:$J$20,2,TRUE)</f>
        <v>T1</v>
      </c>
      <c r="BC133" s="46">
        <f ca="1">_xlfn.IFNA(VLOOKUP(VLOOKUP($C133,'RC Lookup'!$O$3:$P$50,2,FALSE),'RC Lookup'!$H$14:$J$23,2,FALSE),0)*AW133</f>
        <v>0</v>
      </c>
      <c r="BD133" s="6">
        <f ca="1">_xlfn.IFNA(VLOOKUP(SUMPRODUCT(LARGE(($C$8:$C133=Table1[[#This Row],[Climber]])*$A$8:$A133,1)),$A$8:$BC133,55,FALSE),0)/LEFT($AX$7,FIND(" ",$AX$7))+_xlfn.IFNA(VLOOKUP(SUMPRODUCT(LARGE(($C$8:$C133=Table1[[#This Row],[Climber]])*$A$8:$A133,MIN(2,COUNTIFS($C$8:$C133,$C133)))),$A$8:$BC133,55,FALSE),0)/LEFT($AX$7,FIND(" ",$AX$7))+_xlfn.IFNA(VLOOKUP(SUMPRODUCT(LARGE(($C$8:$C133=Table1[[#This Row],[Climber]])*$A$8:$A133,MIN(3,COUNTIFS($C$8:$C133,$C133)))),$A$8:$BC133,55,FALSE),0)/LEFT($AX$7,FIND(" ",$AX$7))</f>
        <v>0</v>
      </c>
      <c r="BE133" s="6">
        <f ca="1">(_xlfn.IFNA(VLOOKUP(SUMPRODUCT(LARGE(($C$8:$C133=Table1[[#This Row],[Climber]])*$A$8:$A133,4)),$A$8:$BD133,55,FALSE),0)+_xlfn.IFNA(VLOOKUP(SUMPRODUCT(LARGE(($C$8:$C133=Table1[[#This Row],[Climber]])*$A$8:$A133,5)),$A$8:$BD133,55,FALSE),0)+_xlfn.IFNA(VLOOKUP(SUMPRODUCT(LARGE(($C$8:$C133=Table1[[#This Row],[Climber]])*$A$8:$A133,6)),$A$8:$BD133,55,FALSE),0))/3</f>
        <v>0</v>
      </c>
      <c r="BF133" s="46">
        <f ca="1">_xlfn.MAXIFS(INDIRECT("$BC"&amp;IF(SUMPRODUCT(LARGE(($C$8:$C133=$C133)*$A$8:$A133,LEFT($BA$7,FIND(" ",$BA$7)-1)))=0,8,SUMPRODUCT(LARGE(($C$8:$C133=$C133)*$A$8:$A133,LEFT($BA$7,FIND(" ",$BA$7)-1)))+7)&amp;":$BC"&amp;ROW()),INDIRECT("$C"&amp;IF(SUMPRODUCT(LARGE(($C$8:$C133=$C133)*$A$8:$A133,LEFT($BA$7,FIND(" ",$BA$7)-1)))=0,8,SUMPRODUCT(LARGE(($C$8:$C133=$C133)*$A$8:$A133,LEFT($BA$7,FIND(" ",$BA$7)-1)))+7)&amp;":$C"&amp;ROW()),$C133)</f>
        <v>0</v>
      </c>
      <c r="BG133" s="46">
        <f t="array" aca="1" ref="BG133" ca="1">IFERROR(SUMPRODUCT(LARGE(($C$8:$C133=Table1[[#This Row],[Climber]])*$AW$8:$AW133,ROW(INDIRECT("1:5")))),AW133)/MIN(COUNTIFS($C$8:$C133,C133),5)</f>
        <v>0</v>
      </c>
    </row>
    <row r="134" spans="1:59" x14ac:dyDescent="0.3">
      <c r="A134" s="125">
        <f t="shared" si="1"/>
        <v>127</v>
      </c>
      <c r="B134" s="25">
        <f>'Rock Climbing Log'!B134</f>
        <v>0</v>
      </c>
      <c r="C134" s="126">
        <f>'Rock Climbing Log'!C134</f>
        <v>0</v>
      </c>
      <c r="D134" s="26">
        <f>_xlfn.IFNA(IF(LEFT('Rock Climbing Log'!D134)="C",_xlfn.IFNA(VLOOKUP('Rock Climbing Log'!D134,'RC Lookup'!$A$3:$B$9,2,FALSE),0.5),VLOOKUP('Rock Climbing Log'!D134,'RC Lookup'!$G$3:$H$5,2,FALSE)),0)*VLOOKUP(D$7,'RC Lookup'!$D$3:$E$18,2,FALSE)</f>
        <v>0</v>
      </c>
      <c r="E134" s="26">
        <f>_xlfn.IFNA(IF(LEFT('Rock Climbing Log'!E134)="C",_xlfn.IFNA(VLOOKUP('Rock Climbing Log'!E134,'RC Lookup'!$A$3:$B$9,2,FALSE),0.5),VLOOKUP('Rock Climbing Log'!E134,'RC Lookup'!$G$3:$H$5,2,FALSE)),0)*VLOOKUP(D$7,'RC Lookup'!$D$3:$E$18,2,FALSE)</f>
        <v>0</v>
      </c>
      <c r="F134" s="26">
        <f>_xlfn.IFNA(IF(LEFT('Rock Climbing Log'!F134)="C",_xlfn.IFNA(VLOOKUP('Rock Climbing Log'!F134,'RC Lookup'!$A$3:$B$9,2,FALSE),0.5),VLOOKUP('Rock Climbing Log'!F134,'RC Lookup'!$G$3:$H$5,2,FALSE)),0)*VLOOKUP(D$7,'RC Lookup'!$D$3:$E$18,2,FALSE)</f>
        <v>0</v>
      </c>
      <c r="G134" s="26">
        <f>_xlfn.IFNA(IF(LEFT('Rock Climbing Log'!G134)="C",_xlfn.IFNA(VLOOKUP('Rock Climbing Log'!G134,'RC Lookup'!$A$3:$B$9,2,FALSE),0.5),VLOOKUP('Rock Climbing Log'!G134,'RC Lookup'!$G$3:$H$5,2,FALSE)),0)*VLOOKUP(G$7,'RC Lookup'!$D$3:$E$18,2,FALSE)</f>
        <v>0</v>
      </c>
      <c r="H134" s="26">
        <f>_xlfn.IFNA(IF(LEFT('Rock Climbing Log'!H134)="C",_xlfn.IFNA(VLOOKUP('Rock Climbing Log'!H134,'RC Lookup'!$A$3:$B$9,2,FALSE),0.5),VLOOKUP('Rock Climbing Log'!H134,'RC Lookup'!$G$3:$H$5,2,FALSE)),0)*VLOOKUP(G$7,'RC Lookup'!$D$3:$E$18,2,FALSE)</f>
        <v>0</v>
      </c>
      <c r="I134" s="26">
        <f>_xlfn.IFNA(IF(LEFT('Rock Climbing Log'!I134)="C",_xlfn.IFNA(VLOOKUP('Rock Climbing Log'!I134,'RC Lookup'!$A$3:$B$9,2,FALSE),0.5),VLOOKUP('Rock Climbing Log'!I134,'RC Lookup'!$G$3:$H$5,2,FALSE)),0)*VLOOKUP(G$7,'RC Lookup'!$D$3:$E$18,2,FALSE)</f>
        <v>0</v>
      </c>
      <c r="J134" s="26">
        <f>_xlfn.IFNA(IF(LEFT('Rock Climbing Log'!J134)="C",_xlfn.IFNA(VLOOKUP('Rock Climbing Log'!J134,'RC Lookup'!$A$3:$B$9,2,FALSE),0.5),VLOOKUP('Rock Climbing Log'!J134,'RC Lookup'!$G$3:$H$5,2,FALSE)),0)*VLOOKUP(J$7,'RC Lookup'!$D$3:$E$18,2,FALSE)</f>
        <v>0</v>
      </c>
      <c r="K134" s="26">
        <f>_xlfn.IFNA(IF(LEFT('Rock Climbing Log'!K134)="C",_xlfn.IFNA(VLOOKUP('Rock Climbing Log'!K134,'RC Lookup'!$A$3:$B$9,2,FALSE),0.5),VLOOKUP('Rock Climbing Log'!K134,'RC Lookup'!$G$3:$H$5,2,FALSE)),0)*VLOOKUP(J$7,'RC Lookup'!$D$3:$E$18,2,FALSE)</f>
        <v>0</v>
      </c>
      <c r="L134" s="26">
        <f>_xlfn.IFNA(IF(LEFT('Rock Climbing Log'!L134)="C",_xlfn.IFNA(VLOOKUP('Rock Climbing Log'!L134,'RC Lookup'!$A$3:$B$9,2,FALSE),0.5),VLOOKUP('Rock Climbing Log'!L134,'RC Lookup'!$G$3:$H$5,2,FALSE)),0)*VLOOKUP(J$7,'RC Lookup'!$D$3:$E$18,2,FALSE)</f>
        <v>0</v>
      </c>
      <c r="M134" s="26">
        <f>_xlfn.IFNA(IF(LEFT('Rock Climbing Log'!M134)="C",_xlfn.IFNA(VLOOKUP('Rock Climbing Log'!M134,'RC Lookup'!$A$3:$B$9,2,FALSE),0.5),VLOOKUP('Rock Climbing Log'!M134,'RC Lookup'!$G$3:$H$5,2,FALSE)),0)*VLOOKUP(M$7,'RC Lookup'!$D$3:$E$18,2,FALSE)</f>
        <v>0</v>
      </c>
      <c r="N134" s="26">
        <f>_xlfn.IFNA(IF(LEFT('Rock Climbing Log'!N134)="C",_xlfn.IFNA(VLOOKUP('Rock Climbing Log'!N134,'RC Lookup'!$A$3:$B$9,2,FALSE),0.5),VLOOKUP('Rock Climbing Log'!N134,'RC Lookup'!$G$3:$H$5,2,FALSE)),0)*VLOOKUP(M$7,'RC Lookup'!$D$3:$E$18,2,FALSE)</f>
        <v>0</v>
      </c>
      <c r="O134" s="26">
        <f>_xlfn.IFNA(IF(LEFT('Rock Climbing Log'!O134)="C",_xlfn.IFNA(VLOOKUP('Rock Climbing Log'!O134,'RC Lookup'!$A$3:$B$9,2,FALSE),0.5),VLOOKUP('Rock Climbing Log'!O134,'RC Lookup'!$G$3:$H$5,2,FALSE)),0)*VLOOKUP(M$7,'RC Lookup'!$D$3:$E$18,2,FALSE)</f>
        <v>0</v>
      </c>
      <c r="P134" s="26">
        <f>_xlfn.IFNA(IF(LEFT('Rock Climbing Log'!P134)="C",_xlfn.IFNA(VLOOKUP('Rock Climbing Log'!P134,'RC Lookup'!$A$3:$B$9,2,FALSE),0.5),VLOOKUP('Rock Climbing Log'!P134,'RC Lookup'!$G$3:$H$5,2,FALSE)),0)*VLOOKUP(P$7,'RC Lookup'!$D$3:$E$18,2,FALSE)</f>
        <v>0</v>
      </c>
      <c r="Q134" s="26">
        <f>_xlfn.IFNA(IF(LEFT('Rock Climbing Log'!Q134)="C",_xlfn.IFNA(VLOOKUP('Rock Climbing Log'!Q134,'RC Lookup'!$A$3:$B$9,2,FALSE),0.5),VLOOKUP('Rock Climbing Log'!Q134,'RC Lookup'!$G$3:$H$5,2,FALSE)),0)*VLOOKUP(P$7,'RC Lookup'!$D$3:$E$18,2,FALSE)</f>
        <v>0</v>
      </c>
      <c r="R134" s="26">
        <f>_xlfn.IFNA(IF(LEFT('Rock Climbing Log'!R134)="C",_xlfn.IFNA(VLOOKUP('Rock Climbing Log'!R134,'RC Lookup'!$A$3:$B$9,2,FALSE),0.5),VLOOKUP('Rock Climbing Log'!R134,'RC Lookup'!$G$3:$H$5,2,FALSE)),0)*VLOOKUP(P$7,'RC Lookup'!$D$3:$E$18,2,FALSE)</f>
        <v>0</v>
      </c>
      <c r="S134" s="26">
        <f>_xlfn.IFNA(IF(LEFT('Rock Climbing Log'!S134)="C",_xlfn.IFNA(VLOOKUP('Rock Climbing Log'!S134,'RC Lookup'!$A$3:$B$9,2,FALSE),0.5),VLOOKUP('Rock Climbing Log'!S134,'RC Lookup'!$G$3:$H$5,2,FALSE)),0)*VLOOKUP(S$7,'RC Lookup'!$D$3:$E$18,2,FALSE)</f>
        <v>0</v>
      </c>
      <c r="T134" s="26">
        <f>_xlfn.IFNA(IF(LEFT('Rock Climbing Log'!T134)="C",_xlfn.IFNA(VLOOKUP('Rock Climbing Log'!T134,'RC Lookup'!$A$3:$B$9,2,FALSE),0.5),VLOOKUP('Rock Climbing Log'!T134,'RC Lookup'!$G$3:$H$5,2,FALSE)),0)*VLOOKUP(S$7,'RC Lookup'!$D$3:$E$18,2,FALSE)</f>
        <v>0</v>
      </c>
      <c r="U134" s="26">
        <f>_xlfn.IFNA(IF(LEFT('Rock Climbing Log'!U134)="C",_xlfn.IFNA(VLOOKUP('Rock Climbing Log'!U134,'RC Lookup'!$A$3:$B$9,2,FALSE),0.5),VLOOKUP('Rock Climbing Log'!U134,'RC Lookup'!$G$3:$H$5,2,FALSE)),0)*VLOOKUP(S$7,'RC Lookup'!$D$3:$E$18,2,FALSE)</f>
        <v>0</v>
      </c>
      <c r="V134" s="26">
        <f>_xlfn.IFNA(IF(LEFT('Rock Climbing Log'!V134)="C",_xlfn.IFNA(VLOOKUP('Rock Climbing Log'!V134,'RC Lookup'!$A$3:$B$9,2,FALSE),0.5),VLOOKUP('Rock Climbing Log'!V134,'RC Lookup'!$G$3:$H$5,2,FALSE)),0)*VLOOKUP(V$7,'RC Lookup'!$D$3:$E$18,2,FALSE)</f>
        <v>0</v>
      </c>
      <c r="W134" s="26">
        <f>_xlfn.IFNA(IF(LEFT('Rock Climbing Log'!W134)="C",_xlfn.IFNA(VLOOKUP('Rock Climbing Log'!W134,'RC Lookup'!$A$3:$B$9,2,FALSE),0.5),VLOOKUP('Rock Climbing Log'!W134,'RC Lookup'!$G$3:$H$5,2,FALSE)),0)*VLOOKUP(V$7,'RC Lookup'!$D$3:$E$18,2,FALSE)</f>
        <v>0</v>
      </c>
      <c r="X134" s="26">
        <f>_xlfn.IFNA(IF(LEFT('Rock Climbing Log'!X134)="C",_xlfn.IFNA(VLOOKUP('Rock Climbing Log'!X134,'RC Lookup'!$A$3:$B$9,2,FALSE),0.5),VLOOKUP('Rock Climbing Log'!X134,'RC Lookup'!$G$3:$H$5,2,FALSE)),0)*VLOOKUP(V$7,'RC Lookup'!$D$3:$E$18,2,FALSE)</f>
        <v>0</v>
      </c>
      <c r="Y134" s="26">
        <f>_xlfn.IFNA(IF(LEFT('Rock Climbing Log'!Y134)="C",_xlfn.IFNA(VLOOKUP('Rock Climbing Log'!Y134,'RC Lookup'!$A$3:$B$9,2,FALSE),0.5),VLOOKUP('Rock Climbing Log'!Y134,'RC Lookup'!$G$3:$H$5,2,FALSE)),0)*VLOOKUP(Y$7,'RC Lookup'!$D$3:$E$18,2,FALSE)</f>
        <v>0</v>
      </c>
      <c r="Z134" s="26">
        <f>_xlfn.IFNA(IF(LEFT('Rock Climbing Log'!Z134)="C",_xlfn.IFNA(VLOOKUP('Rock Climbing Log'!Z134,'RC Lookup'!$A$3:$B$9,2,FALSE),0.5),VLOOKUP('Rock Climbing Log'!Z134,'RC Lookup'!$G$3:$H$5,2,FALSE)),0)*VLOOKUP(Y$7,'RC Lookup'!$D$3:$E$18,2,FALSE)</f>
        <v>0</v>
      </c>
      <c r="AA134" s="26">
        <f>_xlfn.IFNA(IF(LEFT('Rock Climbing Log'!AA134)="C",_xlfn.IFNA(VLOOKUP('Rock Climbing Log'!AA134,'RC Lookup'!$A$3:$B$9,2,FALSE),0.5),VLOOKUP('Rock Climbing Log'!AA134,'RC Lookup'!$G$3:$H$5,2,FALSE)),0)*VLOOKUP(Y$7,'RC Lookup'!$D$3:$E$18,2,FALSE)</f>
        <v>0</v>
      </c>
      <c r="AB134" s="26">
        <f>_xlfn.IFNA(IF(LEFT('Rock Climbing Log'!AB134)="C",_xlfn.IFNA(VLOOKUP('Rock Climbing Log'!AB134,'RC Lookup'!$A$3:$B$9,2,FALSE),0.5),VLOOKUP('Rock Climbing Log'!AB134,'RC Lookup'!$G$3:$H$5,2,FALSE)),0)*VLOOKUP(AB$7,'RC Lookup'!$D$3:$E$18,2,FALSE)</f>
        <v>0</v>
      </c>
      <c r="AC134" s="26">
        <f>_xlfn.IFNA(IF(LEFT('Rock Climbing Log'!AC134)="C",_xlfn.IFNA(VLOOKUP('Rock Climbing Log'!AC134,'RC Lookup'!$A$3:$B$9,2,FALSE),0.5),VLOOKUP('Rock Climbing Log'!AC134,'RC Lookup'!$G$3:$H$5,2,FALSE)),0)*VLOOKUP(AB$7,'RC Lookup'!$D$3:$E$18,2,FALSE)</f>
        <v>0</v>
      </c>
      <c r="AD134" s="26">
        <f>_xlfn.IFNA(IF(LEFT('Rock Climbing Log'!AD134)="C",_xlfn.IFNA(VLOOKUP('Rock Climbing Log'!AD134,'RC Lookup'!$A$3:$B$9,2,FALSE),0.5),VLOOKUP('Rock Climbing Log'!AD134,'RC Lookup'!$G$3:$H$5,2,FALSE)),0)*VLOOKUP(AB$7,'RC Lookup'!$D$3:$E$18,2,FALSE)</f>
        <v>0</v>
      </c>
      <c r="AE134" s="26">
        <f>_xlfn.IFNA(IF(LEFT('Rock Climbing Log'!AE134)="C",_xlfn.IFNA(VLOOKUP('Rock Climbing Log'!AE134,'RC Lookup'!$A$3:$B$9,2,FALSE),0.5),VLOOKUP('Rock Climbing Log'!AE134,'RC Lookup'!$G$3:$H$5,2,FALSE)),0)*VLOOKUP(AE$7,'RC Lookup'!$D$3:$E$18,2,FALSE)</f>
        <v>0</v>
      </c>
      <c r="AF134" s="26">
        <f>_xlfn.IFNA(IF(LEFT('Rock Climbing Log'!AF134)="C",_xlfn.IFNA(VLOOKUP('Rock Climbing Log'!AF134,'RC Lookup'!$A$3:$B$9,2,FALSE),0.5),VLOOKUP('Rock Climbing Log'!AF134,'RC Lookup'!$G$3:$H$5,2,FALSE)),0)*VLOOKUP(AE$7,'RC Lookup'!$D$3:$E$18,2,FALSE)</f>
        <v>0</v>
      </c>
      <c r="AG134" s="26">
        <f>_xlfn.IFNA(IF(LEFT('Rock Climbing Log'!AG134)="C",_xlfn.IFNA(VLOOKUP('Rock Climbing Log'!AG134,'RC Lookup'!$A$3:$B$9,2,FALSE),0.5),VLOOKUP('Rock Climbing Log'!AG134,'RC Lookup'!$G$3:$H$5,2,FALSE)),0)*VLOOKUP(AE$7,'RC Lookup'!$D$3:$E$18,2,FALSE)</f>
        <v>0</v>
      </c>
      <c r="AH134" s="26">
        <f>_xlfn.IFNA(IF(LEFT('Rock Climbing Log'!AH134)="C",_xlfn.IFNA(VLOOKUP('Rock Climbing Log'!AH134,'RC Lookup'!$A$3:$B$9,2,FALSE),0.5),VLOOKUP('Rock Climbing Log'!AH134,'RC Lookup'!$G$3:$H$5,2,FALSE)),0)*VLOOKUP(AH$7,'RC Lookup'!$D$3:$E$18,2,FALSE)</f>
        <v>0</v>
      </c>
      <c r="AI134" s="26">
        <f>_xlfn.IFNA(IF(LEFT('Rock Climbing Log'!AI134)="C",_xlfn.IFNA(VLOOKUP('Rock Climbing Log'!AI134,'RC Lookup'!$A$3:$B$9,2,FALSE),0.5),VLOOKUP('Rock Climbing Log'!AI134,'RC Lookup'!$G$3:$H$5,2,FALSE)),0)*VLOOKUP(AH$7,'RC Lookup'!$D$3:$E$18,2,FALSE)</f>
        <v>0</v>
      </c>
      <c r="AJ134" s="26">
        <f>_xlfn.IFNA(IF(LEFT('Rock Climbing Log'!AJ134)="C",_xlfn.IFNA(VLOOKUP('Rock Climbing Log'!AJ134,'RC Lookup'!$A$3:$B$9,2,FALSE),0.5),VLOOKUP('Rock Climbing Log'!AJ134,'RC Lookup'!$G$3:$H$5,2,FALSE)),0)*VLOOKUP(AH$7,'RC Lookup'!$D$3:$E$18,2,FALSE)</f>
        <v>0</v>
      </c>
      <c r="AK134" s="26">
        <f>_xlfn.IFNA(IF(LEFT('Rock Climbing Log'!AK134)="C",_xlfn.IFNA(VLOOKUP('Rock Climbing Log'!AK134,'RC Lookup'!$A$3:$B$9,2,FALSE),0.5),VLOOKUP('Rock Climbing Log'!AK134,'RC Lookup'!$G$3:$H$5,2,FALSE)),0)*VLOOKUP(AK$7,'RC Lookup'!$D$3:$E$18,2,FALSE)</f>
        <v>0</v>
      </c>
      <c r="AL134" s="26">
        <f>_xlfn.IFNA(IF(LEFT('Rock Climbing Log'!AL134)="C",_xlfn.IFNA(VLOOKUP('Rock Climbing Log'!AL134,'RC Lookup'!$A$3:$B$9,2,FALSE),0.5),VLOOKUP('Rock Climbing Log'!AL134,'RC Lookup'!$G$3:$H$5,2,FALSE)),0)*VLOOKUP(AK$7,'RC Lookup'!$D$3:$E$18,2,FALSE)</f>
        <v>0</v>
      </c>
      <c r="AM134" s="26">
        <f>_xlfn.IFNA(IF(LEFT('Rock Climbing Log'!AM134)="C",_xlfn.IFNA(VLOOKUP('Rock Climbing Log'!AM134,'RC Lookup'!$A$3:$B$9,2,FALSE),0.5),VLOOKUP('Rock Climbing Log'!AM134,'RC Lookup'!$G$3:$H$5,2,FALSE)),0)*VLOOKUP(AK$7,'RC Lookup'!$D$3:$E$18,2,FALSE)</f>
        <v>0</v>
      </c>
      <c r="AN134" s="26">
        <f>_xlfn.IFNA(IF(LEFT('Rock Climbing Log'!AN134)="C",_xlfn.IFNA(VLOOKUP('Rock Climbing Log'!AN134,'RC Lookup'!$A$3:$B$9,2,FALSE),0.5),VLOOKUP('Rock Climbing Log'!AN134,'RC Lookup'!$G$3:$H$5,2,FALSE)),0)*VLOOKUP(AN$7,'RC Lookup'!$D$3:$E$18,2,FALSE)</f>
        <v>0</v>
      </c>
      <c r="AO134" s="26">
        <f>_xlfn.IFNA(IF(LEFT('Rock Climbing Log'!AO134)="C",_xlfn.IFNA(VLOOKUP('Rock Climbing Log'!AO134,'RC Lookup'!$A$3:$B$9,2,FALSE),0.5),VLOOKUP('Rock Climbing Log'!AO134,'RC Lookup'!$G$3:$H$5,2,FALSE)),0)*VLOOKUP(AN$7,'RC Lookup'!$D$3:$E$18,2,FALSE)</f>
        <v>0</v>
      </c>
      <c r="AP134" s="26">
        <f>_xlfn.IFNA(IF(LEFT('Rock Climbing Log'!AP134)="C",_xlfn.IFNA(VLOOKUP('Rock Climbing Log'!AP134,'RC Lookup'!$A$3:$B$9,2,FALSE),0.5),VLOOKUP('Rock Climbing Log'!AP134,'RC Lookup'!$G$3:$H$5,2,FALSE)),0)*VLOOKUP(AN$7,'RC Lookup'!$D$3:$E$18,2,FALSE)</f>
        <v>0</v>
      </c>
      <c r="AQ134" s="26">
        <f>_xlfn.IFNA(IF(LEFT('Rock Climbing Log'!AQ134)="C",_xlfn.IFNA(VLOOKUP('Rock Climbing Log'!AQ134,'RC Lookup'!$A$3:$B$9,2,FALSE),0.5),VLOOKUP('Rock Climbing Log'!AQ134,'RC Lookup'!$G$3:$H$5,2,FALSE)),0)*VLOOKUP(AQ$7,'RC Lookup'!$D$3:$E$18,2,FALSE)</f>
        <v>0</v>
      </c>
      <c r="AR134" s="26">
        <f>_xlfn.IFNA(IF(LEFT('Rock Climbing Log'!AR134)="C",_xlfn.IFNA(VLOOKUP('Rock Climbing Log'!AR134,'RC Lookup'!$A$3:$B$9,2,FALSE),0.5),VLOOKUP('Rock Climbing Log'!AR134,'RC Lookup'!$G$3:$H$5,2,FALSE)),0)*VLOOKUP(AQ$7,'RC Lookup'!$D$3:$E$18,2,FALSE)</f>
        <v>0</v>
      </c>
      <c r="AS134" s="26">
        <f>_xlfn.IFNA(IF(LEFT('Rock Climbing Log'!AS134)="C",_xlfn.IFNA(VLOOKUP('Rock Climbing Log'!AS134,'RC Lookup'!$A$3:$B$9,2,FALSE),0.5),VLOOKUP('Rock Climbing Log'!AS134,'RC Lookup'!$G$3:$H$5,2,FALSE)),0)*VLOOKUP(AQ$7,'RC Lookup'!$D$3:$E$18,2,FALSE)</f>
        <v>0</v>
      </c>
      <c r="AT134" s="26">
        <f>_xlfn.IFNA(IF(LEFT('Rock Climbing Log'!AT134)="C",_xlfn.IFNA(VLOOKUP('Rock Climbing Log'!AT134,'RC Lookup'!$A$3:$B$9,2,FALSE),0.5),VLOOKUP('Rock Climbing Log'!AT134,'RC Lookup'!$G$3:$H$5,2,FALSE)),0)*VLOOKUP(AT$7,'RC Lookup'!$D$3:$E$18,2,FALSE)</f>
        <v>0</v>
      </c>
      <c r="AU134" s="26">
        <f>_xlfn.IFNA(IF(LEFT('Rock Climbing Log'!AU134)="C",_xlfn.IFNA(VLOOKUP('Rock Climbing Log'!AU134,'RC Lookup'!$A$3:$B$9,2,FALSE),0.5),VLOOKUP('Rock Climbing Log'!AU134,'RC Lookup'!$G$3:$H$5,2,FALSE)),0)*VLOOKUP(AT$7,'RC Lookup'!$D$3:$E$18,2,FALSE)</f>
        <v>0</v>
      </c>
      <c r="AV134" s="26">
        <f>_xlfn.IFNA(IF(LEFT('Rock Climbing Log'!AV134)="C",_xlfn.IFNA(VLOOKUP('Rock Climbing Log'!AV134,'RC Lookup'!$A$3:$B$9,2,FALSE),0.5),VLOOKUP('Rock Climbing Log'!AV134,'RC Lookup'!$G$3:$H$5,2,FALSE)),0)*VLOOKUP(AT$7,'RC Lookup'!$D$3:$E$18,2,FALSE)</f>
        <v>0</v>
      </c>
      <c r="AW134" s="30">
        <f t="shared" ca="1" si="4"/>
        <v>0</v>
      </c>
      <c r="AX134" s="30">
        <f ca="1">_xlfn.IFNA(VLOOKUP(SUMPRODUCT(LARGE(($C$8:$C134=Table1[[#This Row],[Climber]])*$A$8:$A134,1)),$A$8:$AW134,MATCH($AW$7,$A$7:$AW$7,FALSE),FALSE),0)/LEFT($AX$7,FIND(" ",$AX$7))+_xlfn.IFNA(VLOOKUP(SUMPRODUCT(LARGE(($C$8:$C134=Table1[[#This Row],[Climber]])*$A$8:$A134,MIN(2,COUNTIFS($C$8:$C134,$C134)))),$A$8:$AW134,MATCH($AW$7,$A$7:$AW$7,FALSE),FALSE),0)/LEFT($AX$7,FIND(" ",$AX$7))+_xlfn.IFNA(VLOOKUP(SUMPRODUCT(LARGE(($C$8:$C134=Table1[[#This Row],[Climber]])*$A$8:$A134,MIN(3,COUNTIFS($C$8:$C134,$C134)))),$A$8:$AW134,MATCH($AW$7,$A$7:$AW$7,FALSE),FALSE),0)/LEFT($AX$7,FIND(" ",$AX$7))</f>
        <v>0</v>
      </c>
      <c r="AY134" s="30">
        <f ca="1">_xlfn.IFNA(VLOOKUP(SUMPRODUCT(LARGE(($C$8:$C134=Table1[[#This Row],[Climber]])*$A$8:$A134,1)),$A$8:$AW134,MATCH($AW$7,$A$7:$AW$7,FALSE),FALSE),0)/LEFT($AY$7,FIND(" ",$AY$7))+_xlfn.IFNA(VLOOKUP(SUMPRODUCT(LARGE(($C$8:$C134=Table1[[#This Row],[Climber]])*$A$8:$A134,MIN(2,COUNTIFS($C$8:$C134,$C134)))),$A$8:$AW134,MATCH($AW$7,$A$7:$AW$7,FALSE),FALSE),0)/LEFT($AY$7,FIND(" ",$AY$7))+_xlfn.IFNA(VLOOKUP(SUMPRODUCT(LARGE(($C$8:$C134=Table1[[#This Row],[Climber]])*$A$8:$A134,MIN(3,COUNTIFS($C$8:$C134,$C134)))),$A$8:$AW134,MATCH($AW$7,$A$7:$AW$7,FALSE),FALSE),0)/LEFT($AY$7,FIND(" ",$AY$7))+_xlfn.IFNA(VLOOKUP(SUMPRODUCT(LARGE(($C$8:$C134=Table1[[#This Row],[Climber]])*$A$8:$A134,MIN(4,COUNTIFS($C$8:$C134,$C134)))),$A$8:$AW134,MATCH($AW$7,$A$7:$AW$7,FALSE),FALSE),0)/LEFT($AY$7,FIND(" ",$AY$7))+_xlfn.IFNA(VLOOKUP(SUMPRODUCT(LARGE(($C$8:$C134=Table1[[#This Row],[Climber]])*$A$8:$A134,MIN(5,COUNTIFS($C$8:$C134,$C134)))),$A$8:$AW134,MATCH($AW$7,$A$7:$AW$7,FALSE),FALSE),0)/LEFT($AY$7,FIND(" ",$AY$7))</f>
        <v>0</v>
      </c>
      <c r="AZ134" s="30">
        <f ca="1">(_xlfn.IFNA(VLOOKUP(SUMPRODUCT(LARGE(($C$8:$C134=Table1[[#This Row],[Climber]])*$A$8:$A134,4)),$A$8:$AW134,MATCH($AW$7,$A$7:$AW$7,FALSE),FALSE),0)+_xlfn.IFNA(VLOOKUP(SUMPRODUCT(LARGE(($C$8:$C134=Table1[[#This Row],[Climber]])*$A$8:$A134,5)),$A$8:$AW134,MATCH($AW$7,$A$7:$AW$7,FALSE),FALSE),0)+_xlfn.IFNA(VLOOKUP(SUMPRODUCT(LARGE(($C$8:$C134=Table1[[#This Row],[Climber]])*$A$8:$A134,6)),$A$8:$AW134,MATCH($AW$7,$A$7:$AW$7,FALSE),FALSE),0))/3</f>
        <v>0</v>
      </c>
      <c r="BA134" s="46">
        <f ca="1">_xlfn.MAXIFS(INDIRECT("$AW"&amp;IF(SUMPRODUCT(LARGE(($C$8:$C134=$C134)*$A$8:$A134,LEFT($BA$7,FIND(" ",$BA$7)-1)))=0,8,SUMPRODUCT(LARGE(($C$8:$C134=$C134)*$A$8:$A134,LEFT($BA$7,FIND(" ",$BA$7)-1)))+7)&amp;":$AW"&amp;ROW()),INDIRECT("$C"&amp;IF(SUMPRODUCT(LARGE(($C$8:$C134=$C134)*$A$8:$A134,LEFT($BA$7,FIND(" ",$BA$7)-1)))=0,8,SUMPRODUCT(LARGE(($C$8:$C134=$C134)*$A$8:$A134,LEFT($BA$7,FIND(" ",$BA$7)-1)))+7)&amp;":$C"&amp;ROW()),$C134)</f>
        <v>0</v>
      </c>
      <c r="BB134" s="46" t="str">
        <f ca="1">VLOOKUP(MAX(BG134,$AX134),'RC Lookup'!$G$14:$J$20,2,TRUE)</f>
        <v>T1</v>
      </c>
      <c r="BC134" s="46">
        <f ca="1">_xlfn.IFNA(VLOOKUP(VLOOKUP($C134,'RC Lookup'!$O$3:$P$50,2,FALSE),'RC Lookup'!$H$14:$J$23,2,FALSE),0)*AW134</f>
        <v>0</v>
      </c>
      <c r="BD134" s="6">
        <f ca="1">_xlfn.IFNA(VLOOKUP(SUMPRODUCT(LARGE(($C$8:$C134=Table1[[#This Row],[Climber]])*$A$8:$A134,1)),$A$8:$BC134,55,FALSE),0)/LEFT($AX$7,FIND(" ",$AX$7))+_xlfn.IFNA(VLOOKUP(SUMPRODUCT(LARGE(($C$8:$C134=Table1[[#This Row],[Climber]])*$A$8:$A134,MIN(2,COUNTIFS($C$8:$C134,$C134)))),$A$8:$BC134,55,FALSE),0)/LEFT($AX$7,FIND(" ",$AX$7))+_xlfn.IFNA(VLOOKUP(SUMPRODUCT(LARGE(($C$8:$C134=Table1[[#This Row],[Climber]])*$A$8:$A134,MIN(3,COUNTIFS($C$8:$C134,$C134)))),$A$8:$BC134,55,FALSE),0)/LEFT($AX$7,FIND(" ",$AX$7))</f>
        <v>0</v>
      </c>
      <c r="BE134" s="6">
        <f ca="1">(_xlfn.IFNA(VLOOKUP(SUMPRODUCT(LARGE(($C$8:$C134=Table1[[#This Row],[Climber]])*$A$8:$A134,4)),$A$8:$BD134,55,FALSE),0)+_xlfn.IFNA(VLOOKUP(SUMPRODUCT(LARGE(($C$8:$C134=Table1[[#This Row],[Climber]])*$A$8:$A134,5)),$A$8:$BD134,55,FALSE),0)+_xlfn.IFNA(VLOOKUP(SUMPRODUCT(LARGE(($C$8:$C134=Table1[[#This Row],[Climber]])*$A$8:$A134,6)),$A$8:$BD134,55,FALSE),0))/3</f>
        <v>0</v>
      </c>
      <c r="BF134" s="46">
        <f ca="1">_xlfn.MAXIFS(INDIRECT("$BC"&amp;IF(SUMPRODUCT(LARGE(($C$8:$C134=$C134)*$A$8:$A134,LEFT($BA$7,FIND(" ",$BA$7)-1)))=0,8,SUMPRODUCT(LARGE(($C$8:$C134=$C134)*$A$8:$A134,LEFT($BA$7,FIND(" ",$BA$7)-1)))+7)&amp;":$BC"&amp;ROW()),INDIRECT("$C"&amp;IF(SUMPRODUCT(LARGE(($C$8:$C134=$C134)*$A$8:$A134,LEFT($BA$7,FIND(" ",$BA$7)-1)))=0,8,SUMPRODUCT(LARGE(($C$8:$C134=$C134)*$A$8:$A134,LEFT($BA$7,FIND(" ",$BA$7)-1)))+7)&amp;":$C"&amp;ROW()),$C134)</f>
        <v>0</v>
      </c>
      <c r="BG134" s="46">
        <f t="array" aca="1" ref="BG134" ca="1">IFERROR(SUMPRODUCT(LARGE(($C$8:$C134=Table1[[#This Row],[Climber]])*$AW$8:$AW134,ROW(INDIRECT("1:5")))),AW134)/MIN(COUNTIFS($C$8:$C134,C134),5)</f>
        <v>0</v>
      </c>
    </row>
    <row r="135" spans="1:59" x14ac:dyDescent="0.3">
      <c r="A135" s="125">
        <f t="shared" si="1"/>
        <v>128</v>
      </c>
      <c r="B135" s="25">
        <f>'Rock Climbing Log'!B135</f>
        <v>0</v>
      </c>
      <c r="C135" s="126">
        <f>'Rock Climbing Log'!C135</f>
        <v>0</v>
      </c>
      <c r="D135" s="26">
        <f>_xlfn.IFNA(IF(LEFT('Rock Climbing Log'!D135)="C",_xlfn.IFNA(VLOOKUP('Rock Climbing Log'!D135,'RC Lookup'!$A$3:$B$9,2,FALSE),0.5),VLOOKUP('Rock Climbing Log'!D135,'RC Lookup'!$G$3:$H$5,2,FALSE)),0)*VLOOKUP(D$7,'RC Lookup'!$D$3:$E$18,2,FALSE)</f>
        <v>0</v>
      </c>
      <c r="E135" s="26">
        <f>_xlfn.IFNA(IF(LEFT('Rock Climbing Log'!E135)="C",_xlfn.IFNA(VLOOKUP('Rock Climbing Log'!E135,'RC Lookup'!$A$3:$B$9,2,FALSE),0.5),VLOOKUP('Rock Climbing Log'!E135,'RC Lookup'!$G$3:$H$5,2,FALSE)),0)*VLOOKUP(D$7,'RC Lookup'!$D$3:$E$18,2,FALSE)</f>
        <v>0</v>
      </c>
      <c r="F135" s="26">
        <f>_xlfn.IFNA(IF(LEFT('Rock Climbing Log'!F135)="C",_xlfn.IFNA(VLOOKUP('Rock Climbing Log'!F135,'RC Lookup'!$A$3:$B$9,2,FALSE),0.5),VLOOKUP('Rock Climbing Log'!F135,'RC Lookup'!$G$3:$H$5,2,FALSE)),0)*VLOOKUP(D$7,'RC Lookup'!$D$3:$E$18,2,FALSE)</f>
        <v>0</v>
      </c>
      <c r="G135" s="26">
        <f>_xlfn.IFNA(IF(LEFT('Rock Climbing Log'!G135)="C",_xlfn.IFNA(VLOOKUP('Rock Climbing Log'!G135,'RC Lookup'!$A$3:$B$9,2,FALSE),0.5),VLOOKUP('Rock Climbing Log'!G135,'RC Lookup'!$G$3:$H$5,2,FALSE)),0)*VLOOKUP(G$7,'RC Lookup'!$D$3:$E$18,2,FALSE)</f>
        <v>0</v>
      </c>
      <c r="H135" s="26">
        <f>_xlfn.IFNA(IF(LEFT('Rock Climbing Log'!H135)="C",_xlfn.IFNA(VLOOKUP('Rock Climbing Log'!H135,'RC Lookup'!$A$3:$B$9,2,FALSE),0.5),VLOOKUP('Rock Climbing Log'!H135,'RC Lookup'!$G$3:$H$5,2,FALSE)),0)*VLOOKUP(G$7,'RC Lookup'!$D$3:$E$18,2,FALSE)</f>
        <v>0</v>
      </c>
      <c r="I135" s="26">
        <f>_xlfn.IFNA(IF(LEFT('Rock Climbing Log'!I135)="C",_xlfn.IFNA(VLOOKUP('Rock Climbing Log'!I135,'RC Lookup'!$A$3:$B$9,2,FALSE),0.5),VLOOKUP('Rock Climbing Log'!I135,'RC Lookup'!$G$3:$H$5,2,FALSE)),0)*VLOOKUP(G$7,'RC Lookup'!$D$3:$E$18,2,FALSE)</f>
        <v>0</v>
      </c>
      <c r="J135" s="26">
        <f>_xlfn.IFNA(IF(LEFT('Rock Climbing Log'!J135)="C",_xlfn.IFNA(VLOOKUP('Rock Climbing Log'!J135,'RC Lookup'!$A$3:$B$9,2,FALSE),0.5),VLOOKUP('Rock Climbing Log'!J135,'RC Lookup'!$G$3:$H$5,2,FALSE)),0)*VLOOKUP(J$7,'RC Lookup'!$D$3:$E$18,2,FALSE)</f>
        <v>0</v>
      </c>
      <c r="K135" s="26">
        <f>_xlfn.IFNA(IF(LEFT('Rock Climbing Log'!K135)="C",_xlfn.IFNA(VLOOKUP('Rock Climbing Log'!K135,'RC Lookup'!$A$3:$B$9,2,FALSE),0.5),VLOOKUP('Rock Climbing Log'!K135,'RC Lookup'!$G$3:$H$5,2,FALSE)),0)*VLOOKUP(J$7,'RC Lookup'!$D$3:$E$18,2,FALSE)</f>
        <v>0</v>
      </c>
      <c r="L135" s="26">
        <f>_xlfn.IFNA(IF(LEFT('Rock Climbing Log'!L135)="C",_xlfn.IFNA(VLOOKUP('Rock Climbing Log'!L135,'RC Lookup'!$A$3:$B$9,2,FALSE),0.5),VLOOKUP('Rock Climbing Log'!L135,'RC Lookup'!$G$3:$H$5,2,FALSE)),0)*VLOOKUP(J$7,'RC Lookup'!$D$3:$E$18,2,FALSE)</f>
        <v>0</v>
      </c>
      <c r="M135" s="26">
        <f>_xlfn.IFNA(IF(LEFT('Rock Climbing Log'!M135)="C",_xlfn.IFNA(VLOOKUP('Rock Climbing Log'!M135,'RC Lookup'!$A$3:$B$9,2,FALSE),0.5),VLOOKUP('Rock Climbing Log'!M135,'RC Lookup'!$G$3:$H$5,2,FALSE)),0)*VLOOKUP(M$7,'RC Lookup'!$D$3:$E$18,2,FALSE)</f>
        <v>0</v>
      </c>
      <c r="N135" s="26">
        <f>_xlfn.IFNA(IF(LEFT('Rock Climbing Log'!N135)="C",_xlfn.IFNA(VLOOKUP('Rock Climbing Log'!N135,'RC Lookup'!$A$3:$B$9,2,FALSE),0.5),VLOOKUP('Rock Climbing Log'!N135,'RC Lookup'!$G$3:$H$5,2,FALSE)),0)*VLOOKUP(M$7,'RC Lookup'!$D$3:$E$18,2,FALSE)</f>
        <v>0</v>
      </c>
      <c r="O135" s="26">
        <f>_xlfn.IFNA(IF(LEFT('Rock Climbing Log'!O135)="C",_xlfn.IFNA(VLOOKUP('Rock Climbing Log'!O135,'RC Lookup'!$A$3:$B$9,2,FALSE),0.5),VLOOKUP('Rock Climbing Log'!O135,'RC Lookup'!$G$3:$H$5,2,FALSE)),0)*VLOOKUP(M$7,'RC Lookup'!$D$3:$E$18,2,FALSE)</f>
        <v>0</v>
      </c>
      <c r="P135" s="26">
        <f>_xlfn.IFNA(IF(LEFT('Rock Climbing Log'!P135)="C",_xlfn.IFNA(VLOOKUP('Rock Climbing Log'!P135,'RC Lookup'!$A$3:$B$9,2,FALSE),0.5),VLOOKUP('Rock Climbing Log'!P135,'RC Lookup'!$G$3:$H$5,2,FALSE)),0)*VLOOKUP(P$7,'RC Lookup'!$D$3:$E$18,2,FALSE)</f>
        <v>0</v>
      </c>
      <c r="Q135" s="26">
        <f>_xlfn.IFNA(IF(LEFT('Rock Climbing Log'!Q135)="C",_xlfn.IFNA(VLOOKUP('Rock Climbing Log'!Q135,'RC Lookup'!$A$3:$B$9,2,FALSE),0.5),VLOOKUP('Rock Climbing Log'!Q135,'RC Lookup'!$G$3:$H$5,2,FALSE)),0)*VLOOKUP(P$7,'RC Lookup'!$D$3:$E$18,2,FALSE)</f>
        <v>0</v>
      </c>
      <c r="R135" s="26">
        <f>_xlfn.IFNA(IF(LEFT('Rock Climbing Log'!R135)="C",_xlfn.IFNA(VLOOKUP('Rock Climbing Log'!R135,'RC Lookup'!$A$3:$B$9,2,FALSE),0.5),VLOOKUP('Rock Climbing Log'!R135,'RC Lookup'!$G$3:$H$5,2,FALSE)),0)*VLOOKUP(P$7,'RC Lookup'!$D$3:$E$18,2,FALSE)</f>
        <v>0</v>
      </c>
      <c r="S135" s="26">
        <f>_xlfn.IFNA(IF(LEFT('Rock Climbing Log'!S135)="C",_xlfn.IFNA(VLOOKUP('Rock Climbing Log'!S135,'RC Lookup'!$A$3:$B$9,2,FALSE),0.5),VLOOKUP('Rock Climbing Log'!S135,'RC Lookup'!$G$3:$H$5,2,FALSE)),0)*VLOOKUP(S$7,'RC Lookup'!$D$3:$E$18,2,FALSE)</f>
        <v>0</v>
      </c>
      <c r="T135" s="26">
        <f>_xlfn.IFNA(IF(LEFT('Rock Climbing Log'!T135)="C",_xlfn.IFNA(VLOOKUP('Rock Climbing Log'!T135,'RC Lookup'!$A$3:$B$9,2,FALSE),0.5),VLOOKUP('Rock Climbing Log'!T135,'RC Lookup'!$G$3:$H$5,2,FALSE)),0)*VLOOKUP(S$7,'RC Lookup'!$D$3:$E$18,2,FALSE)</f>
        <v>0</v>
      </c>
      <c r="U135" s="26">
        <f>_xlfn.IFNA(IF(LEFT('Rock Climbing Log'!U135)="C",_xlfn.IFNA(VLOOKUP('Rock Climbing Log'!U135,'RC Lookup'!$A$3:$B$9,2,FALSE),0.5),VLOOKUP('Rock Climbing Log'!U135,'RC Lookup'!$G$3:$H$5,2,FALSE)),0)*VLOOKUP(S$7,'RC Lookup'!$D$3:$E$18,2,FALSE)</f>
        <v>0</v>
      </c>
      <c r="V135" s="26">
        <f>_xlfn.IFNA(IF(LEFT('Rock Climbing Log'!V135)="C",_xlfn.IFNA(VLOOKUP('Rock Climbing Log'!V135,'RC Lookup'!$A$3:$B$9,2,FALSE),0.5),VLOOKUP('Rock Climbing Log'!V135,'RC Lookup'!$G$3:$H$5,2,FALSE)),0)*VLOOKUP(V$7,'RC Lookup'!$D$3:$E$18,2,FALSE)</f>
        <v>0</v>
      </c>
      <c r="W135" s="26">
        <f>_xlfn.IFNA(IF(LEFT('Rock Climbing Log'!W135)="C",_xlfn.IFNA(VLOOKUP('Rock Climbing Log'!W135,'RC Lookup'!$A$3:$B$9,2,FALSE),0.5),VLOOKUP('Rock Climbing Log'!W135,'RC Lookup'!$G$3:$H$5,2,FALSE)),0)*VLOOKUP(V$7,'RC Lookup'!$D$3:$E$18,2,FALSE)</f>
        <v>0</v>
      </c>
      <c r="X135" s="26">
        <f>_xlfn.IFNA(IF(LEFT('Rock Climbing Log'!X135)="C",_xlfn.IFNA(VLOOKUP('Rock Climbing Log'!X135,'RC Lookup'!$A$3:$B$9,2,FALSE),0.5),VLOOKUP('Rock Climbing Log'!X135,'RC Lookup'!$G$3:$H$5,2,FALSE)),0)*VLOOKUP(V$7,'RC Lookup'!$D$3:$E$18,2,FALSE)</f>
        <v>0</v>
      </c>
      <c r="Y135" s="26">
        <f>_xlfn.IFNA(IF(LEFT('Rock Climbing Log'!Y135)="C",_xlfn.IFNA(VLOOKUP('Rock Climbing Log'!Y135,'RC Lookup'!$A$3:$B$9,2,FALSE),0.5),VLOOKUP('Rock Climbing Log'!Y135,'RC Lookup'!$G$3:$H$5,2,FALSE)),0)*VLOOKUP(Y$7,'RC Lookup'!$D$3:$E$18,2,FALSE)</f>
        <v>0</v>
      </c>
      <c r="Z135" s="26">
        <f>_xlfn.IFNA(IF(LEFT('Rock Climbing Log'!Z135)="C",_xlfn.IFNA(VLOOKUP('Rock Climbing Log'!Z135,'RC Lookup'!$A$3:$B$9,2,FALSE),0.5),VLOOKUP('Rock Climbing Log'!Z135,'RC Lookup'!$G$3:$H$5,2,FALSE)),0)*VLOOKUP(Y$7,'RC Lookup'!$D$3:$E$18,2,FALSE)</f>
        <v>0</v>
      </c>
      <c r="AA135" s="26">
        <f>_xlfn.IFNA(IF(LEFT('Rock Climbing Log'!AA135)="C",_xlfn.IFNA(VLOOKUP('Rock Climbing Log'!AA135,'RC Lookup'!$A$3:$B$9,2,FALSE),0.5),VLOOKUP('Rock Climbing Log'!AA135,'RC Lookup'!$G$3:$H$5,2,FALSE)),0)*VLOOKUP(Y$7,'RC Lookup'!$D$3:$E$18,2,FALSE)</f>
        <v>0</v>
      </c>
      <c r="AB135" s="26">
        <f>_xlfn.IFNA(IF(LEFT('Rock Climbing Log'!AB135)="C",_xlfn.IFNA(VLOOKUP('Rock Climbing Log'!AB135,'RC Lookup'!$A$3:$B$9,2,FALSE),0.5),VLOOKUP('Rock Climbing Log'!AB135,'RC Lookup'!$G$3:$H$5,2,FALSE)),0)*VLOOKUP(AB$7,'RC Lookup'!$D$3:$E$18,2,FALSE)</f>
        <v>0</v>
      </c>
      <c r="AC135" s="26">
        <f>_xlfn.IFNA(IF(LEFT('Rock Climbing Log'!AC135)="C",_xlfn.IFNA(VLOOKUP('Rock Climbing Log'!AC135,'RC Lookup'!$A$3:$B$9,2,FALSE),0.5),VLOOKUP('Rock Climbing Log'!AC135,'RC Lookup'!$G$3:$H$5,2,FALSE)),0)*VLOOKUP(AB$7,'RC Lookup'!$D$3:$E$18,2,FALSE)</f>
        <v>0</v>
      </c>
      <c r="AD135" s="26">
        <f>_xlfn.IFNA(IF(LEFT('Rock Climbing Log'!AD135)="C",_xlfn.IFNA(VLOOKUP('Rock Climbing Log'!AD135,'RC Lookup'!$A$3:$B$9,2,FALSE),0.5),VLOOKUP('Rock Climbing Log'!AD135,'RC Lookup'!$G$3:$H$5,2,FALSE)),0)*VLOOKUP(AB$7,'RC Lookup'!$D$3:$E$18,2,FALSE)</f>
        <v>0</v>
      </c>
      <c r="AE135" s="26">
        <f>_xlfn.IFNA(IF(LEFT('Rock Climbing Log'!AE135)="C",_xlfn.IFNA(VLOOKUP('Rock Climbing Log'!AE135,'RC Lookup'!$A$3:$B$9,2,FALSE),0.5),VLOOKUP('Rock Climbing Log'!AE135,'RC Lookup'!$G$3:$H$5,2,FALSE)),0)*VLOOKUP(AE$7,'RC Lookup'!$D$3:$E$18,2,FALSE)</f>
        <v>0</v>
      </c>
      <c r="AF135" s="26">
        <f>_xlfn.IFNA(IF(LEFT('Rock Climbing Log'!AF135)="C",_xlfn.IFNA(VLOOKUP('Rock Climbing Log'!AF135,'RC Lookup'!$A$3:$B$9,2,FALSE),0.5),VLOOKUP('Rock Climbing Log'!AF135,'RC Lookup'!$G$3:$H$5,2,FALSE)),0)*VLOOKUP(AE$7,'RC Lookup'!$D$3:$E$18,2,FALSE)</f>
        <v>0</v>
      </c>
      <c r="AG135" s="26">
        <f>_xlfn.IFNA(IF(LEFT('Rock Climbing Log'!AG135)="C",_xlfn.IFNA(VLOOKUP('Rock Climbing Log'!AG135,'RC Lookup'!$A$3:$B$9,2,FALSE),0.5),VLOOKUP('Rock Climbing Log'!AG135,'RC Lookup'!$G$3:$H$5,2,FALSE)),0)*VLOOKUP(AE$7,'RC Lookup'!$D$3:$E$18,2,FALSE)</f>
        <v>0</v>
      </c>
      <c r="AH135" s="26">
        <f>_xlfn.IFNA(IF(LEFT('Rock Climbing Log'!AH135)="C",_xlfn.IFNA(VLOOKUP('Rock Climbing Log'!AH135,'RC Lookup'!$A$3:$B$9,2,FALSE),0.5),VLOOKUP('Rock Climbing Log'!AH135,'RC Lookup'!$G$3:$H$5,2,FALSE)),0)*VLOOKUP(AH$7,'RC Lookup'!$D$3:$E$18,2,FALSE)</f>
        <v>0</v>
      </c>
      <c r="AI135" s="26">
        <f>_xlfn.IFNA(IF(LEFT('Rock Climbing Log'!AI135)="C",_xlfn.IFNA(VLOOKUP('Rock Climbing Log'!AI135,'RC Lookup'!$A$3:$B$9,2,FALSE),0.5),VLOOKUP('Rock Climbing Log'!AI135,'RC Lookup'!$G$3:$H$5,2,FALSE)),0)*VLOOKUP(AH$7,'RC Lookup'!$D$3:$E$18,2,FALSE)</f>
        <v>0</v>
      </c>
      <c r="AJ135" s="26">
        <f>_xlfn.IFNA(IF(LEFT('Rock Climbing Log'!AJ135)="C",_xlfn.IFNA(VLOOKUP('Rock Climbing Log'!AJ135,'RC Lookup'!$A$3:$B$9,2,FALSE),0.5),VLOOKUP('Rock Climbing Log'!AJ135,'RC Lookup'!$G$3:$H$5,2,FALSE)),0)*VLOOKUP(AH$7,'RC Lookup'!$D$3:$E$18,2,FALSE)</f>
        <v>0</v>
      </c>
      <c r="AK135" s="26">
        <f>_xlfn.IFNA(IF(LEFT('Rock Climbing Log'!AK135)="C",_xlfn.IFNA(VLOOKUP('Rock Climbing Log'!AK135,'RC Lookup'!$A$3:$B$9,2,FALSE),0.5),VLOOKUP('Rock Climbing Log'!AK135,'RC Lookup'!$G$3:$H$5,2,FALSE)),0)*VLOOKUP(AK$7,'RC Lookup'!$D$3:$E$18,2,FALSE)</f>
        <v>0</v>
      </c>
      <c r="AL135" s="26">
        <f>_xlfn.IFNA(IF(LEFT('Rock Climbing Log'!AL135)="C",_xlfn.IFNA(VLOOKUP('Rock Climbing Log'!AL135,'RC Lookup'!$A$3:$B$9,2,FALSE),0.5),VLOOKUP('Rock Climbing Log'!AL135,'RC Lookup'!$G$3:$H$5,2,FALSE)),0)*VLOOKUP(AK$7,'RC Lookup'!$D$3:$E$18,2,FALSE)</f>
        <v>0</v>
      </c>
      <c r="AM135" s="26">
        <f>_xlfn.IFNA(IF(LEFT('Rock Climbing Log'!AM135)="C",_xlfn.IFNA(VLOOKUP('Rock Climbing Log'!AM135,'RC Lookup'!$A$3:$B$9,2,FALSE),0.5),VLOOKUP('Rock Climbing Log'!AM135,'RC Lookup'!$G$3:$H$5,2,FALSE)),0)*VLOOKUP(AK$7,'RC Lookup'!$D$3:$E$18,2,FALSE)</f>
        <v>0</v>
      </c>
      <c r="AN135" s="26">
        <f>_xlfn.IFNA(IF(LEFT('Rock Climbing Log'!AN135)="C",_xlfn.IFNA(VLOOKUP('Rock Climbing Log'!AN135,'RC Lookup'!$A$3:$B$9,2,FALSE),0.5),VLOOKUP('Rock Climbing Log'!AN135,'RC Lookup'!$G$3:$H$5,2,FALSE)),0)*VLOOKUP(AN$7,'RC Lookup'!$D$3:$E$18,2,FALSE)</f>
        <v>0</v>
      </c>
      <c r="AO135" s="26">
        <f>_xlfn.IFNA(IF(LEFT('Rock Climbing Log'!AO135)="C",_xlfn.IFNA(VLOOKUP('Rock Climbing Log'!AO135,'RC Lookup'!$A$3:$B$9,2,FALSE),0.5),VLOOKUP('Rock Climbing Log'!AO135,'RC Lookup'!$G$3:$H$5,2,FALSE)),0)*VLOOKUP(AN$7,'RC Lookup'!$D$3:$E$18,2,FALSE)</f>
        <v>0</v>
      </c>
      <c r="AP135" s="26">
        <f>_xlfn.IFNA(IF(LEFT('Rock Climbing Log'!AP135)="C",_xlfn.IFNA(VLOOKUP('Rock Climbing Log'!AP135,'RC Lookup'!$A$3:$B$9,2,FALSE),0.5),VLOOKUP('Rock Climbing Log'!AP135,'RC Lookup'!$G$3:$H$5,2,FALSE)),0)*VLOOKUP(AN$7,'RC Lookup'!$D$3:$E$18,2,FALSE)</f>
        <v>0</v>
      </c>
      <c r="AQ135" s="26">
        <f>_xlfn.IFNA(IF(LEFT('Rock Climbing Log'!AQ135)="C",_xlfn.IFNA(VLOOKUP('Rock Climbing Log'!AQ135,'RC Lookup'!$A$3:$B$9,2,FALSE),0.5),VLOOKUP('Rock Climbing Log'!AQ135,'RC Lookup'!$G$3:$H$5,2,FALSE)),0)*VLOOKUP(AQ$7,'RC Lookup'!$D$3:$E$18,2,FALSE)</f>
        <v>0</v>
      </c>
      <c r="AR135" s="26">
        <f>_xlfn.IFNA(IF(LEFT('Rock Climbing Log'!AR135)="C",_xlfn.IFNA(VLOOKUP('Rock Climbing Log'!AR135,'RC Lookup'!$A$3:$B$9,2,FALSE),0.5),VLOOKUP('Rock Climbing Log'!AR135,'RC Lookup'!$G$3:$H$5,2,FALSE)),0)*VLOOKUP(AQ$7,'RC Lookup'!$D$3:$E$18,2,FALSE)</f>
        <v>0</v>
      </c>
      <c r="AS135" s="26">
        <f>_xlfn.IFNA(IF(LEFT('Rock Climbing Log'!AS135)="C",_xlfn.IFNA(VLOOKUP('Rock Climbing Log'!AS135,'RC Lookup'!$A$3:$B$9,2,FALSE),0.5),VLOOKUP('Rock Climbing Log'!AS135,'RC Lookup'!$G$3:$H$5,2,FALSE)),0)*VLOOKUP(AQ$7,'RC Lookup'!$D$3:$E$18,2,FALSE)</f>
        <v>0</v>
      </c>
      <c r="AT135" s="26">
        <f>_xlfn.IFNA(IF(LEFT('Rock Climbing Log'!AT135)="C",_xlfn.IFNA(VLOOKUP('Rock Climbing Log'!AT135,'RC Lookup'!$A$3:$B$9,2,FALSE),0.5),VLOOKUP('Rock Climbing Log'!AT135,'RC Lookup'!$G$3:$H$5,2,FALSE)),0)*VLOOKUP(AT$7,'RC Lookup'!$D$3:$E$18,2,FALSE)</f>
        <v>0</v>
      </c>
      <c r="AU135" s="26">
        <f>_xlfn.IFNA(IF(LEFT('Rock Climbing Log'!AU135)="C",_xlfn.IFNA(VLOOKUP('Rock Climbing Log'!AU135,'RC Lookup'!$A$3:$B$9,2,FALSE),0.5),VLOOKUP('Rock Climbing Log'!AU135,'RC Lookup'!$G$3:$H$5,2,FALSE)),0)*VLOOKUP(AT$7,'RC Lookup'!$D$3:$E$18,2,FALSE)</f>
        <v>0</v>
      </c>
      <c r="AV135" s="26">
        <f>_xlfn.IFNA(IF(LEFT('Rock Climbing Log'!AV135)="C",_xlfn.IFNA(VLOOKUP('Rock Climbing Log'!AV135,'RC Lookup'!$A$3:$B$9,2,FALSE),0.5),VLOOKUP('Rock Climbing Log'!AV135,'RC Lookup'!$G$3:$H$5,2,FALSE)),0)*VLOOKUP(AT$7,'RC Lookup'!$D$3:$E$18,2,FALSE)</f>
        <v>0</v>
      </c>
      <c r="AW135" s="30">
        <f t="shared" ca="1" si="4"/>
        <v>0</v>
      </c>
      <c r="AX135" s="30">
        <f ca="1">_xlfn.IFNA(VLOOKUP(SUMPRODUCT(LARGE(($C$8:$C135=Table1[[#This Row],[Climber]])*$A$8:$A135,1)),$A$8:$AW135,MATCH($AW$7,$A$7:$AW$7,FALSE),FALSE),0)/LEFT($AX$7,FIND(" ",$AX$7))+_xlfn.IFNA(VLOOKUP(SUMPRODUCT(LARGE(($C$8:$C135=Table1[[#This Row],[Climber]])*$A$8:$A135,MIN(2,COUNTIFS($C$8:$C135,$C135)))),$A$8:$AW135,MATCH($AW$7,$A$7:$AW$7,FALSE),FALSE),0)/LEFT($AX$7,FIND(" ",$AX$7))+_xlfn.IFNA(VLOOKUP(SUMPRODUCT(LARGE(($C$8:$C135=Table1[[#This Row],[Climber]])*$A$8:$A135,MIN(3,COUNTIFS($C$8:$C135,$C135)))),$A$8:$AW135,MATCH($AW$7,$A$7:$AW$7,FALSE),FALSE),0)/LEFT($AX$7,FIND(" ",$AX$7))</f>
        <v>0</v>
      </c>
      <c r="AY135" s="30">
        <f ca="1">_xlfn.IFNA(VLOOKUP(SUMPRODUCT(LARGE(($C$8:$C135=Table1[[#This Row],[Climber]])*$A$8:$A135,1)),$A$8:$AW135,MATCH($AW$7,$A$7:$AW$7,FALSE),FALSE),0)/LEFT($AY$7,FIND(" ",$AY$7))+_xlfn.IFNA(VLOOKUP(SUMPRODUCT(LARGE(($C$8:$C135=Table1[[#This Row],[Climber]])*$A$8:$A135,MIN(2,COUNTIFS($C$8:$C135,$C135)))),$A$8:$AW135,MATCH($AW$7,$A$7:$AW$7,FALSE),FALSE),0)/LEFT($AY$7,FIND(" ",$AY$7))+_xlfn.IFNA(VLOOKUP(SUMPRODUCT(LARGE(($C$8:$C135=Table1[[#This Row],[Climber]])*$A$8:$A135,MIN(3,COUNTIFS($C$8:$C135,$C135)))),$A$8:$AW135,MATCH($AW$7,$A$7:$AW$7,FALSE),FALSE),0)/LEFT($AY$7,FIND(" ",$AY$7))+_xlfn.IFNA(VLOOKUP(SUMPRODUCT(LARGE(($C$8:$C135=Table1[[#This Row],[Climber]])*$A$8:$A135,MIN(4,COUNTIFS($C$8:$C135,$C135)))),$A$8:$AW135,MATCH($AW$7,$A$7:$AW$7,FALSE),FALSE),0)/LEFT($AY$7,FIND(" ",$AY$7))+_xlfn.IFNA(VLOOKUP(SUMPRODUCT(LARGE(($C$8:$C135=Table1[[#This Row],[Climber]])*$A$8:$A135,MIN(5,COUNTIFS($C$8:$C135,$C135)))),$A$8:$AW135,MATCH($AW$7,$A$7:$AW$7,FALSE),FALSE),0)/LEFT($AY$7,FIND(" ",$AY$7))</f>
        <v>0</v>
      </c>
      <c r="AZ135" s="30">
        <f ca="1">(_xlfn.IFNA(VLOOKUP(SUMPRODUCT(LARGE(($C$8:$C135=Table1[[#This Row],[Climber]])*$A$8:$A135,4)),$A$8:$AW135,MATCH($AW$7,$A$7:$AW$7,FALSE),FALSE),0)+_xlfn.IFNA(VLOOKUP(SUMPRODUCT(LARGE(($C$8:$C135=Table1[[#This Row],[Climber]])*$A$8:$A135,5)),$A$8:$AW135,MATCH($AW$7,$A$7:$AW$7,FALSE),FALSE),0)+_xlfn.IFNA(VLOOKUP(SUMPRODUCT(LARGE(($C$8:$C135=Table1[[#This Row],[Climber]])*$A$8:$A135,6)),$A$8:$AW135,MATCH($AW$7,$A$7:$AW$7,FALSE),FALSE),0))/3</f>
        <v>0</v>
      </c>
      <c r="BA135" s="46">
        <f ca="1">_xlfn.MAXIFS(INDIRECT("$AW"&amp;IF(SUMPRODUCT(LARGE(($C$8:$C135=$C135)*$A$8:$A135,LEFT($BA$7,FIND(" ",$BA$7)-1)))=0,8,SUMPRODUCT(LARGE(($C$8:$C135=$C135)*$A$8:$A135,LEFT($BA$7,FIND(" ",$BA$7)-1)))+7)&amp;":$AW"&amp;ROW()),INDIRECT("$C"&amp;IF(SUMPRODUCT(LARGE(($C$8:$C135=$C135)*$A$8:$A135,LEFT($BA$7,FIND(" ",$BA$7)-1)))=0,8,SUMPRODUCT(LARGE(($C$8:$C135=$C135)*$A$8:$A135,LEFT($BA$7,FIND(" ",$BA$7)-1)))+7)&amp;":$C"&amp;ROW()),$C135)</f>
        <v>0</v>
      </c>
      <c r="BB135" s="46" t="str">
        <f ca="1">VLOOKUP(MAX(BG135,$AX135),'RC Lookup'!$G$14:$J$20,2,TRUE)</f>
        <v>T1</v>
      </c>
      <c r="BC135" s="46">
        <f ca="1">_xlfn.IFNA(VLOOKUP(VLOOKUP($C135,'RC Lookup'!$O$3:$P$50,2,FALSE),'RC Lookup'!$H$14:$J$23,2,FALSE),0)*AW135</f>
        <v>0</v>
      </c>
      <c r="BD135" s="6">
        <f ca="1">_xlfn.IFNA(VLOOKUP(SUMPRODUCT(LARGE(($C$8:$C135=Table1[[#This Row],[Climber]])*$A$8:$A135,1)),$A$8:$BC135,55,FALSE),0)/LEFT($AX$7,FIND(" ",$AX$7))+_xlfn.IFNA(VLOOKUP(SUMPRODUCT(LARGE(($C$8:$C135=Table1[[#This Row],[Climber]])*$A$8:$A135,MIN(2,COUNTIFS($C$8:$C135,$C135)))),$A$8:$BC135,55,FALSE),0)/LEFT($AX$7,FIND(" ",$AX$7))+_xlfn.IFNA(VLOOKUP(SUMPRODUCT(LARGE(($C$8:$C135=Table1[[#This Row],[Climber]])*$A$8:$A135,MIN(3,COUNTIFS($C$8:$C135,$C135)))),$A$8:$BC135,55,FALSE),0)/LEFT($AX$7,FIND(" ",$AX$7))</f>
        <v>0</v>
      </c>
      <c r="BE135" s="6">
        <f ca="1">(_xlfn.IFNA(VLOOKUP(SUMPRODUCT(LARGE(($C$8:$C135=Table1[[#This Row],[Climber]])*$A$8:$A135,4)),$A$8:$BD135,55,FALSE),0)+_xlfn.IFNA(VLOOKUP(SUMPRODUCT(LARGE(($C$8:$C135=Table1[[#This Row],[Climber]])*$A$8:$A135,5)),$A$8:$BD135,55,FALSE),0)+_xlfn.IFNA(VLOOKUP(SUMPRODUCT(LARGE(($C$8:$C135=Table1[[#This Row],[Climber]])*$A$8:$A135,6)),$A$8:$BD135,55,FALSE),0))/3</f>
        <v>0</v>
      </c>
      <c r="BF135" s="46">
        <f ca="1">_xlfn.MAXIFS(INDIRECT("$BC"&amp;IF(SUMPRODUCT(LARGE(($C$8:$C135=$C135)*$A$8:$A135,LEFT($BA$7,FIND(" ",$BA$7)-1)))=0,8,SUMPRODUCT(LARGE(($C$8:$C135=$C135)*$A$8:$A135,LEFT($BA$7,FIND(" ",$BA$7)-1)))+7)&amp;":$BC"&amp;ROW()),INDIRECT("$C"&amp;IF(SUMPRODUCT(LARGE(($C$8:$C135=$C135)*$A$8:$A135,LEFT($BA$7,FIND(" ",$BA$7)-1)))=0,8,SUMPRODUCT(LARGE(($C$8:$C135=$C135)*$A$8:$A135,LEFT($BA$7,FIND(" ",$BA$7)-1)))+7)&amp;":$C"&amp;ROW()),$C135)</f>
        <v>0</v>
      </c>
      <c r="BG135" s="46">
        <f t="array" aca="1" ref="BG135" ca="1">IFERROR(SUMPRODUCT(LARGE(($C$8:$C135=Table1[[#This Row],[Climber]])*$AW$8:$AW135,ROW(INDIRECT("1:5")))),AW135)/MIN(COUNTIFS($C$8:$C135,C135),5)</f>
        <v>0</v>
      </c>
    </row>
    <row r="136" spans="1:59" x14ac:dyDescent="0.3">
      <c r="A136" s="125">
        <f t="shared" si="1"/>
        <v>129</v>
      </c>
      <c r="B136" s="25">
        <f>'Rock Climbing Log'!B136</f>
        <v>0</v>
      </c>
      <c r="C136" s="126">
        <f>'Rock Climbing Log'!C136</f>
        <v>0</v>
      </c>
      <c r="D136" s="26">
        <f>_xlfn.IFNA(IF(LEFT('Rock Climbing Log'!D136)="C",_xlfn.IFNA(VLOOKUP('Rock Climbing Log'!D136,'RC Lookup'!$A$3:$B$9,2,FALSE),0.5),VLOOKUP('Rock Climbing Log'!D136,'RC Lookup'!$G$3:$H$5,2,FALSE)),0)*VLOOKUP(D$7,'RC Lookup'!$D$3:$E$18,2,FALSE)</f>
        <v>0</v>
      </c>
      <c r="E136" s="26">
        <f>_xlfn.IFNA(IF(LEFT('Rock Climbing Log'!E136)="C",_xlfn.IFNA(VLOOKUP('Rock Climbing Log'!E136,'RC Lookup'!$A$3:$B$9,2,FALSE),0.5),VLOOKUP('Rock Climbing Log'!E136,'RC Lookup'!$G$3:$H$5,2,FALSE)),0)*VLOOKUP(D$7,'RC Lookup'!$D$3:$E$18,2,FALSE)</f>
        <v>0</v>
      </c>
      <c r="F136" s="26">
        <f>_xlfn.IFNA(IF(LEFT('Rock Climbing Log'!F136)="C",_xlfn.IFNA(VLOOKUP('Rock Climbing Log'!F136,'RC Lookup'!$A$3:$B$9,2,FALSE),0.5),VLOOKUP('Rock Climbing Log'!F136,'RC Lookup'!$G$3:$H$5,2,FALSE)),0)*VLOOKUP(D$7,'RC Lookup'!$D$3:$E$18,2,FALSE)</f>
        <v>0</v>
      </c>
      <c r="G136" s="26">
        <f>_xlfn.IFNA(IF(LEFT('Rock Climbing Log'!G136)="C",_xlfn.IFNA(VLOOKUP('Rock Climbing Log'!G136,'RC Lookup'!$A$3:$B$9,2,FALSE),0.5),VLOOKUP('Rock Climbing Log'!G136,'RC Lookup'!$G$3:$H$5,2,FALSE)),0)*VLOOKUP(G$7,'RC Lookup'!$D$3:$E$18,2,FALSE)</f>
        <v>0</v>
      </c>
      <c r="H136" s="26">
        <f>_xlfn.IFNA(IF(LEFT('Rock Climbing Log'!H136)="C",_xlfn.IFNA(VLOOKUP('Rock Climbing Log'!H136,'RC Lookup'!$A$3:$B$9,2,FALSE),0.5),VLOOKUP('Rock Climbing Log'!H136,'RC Lookup'!$G$3:$H$5,2,FALSE)),0)*VLOOKUP(G$7,'RC Lookup'!$D$3:$E$18,2,FALSE)</f>
        <v>0</v>
      </c>
      <c r="I136" s="26">
        <f>_xlfn.IFNA(IF(LEFT('Rock Climbing Log'!I136)="C",_xlfn.IFNA(VLOOKUP('Rock Climbing Log'!I136,'RC Lookup'!$A$3:$B$9,2,FALSE),0.5),VLOOKUP('Rock Climbing Log'!I136,'RC Lookup'!$G$3:$H$5,2,FALSE)),0)*VLOOKUP(G$7,'RC Lookup'!$D$3:$E$18,2,FALSE)</f>
        <v>0</v>
      </c>
      <c r="J136" s="26">
        <f>_xlfn.IFNA(IF(LEFT('Rock Climbing Log'!J136)="C",_xlfn.IFNA(VLOOKUP('Rock Climbing Log'!J136,'RC Lookup'!$A$3:$B$9,2,FALSE),0.5),VLOOKUP('Rock Climbing Log'!J136,'RC Lookup'!$G$3:$H$5,2,FALSE)),0)*VLOOKUP(J$7,'RC Lookup'!$D$3:$E$18,2,FALSE)</f>
        <v>0</v>
      </c>
      <c r="K136" s="26">
        <f>_xlfn.IFNA(IF(LEFT('Rock Climbing Log'!K136)="C",_xlfn.IFNA(VLOOKUP('Rock Climbing Log'!K136,'RC Lookup'!$A$3:$B$9,2,FALSE),0.5),VLOOKUP('Rock Climbing Log'!K136,'RC Lookup'!$G$3:$H$5,2,FALSE)),0)*VLOOKUP(J$7,'RC Lookup'!$D$3:$E$18,2,FALSE)</f>
        <v>0</v>
      </c>
      <c r="L136" s="26">
        <f>_xlfn.IFNA(IF(LEFT('Rock Climbing Log'!L136)="C",_xlfn.IFNA(VLOOKUP('Rock Climbing Log'!L136,'RC Lookup'!$A$3:$B$9,2,FALSE),0.5),VLOOKUP('Rock Climbing Log'!L136,'RC Lookup'!$G$3:$H$5,2,FALSE)),0)*VLOOKUP(J$7,'RC Lookup'!$D$3:$E$18,2,FALSE)</f>
        <v>0</v>
      </c>
      <c r="M136" s="26">
        <f>_xlfn.IFNA(IF(LEFT('Rock Climbing Log'!M136)="C",_xlfn.IFNA(VLOOKUP('Rock Climbing Log'!M136,'RC Lookup'!$A$3:$B$9,2,FALSE),0.5),VLOOKUP('Rock Climbing Log'!M136,'RC Lookup'!$G$3:$H$5,2,FALSE)),0)*VLOOKUP(M$7,'RC Lookup'!$D$3:$E$18,2,FALSE)</f>
        <v>0</v>
      </c>
      <c r="N136" s="26">
        <f>_xlfn.IFNA(IF(LEFT('Rock Climbing Log'!N136)="C",_xlfn.IFNA(VLOOKUP('Rock Climbing Log'!N136,'RC Lookup'!$A$3:$B$9,2,FALSE),0.5),VLOOKUP('Rock Climbing Log'!N136,'RC Lookup'!$G$3:$H$5,2,FALSE)),0)*VLOOKUP(M$7,'RC Lookup'!$D$3:$E$18,2,FALSE)</f>
        <v>0</v>
      </c>
      <c r="O136" s="26">
        <f>_xlfn.IFNA(IF(LEFT('Rock Climbing Log'!O136)="C",_xlfn.IFNA(VLOOKUP('Rock Climbing Log'!O136,'RC Lookup'!$A$3:$B$9,2,FALSE),0.5),VLOOKUP('Rock Climbing Log'!O136,'RC Lookup'!$G$3:$H$5,2,FALSE)),0)*VLOOKUP(M$7,'RC Lookup'!$D$3:$E$18,2,FALSE)</f>
        <v>0</v>
      </c>
      <c r="P136" s="26">
        <f>_xlfn.IFNA(IF(LEFT('Rock Climbing Log'!P136)="C",_xlfn.IFNA(VLOOKUP('Rock Climbing Log'!P136,'RC Lookup'!$A$3:$B$9,2,FALSE),0.5),VLOOKUP('Rock Climbing Log'!P136,'RC Lookup'!$G$3:$H$5,2,FALSE)),0)*VLOOKUP(P$7,'RC Lookup'!$D$3:$E$18,2,FALSE)</f>
        <v>0</v>
      </c>
      <c r="Q136" s="26">
        <f>_xlfn.IFNA(IF(LEFT('Rock Climbing Log'!Q136)="C",_xlfn.IFNA(VLOOKUP('Rock Climbing Log'!Q136,'RC Lookup'!$A$3:$B$9,2,FALSE),0.5),VLOOKUP('Rock Climbing Log'!Q136,'RC Lookup'!$G$3:$H$5,2,FALSE)),0)*VLOOKUP(P$7,'RC Lookup'!$D$3:$E$18,2,FALSE)</f>
        <v>0</v>
      </c>
      <c r="R136" s="26">
        <f>_xlfn.IFNA(IF(LEFT('Rock Climbing Log'!R136)="C",_xlfn.IFNA(VLOOKUP('Rock Climbing Log'!R136,'RC Lookup'!$A$3:$B$9,2,FALSE),0.5),VLOOKUP('Rock Climbing Log'!R136,'RC Lookup'!$G$3:$H$5,2,FALSE)),0)*VLOOKUP(P$7,'RC Lookup'!$D$3:$E$18,2,FALSE)</f>
        <v>0</v>
      </c>
      <c r="S136" s="26">
        <f>_xlfn.IFNA(IF(LEFT('Rock Climbing Log'!S136)="C",_xlfn.IFNA(VLOOKUP('Rock Climbing Log'!S136,'RC Lookup'!$A$3:$B$9,2,FALSE),0.5),VLOOKUP('Rock Climbing Log'!S136,'RC Lookup'!$G$3:$H$5,2,FALSE)),0)*VLOOKUP(S$7,'RC Lookup'!$D$3:$E$18,2,FALSE)</f>
        <v>0</v>
      </c>
      <c r="T136" s="26">
        <f>_xlfn.IFNA(IF(LEFT('Rock Climbing Log'!T136)="C",_xlfn.IFNA(VLOOKUP('Rock Climbing Log'!T136,'RC Lookup'!$A$3:$B$9,2,FALSE),0.5),VLOOKUP('Rock Climbing Log'!T136,'RC Lookup'!$G$3:$H$5,2,FALSE)),0)*VLOOKUP(S$7,'RC Lookup'!$D$3:$E$18,2,FALSE)</f>
        <v>0</v>
      </c>
      <c r="U136" s="26">
        <f>_xlfn.IFNA(IF(LEFT('Rock Climbing Log'!U136)="C",_xlfn.IFNA(VLOOKUP('Rock Climbing Log'!U136,'RC Lookup'!$A$3:$B$9,2,FALSE),0.5),VLOOKUP('Rock Climbing Log'!U136,'RC Lookup'!$G$3:$H$5,2,FALSE)),0)*VLOOKUP(S$7,'RC Lookup'!$D$3:$E$18,2,FALSE)</f>
        <v>0</v>
      </c>
      <c r="V136" s="26">
        <f>_xlfn.IFNA(IF(LEFT('Rock Climbing Log'!V136)="C",_xlfn.IFNA(VLOOKUP('Rock Climbing Log'!V136,'RC Lookup'!$A$3:$B$9,2,FALSE),0.5),VLOOKUP('Rock Climbing Log'!V136,'RC Lookup'!$G$3:$H$5,2,FALSE)),0)*VLOOKUP(V$7,'RC Lookup'!$D$3:$E$18,2,FALSE)</f>
        <v>0</v>
      </c>
      <c r="W136" s="26">
        <f>_xlfn.IFNA(IF(LEFT('Rock Climbing Log'!W136)="C",_xlfn.IFNA(VLOOKUP('Rock Climbing Log'!W136,'RC Lookup'!$A$3:$B$9,2,FALSE),0.5),VLOOKUP('Rock Climbing Log'!W136,'RC Lookup'!$G$3:$H$5,2,FALSE)),0)*VLOOKUP(V$7,'RC Lookup'!$D$3:$E$18,2,FALSE)</f>
        <v>0</v>
      </c>
      <c r="X136" s="26">
        <f>_xlfn.IFNA(IF(LEFT('Rock Climbing Log'!X136)="C",_xlfn.IFNA(VLOOKUP('Rock Climbing Log'!X136,'RC Lookup'!$A$3:$B$9,2,FALSE),0.5),VLOOKUP('Rock Climbing Log'!X136,'RC Lookup'!$G$3:$H$5,2,FALSE)),0)*VLOOKUP(V$7,'RC Lookup'!$D$3:$E$18,2,FALSE)</f>
        <v>0</v>
      </c>
      <c r="Y136" s="26">
        <f>_xlfn.IFNA(IF(LEFT('Rock Climbing Log'!Y136)="C",_xlfn.IFNA(VLOOKUP('Rock Climbing Log'!Y136,'RC Lookup'!$A$3:$B$9,2,FALSE),0.5),VLOOKUP('Rock Climbing Log'!Y136,'RC Lookup'!$G$3:$H$5,2,FALSE)),0)*VLOOKUP(Y$7,'RC Lookup'!$D$3:$E$18,2,FALSE)</f>
        <v>0</v>
      </c>
      <c r="Z136" s="26">
        <f>_xlfn.IFNA(IF(LEFT('Rock Climbing Log'!Z136)="C",_xlfn.IFNA(VLOOKUP('Rock Climbing Log'!Z136,'RC Lookup'!$A$3:$B$9,2,FALSE),0.5),VLOOKUP('Rock Climbing Log'!Z136,'RC Lookup'!$G$3:$H$5,2,FALSE)),0)*VLOOKUP(Y$7,'RC Lookup'!$D$3:$E$18,2,FALSE)</f>
        <v>0</v>
      </c>
      <c r="AA136" s="26">
        <f>_xlfn.IFNA(IF(LEFT('Rock Climbing Log'!AA136)="C",_xlfn.IFNA(VLOOKUP('Rock Climbing Log'!AA136,'RC Lookup'!$A$3:$B$9,2,FALSE),0.5),VLOOKUP('Rock Climbing Log'!AA136,'RC Lookup'!$G$3:$H$5,2,FALSE)),0)*VLOOKUP(Y$7,'RC Lookup'!$D$3:$E$18,2,FALSE)</f>
        <v>0</v>
      </c>
      <c r="AB136" s="26">
        <f>_xlfn.IFNA(IF(LEFT('Rock Climbing Log'!AB136)="C",_xlfn.IFNA(VLOOKUP('Rock Climbing Log'!AB136,'RC Lookup'!$A$3:$B$9,2,FALSE),0.5),VLOOKUP('Rock Climbing Log'!AB136,'RC Lookup'!$G$3:$H$5,2,FALSE)),0)*VLOOKUP(AB$7,'RC Lookup'!$D$3:$E$18,2,FALSE)</f>
        <v>0</v>
      </c>
      <c r="AC136" s="26">
        <f>_xlfn.IFNA(IF(LEFT('Rock Climbing Log'!AC136)="C",_xlfn.IFNA(VLOOKUP('Rock Climbing Log'!AC136,'RC Lookup'!$A$3:$B$9,2,FALSE),0.5),VLOOKUP('Rock Climbing Log'!AC136,'RC Lookup'!$G$3:$H$5,2,FALSE)),0)*VLOOKUP(AB$7,'RC Lookup'!$D$3:$E$18,2,FALSE)</f>
        <v>0</v>
      </c>
      <c r="AD136" s="26">
        <f>_xlfn.IFNA(IF(LEFT('Rock Climbing Log'!AD136)="C",_xlfn.IFNA(VLOOKUP('Rock Climbing Log'!AD136,'RC Lookup'!$A$3:$B$9,2,FALSE),0.5),VLOOKUP('Rock Climbing Log'!AD136,'RC Lookup'!$G$3:$H$5,2,FALSE)),0)*VLOOKUP(AB$7,'RC Lookup'!$D$3:$E$18,2,FALSE)</f>
        <v>0</v>
      </c>
      <c r="AE136" s="26">
        <f>_xlfn.IFNA(IF(LEFT('Rock Climbing Log'!AE136)="C",_xlfn.IFNA(VLOOKUP('Rock Climbing Log'!AE136,'RC Lookup'!$A$3:$B$9,2,FALSE),0.5),VLOOKUP('Rock Climbing Log'!AE136,'RC Lookup'!$G$3:$H$5,2,FALSE)),0)*VLOOKUP(AE$7,'RC Lookup'!$D$3:$E$18,2,FALSE)</f>
        <v>0</v>
      </c>
      <c r="AF136" s="26">
        <f>_xlfn.IFNA(IF(LEFT('Rock Climbing Log'!AF136)="C",_xlfn.IFNA(VLOOKUP('Rock Climbing Log'!AF136,'RC Lookup'!$A$3:$B$9,2,FALSE),0.5),VLOOKUP('Rock Climbing Log'!AF136,'RC Lookup'!$G$3:$H$5,2,FALSE)),0)*VLOOKUP(AE$7,'RC Lookup'!$D$3:$E$18,2,FALSE)</f>
        <v>0</v>
      </c>
      <c r="AG136" s="26">
        <f>_xlfn.IFNA(IF(LEFT('Rock Climbing Log'!AG136)="C",_xlfn.IFNA(VLOOKUP('Rock Climbing Log'!AG136,'RC Lookup'!$A$3:$B$9,2,FALSE),0.5),VLOOKUP('Rock Climbing Log'!AG136,'RC Lookup'!$G$3:$H$5,2,FALSE)),0)*VLOOKUP(AE$7,'RC Lookup'!$D$3:$E$18,2,FALSE)</f>
        <v>0</v>
      </c>
      <c r="AH136" s="26">
        <f>_xlfn.IFNA(IF(LEFT('Rock Climbing Log'!AH136)="C",_xlfn.IFNA(VLOOKUP('Rock Climbing Log'!AH136,'RC Lookup'!$A$3:$B$9,2,FALSE),0.5),VLOOKUP('Rock Climbing Log'!AH136,'RC Lookup'!$G$3:$H$5,2,FALSE)),0)*VLOOKUP(AH$7,'RC Lookup'!$D$3:$E$18,2,FALSE)</f>
        <v>0</v>
      </c>
      <c r="AI136" s="26">
        <f>_xlfn.IFNA(IF(LEFT('Rock Climbing Log'!AI136)="C",_xlfn.IFNA(VLOOKUP('Rock Climbing Log'!AI136,'RC Lookup'!$A$3:$B$9,2,FALSE),0.5),VLOOKUP('Rock Climbing Log'!AI136,'RC Lookup'!$G$3:$H$5,2,FALSE)),0)*VLOOKUP(AH$7,'RC Lookup'!$D$3:$E$18,2,FALSE)</f>
        <v>0</v>
      </c>
      <c r="AJ136" s="26">
        <f>_xlfn.IFNA(IF(LEFT('Rock Climbing Log'!AJ136)="C",_xlfn.IFNA(VLOOKUP('Rock Climbing Log'!AJ136,'RC Lookup'!$A$3:$B$9,2,FALSE),0.5),VLOOKUP('Rock Climbing Log'!AJ136,'RC Lookup'!$G$3:$H$5,2,FALSE)),0)*VLOOKUP(AH$7,'RC Lookup'!$D$3:$E$18,2,FALSE)</f>
        <v>0</v>
      </c>
      <c r="AK136" s="26">
        <f>_xlfn.IFNA(IF(LEFT('Rock Climbing Log'!AK136)="C",_xlfn.IFNA(VLOOKUP('Rock Climbing Log'!AK136,'RC Lookup'!$A$3:$B$9,2,FALSE),0.5),VLOOKUP('Rock Climbing Log'!AK136,'RC Lookup'!$G$3:$H$5,2,FALSE)),0)*VLOOKUP(AK$7,'RC Lookup'!$D$3:$E$18,2,FALSE)</f>
        <v>0</v>
      </c>
      <c r="AL136" s="26">
        <f>_xlfn.IFNA(IF(LEFT('Rock Climbing Log'!AL136)="C",_xlfn.IFNA(VLOOKUP('Rock Climbing Log'!AL136,'RC Lookup'!$A$3:$B$9,2,FALSE),0.5),VLOOKUP('Rock Climbing Log'!AL136,'RC Lookup'!$G$3:$H$5,2,FALSE)),0)*VLOOKUP(AK$7,'RC Lookup'!$D$3:$E$18,2,FALSE)</f>
        <v>0</v>
      </c>
      <c r="AM136" s="26">
        <f>_xlfn.IFNA(IF(LEFT('Rock Climbing Log'!AM136)="C",_xlfn.IFNA(VLOOKUP('Rock Climbing Log'!AM136,'RC Lookup'!$A$3:$B$9,2,FALSE),0.5),VLOOKUP('Rock Climbing Log'!AM136,'RC Lookup'!$G$3:$H$5,2,FALSE)),0)*VLOOKUP(AK$7,'RC Lookup'!$D$3:$E$18,2,FALSE)</f>
        <v>0</v>
      </c>
      <c r="AN136" s="26">
        <f>_xlfn.IFNA(IF(LEFT('Rock Climbing Log'!AN136)="C",_xlfn.IFNA(VLOOKUP('Rock Climbing Log'!AN136,'RC Lookup'!$A$3:$B$9,2,FALSE),0.5),VLOOKUP('Rock Climbing Log'!AN136,'RC Lookup'!$G$3:$H$5,2,FALSE)),0)*VLOOKUP(AN$7,'RC Lookup'!$D$3:$E$18,2,FALSE)</f>
        <v>0</v>
      </c>
      <c r="AO136" s="26">
        <f>_xlfn.IFNA(IF(LEFT('Rock Climbing Log'!AO136)="C",_xlfn.IFNA(VLOOKUP('Rock Climbing Log'!AO136,'RC Lookup'!$A$3:$B$9,2,FALSE),0.5),VLOOKUP('Rock Climbing Log'!AO136,'RC Lookup'!$G$3:$H$5,2,FALSE)),0)*VLOOKUP(AN$7,'RC Lookup'!$D$3:$E$18,2,FALSE)</f>
        <v>0</v>
      </c>
      <c r="AP136" s="26">
        <f>_xlfn.IFNA(IF(LEFT('Rock Climbing Log'!AP136)="C",_xlfn.IFNA(VLOOKUP('Rock Climbing Log'!AP136,'RC Lookup'!$A$3:$B$9,2,FALSE),0.5),VLOOKUP('Rock Climbing Log'!AP136,'RC Lookup'!$G$3:$H$5,2,FALSE)),0)*VLOOKUP(AN$7,'RC Lookup'!$D$3:$E$18,2,FALSE)</f>
        <v>0</v>
      </c>
      <c r="AQ136" s="26">
        <f>_xlfn.IFNA(IF(LEFT('Rock Climbing Log'!AQ136)="C",_xlfn.IFNA(VLOOKUP('Rock Climbing Log'!AQ136,'RC Lookup'!$A$3:$B$9,2,FALSE),0.5),VLOOKUP('Rock Climbing Log'!AQ136,'RC Lookup'!$G$3:$H$5,2,FALSE)),0)*VLOOKUP(AQ$7,'RC Lookup'!$D$3:$E$18,2,FALSE)</f>
        <v>0</v>
      </c>
      <c r="AR136" s="26">
        <f>_xlfn.IFNA(IF(LEFT('Rock Climbing Log'!AR136)="C",_xlfn.IFNA(VLOOKUP('Rock Climbing Log'!AR136,'RC Lookup'!$A$3:$B$9,2,FALSE),0.5),VLOOKUP('Rock Climbing Log'!AR136,'RC Lookup'!$G$3:$H$5,2,FALSE)),0)*VLOOKUP(AQ$7,'RC Lookup'!$D$3:$E$18,2,FALSE)</f>
        <v>0</v>
      </c>
      <c r="AS136" s="26">
        <f>_xlfn.IFNA(IF(LEFT('Rock Climbing Log'!AS136)="C",_xlfn.IFNA(VLOOKUP('Rock Climbing Log'!AS136,'RC Lookup'!$A$3:$B$9,2,FALSE),0.5),VLOOKUP('Rock Climbing Log'!AS136,'RC Lookup'!$G$3:$H$5,2,FALSE)),0)*VLOOKUP(AQ$7,'RC Lookup'!$D$3:$E$18,2,FALSE)</f>
        <v>0</v>
      </c>
      <c r="AT136" s="26">
        <f>_xlfn.IFNA(IF(LEFT('Rock Climbing Log'!AT136)="C",_xlfn.IFNA(VLOOKUP('Rock Climbing Log'!AT136,'RC Lookup'!$A$3:$B$9,2,FALSE),0.5),VLOOKUP('Rock Climbing Log'!AT136,'RC Lookup'!$G$3:$H$5,2,FALSE)),0)*VLOOKUP(AT$7,'RC Lookup'!$D$3:$E$18,2,FALSE)</f>
        <v>0</v>
      </c>
      <c r="AU136" s="26">
        <f>_xlfn.IFNA(IF(LEFT('Rock Climbing Log'!AU136)="C",_xlfn.IFNA(VLOOKUP('Rock Climbing Log'!AU136,'RC Lookup'!$A$3:$B$9,2,FALSE),0.5),VLOOKUP('Rock Climbing Log'!AU136,'RC Lookup'!$G$3:$H$5,2,FALSE)),0)*VLOOKUP(AT$7,'RC Lookup'!$D$3:$E$18,2,FALSE)</f>
        <v>0</v>
      </c>
      <c r="AV136" s="26">
        <f>_xlfn.IFNA(IF(LEFT('Rock Climbing Log'!AV136)="C",_xlfn.IFNA(VLOOKUP('Rock Climbing Log'!AV136,'RC Lookup'!$A$3:$B$9,2,FALSE),0.5),VLOOKUP('Rock Climbing Log'!AV136,'RC Lookup'!$G$3:$H$5,2,FALSE)),0)*VLOOKUP(AT$7,'RC Lookup'!$D$3:$E$18,2,FALSE)</f>
        <v>0</v>
      </c>
      <c r="AW136" s="30">
        <f t="shared" ref="AW136:AW157" ca="1" si="5">SUMPRODUCT(LARGE($D136:$AV136,ROW(INDIRECT("1:3"))))</f>
        <v>0</v>
      </c>
      <c r="AX136" s="30">
        <f ca="1">_xlfn.IFNA(VLOOKUP(SUMPRODUCT(LARGE(($C$8:$C136=Table1[[#This Row],[Climber]])*$A$8:$A136,1)),$A$8:$AW136,MATCH($AW$7,$A$7:$AW$7,FALSE),FALSE),0)/LEFT($AX$7,FIND(" ",$AX$7))+_xlfn.IFNA(VLOOKUP(SUMPRODUCT(LARGE(($C$8:$C136=Table1[[#This Row],[Climber]])*$A$8:$A136,MIN(2,COUNTIFS($C$8:$C136,$C136)))),$A$8:$AW136,MATCH($AW$7,$A$7:$AW$7,FALSE),FALSE),0)/LEFT($AX$7,FIND(" ",$AX$7))+_xlfn.IFNA(VLOOKUP(SUMPRODUCT(LARGE(($C$8:$C136=Table1[[#This Row],[Climber]])*$A$8:$A136,MIN(3,COUNTIFS($C$8:$C136,$C136)))),$A$8:$AW136,MATCH($AW$7,$A$7:$AW$7,FALSE),FALSE),0)/LEFT($AX$7,FIND(" ",$AX$7))</f>
        <v>0</v>
      </c>
      <c r="AY136" s="30">
        <f ca="1">_xlfn.IFNA(VLOOKUP(SUMPRODUCT(LARGE(($C$8:$C136=Table1[[#This Row],[Climber]])*$A$8:$A136,1)),$A$8:$AW136,MATCH($AW$7,$A$7:$AW$7,FALSE),FALSE),0)/LEFT($AY$7,FIND(" ",$AY$7))+_xlfn.IFNA(VLOOKUP(SUMPRODUCT(LARGE(($C$8:$C136=Table1[[#This Row],[Climber]])*$A$8:$A136,MIN(2,COUNTIFS($C$8:$C136,$C136)))),$A$8:$AW136,MATCH($AW$7,$A$7:$AW$7,FALSE),FALSE),0)/LEFT($AY$7,FIND(" ",$AY$7))+_xlfn.IFNA(VLOOKUP(SUMPRODUCT(LARGE(($C$8:$C136=Table1[[#This Row],[Climber]])*$A$8:$A136,MIN(3,COUNTIFS($C$8:$C136,$C136)))),$A$8:$AW136,MATCH($AW$7,$A$7:$AW$7,FALSE),FALSE),0)/LEFT($AY$7,FIND(" ",$AY$7))+_xlfn.IFNA(VLOOKUP(SUMPRODUCT(LARGE(($C$8:$C136=Table1[[#This Row],[Climber]])*$A$8:$A136,MIN(4,COUNTIFS($C$8:$C136,$C136)))),$A$8:$AW136,MATCH($AW$7,$A$7:$AW$7,FALSE),FALSE),0)/LEFT($AY$7,FIND(" ",$AY$7))+_xlfn.IFNA(VLOOKUP(SUMPRODUCT(LARGE(($C$8:$C136=Table1[[#This Row],[Climber]])*$A$8:$A136,MIN(5,COUNTIFS($C$8:$C136,$C136)))),$A$8:$AW136,MATCH($AW$7,$A$7:$AW$7,FALSE),FALSE),0)/LEFT($AY$7,FIND(" ",$AY$7))</f>
        <v>0</v>
      </c>
      <c r="AZ136" s="30">
        <f ca="1">(_xlfn.IFNA(VLOOKUP(SUMPRODUCT(LARGE(($C$8:$C136=Table1[[#This Row],[Climber]])*$A$8:$A136,4)),$A$8:$AW136,MATCH($AW$7,$A$7:$AW$7,FALSE),FALSE),0)+_xlfn.IFNA(VLOOKUP(SUMPRODUCT(LARGE(($C$8:$C136=Table1[[#This Row],[Climber]])*$A$8:$A136,5)),$A$8:$AW136,MATCH($AW$7,$A$7:$AW$7,FALSE),FALSE),0)+_xlfn.IFNA(VLOOKUP(SUMPRODUCT(LARGE(($C$8:$C136=Table1[[#This Row],[Climber]])*$A$8:$A136,6)),$A$8:$AW136,MATCH($AW$7,$A$7:$AW$7,FALSE),FALSE),0))/3</f>
        <v>0</v>
      </c>
      <c r="BA136" s="46">
        <f ca="1">_xlfn.MAXIFS(INDIRECT("$AW"&amp;IF(SUMPRODUCT(LARGE(($C$8:$C136=$C136)*$A$8:$A136,LEFT($BA$7,FIND(" ",$BA$7)-1)))=0,8,SUMPRODUCT(LARGE(($C$8:$C136=$C136)*$A$8:$A136,LEFT($BA$7,FIND(" ",$BA$7)-1)))+7)&amp;":$AW"&amp;ROW()),INDIRECT("$C"&amp;IF(SUMPRODUCT(LARGE(($C$8:$C136=$C136)*$A$8:$A136,LEFT($BA$7,FIND(" ",$BA$7)-1)))=0,8,SUMPRODUCT(LARGE(($C$8:$C136=$C136)*$A$8:$A136,LEFT($BA$7,FIND(" ",$BA$7)-1)))+7)&amp;":$C"&amp;ROW()),$C136)</f>
        <v>0</v>
      </c>
      <c r="BB136" s="46" t="str">
        <f ca="1">VLOOKUP(MAX(BG136,$AX136),'RC Lookup'!$G$14:$J$20,2,TRUE)</f>
        <v>T1</v>
      </c>
      <c r="BC136" s="46">
        <f ca="1">_xlfn.IFNA(VLOOKUP(VLOOKUP($C136,'RC Lookup'!$O$3:$P$50,2,FALSE),'RC Lookup'!$H$14:$J$23,2,FALSE),0)*AW136</f>
        <v>0</v>
      </c>
      <c r="BD136" s="6">
        <f ca="1">_xlfn.IFNA(VLOOKUP(SUMPRODUCT(LARGE(($C$8:$C136=Table1[[#This Row],[Climber]])*$A$8:$A136,1)),$A$8:$BC136,55,FALSE),0)/LEFT($AX$7,FIND(" ",$AX$7))+_xlfn.IFNA(VLOOKUP(SUMPRODUCT(LARGE(($C$8:$C136=Table1[[#This Row],[Climber]])*$A$8:$A136,MIN(2,COUNTIFS($C$8:$C136,$C136)))),$A$8:$BC136,55,FALSE),0)/LEFT($AX$7,FIND(" ",$AX$7))+_xlfn.IFNA(VLOOKUP(SUMPRODUCT(LARGE(($C$8:$C136=Table1[[#This Row],[Climber]])*$A$8:$A136,MIN(3,COUNTIFS($C$8:$C136,$C136)))),$A$8:$BC136,55,FALSE),0)/LEFT($AX$7,FIND(" ",$AX$7))</f>
        <v>0</v>
      </c>
      <c r="BE136" s="6">
        <f ca="1">(_xlfn.IFNA(VLOOKUP(SUMPRODUCT(LARGE(($C$8:$C136=Table1[[#This Row],[Climber]])*$A$8:$A136,4)),$A$8:$BD136,55,FALSE),0)+_xlfn.IFNA(VLOOKUP(SUMPRODUCT(LARGE(($C$8:$C136=Table1[[#This Row],[Climber]])*$A$8:$A136,5)),$A$8:$BD136,55,FALSE),0)+_xlfn.IFNA(VLOOKUP(SUMPRODUCT(LARGE(($C$8:$C136=Table1[[#This Row],[Climber]])*$A$8:$A136,6)),$A$8:$BD136,55,FALSE),0))/3</f>
        <v>0</v>
      </c>
      <c r="BF136" s="46">
        <f ca="1">_xlfn.MAXIFS(INDIRECT("$BC"&amp;IF(SUMPRODUCT(LARGE(($C$8:$C136=$C136)*$A$8:$A136,LEFT($BA$7,FIND(" ",$BA$7)-1)))=0,8,SUMPRODUCT(LARGE(($C$8:$C136=$C136)*$A$8:$A136,LEFT($BA$7,FIND(" ",$BA$7)-1)))+7)&amp;":$BC"&amp;ROW()),INDIRECT("$C"&amp;IF(SUMPRODUCT(LARGE(($C$8:$C136=$C136)*$A$8:$A136,LEFT($BA$7,FIND(" ",$BA$7)-1)))=0,8,SUMPRODUCT(LARGE(($C$8:$C136=$C136)*$A$8:$A136,LEFT($BA$7,FIND(" ",$BA$7)-1)))+7)&amp;":$C"&amp;ROW()),$C136)</f>
        <v>0</v>
      </c>
      <c r="BG136" s="46">
        <f t="array" aca="1" ref="BG136" ca="1">IFERROR(SUMPRODUCT(LARGE(($C$8:$C136=Table1[[#This Row],[Climber]])*$AW$8:$AW136,ROW(INDIRECT("1:5")))),AW136)/MIN(COUNTIFS($C$8:$C136,C136),5)</f>
        <v>0</v>
      </c>
    </row>
    <row r="137" spans="1:59" x14ac:dyDescent="0.3">
      <c r="A137" s="125">
        <f t="shared" si="1"/>
        <v>130</v>
      </c>
      <c r="B137" s="25">
        <f>'Rock Climbing Log'!B137</f>
        <v>0</v>
      </c>
      <c r="C137" s="126">
        <f>'Rock Climbing Log'!C137</f>
        <v>0</v>
      </c>
      <c r="D137" s="26">
        <f>_xlfn.IFNA(IF(LEFT('Rock Climbing Log'!D137)="C",_xlfn.IFNA(VLOOKUP('Rock Climbing Log'!D137,'RC Lookup'!$A$3:$B$9,2,FALSE),0.5),VLOOKUP('Rock Climbing Log'!D137,'RC Lookup'!$G$3:$H$5,2,FALSE)),0)*VLOOKUP(D$7,'RC Lookup'!$D$3:$E$18,2,FALSE)</f>
        <v>0</v>
      </c>
      <c r="E137" s="26">
        <f>_xlfn.IFNA(IF(LEFT('Rock Climbing Log'!E137)="C",_xlfn.IFNA(VLOOKUP('Rock Climbing Log'!E137,'RC Lookup'!$A$3:$B$9,2,FALSE),0.5),VLOOKUP('Rock Climbing Log'!E137,'RC Lookup'!$G$3:$H$5,2,FALSE)),0)*VLOOKUP(D$7,'RC Lookup'!$D$3:$E$18,2,FALSE)</f>
        <v>0</v>
      </c>
      <c r="F137" s="26">
        <f>_xlfn.IFNA(IF(LEFT('Rock Climbing Log'!F137)="C",_xlfn.IFNA(VLOOKUP('Rock Climbing Log'!F137,'RC Lookup'!$A$3:$B$9,2,FALSE),0.5),VLOOKUP('Rock Climbing Log'!F137,'RC Lookup'!$G$3:$H$5,2,FALSE)),0)*VLOOKUP(D$7,'RC Lookup'!$D$3:$E$18,2,FALSE)</f>
        <v>0</v>
      </c>
      <c r="G137" s="26">
        <f>_xlfn.IFNA(IF(LEFT('Rock Climbing Log'!G137)="C",_xlfn.IFNA(VLOOKUP('Rock Climbing Log'!G137,'RC Lookup'!$A$3:$B$9,2,FALSE),0.5),VLOOKUP('Rock Climbing Log'!G137,'RC Lookup'!$G$3:$H$5,2,FALSE)),0)*VLOOKUP(G$7,'RC Lookup'!$D$3:$E$18,2,FALSE)</f>
        <v>0</v>
      </c>
      <c r="H137" s="26">
        <f>_xlfn.IFNA(IF(LEFT('Rock Climbing Log'!H137)="C",_xlfn.IFNA(VLOOKUP('Rock Climbing Log'!H137,'RC Lookup'!$A$3:$B$9,2,FALSE),0.5),VLOOKUP('Rock Climbing Log'!H137,'RC Lookup'!$G$3:$H$5,2,FALSE)),0)*VLOOKUP(G$7,'RC Lookup'!$D$3:$E$18,2,FALSE)</f>
        <v>0</v>
      </c>
      <c r="I137" s="26">
        <f>_xlfn.IFNA(IF(LEFT('Rock Climbing Log'!I137)="C",_xlfn.IFNA(VLOOKUP('Rock Climbing Log'!I137,'RC Lookup'!$A$3:$B$9,2,FALSE),0.5),VLOOKUP('Rock Climbing Log'!I137,'RC Lookup'!$G$3:$H$5,2,FALSE)),0)*VLOOKUP(G$7,'RC Lookup'!$D$3:$E$18,2,FALSE)</f>
        <v>0</v>
      </c>
      <c r="J137" s="26">
        <f>_xlfn.IFNA(IF(LEFT('Rock Climbing Log'!J137)="C",_xlfn.IFNA(VLOOKUP('Rock Climbing Log'!J137,'RC Lookup'!$A$3:$B$9,2,FALSE),0.5),VLOOKUP('Rock Climbing Log'!J137,'RC Lookup'!$G$3:$H$5,2,FALSE)),0)*VLOOKUP(J$7,'RC Lookup'!$D$3:$E$18,2,FALSE)</f>
        <v>0</v>
      </c>
      <c r="K137" s="26">
        <f>_xlfn.IFNA(IF(LEFT('Rock Climbing Log'!K137)="C",_xlfn.IFNA(VLOOKUP('Rock Climbing Log'!K137,'RC Lookup'!$A$3:$B$9,2,FALSE),0.5),VLOOKUP('Rock Climbing Log'!K137,'RC Lookup'!$G$3:$H$5,2,FALSE)),0)*VLOOKUP(J$7,'RC Lookup'!$D$3:$E$18,2,FALSE)</f>
        <v>0</v>
      </c>
      <c r="L137" s="26">
        <f>_xlfn.IFNA(IF(LEFT('Rock Climbing Log'!L137)="C",_xlfn.IFNA(VLOOKUP('Rock Climbing Log'!L137,'RC Lookup'!$A$3:$B$9,2,FALSE),0.5),VLOOKUP('Rock Climbing Log'!L137,'RC Lookup'!$G$3:$H$5,2,FALSE)),0)*VLOOKUP(J$7,'RC Lookup'!$D$3:$E$18,2,FALSE)</f>
        <v>0</v>
      </c>
      <c r="M137" s="26">
        <f>_xlfn.IFNA(IF(LEFT('Rock Climbing Log'!M137)="C",_xlfn.IFNA(VLOOKUP('Rock Climbing Log'!M137,'RC Lookup'!$A$3:$B$9,2,FALSE),0.5),VLOOKUP('Rock Climbing Log'!M137,'RC Lookup'!$G$3:$H$5,2,FALSE)),0)*VLOOKUP(M$7,'RC Lookup'!$D$3:$E$18,2,FALSE)</f>
        <v>0</v>
      </c>
      <c r="N137" s="26">
        <f>_xlfn.IFNA(IF(LEFT('Rock Climbing Log'!N137)="C",_xlfn.IFNA(VLOOKUP('Rock Climbing Log'!N137,'RC Lookup'!$A$3:$B$9,2,FALSE),0.5),VLOOKUP('Rock Climbing Log'!N137,'RC Lookup'!$G$3:$H$5,2,FALSE)),0)*VLOOKUP(M$7,'RC Lookup'!$D$3:$E$18,2,FALSE)</f>
        <v>0</v>
      </c>
      <c r="O137" s="26">
        <f>_xlfn.IFNA(IF(LEFT('Rock Climbing Log'!O137)="C",_xlfn.IFNA(VLOOKUP('Rock Climbing Log'!O137,'RC Lookup'!$A$3:$B$9,2,FALSE),0.5),VLOOKUP('Rock Climbing Log'!O137,'RC Lookup'!$G$3:$H$5,2,FALSE)),0)*VLOOKUP(M$7,'RC Lookup'!$D$3:$E$18,2,FALSE)</f>
        <v>0</v>
      </c>
      <c r="P137" s="26">
        <f>_xlfn.IFNA(IF(LEFT('Rock Climbing Log'!P137)="C",_xlfn.IFNA(VLOOKUP('Rock Climbing Log'!P137,'RC Lookup'!$A$3:$B$9,2,FALSE),0.5),VLOOKUP('Rock Climbing Log'!P137,'RC Lookup'!$G$3:$H$5,2,FALSE)),0)*VLOOKUP(P$7,'RC Lookup'!$D$3:$E$18,2,FALSE)</f>
        <v>0</v>
      </c>
      <c r="Q137" s="26">
        <f>_xlfn.IFNA(IF(LEFT('Rock Climbing Log'!Q137)="C",_xlfn.IFNA(VLOOKUP('Rock Climbing Log'!Q137,'RC Lookup'!$A$3:$B$9,2,FALSE),0.5),VLOOKUP('Rock Climbing Log'!Q137,'RC Lookup'!$G$3:$H$5,2,FALSE)),0)*VLOOKUP(P$7,'RC Lookup'!$D$3:$E$18,2,FALSE)</f>
        <v>0</v>
      </c>
      <c r="R137" s="26">
        <f>_xlfn.IFNA(IF(LEFT('Rock Climbing Log'!R137)="C",_xlfn.IFNA(VLOOKUP('Rock Climbing Log'!R137,'RC Lookup'!$A$3:$B$9,2,FALSE),0.5),VLOOKUP('Rock Climbing Log'!R137,'RC Lookup'!$G$3:$H$5,2,FALSE)),0)*VLOOKUP(P$7,'RC Lookup'!$D$3:$E$18,2,FALSE)</f>
        <v>0</v>
      </c>
      <c r="S137" s="26">
        <f>_xlfn.IFNA(IF(LEFT('Rock Climbing Log'!S137)="C",_xlfn.IFNA(VLOOKUP('Rock Climbing Log'!S137,'RC Lookup'!$A$3:$B$9,2,FALSE),0.5),VLOOKUP('Rock Climbing Log'!S137,'RC Lookup'!$G$3:$H$5,2,FALSE)),0)*VLOOKUP(S$7,'RC Lookup'!$D$3:$E$18,2,FALSE)</f>
        <v>0</v>
      </c>
      <c r="T137" s="26">
        <f>_xlfn.IFNA(IF(LEFT('Rock Climbing Log'!T137)="C",_xlfn.IFNA(VLOOKUP('Rock Climbing Log'!T137,'RC Lookup'!$A$3:$B$9,2,FALSE),0.5),VLOOKUP('Rock Climbing Log'!T137,'RC Lookup'!$G$3:$H$5,2,FALSE)),0)*VLOOKUP(S$7,'RC Lookup'!$D$3:$E$18,2,FALSE)</f>
        <v>0</v>
      </c>
      <c r="U137" s="26">
        <f>_xlfn.IFNA(IF(LEFT('Rock Climbing Log'!U137)="C",_xlfn.IFNA(VLOOKUP('Rock Climbing Log'!U137,'RC Lookup'!$A$3:$B$9,2,FALSE),0.5),VLOOKUP('Rock Climbing Log'!U137,'RC Lookup'!$G$3:$H$5,2,FALSE)),0)*VLOOKUP(S$7,'RC Lookup'!$D$3:$E$18,2,FALSE)</f>
        <v>0</v>
      </c>
      <c r="V137" s="26">
        <f>_xlfn.IFNA(IF(LEFT('Rock Climbing Log'!V137)="C",_xlfn.IFNA(VLOOKUP('Rock Climbing Log'!V137,'RC Lookup'!$A$3:$B$9,2,FALSE),0.5),VLOOKUP('Rock Climbing Log'!V137,'RC Lookup'!$G$3:$H$5,2,FALSE)),0)*VLOOKUP(V$7,'RC Lookup'!$D$3:$E$18,2,FALSE)</f>
        <v>0</v>
      </c>
      <c r="W137" s="26">
        <f>_xlfn.IFNA(IF(LEFT('Rock Climbing Log'!W137)="C",_xlfn.IFNA(VLOOKUP('Rock Climbing Log'!W137,'RC Lookup'!$A$3:$B$9,2,FALSE),0.5),VLOOKUP('Rock Climbing Log'!W137,'RC Lookup'!$G$3:$H$5,2,FALSE)),0)*VLOOKUP(V$7,'RC Lookup'!$D$3:$E$18,2,FALSE)</f>
        <v>0</v>
      </c>
      <c r="X137" s="26">
        <f>_xlfn.IFNA(IF(LEFT('Rock Climbing Log'!X137)="C",_xlfn.IFNA(VLOOKUP('Rock Climbing Log'!X137,'RC Lookup'!$A$3:$B$9,2,FALSE),0.5),VLOOKUP('Rock Climbing Log'!X137,'RC Lookup'!$G$3:$H$5,2,FALSE)),0)*VLOOKUP(V$7,'RC Lookup'!$D$3:$E$18,2,FALSE)</f>
        <v>0</v>
      </c>
      <c r="Y137" s="26">
        <f>_xlfn.IFNA(IF(LEFT('Rock Climbing Log'!Y137)="C",_xlfn.IFNA(VLOOKUP('Rock Climbing Log'!Y137,'RC Lookup'!$A$3:$B$9,2,FALSE),0.5),VLOOKUP('Rock Climbing Log'!Y137,'RC Lookup'!$G$3:$H$5,2,FALSE)),0)*VLOOKUP(Y$7,'RC Lookup'!$D$3:$E$18,2,FALSE)</f>
        <v>0</v>
      </c>
      <c r="Z137" s="26">
        <f>_xlfn.IFNA(IF(LEFT('Rock Climbing Log'!Z137)="C",_xlfn.IFNA(VLOOKUP('Rock Climbing Log'!Z137,'RC Lookup'!$A$3:$B$9,2,FALSE),0.5),VLOOKUP('Rock Climbing Log'!Z137,'RC Lookup'!$G$3:$H$5,2,FALSE)),0)*VLOOKUP(Y$7,'RC Lookup'!$D$3:$E$18,2,FALSE)</f>
        <v>0</v>
      </c>
      <c r="AA137" s="26">
        <f>_xlfn.IFNA(IF(LEFT('Rock Climbing Log'!AA137)="C",_xlfn.IFNA(VLOOKUP('Rock Climbing Log'!AA137,'RC Lookup'!$A$3:$B$9,2,FALSE),0.5),VLOOKUP('Rock Climbing Log'!AA137,'RC Lookup'!$G$3:$H$5,2,FALSE)),0)*VLOOKUP(Y$7,'RC Lookup'!$D$3:$E$18,2,FALSE)</f>
        <v>0</v>
      </c>
      <c r="AB137" s="26">
        <f>_xlfn.IFNA(IF(LEFT('Rock Climbing Log'!AB137)="C",_xlfn.IFNA(VLOOKUP('Rock Climbing Log'!AB137,'RC Lookup'!$A$3:$B$9,2,FALSE),0.5),VLOOKUP('Rock Climbing Log'!AB137,'RC Lookup'!$G$3:$H$5,2,FALSE)),0)*VLOOKUP(AB$7,'RC Lookup'!$D$3:$E$18,2,FALSE)</f>
        <v>0</v>
      </c>
      <c r="AC137" s="26">
        <f>_xlfn.IFNA(IF(LEFT('Rock Climbing Log'!AC137)="C",_xlfn.IFNA(VLOOKUP('Rock Climbing Log'!AC137,'RC Lookup'!$A$3:$B$9,2,FALSE),0.5),VLOOKUP('Rock Climbing Log'!AC137,'RC Lookup'!$G$3:$H$5,2,FALSE)),0)*VLOOKUP(AB$7,'RC Lookup'!$D$3:$E$18,2,FALSE)</f>
        <v>0</v>
      </c>
      <c r="AD137" s="26">
        <f>_xlfn.IFNA(IF(LEFT('Rock Climbing Log'!AD137)="C",_xlfn.IFNA(VLOOKUP('Rock Climbing Log'!AD137,'RC Lookup'!$A$3:$B$9,2,FALSE),0.5),VLOOKUP('Rock Climbing Log'!AD137,'RC Lookup'!$G$3:$H$5,2,FALSE)),0)*VLOOKUP(AB$7,'RC Lookup'!$D$3:$E$18,2,FALSE)</f>
        <v>0</v>
      </c>
      <c r="AE137" s="26">
        <f>_xlfn.IFNA(IF(LEFT('Rock Climbing Log'!AE137)="C",_xlfn.IFNA(VLOOKUP('Rock Climbing Log'!AE137,'RC Lookup'!$A$3:$B$9,2,FALSE),0.5),VLOOKUP('Rock Climbing Log'!AE137,'RC Lookup'!$G$3:$H$5,2,FALSE)),0)*VLOOKUP(AE$7,'RC Lookup'!$D$3:$E$18,2,FALSE)</f>
        <v>0</v>
      </c>
      <c r="AF137" s="26">
        <f>_xlfn.IFNA(IF(LEFT('Rock Climbing Log'!AF137)="C",_xlfn.IFNA(VLOOKUP('Rock Climbing Log'!AF137,'RC Lookup'!$A$3:$B$9,2,FALSE),0.5),VLOOKUP('Rock Climbing Log'!AF137,'RC Lookup'!$G$3:$H$5,2,FALSE)),0)*VLOOKUP(AE$7,'RC Lookup'!$D$3:$E$18,2,FALSE)</f>
        <v>0</v>
      </c>
      <c r="AG137" s="26">
        <f>_xlfn.IFNA(IF(LEFT('Rock Climbing Log'!AG137)="C",_xlfn.IFNA(VLOOKUP('Rock Climbing Log'!AG137,'RC Lookup'!$A$3:$B$9,2,FALSE),0.5),VLOOKUP('Rock Climbing Log'!AG137,'RC Lookup'!$G$3:$H$5,2,FALSE)),0)*VLOOKUP(AE$7,'RC Lookup'!$D$3:$E$18,2,FALSE)</f>
        <v>0</v>
      </c>
      <c r="AH137" s="26">
        <f>_xlfn.IFNA(IF(LEFT('Rock Climbing Log'!AH137)="C",_xlfn.IFNA(VLOOKUP('Rock Climbing Log'!AH137,'RC Lookup'!$A$3:$B$9,2,FALSE),0.5),VLOOKUP('Rock Climbing Log'!AH137,'RC Lookup'!$G$3:$H$5,2,FALSE)),0)*VLOOKUP(AH$7,'RC Lookup'!$D$3:$E$18,2,FALSE)</f>
        <v>0</v>
      </c>
      <c r="AI137" s="26">
        <f>_xlfn.IFNA(IF(LEFT('Rock Climbing Log'!AI137)="C",_xlfn.IFNA(VLOOKUP('Rock Climbing Log'!AI137,'RC Lookup'!$A$3:$B$9,2,FALSE),0.5),VLOOKUP('Rock Climbing Log'!AI137,'RC Lookup'!$G$3:$H$5,2,FALSE)),0)*VLOOKUP(AH$7,'RC Lookup'!$D$3:$E$18,2,FALSE)</f>
        <v>0</v>
      </c>
      <c r="AJ137" s="26">
        <f>_xlfn.IFNA(IF(LEFT('Rock Climbing Log'!AJ137)="C",_xlfn.IFNA(VLOOKUP('Rock Climbing Log'!AJ137,'RC Lookup'!$A$3:$B$9,2,FALSE),0.5),VLOOKUP('Rock Climbing Log'!AJ137,'RC Lookup'!$G$3:$H$5,2,FALSE)),0)*VLOOKUP(AH$7,'RC Lookup'!$D$3:$E$18,2,FALSE)</f>
        <v>0</v>
      </c>
      <c r="AK137" s="26">
        <f>_xlfn.IFNA(IF(LEFT('Rock Climbing Log'!AK137)="C",_xlfn.IFNA(VLOOKUP('Rock Climbing Log'!AK137,'RC Lookup'!$A$3:$B$9,2,FALSE),0.5),VLOOKUP('Rock Climbing Log'!AK137,'RC Lookup'!$G$3:$H$5,2,FALSE)),0)*VLOOKUP(AK$7,'RC Lookup'!$D$3:$E$18,2,FALSE)</f>
        <v>0</v>
      </c>
      <c r="AL137" s="26">
        <f>_xlfn.IFNA(IF(LEFT('Rock Climbing Log'!AL137)="C",_xlfn.IFNA(VLOOKUP('Rock Climbing Log'!AL137,'RC Lookup'!$A$3:$B$9,2,FALSE),0.5),VLOOKUP('Rock Climbing Log'!AL137,'RC Lookup'!$G$3:$H$5,2,FALSE)),0)*VLOOKUP(AK$7,'RC Lookup'!$D$3:$E$18,2,FALSE)</f>
        <v>0</v>
      </c>
      <c r="AM137" s="26">
        <f>_xlfn.IFNA(IF(LEFT('Rock Climbing Log'!AM137)="C",_xlfn.IFNA(VLOOKUP('Rock Climbing Log'!AM137,'RC Lookup'!$A$3:$B$9,2,FALSE),0.5),VLOOKUP('Rock Climbing Log'!AM137,'RC Lookup'!$G$3:$H$5,2,FALSE)),0)*VLOOKUP(AK$7,'RC Lookup'!$D$3:$E$18,2,FALSE)</f>
        <v>0</v>
      </c>
      <c r="AN137" s="26">
        <f>_xlfn.IFNA(IF(LEFT('Rock Climbing Log'!AN137)="C",_xlfn.IFNA(VLOOKUP('Rock Climbing Log'!AN137,'RC Lookup'!$A$3:$B$9,2,FALSE),0.5),VLOOKUP('Rock Climbing Log'!AN137,'RC Lookup'!$G$3:$H$5,2,FALSE)),0)*VLOOKUP(AN$7,'RC Lookup'!$D$3:$E$18,2,FALSE)</f>
        <v>0</v>
      </c>
      <c r="AO137" s="26">
        <f>_xlfn.IFNA(IF(LEFT('Rock Climbing Log'!AO137)="C",_xlfn.IFNA(VLOOKUP('Rock Climbing Log'!AO137,'RC Lookup'!$A$3:$B$9,2,FALSE),0.5),VLOOKUP('Rock Climbing Log'!AO137,'RC Lookup'!$G$3:$H$5,2,FALSE)),0)*VLOOKUP(AN$7,'RC Lookup'!$D$3:$E$18,2,FALSE)</f>
        <v>0</v>
      </c>
      <c r="AP137" s="26">
        <f>_xlfn.IFNA(IF(LEFT('Rock Climbing Log'!AP137)="C",_xlfn.IFNA(VLOOKUP('Rock Climbing Log'!AP137,'RC Lookup'!$A$3:$B$9,2,FALSE),0.5),VLOOKUP('Rock Climbing Log'!AP137,'RC Lookup'!$G$3:$H$5,2,FALSE)),0)*VLOOKUP(AN$7,'RC Lookup'!$D$3:$E$18,2,FALSE)</f>
        <v>0</v>
      </c>
      <c r="AQ137" s="26">
        <f>_xlfn.IFNA(IF(LEFT('Rock Climbing Log'!AQ137)="C",_xlfn.IFNA(VLOOKUP('Rock Climbing Log'!AQ137,'RC Lookup'!$A$3:$B$9,2,FALSE),0.5),VLOOKUP('Rock Climbing Log'!AQ137,'RC Lookup'!$G$3:$H$5,2,FALSE)),0)*VLOOKUP(AQ$7,'RC Lookup'!$D$3:$E$18,2,FALSE)</f>
        <v>0</v>
      </c>
      <c r="AR137" s="26">
        <f>_xlfn.IFNA(IF(LEFT('Rock Climbing Log'!AR137)="C",_xlfn.IFNA(VLOOKUP('Rock Climbing Log'!AR137,'RC Lookup'!$A$3:$B$9,2,FALSE),0.5),VLOOKUP('Rock Climbing Log'!AR137,'RC Lookup'!$G$3:$H$5,2,FALSE)),0)*VLOOKUP(AQ$7,'RC Lookup'!$D$3:$E$18,2,FALSE)</f>
        <v>0</v>
      </c>
      <c r="AS137" s="26">
        <f>_xlfn.IFNA(IF(LEFT('Rock Climbing Log'!AS137)="C",_xlfn.IFNA(VLOOKUP('Rock Climbing Log'!AS137,'RC Lookup'!$A$3:$B$9,2,FALSE),0.5),VLOOKUP('Rock Climbing Log'!AS137,'RC Lookup'!$G$3:$H$5,2,FALSE)),0)*VLOOKUP(AQ$7,'RC Lookup'!$D$3:$E$18,2,FALSE)</f>
        <v>0</v>
      </c>
      <c r="AT137" s="26">
        <f>_xlfn.IFNA(IF(LEFT('Rock Climbing Log'!AT137)="C",_xlfn.IFNA(VLOOKUP('Rock Climbing Log'!AT137,'RC Lookup'!$A$3:$B$9,2,FALSE),0.5),VLOOKUP('Rock Climbing Log'!AT137,'RC Lookup'!$G$3:$H$5,2,FALSE)),0)*VLOOKUP(AT$7,'RC Lookup'!$D$3:$E$18,2,FALSE)</f>
        <v>0</v>
      </c>
      <c r="AU137" s="26">
        <f>_xlfn.IFNA(IF(LEFT('Rock Climbing Log'!AU137)="C",_xlfn.IFNA(VLOOKUP('Rock Climbing Log'!AU137,'RC Lookup'!$A$3:$B$9,2,FALSE),0.5),VLOOKUP('Rock Climbing Log'!AU137,'RC Lookup'!$G$3:$H$5,2,FALSE)),0)*VLOOKUP(AT$7,'RC Lookup'!$D$3:$E$18,2,FALSE)</f>
        <v>0</v>
      </c>
      <c r="AV137" s="26">
        <f>_xlfn.IFNA(IF(LEFT('Rock Climbing Log'!AV137)="C",_xlfn.IFNA(VLOOKUP('Rock Climbing Log'!AV137,'RC Lookup'!$A$3:$B$9,2,FALSE),0.5),VLOOKUP('Rock Climbing Log'!AV137,'RC Lookup'!$G$3:$H$5,2,FALSE)),0)*VLOOKUP(AT$7,'RC Lookup'!$D$3:$E$18,2,FALSE)</f>
        <v>0</v>
      </c>
      <c r="AW137" s="30">
        <f t="shared" ca="1" si="5"/>
        <v>0</v>
      </c>
      <c r="AX137" s="30">
        <f ca="1">_xlfn.IFNA(VLOOKUP(SUMPRODUCT(LARGE(($C$8:$C137=Table1[[#This Row],[Climber]])*$A$8:$A137,1)),$A$8:$AW137,MATCH($AW$7,$A$7:$AW$7,FALSE),FALSE),0)/LEFT($AX$7,FIND(" ",$AX$7))+_xlfn.IFNA(VLOOKUP(SUMPRODUCT(LARGE(($C$8:$C137=Table1[[#This Row],[Climber]])*$A$8:$A137,MIN(2,COUNTIFS($C$8:$C137,$C137)))),$A$8:$AW137,MATCH($AW$7,$A$7:$AW$7,FALSE),FALSE),0)/LEFT($AX$7,FIND(" ",$AX$7))+_xlfn.IFNA(VLOOKUP(SUMPRODUCT(LARGE(($C$8:$C137=Table1[[#This Row],[Climber]])*$A$8:$A137,MIN(3,COUNTIFS($C$8:$C137,$C137)))),$A$8:$AW137,MATCH($AW$7,$A$7:$AW$7,FALSE),FALSE),0)/LEFT($AX$7,FIND(" ",$AX$7))</f>
        <v>0</v>
      </c>
      <c r="AY137" s="30">
        <f ca="1">_xlfn.IFNA(VLOOKUP(SUMPRODUCT(LARGE(($C$8:$C137=Table1[[#This Row],[Climber]])*$A$8:$A137,1)),$A$8:$AW137,MATCH($AW$7,$A$7:$AW$7,FALSE),FALSE),0)/LEFT($AY$7,FIND(" ",$AY$7))+_xlfn.IFNA(VLOOKUP(SUMPRODUCT(LARGE(($C$8:$C137=Table1[[#This Row],[Climber]])*$A$8:$A137,MIN(2,COUNTIFS($C$8:$C137,$C137)))),$A$8:$AW137,MATCH($AW$7,$A$7:$AW$7,FALSE),FALSE),0)/LEFT($AY$7,FIND(" ",$AY$7))+_xlfn.IFNA(VLOOKUP(SUMPRODUCT(LARGE(($C$8:$C137=Table1[[#This Row],[Climber]])*$A$8:$A137,MIN(3,COUNTIFS($C$8:$C137,$C137)))),$A$8:$AW137,MATCH($AW$7,$A$7:$AW$7,FALSE),FALSE),0)/LEFT($AY$7,FIND(" ",$AY$7))+_xlfn.IFNA(VLOOKUP(SUMPRODUCT(LARGE(($C$8:$C137=Table1[[#This Row],[Climber]])*$A$8:$A137,MIN(4,COUNTIFS($C$8:$C137,$C137)))),$A$8:$AW137,MATCH($AW$7,$A$7:$AW$7,FALSE),FALSE),0)/LEFT($AY$7,FIND(" ",$AY$7))+_xlfn.IFNA(VLOOKUP(SUMPRODUCT(LARGE(($C$8:$C137=Table1[[#This Row],[Climber]])*$A$8:$A137,MIN(5,COUNTIFS($C$8:$C137,$C137)))),$A$8:$AW137,MATCH($AW$7,$A$7:$AW$7,FALSE),FALSE),0)/LEFT($AY$7,FIND(" ",$AY$7))</f>
        <v>0</v>
      </c>
      <c r="AZ137" s="30">
        <f ca="1">(_xlfn.IFNA(VLOOKUP(SUMPRODUCT(LARGE(($C$8:$C137=Table1[[#This Row],[Climber]])*$A$8:$A137,4)),$A$8:$AW137,MATCH($AW$7,$A$7:$AW$7,FALSE),FALSE),0)+_xlfn.IFNA(VLOOKUP(SUMPRODUCT(LARGE(($C$8:$C137=Table1[[#This Row],[Climber]])*$A$8:$A137,5)),$A$8:$AW137,MATCH($AW$7,$A$7:$AW$7,FALSE),FALSE),0)+_xlfn.IFNA(VLOOKUP(SUMPRODUCT(LARGE(($C$8:$C137=Table1[[#This Row],[Climber]])*$A$8:$A137,6)),$A$8:$AW137,MATCH($AW$7,$A$7:$AW$7,FALSE),FALSE),0))/3</f>
        <v>0</v>
      </c>
      <c r="BA137" s="46">
        <f ca="1">_xlfn.MAXIFS(INDIRECT("$AW"&amp;IF(SUMPRODUCT(LARGE(($C$8:$C137=$C137)*$A$8:$A137,LEFT($BA$7,FIND(" ",$BA$7)-1)))=0,8,SUMPRODUCT(LARGE(($C$8:$C137=$C137)*$A$8:$A137,LEFT($BA$7,FIND(" ",$BA$7)-1)))+7)&amp;":$AW"&amp;ROW()),INDIRECT("$C"&amp;IF(SUMPRODUCT(LARGE(($C$8:$C137=$C137)*$A$8:$A137,LEFT($BA$7,FIND(" ",$BA$7)-1)))=0,8,SUMPRODUCT(LARGE(($C$8:$C137=$C137)*$A$8:$A137,LEFT($BA$7,FIND(" ",$BA$7)-1)))+7)&amp;":$C"&amp;ROW()),$C137)</f>
        <v>0</v>
      </c>
      <c r="BB137" s="46" t="str">
        <f ca="1">VLOOKUP(MAX(BG137,$AX137),'RC Lookup'!$G$14:$J$20,2,TRUE)</f>
        <v>T1</v>
      </c>
      <c r="BC137" s="46">
        <f ca="1">_xlfn.IFNA(VLOOKUP(VLOOKUP($C137,'RC Lookup'!$O$3:$P$50,2,FALSE),'RC Lookup'!$H$14:$J$23,2,FALSE),0)*AW137</f>
        <v>0</v>
      </c>
      <c r="BD137" s="6">
        <f ca="1">_xlfn.IFNA(VLOOKUP(SUMPRODUCT(LARGE(($C$8:$C137=Table1[[#This Row],[Climber]])*$A$8:$A137,1)),$A$8:$BC137,55,FALSE),0)/LEFT($AX$7,FIND(" ",$AX$7))+_xlfn.IFNA(VLOOKUP(SUMPRODUCT(LARGE(($C$8:$C137=Table1[[#This Row],[Climber]])*$A$8:$A137,MIN(2,COUNTIFS($C$8:$C137,$C137)))),$A$8:$BC137,55,FALSE),0)/LEFT($AX$7,FIND(" ",$AX$7))+_xlfn.IFNA(VLOOKUP(SUMPRODUCT(LARGE(($C$8:$C137=Table1[[#This Row],[Climber]])*$A$8:$A137,MIN(3,COUNTIFS($C$8:$C137,$C137)))),$A$8:$BC137,55,FALSE),0)/LEFT($AX$7,FIND(" ",$AX$7))</f>
        <v>0</v>
      </c>
      <c r="BE137" s="6">
        <f ca="1">(_xlfn.IFNA(VLOOKUP(SUMPRODUCT(LARGE(($C$8:$C137=Table1[[#This Row],[Climber]])*$A$8:$A137,4)),$A$8:$BD137,55,FALSE),0)+_xlfn.IFNA(VLOOKUP(SUMPRODUCT(LARGE(($C$8:$C137=Table1[[#This Row],[Climber]])*$A$8:$A137,5)),$A$8:$BD137,55,FALSE),0)+_xlfn.IFNA(VLOOKUP(SUMPRODUCT(LARGE(($C$8:$C137=Table1[[#This Row],[Climber]])*$A$8:$A137,6)),$A$8:$BD137,55,FALSE),0))/3</f>
        <v>0</v>
      </c>
      <c r="BF137" s="46">
        <f ca="1">_xlfn.MAXIFS(INDIRECT("$BC"&amp;IF(SUMPRODUCT(LARGE(($C$8:$C137=$C137)*$A$8:$A137,LEFT($BA$7,FIND(" ",$BA$7)-1)))=0,8,SUMPRODUCT(LARGE(($C$8:$C137=$C137)*$A$8:$A137,LEFT($BA$7,FIND(" ",$BA$7)-1)))+7)&amp;":$BC"&amp;ROW()),INDIRECT("$C"&amp;IF(SUMPRODUCT(LARGE(($C$8:$C137=$C137)*$A$8:$A137,LEFT($BA$7,FIND(" ",$BA$7)-1)))=0,8,SUMPRODUCT(LARGE(($C$8:$C137=$C137)*$A$8:$A137,LEFT($BA$7,FIND(" ",$BA$7)-1)))+7)&amp;":$C"&amp;ROW()),$C137)</f>
        <v>0</v>
      </c>
      <c r="BG137" s="46">
        <f t="array" aca="1" ref="BG137" ca="1">IFERROR(SUMPRODUCT(LARGE(($C$8:$C137=Table1[[#This Row],[Climber]])*$AW$8:$AW137,ROW(INDIRECT("1:5")))),AW137)/MIN(COUNTIFS($C$8:$C137,C137),5)</f>
        <v>0</v>
      </c>
    </row>
    <row r="138" spans="1:59" x14ac:dyDescent="0.3">
      <c r="A138" s="125">
        <f t="shared" si="1"/>
        <v>131</v>
      </c>
      <c r="B138" s="25">
        <f>'Rock Climbing Log'!B138</f>
        <v>0</v>
      </c>
      <c r="C138" s="126">
        <f>'Rock Climbing Log'!C138</f>
        <v>0</v>
      </c>
      <c r="D138" s="26">
        <f>_xlfn.IFNA(IF(LEFT('Rock Climbing Log'!D138)="C",_xlfn.IFNA(VLOOKUP('Rock Climbing Log'!D138,'RC Lookup'!$A$3:$B$9,2,FALSE),0.5),VLOOKUP('Rock Climbing Log'!D138,'RC Lookup'!$G$3:$H$5,2,FALSE)),0)*VLOOKUP(D$7,'RC Lookup'!$D$3:$E$18,2,FALSE)</f>
        <v>0</v>
      </c>
      <c r="E138" s="26">
        <f>_xlfn.IFNA(IF(LEFT('Rock Climbing Log'!E138)="C",_xlfn.IFNA(VLOOKUP('Rock Climbing Log'!E138,'RC Lookup'!$A$3:$B$9,2,FALSE),0.5),VLOOKUP('Rock Climbing Log'!E138,'RC Lookup'!$G$3:$H$5,2,FALSE)),0)*VLOOKUP(D$7,'RC Lookup'!$D$3:$E$18,2,FALSE)</f>
        <v>0</v>
      </c>
      <c r="F138" s="26">
        <f>_xlfn.IFNA(IF(LEFT('Rock Climbing Log'!F138)="C",_xlfn.IFNA(VLOOKUP('Rock Climbing Log'!F138,'RC Lookup'!$A$3:$B$9,2,FALSE),0.5),VLOOKUP('Rock Climbing Log'!F138,'RC Lookup'!$G$3:$H$5,2,FALSE)),0)*VLOOKUP(D$7,'RC Lookup'!$D$3:$E$18,2,FALSE)</f>
        <v>0</v>
      </c>
      <c r="G138" s="26">
        <f>_xlfn.IFNA(IF(LEFT('Rock Climbing Log'!G138)="C",_xlfn.IFNA(VLOOKUP('Rock Climbing Log'!G138,'RC Lookup'!$A$3:$B$9,2,FALSE),0.5),VLOOKUP('Rock Climbing Log'!G138,'RC Lookup'!$G$3:$H$5,2,FALSE)),0)*VLOOKUP(G$7,'RC Lookup'!$D$3:$E$18,2,FALSE)</f>
        <v>0</v>
      </c>
      <c r="H138" s="26">
        <f>_xlfn.IFNA(IF(LEFT('Rock Climbing Log'!H138)="C",_xlfn.IFNA(VLOOKUP('Rock Climbing Log'!H138,'RC Lookup'!$A$3:$B$9,2,FALSE),0.5),VLOOKUP('Rock Climbing Log'!H138,'RC Lookup'!$G$3:$H$5,2,FALSE)),0)*VLOOKUP(G$7,'RC Lookup'!$D$3:$E$18,2,FALSE)</f>
        <v>0</v>
      </c>
      <c r="I138" s="26">
        <f>_xlfn.IFNA(IF(LEFT('Rock Climbing Log'!I138)="C",_xlfn.IFNA(VLOOKUP('Rock Climbing Log'!I138,'RC Lookup'!$A$3:$B$9,2,FALSE),0.5),VLOOKUP('Rock Climbing Log'!I138,'RC Lookup'!$G$3:$H$5,2,FALSE)),0)*VLOOKUP(G$7,'RC Lookup'!$D$3:$E$18,2,FALSE)</f>
        <v>0</v>
      </c>
      <c r="J138" s="26">
        <f>_xlfn.IFNA(IF(LEFT('Rock Climbing Log'!J138)="C",_xlfn.IFNA(VLOOKUP('Rock Climbing Log'!J138,'RC Lookup'!$A$3:$B$9,2,FALSE),0.5),VLOOKUP('Rock Climbing Log'!J138,'RC Lookup'!$G$3:$H$5,2,FALSE)),0)*VLOOKUP(J$7,'RC Lookup'!$D$3:$E$18,2,FALSE)</f>
        <v>0</v>
      </c>
      <c r="K138" s="26">
        <f>_xlfn.IFNA(IF(LEFT('Rock Climbing Log'!K138)="C",_xlfn.IFNA(VLOOKUP('Rock Climbing Log'!K138,'RC Lookup'!$A$3:$B$9,2,FALSE),0.5),VLOOKUP('Rock Climbing Log'!K138,'RC Lookup'!$G$3:$H$5,2,FALSE)),0)*VLOOKUP(J$7,'RC Lookup'!$D$3:$E$18,2,FALSE)</f>
        <v>0</v>
      </c>
      <c r="L138" s="26">
        <f>_xlfn.IFNA(IF(LEFT('Rock Climbing Log'!L138)="C",_xlfn.IFNA(VLOOKUP('Rock Climbing Log'!L138,'RC Lookup'!$A$3:$B$9,2,FALSE),0.5),VLOOKUP('Rock Climbing Log'!L138,'RC Lookup'!$G$3:$H$5,2,FALSE)),0)*VLOOKUP(J$7,'RC Lookup'!$D$3:$E$18,2,FALSE)</f>
        <v>0</v>
      </c>
      <c r="M138" s="26">
        <f>_xlfn.IFNA(IF(LEFT('Rock Climbing Log'!M138)="C",_xlfn.IFNA(VLOOKUP('Rock Climbing Log'!M138,'RC Lookup'!$A$3:$B$9,2,FALSE),0.5),VLOOKUP('Rock Climbing Log'!M138,'RC Lookup'!$G$3:$H$5,2,FALSE)),0)*VLOOKUP(M$7,'RC Lookup'!$D$3:$E$18,2,FALSE)</f>
        <v>0</v>
      </c>
      <c r="N138" s="26">
        <f>_xlfn.IFNA(IF(LEFT('Rock Climbing Log'!N138)="C",_xlfn.IFNA(VLOOKUP('Rock Climbing Log'!N138,'RC Lookup'!$A$3:$B$9,2,FALSE),0.5),VLOOKUP('Rock Climbing Log'!N138,'RC Lookup'!$G$3:$H$5,2,FALSE)),0)*VLOOKUP(M$7,'RC Lookup'!$D$3:$E$18,2,FALSE)</f>
        <v>0</v>
      </c>
      <c r="O138" s="26">
        <f>_xlfn.IFNA(IF(LEFT('Rock Climbing Log'!O138)="C",_xlfn.IFNA(VLOOKUP('Rock Climbing Log'!O138,'RC Lookup'!$A$3:$B$9,2,FALSE),0.5),VLOOKUP('Rock Climbing Log'!O138,'RC Lookup'!$G$3:$H$5,2,FALSE)),0)*VLOOKUP(M$7,'RC Lookup'!$D$3:$E$18,2,FALSE)</f>
        <v>0</v>
      </c>
      <c r="P138" s="26">
        <f>_xlfn.IFNA(IF(LEFT('Rock Climbing Log'!P138)="C",_xlfn.IFNA(VLOOKUP('Rock Climbing Log'!P138,'RC Lookup'!$A$3:$B$9,2,FALSE),0.5),VLOOKUP('Rock Climbing Log'!P138,'RC Lookup'!$G$3:$H$5,2,FALSE)),0)*VLOOKUP(P$7,'RC Lookup'!$D$3:$E$18,2,FALSE)</f>
        <v>0</v>
      </c>
      <c r="Q138" s="26">
        <f>_xlfn.IFNA(IF(LEFT('Rock Climbing Log'!Q138)="C",_xlfn.IFNA(VLOOKUP('Rock Climbing Log'!Q138,'RC Lookup'!$A$3:$B$9,2,FALSE),0.5),VLOOKUP('Rock Climbing Log'!Q138,'RC Lookup'!$G$3:$H$5,2,FALSE)),0)*VLOOKUP(P$7,'RC Lookup'!$D$3:$E$18,2,FALSE)</f>
        <v>0</v>
      </c>
      <c r="R138" s="26">
        <f>_xlfn.IFNA(IF(LEFT('Rock Climbing Log'!R138)="C",_xlfn.IFNA(VLOOKUP('Rock Climbing Log'!R138,'RC Lookup'!$A$3:$B$9,2,FALSE),0.5),VLOOKUP('Rock Climbing Log'!R138,'RC Lookup'!$G$3:$H$5,2,FALSE)),0)*VLOOKUP(P$7,'RC Lookup'!$D$3:$E$18,2,FALSE)</f>
        <v>0</v>
      </c>
      <c r="S138" s="26">
        <f>_xlfn.IFNA(IF(LEFT('Rock Climbing Log'!S138)="C",_xlfn.IFNA(VLOOKUP('Rock Climbing Log'!S138,'RC Lookup'!$A$3:$B$9,2,FALSE),0.5),VLOOKUP('Rock Climbing Log'!S138,'RC Lookup'!$G$3:$H$5,2,FALSE)),0)*VLOOKUP(S$7,'RC Lookup'!$D$3:$E$18,2,FALSE)</f>
        <v>0</v>
      </c>
      <c r="T138" s="26">
        <f>_xlfn.IFNA(IF(LEFT('Rock Climbing Log'!T138)="C",_xlfn.IFNA(VLOOKUP('Rock Climbing Log'!T138,'RC Lookup'!$A$3:$B$9,2,FALSE),0.5),VLOOKUP('Rock Climbing Log'!T138,'RC Lookup'!$G$3:$H$5,2,FALSE)),0)*VLOOKUP(S$7,'RC Lookup'!$D$3:$E$18,2,FALSE)</f>
        <v>0</v>
      </c>
      <c r="U138" s="26">
        <f>_xlfn.IFNA(IF(LEFT('Rock Climbing Log'!U138)="C",_xlfn.IFNA(VLOOKUP('Rock Climbing Log'!U138,'RC Lookup'!$A$3:$B$9,2,FALSE),0.5),VLOOKUP('Rock Climbing Log'!U138,'RC Lookup'!$G$3:$H$5,2,FALSE)),0)*VLOOKUP(S$7,'RC Lookup'!$D$3:$E$18,2,FALSE)</f>
        <v>0</v>
      </c>
      <c r="V138" s="26">
        <f>_xlfn.IFNA(IF(LEFT('Rock Climbing Log'!V138)="C",_xlfn.IFNA(VLOOKUP('Rock Climbing Log'!V138,'RC Lookup'!$A$3:$B$9,2,FALSE),0.5),VLOOKUP('Rock Climbing Log'!V138,'RC Lookup'!$G$3:$H$5,2,FALSE)),0)*VLOOKUP(V$7,'RC Lookup'!$D$3:$E$18,2,FALSE)</f>
        <v>0</v>
      </c>
      <c r="W138" s="26">
        <f>_xlfn.IFNA(IF(LEFT('Rock Climbing Log'!W138)="C",_xlfn.IFNA(VLOOKUP('Rock Climbing Log'!W138,'RC Lookup'!$A$3:$B$9,2,FALSE),0.5),VLOOKUP('Rock Climbing Log'!W138,'RC Lookup'!$G$3:$H$5,2,FALSE)),0)*VLOOKUP(V$7,'RC Lookup'!$D$3:$E$18,2,FALSE)</f>
        <v>0</v>
      </c>
      <c r="X138" s="26">
        <f>_xlfn.IFNA(IF(LEFT('Rock Climbing Log'!X138)="C",_xlfn.IFNA(VLOOKUP('Rock Climbing Log'!X138,'RC Lookup'!$A$3:$B$9,2,FALSE),0.5),VLOOKUP('Rock Climbing Log'!X138,'RC Lookup'!$G$3:$H$5,2,FALSE)),0)*VLOOKUP(V$7,'RC Lookup'!$D$3:$E$18,2,FALSE)</f>
        <v>0</v>
      </c>
      <c r="Y138" s="26">
        <f>_xlfn.IFNA(IF(LEFT('Rock Climbing Log'!Y138)="C",_xlfn.IFNA(VLOOKUP('Rock Climbing Log'!Y138,'RC Lookup'!$A$3:$B$9,2,FALSE),0.5),VLOOKUP('Rock Climbing Log'!Y138,'RC Lookup'!$G$3:$H$5,2,FALSE)),0)*VLOOKUP(Y$7,'RC Lookup'!$D$3:$E$18,2,FALSE)</f>
        <v>0</v>
      </c>
      <c r="Z138" s="26">
        <f>_xlfn.IFNA(IF(LEFT('Rock Climbing Log'!Z138)="C",_xlfn.IFNA(VLOOKUP('Rock Climbing Log'!Z138,'RC Lookup'!$A$3:$B$9,2,FALSE),0.5),VLOOKUP('Rock Climbing Log'!Z138,'RC Lookup'!$G$3:$H$5,2,FALSE)),0)*VLOOKUP(Y$7,'RC Lookup'!$D$3:$E$18,2,FALSE)</f>
        <v>0</v>
      </c>
      <c r="AA138" s="26">
        <f>_xlfn.IFNA(IF(LEFT('Rock Climbing Log'!AA138)="C",_xlfn.IFNA(VLOOKUP('Rock Climbing Log'!AA138,'RC Lookup'!$A$3:$B$9,2,FALSE),0.5),VLOOKUP('Rock Climbing Log'!AA138,'RC Lookup'!$G$3:$H$5,2,FALSE)),0)*VLOOKUP(Y$7,'RC Lookup'!$D$3:$E$18,2,FALSE)</f>
        <v>0</v>
      </c>
      <c r="AB138" s="26">
        <f>_xlfn.IFNA(IF(LEFT('Rock Climbing Log'!AB138)="C",_xlfn.IFNA(VLOOKUP('Rock Climbing Log'!AB138,'RC Lookup'!$A$3:$B$9,2,FALSE),0.5),VLOOKUP('Rock Climbing Log'!AB138,'RC Lookup'!$G$3:$H$5,2,FALSE)),0)*VLOOKUP(AB$7,'RC Lookup'!$D$3:$E$18,2,FALSE)</f>
        <v>0</v>
      </c>
      <c r="AC138" s="26">
        <f>_xlfn.IFNA(IF(LEFT('Rock Climbing Log'!AC138)="C",_xlfn.IFNA(VLOOKUP('Rock Climbing Log'!AC138,'RC Lookup'!$A$3:$B$9,2,FALSE),0.5),VLOOKUP('Rock Climbing Log'!AC138,'RC Lookup'!$G$3:$H$5,2,FALSE)),0)*VLOOKUP(AB$7,'RC Lookup'!$D$3:$E$18,2,FALSE)</f>
        <v>0</v>
      </c>
      <c r="AD138" s="26">
        <f>_xlfn.IFNA(IF(LEFT('Rock Climbing Log'!AD138)="C",_xlfn.IFNA(VLOOKUP('Rock Climbing Log'!AD138,'RC Lookup'!$A$3:$B$9,2,FALSE),0.5),VLOOKUP('Rock Climbing Log'!AD138,'RC Lookup'!$G$3:$H$5,2,FALSE)),0)*VLOOKUP(AB$7,'RC Lookup'!$D$3:$E$18,2,FALSE)</f>
        <v>0</v>
      </c>
      <c r="AE138" s="26">
        <f>_xlfn.IFNA(IF(LEFT('Rock Climbing Log'!AE138)="C",_xlfn.IFNA(VLOOKUP('Rock Climbing Log'!AE138,'RC Lookup'!$A$3:$B$9,2,FALSE),0.5),VLOOKUP('Rock Climbing Log'!AE138,'RC Lookup'!$G$3:$H$5,2,FALSE)),0)*VLOOKUP(AE$7,'RC Lookup'!$D$3:$E$18,2,FALSE)</f>
        <v>0</v>
      </c>
      <c r="AF138" s="26">
        <f>_xlfn.IFNA(IF(LEFT('Rock Climbing Log'!AF138)="C",_xlfn.IFNA(VLOOKUP('Rock Climbing Log'!AF138,'RC Lookup'!$A$3:$B$9,2,FALSE),0.5),VLOOKUP('Rock Climbing Log'!AF138,'RC Lookup'!$G$3:$H$5,2,FALSE)),0)*VLOOKUP(AE$7,'RC Lookup'!$D$3:$E$18,2,FALSE)</f>
        <v>0</v>
      </c>
      <c r="AG138" s="26">
        <f>_xlfn.IFNA(IF(LEFT('Rock Climbing Log'!AG138)="C",_xlfn.IFNA(VLOOKUP('Rock Climbing Log'!AG138,'RC Lookup'!$A$3:$B$9,2,FALSE),0.5),VLOOKUP('Rock Climbing Log'!AG138,'RC Lookup'!$G$3:$H$5,2,FALSE)),0)*VLOOKUP(AE$7,'RC Lookup'!$D$3:$E$18,2,FALSE)</f>
        <v>0</v>
      </c>
      <c r="AH138" s="26">
        <f>_xlfn.IFNA(IF(LEFT('Rock Climbing Log'!AH138)="C",_xlfn.IFNA(VLOOKUP('Rock Climbing Log'!AH138,'RC Lookup'!$A$3:$B$9,2,FALSE),0.5),VLOOKUP('Rock Climbing Log'!AH138,'RC Lookup'!$G$3:$H$5,2,FALSE)),0)*VLOOKUP(AH$7,'RC Lookup'!$D$3:$E$18,2,FALSE)</f>
        <v>0</v>
      </c>
      <c r="AI138" s="26">
        <f>_xlfn.IFNA(IF(LEFT('Rock Climbing Log'!AI138)="C",_xlfn.IFNA(VLOOKUP('Rock Climbing Log'!AI138,'RC Lookup'!$A$3:$B$9,2,FALSE),0.5),VLOOKUP('Rock Climbing Log'!AI138,'RC Lookup'!$G$3:$H$5,2,FALSE)),0)*VLOOKUP(AH$7,'RC Lookup'!$D$3:$E$18,2,FALSE)</f>
        <v>0</v>
      </c>
      <c r="AJ138" s="26">
        <f>_xlfn.IFNA(IF(LEFT('Rock Climbing Log'!AJ138)="C",_xlfn.IFNA(VLOOKUP('Rock Climbing Log'!AJ138,'RC Lookup'!$A$3:$B$9,2,FALSE),0.5),VLOOKUP('Rock Climbing Log'!AJ138,'RC Lookup'!$G$3:$H$5,2,FALSE)),0)*VLOOKUP(AH$7,'RC Lookup'!$D$3:$E$18,2,FALSE)</f>
        <v>0</v>
      </c>
      <c r="AK138" s="26">
        <f>_xlfn.IFNA(IF(LEFT('Rock Climbing Log'!AK138)="C",_xlfn.IFNA(VLOOKUP('Rock Climbing Log'!AK138,'RC Lookup'!$A$3:$B$9,2,FALSE),0.5),VLOOKUP('Rock Climbing Log'!AK138,'RC Lookup'!$G$3:$H$5,2,FALSE)),0)*VLOOKUP(AK$7,'RC Lookup'!$D$3:$E$18,2,FALSE)</f>
        <v>0</v>
      </c>
      <c r="AL138" s="26">
        <f>_xlfn.IFNA(IF(LEFT('Rock Climbing Log'!AL138)="C",_xlfn.IFNA(VLOOKUP('Rock Climbing Log'!AL138,'RC Lookup'!$A$3:$B$9,2,FALSE),0.5),VLOOKUP('Rock Climbing Log'!AL138,'RC Lookup'!$G$3:$H$5,2,FALSE)),0)*VLOOKUP(AK$7,'RC Lookup'!$D$3:$E$18,2,FALSE)</f>
        <v>0</v>
      </c>
      <c r="AM138" s="26">
        <f>_xlfn.IFNA(IF(LEFT('Rock Climbing Log'!AM138)="C",_xlfn.IFNA(VLOOKUP('Rock Climbing Log'!AM138,'RC Lookup'!$A$3:$B$9,2,FALSE),0.5),VLOOKUP('Rock Climbing Log'!AM138,'RC Lookup'!$G$3:$H$5,2,FALSE)),0)*VLOOKUP(AK$7,'RC Lookup'!$D$3:$E$18,2,FALSE)</f>
        <v>0</v>
      </c>
      <c r="AN138" s="26">
        <f>_xlfn.IFNA(IF(LEFT('Rock Climbing Log'!AN138)="C",_xlfn.IFNA(VLOOKUP('Rock Climbing Log'!AN138,'RC Lookup'!$A$3:$B$9,2,FALSE),0.5),VLOOKUP('Rock Climbing Log'!AN138,'RC Lookup'!$G$3:$H$5,2,FALSE)),0)*VLOOKUP(AN$7,'RC Lookup'!$D$3:$E$18,2,FALSE)</f>
        <v>0</v>
      </c>
      <c r="AO138" s="26">
        <f>_xlfn.IFNA(IF(LEFT('Rock Climbing Log'!AO138)="C",_xlfn.IFNA(VLOOKUP('Rock Climbing Log'!AO138,'RC Lookup'!$A$3:$B$9,2,FALSE),0.5),VLOOKUP('Rock Climbing Log'!AO138,'RC Lookup'!$G$3:$H$5,2,FALSE)),0)*VLOOKUP(AN$7,'RC Lookup'!$D$3:$E$18,2,FALSE)</f>
        <v>0</v>
      </c>
      <c r="AP138" s="26">
        <f>_xlfn.IFNA(IF(LEFT('Rock Climbing Log'!AP138)="C",_xlfn.IFNA(VLOOKUP('Rock Climbing Log'!AP138,'RC Lookup'!$A$3:$B$9,2,FALSE),0.5),VLOOKUP('Rock Climbing Log'!AP138,'RC Lookup'!$G$3:$H$5,2,FALSE)),0)*VLOOKUP(AN$7,'RC Lookup'!$D$3:$E$18,2,FALSE)</f>
        <v>0</v>
      </c>
      <c r="AQ138" s="26">
        <f>_xlfn.IFNA(IF(LEFT('Rock Climbing Log'!AQ138)="C",_xlfn.IFNA(VLOOKUP('Rock Climbing Log'!AQ138,'RC Lookup'!$A$3:$B$9,2,FALSE),0.5),VLOOKUP('Rock Climbing Log'!AQ138,'RC Lookup'!$G$3:$H$5,2,FALSE)),0)*VLOOKUP(AQ$7,'RC Lookup'!$D$3:$E$18,2,FALSE)</f>
        <v>0</v>
      </c>
      <c r="AR138" s="26">
        <f>_xlfn.IFNA(IF(LEFT('Rock Climbing Log'!AR138)="C",_xlfn.IFNA(VLOOKUP('Rock Climbing Log'!AR138,'RC Lookup'!$A$3:$B$9,2,FALSE),0.5),VLOOKUP('Rock Climbing Log'!AR138,'RC Lookup'!$G$3:$H$5,2,FALSE)),0)*VLOOKUP(AQ$7,'RC Lookup'!$D$3:$E$18,2,FALSE)</f>
        <v>0</v>
      </c>
      <c r="AS138" s="26">
        <f>_xlfn.IFNA(IF(LEFT('Rock Climbing Log'!AS138)="C",_xlfn.IFNA(VLOOKUP('Rock Climbing Log'!AS138,'RC Lookup'!$A$3:$B$9,2,FALSE),0.5),VLOOKUP('Rock Climbing Log'!AS138,'RC Lookup'!$G$3:$H$5,2,FALSE)),0)*VLOOKUP(AQ$7,'RC Lookup'!$D$3:$E$18,2,FALSE)</f>
        <v>0</v>
      </c>
      <c r="AT138" s="26">
        <f>_xlfn.IFNA(IF(LEFT('Rock Climbing Log'!AT138)="C",_xlfn.IFNA(VLOOKUP('Rock Climbing Log'!AT138,'RC Lookup'!$A$3:$B$9,2,FALSE),0.5),VLOOKUP('Rock Climbing Log'!AT138,'RC Lookup'!$G$3:$H$5,2,FALSE)),0)*VLOOKUP(AT$7,'RC Lookup'!$D$3:$E$18,2,FALSE)</f>
        <v>0</v>
      </c>
      <c r="AU138" s="26">
        <f>_xlfn.IFNA(IF(LEFT('Rock Climbing Log'!AU138)="C",_xlfn.IFNA(VLOOKUP('Rock Climbing Log'!AU138,'RC Lookup'!$A$3:$B$9,2,FALSE),0.5),VLOOKUP('Rock Climbing Log'!AU138,'RC Lookup'!$G$3:$H$5,2,FALSE)),0)*VLOOKUP(AT$7,'RC Lookup'!$D$3:$E$18,2,FALSE)</f>
        <v>0</v>
      </c>
      <c r="AV138" s="26">
        <f>_xlfn.IFNA(IF(LEFT('Rock Climbing Log'!AV138)="C",_xlfn.IFNA(VLOOKUP('Rock Climbing Log'!AV138,'RC Lookup'!$A$3:$B$9,2,FALSE),0.5),VLOOKUP('Rock Climbing Log'!AV138,'RC Lookup'!$G$3:$H$5,2,FALSE)),0)*VLOOKUP(AT$7,'RC Lookup'!$D$3:$E$18,2,FALSE)</f>
        <v>0</v>
      </c>
      <c r="AW138" s="30">
        <f t="shared" ca="1" si="5"/>
        <v>0</v>
      </c>
      <c r="AX138" s="30">
        <f ca="1">_xlfn.IFNA(VLOOKUP(SUMPRODUCT(LARGE(($C$8:$C138=Table1[[#This Row],[Climber]])*$A$8:$A138,1)),$A$8:$AW138,MATCH($AW$7,$A$7:$AW$7,FALSE),FALSE),0)/LEFT($AX$7,FIND(" ",$AX$7))+_xlfn.IFNA(VLOOKUP(SUMPRODUCT(LARGE(($C$8:$C138=Table1[[#This Row],[Climber]])*$A$8:$A138,MIN(2,COUNTIFS($C$8:$C138,$C138)))),$A$8:$AW138,MATCH($AW$7,$A$7:$AW$7,FALSE),FALSE),0)/LEFT($AX$7,FIND(" ",$AX$7))+_xlfn.IFNA(VLOOKUP(SUMPRODUCT(LARGE(($C$8:$C138=Table1[[#This Row],[Climber]])*$A$8:$A138,MIN(3,COUNTIFS($C$8:$C138,$C138)))),$A$8:$AW138,MATCH($AW$7,$A$7:$AW$7,FALSE),FALSE),0)/LEFT($AX$7,FIND(" ",$AX$7))</f>
        <v>0</v>
      </c>
      <c r="AY138" s="30">
        <f ca="1">_xlfn.IFNA(VLOOKUP(SUMPRODUCT(LARGE(($C$8:$C138=Table1[[#This Row],[Climber]])*$A$8:$A138,1)),$A$8:$AW138,MATCH($AW$7,$A$7:$AW$7,FALSE),FALSE),0)/LEFT($AY$7,FIND(" ",$AY$7))+_xlfn.IFNA(VLOOKUP(SUMPRODUCT(LARGE(($C$8:$C138=Table1[[#This Row],[Climber]])*$A$8:$A138,MIN(2,COUNTIFS($C$8:$C138,$C138)))),$A$8:$AW138,MATCH($AW$7,$A$7:$AW$7,FALSE),FALSE),0)/LEFT($AY$7,FIND(" ",$AY$7))+_xlfn.IFNA(VLOOKUP(SUMPRODUCT(LARGE(($C$8:$C138=Table1[[#This Row],[Climber]])*$A$8:$A138,MIN(3,COUNTIFS($C$8:$C138,$C138)))),$A$8:$AW138,MATCH($AW$7,$A$7:$AW$7,FALSE),FALSE),0)/LEFT($AY$7,FIND(" ",$AY$7))+_xlfn.IFNA(VLOOKUP(SUMPRODUCT(LARGE(($C$8:$C138=Table1[[#This Row],[Climber]])*$A$8:$A138,MIN(4,COUNTIFS($C$8:$C138,$C138)))),$A$8:$AW138,MATCH($AW$7,$A$7:$AW$7,FALSE),FALSE),0)/LEFT($AY$7,FIND(" ",$AY$7))+_xlfn.IFNA(VLOOKUP(SUMPRODUCT(LARGE(($C$8:$C138=Table1[[#This Row],[Climber]])*$A$8:$A138,MIN(5,COUNTIFS($C$8:$C138,$C138)))),$A$8:$AW138,MATCH($AW$7,$A$7:$AW$7,FALSE),FALSE),0)/LEFT($AY$7,FIND(" ",$AY$7))</f>
        <v>0</v>
      </c>
      <c r="AZ138" s="30">
        <f ca="1">(_xlfn.IFNA(VLOOKUP(SUMPRODUCT(LARGE(($C$8:$C138=Table1[[#This Row],[Climber]])*$A$8:$A138,4)),$A$8:$AW138,MATCH($AW$7,$A$7:$AW$7,FALSE),FALSE),0)+_xlfn.IFNA(VLOOKUP(SUMPRODUCT(LARGE(($C$8:$C138=Table1[[#This Row],[Climber]])*$A$8:$A138,5)),$A$8:$AW138,MATCH($AW$7,$A$7:$AW$7,FALSE),FALSE),0)+_xlfn.IFNA(VLOOKUP(SUMPRODUCT(LARGE(($C$8:$C138=Table1[[#This Row],[Climber]])*$A$8:$A138,6)),$A$8:$AW138,MATCH($AW$7,$A$7:$AW$7,FALSE),FALSE),0))/3</f>
        <v>0</v>
      </c>
      <c r="BA138" s="46">
        <f ca="1">_xlfn.MAXIFS(INDIRECT("$AW"&amp;IF(SUMPRODUCT(LARGE(($C$8:$C138=$C138)*$A$8:$A138,LEFT($BA$7,FIND(" ",$BA$7)-1)))=0,8,SUMPRODUCT(LARGE(($C$8:$C138=$C138)*$A$8:$A138,LEFT($BA$7,FIND(" ",$BA$7)-1)))+7)&amp;":$AW"&amp;ROW()),INDIRECT("$C"&amp;IF(SUMPRODUCT(LARGE(($C$8:$C138=$C138)*$A$8:$A138,LEFT($BA$7,FIND(" ",$BA$7)-1)))=0,8,SUMPRODUCT(LARGE(($C$8:$C138=$C138)*$A$8:$A138,LEFT($BA$7,FIND(" ",$BA$7)-1)))+7)&amp;":$C"&amp;ROW()),$C138)</f>
        <v>0</v>
      </c>
      <c r="BB138" s="46" t="str">
        <f ca="1">VLOOKUP(MAX(BG138,$AX138),'RC Lookup'!$G$14:$J$20,2,TRUE)</f>
        <v>T1</v>
      </c>
      <c r="BC138" s="46">
        <f ca="1">_xlfn.IFNA(VLOOKUP(VLOOKUP($C138,'RC Lookup'!$O$3:$P$50,2,FALSE),'RC Lookup'!$H$14:$J$23,2,FALSE),0)*AW138</f>
        <v>0</v>
      </c>
      <c r="BD138" s="6">
        <f ca="1">_xlfn.IFNA(VLOOKUP(SUMPRODUCT(LARGE(($C$8:$C138=Table1[[#This Row],[Climber]])*$A$8:$A138,1)),$A$8:$BC138,55,FALSE),0)/LEFT($AX$7,FIND(" ",$AX$7))+_xlfn.IFNA(VLOOKUP(SUMPRODUCT(LARGE(($C$8:$C138=Table1[[#This Row],[Climber]])*$A$8:$A138,MIN(2,COUNTIFS($C$8:$C138,$C138)))),$A$8:$BC138,55,FALSE),0)/LEFT($AX$7,FIND(" ",$AX$7))+_xlfn.IFNA(VLOOKUP(SUMPRODUCT(LARGE(($C$8:$C138=Table1[[#This Row],[Climber]])*$A$8:$A138,MIN(3,COUNTIFS($C$8:$C138,$C138)))),$A$8:$BC138,55,FALSE),0)/LEFT($AX$7,FIND(" ",$AX$7))</f>
        <v>0</v>
      </c>
      <c r="BE138" s="6">
        <f ca="1">(_xlfn.IFNA(VLOOKUP(SUMPRODUCT(LARGE(($C$8:$C138=Table1[[#This Row],[Climber]])*$A$8:$A138,4)),$A$8:$BD138,55,FALSE),0)+_xlfn.IFNA(VLOOKUP(SUMPRODUCT(LARGE(($C$8:$C138=Table1[[#This Row],[Climber]])*$A$8:$A138,5)),$A$8:$BD138,55,FALSE),0)+_xlfn.IFNA(VLOOKUP(SUMPRODUCT(LARGE(($C$8:$C138=Table1[[#This Row],[Climber]])*$A$8:$A138,6)),$A$8:$BD138,55,FALSE),0))/3</f>
        <v>0</v>
      </c>
      <c r="BF138" s="46">
        <f ca="1">_xlfn.MAXIFS(INDIRECT("$BC"&amp;IF(SUMPRODUCT(LARGE(($C$8:$C138=$C138)*$A$8:$A138,LEFT($BA$7,FIND(" ",$BA$7)-1)))=0,8,SUMPRODUCT(LARGE(($C$8:$C138=$C138)*$A$8:$A138,LEFT($BA$7,FIND(" ",$BA$7)-1)))+7)&amp;":$BC"&amp;ROW()),INDIRECT("$C"&amp;IF(SUMPRODUCT(LARGE(($C$8:$C138=$C138)*$A$8:$A138,LEFT($BA$7,FIND(" ",$BA$7)-1)))=0,8,SUMPRODUCT(LARGE(($C$8:$C138=$C138)*$A$8:$A138,LEFT($BA$7,FIND(" ",$BA$7)-1)))+7)&amp;":$C"&amp;ROW()),$C138)</f>
        <v>0</v>
      </c>
      <c r="BG138" s="46">
        <f t="array" aca="1" ref="BG138" ca="1">IFERROR(SUMPRODUCT(LARGE(($C$8:$C138=Table1[[#This Row],[Climber]])*$AW$8:$AW138,ROW(INDIRECT("1:5")))),AW138)/MIN(COUNTIFS($C$8:$C138,C138),5)</f>
        <v>0</v>
      </c>
    </row>
    <row r="139" spans="1:59" x14ac:dyDescent="0.3">
      <c r="A139" s="125">
        <f t="shared" si="1"/>
        <v>132</v>
      </c>
      <c r="B139" s="25">
        <f>'Rock Climbing Log'!B139</f>
        <v>0</v>
      </c>
      <c r="C139" s="126">
        <f>'Rock Climbing Log'!C139</f>
        <v>0</v>
      </c>
      <c r="D139" s="26">
        <f>_xlfn.IFNA(IF(LEFT('Rock Climbing Log'!D139)="C",_xlfn.IFNA(VLOOKUP('Rock Climbing Log'!D139,'RC Lookup'!$A$3:$B$9,2,FALSE),0.5),VLOOKUP('Rock Climbing Log'!D139,'RC Lookup'!$G$3:$H$5,2,FALSE)),0)*VLOOKUP(D$7,'RC Lookup'!$D$3:$E$18,2,FALSE)</f>
        <v>0</v>
      </c>
      <c r="E139" s="26">
        <f>_xlfn.IFNA(IF(LEFT('Rock Climbing Log'!E139)="C",_xlfn.IFNA(VLOOKUP('Rock Climbing Log'!E139,'RC Lookup'!$A$3:$B$9,2,FALSE),0.5),VLOOKUP('Rock Climbing Log'!E139,'RC Lookup'!$G$3:$H$5,2,FALSE)),0)*VLOOKUP(D$7,'RC Lookup'!$D$3:$E$18,2,FALSE)</f>
        <v>0</v>
      </c>
      <c r="F139" s="26">
        <f>_xlfn.IFNA(IF(LEFT('Rock Climbing Log'!F139)="C",_xlfn.IFNA(VLOOKUP('Rock Climbing Log'!F139,'RC Lookup'!$A$3:$B$9,2,FALSE),0.5),VLOOKUP('Rock Climbing Log'!F139,'RC Lookup'!$G$3:$H$5,2,FALSE)),0)*VLOOKUP(D$7,'RC Lookup'!$D$3:$E$18,2,FALSE)</f>
        <v>0</v>
      </c>
      <c r="G139" s="26">
        <f>_xlfn.IFNA(IF(LEFT('Rock Climbing Log'!G139)="C",_xlfn.IFNA(VLOOKUP('Rock Climbing Log'!G139,'RC Lookup'!$A$3:$B$9,2,FALSE),0.5),VLOOKUP('Rock Climbing Log'!G139,'RC Lookup'!$G$3:$H$5,2,FALSE)),0)*VLOOKUP(G$7,'RC Lookup'!$D$3:$E$18,2,FALSE)</f>
        <v>0</v>
      </c>
      <c r="H139" s="26">
        <f>_xlfn.IFNA(IF(LEFT('Rock Climbing Log'!H139)="C",_xlfn.IFNA(VLOOKUP('Rock Climbing Log'!H139,'RC Lookup'!$A$3:$B$9,2,FALSE),0.5),VLOOKUP('Rock Climbing Log'!H139,'RC Lookup'!$G$3:$H$5,2,FALSE)),0)*VLOOKUP(G$7,'RC Lookup'!$D$3:$E$18,2,FALSE)</f>
        <v>0</v>
      </c>
      <c r="I139" s="26">
        <f>_xlfn.IFNA(IF(LEFT('Rock Climbing Log'!I139)="C",_xlfn.IFNA(VLOOKUP('Rock Climbing Log'!I139,'RC Lookup'!$A$3:$B$9,2,FALSE),0.5),VLOOKUP('Rock Climbing Log'!I139,'RC Lookup'!$G$3:$H$5,2,FALSE)),0)*VLOOKUP(G$7,'RC Lookup'!$D$3:$E$18,2,FALSE)</f>
        <v>0</v>
      </c>
      <c r="J139" s="26">
        <f>_xlfn.IFNA(IF(LEFT('Rock Climbing Log'!J139)="C",_xlfn.IFNA(VLOOKUP('Rock Climbing Log'!J139,'RC Lookup'!$A$3:$B$9,2,FALSE),0.5),VLOOKUP('Rock Climbing Log'!J139,'RC Lookup'!$G$3:$H$5,2,FALSE)),0)*VLOOKUP(J$7,'RC Lookup'!$D$3:$E$18,2,FALSE)</f>
        <v>0</v>
      </c>
      <c r="K139" s="26">
        <f>_xlfn.IFNA(IF(LEFT('Rock Climbing Log'!K139)="C",_xlfn.IFNA(VLOOKUP('Rock Climbing Log'!K139,'RC Lookup'!$A$3:$B$9,2,FALSE),0.5),VLOOKUP('Rock Climbing Log'!K139,'RC Lookup'!$G$3:$H$5,2,FALSE)),0)*VLOOKUP(J$7,'RC Lookup'!$D$3:$E$18,2,FALSE)</f>
        <v>0</v>
      </c>
      <c r="L139" s="26">
        <f>_xlfn.IFNA(IF(LEFT('Rock Climbing Log'!L139)="C",_xlfn.IFNA(VLOOKUP('Rock Climbing Log'!L139,'RC Lookup'!$A$3:$B$9,2,FALSE),0.5),VLOOKUP('Rock Climbing Log'!L139,'RC Lookup'!$G$3:$H$5,2,FALSE)),0)*VLOOKUP(J$7,'RC Lookup'!$D$3:$E$18,2,FALSE)</f>
        <v>0</v>
      </c>
      <c r="M139" s="26">
        <f>_xlfn.IFNA(IF(LEFT('Rock Climbing Log'!M139)="C",_xlfn.IFNA(VLOOKUP('Rock Climbing Log'!M139,'RC Lookup'!$A$3:$B$9,2,FALSE),0.5),VLOOKUP('Rock Climbing Log'!M139,'RC Lookup'!$G$3:$H$5,2,FALSE)),0)*VLOOKUP(M$7,'RC Lookup'!$D$3:$E$18,2,FALSE)</f>
        <v>0</v>
      </c>
      <c r="N139" s="26">
        <f>_xlfn.IFNA(IF(LEFT('Rock Climbing Log'!N139)="C",_xlfn.IFNA(VLOOKUP('Rock Climbing Log'!N139,'RC Lookup'!$A$3:$B$9,2,FALSE),0.5),VLOOKUP('Rock Climbing Log'!N139,'RC Lookup'!$G$3:$H$5,2,FALSE)),0)*VLOOKUP(M$7,'RC Lookup'!$D$3:$E$18,2,FALSE)</f>
        <v>0</v>
      </c>
      <c r="O139" s="26">
        <f>_xlfn.IFNA(IF(LEFT('Rock Climbing Log'!O139)="C",_xlfn.IFNA(VLOOKUP('Rock Climbing Log'!O139,'RC Lookup'!$A$3:$B$9,2,FALSE),0.5),VLOOKUP('Rock Climbing Log'!O139,'RC Lookup'!$G$3:$H$5,2,FALSE)),0)*VLOOKUP(M$7,'RC Lookup'!$D$3:$E$18,2,FALSE)</f>
        <v>0</v>
      </c>
      <c r="P139" s="26">
        <f>_xlfn.IFNA(IF(LEFT('Rock Climbing Log'!P139)="C",_xlfn.IFNA(VLOOKUP('Rock Climbing Log'!P139,'RC Lookup'!$A$3:$B$9,2,FALSE),0.5),VLOOKUP('Rock Climbing Log'!P139,'RC Lookup'!$G$3:$H$5,2,FALSE)),0)*VLOOKUP(P$7,'RC Lookup'!$D$3:$E$18,2,FALSE)</f>
        <v>0</v>
      </c>
      <c r="Q139" s="26">
        <f>_xlfn.IFNA(IF(LEFT('Rock Climbing Log'!Q139)="C",_xlfn.IFNA(VLOOKUP('Rock Climbing Log'!Q139,'RC Lookup'!$A$3:$B$9,2,FALSE),0.5),VLOOKUP('Rock Climbing Log'!Q139,'RC Lookup'!$G$3:$H$5,2,FALSE)),0)*VLOOKUP(P$7,'RC Lookup'!$D$3:$E$18,2,FALSE)</f>
        <v>0</v>
      </c>
      <c r="R139" s="26">
        <f>_xlfn.IFNA(IF(LEFT('Rock Climbing Log'!R139)="C",_xlfn.IFNA(VLOOKUP('Rock Climbing Log'!R139,'RC Lookup'!$A$3:$B$9,2,FALSE),0.5),VLOOKUP('Rock Climbing Log'!R139,'RC Lookup'!$G$3:$H$5,2,FALSE)),0)*VLOOKUP(P$7,'RC Lookup'!$D$3:$E$18,2,FALSE)</f>
        <v>0</v>
      </c>
      <c r="S139" s="26">
        <f>_xlfn.IFNA(IF(LEFT('Rock Climbing Log'!S139)="C",_xlfn.IFNA(VLOOKUP('Rock Climbing Log'!S139,'RC Lookup'!$A$3:$B$9,2,FALSE),0.5),VLOOKUP('Rock Climbing Log'!S139,'RC Lookup'!$G$3:$H$5,2,FALSE)),0)*VLOOKUP(S$7,'RC Lookup'!$D$3:$E$18,2,FALSE)</f>
        <v>0</v>
      </c>
      <c r="T139" s="26">
        <f>_xlfn.IFNA(IF(LEFT('Rock Climbing Log'!T139)="C",_xlfn.IFNA(VLOOKUP('Rock Climbing Log'!T139,'RC Lookup'!$A$3:$B$9,2,FALSE),0.5),VLOOKUP('Rock Climbing Log'!T139,'RC Lookup'!$G$3:$H$5,2,FALSE)),0)*VLOOKUP(S$7,'RC Lookup'!$D$3:$E$18,2,FALSE)</f>
        <v>0</v>
      </c>
      <c r="U139" s="26">
        <f>_xlfn.IFNA(IF(LEFT('Rock Climbing Log'!U139)="C",_xlfn.IFNA(VLOOKUP('Rock Climbing Log'!U139,'RC Lookup'!$A$3:$B$9,2,FALSE),0.5),VLOOKUP('Rock Climbing Log'!U139,'RC Lookup'!$G$3:$H$5,2,FALSE)),0)*VLOOKUP(S$7,'RC Lookup'!$D$3:$E$18,2,FALSE)</f>
        <v>0</v>
      </c>
      <c r="V139" s="26">
        <f>_xlfn.IFNA(IF(LEFT('Rock Climbing Log'!V139)="C",_xlfn.IFNA(VLOOKUP('Rock Climbing Log'!V139,'RC Lookup'!$A$3:$B$9,2,FALSE),0.5),VLOOKUP('Rock Climbing Log'!V139,'RC Lookup'!$G$3:$H$5,2,FALSE)),0)*VLOOKUP(V$7,'RC Lookup'!$D$3:$E$18,2,FALSE)</f>
        <v>0</v>
      </c>
      <c r="W139" s="26">
        <f>_xlfn.IFNA(IF(LEFT('Rock Climbing Log'!W139)="C",_xlfn.IFNA(VLOOKUP('Rock Climbing Log'!W139,'RC Lookup'!$A$3:$B$9,2,FALSE),0.5),VLOOKUP('Rock Climbing Log'!W139,'RC Lookup'!$G$3:$H$5,2,FALSE)),0)*VLOOKUP(V$7,'RC Lookup'!$D$3:$E$18,2,FALSE)</f>
        <v>0</v>
      </c>
      <c r="X139" s="26">
        <f>_xlfn.IFNA(IF(LEFT('Rock Climbing Log'!X139)="C",_xlfn.IFNA(VLOOKUP('Rock Climbing Log'!X139,'RC Lookup'!$A$3:$B$9,2,FALSE),0.5),VLOOKUP('Rock Climbing Log'!X139,'RC Lookup'!$G$3:$H$5,2,FALSE)),0)*VLOOKUP(V$7,'RC Lookup'!$D$3:$E$18,2,FALSE)</f>
        <v>0</v>
      </c>
      <c r="Y139" s="26">
        <f>_xlfn.IFNA(IF(LEFT('Rock Climbing Log'!Y139)="C",_xlfn.IFNA(VLOOKUP('Rock Climbing Log'!Y139,'RC Lookup'!$A$3:$B$9,2,FALSE),0.5),VLOOKUP('Rock Climbing Log'!Y139,'RC Lookup'!$G$3:$H$5,2,FALSE)),0)*VLOOKUP(Y$7,'RC Lookup'!$D$3:$E$18,2,FALSE)</f>
        <v>0</v>
      </c>
      <c r="Z139" s="26">
        <f>_xlfn.IFNA(IF(LEFT('Rock Climbing Log'!Z139)="C",_xlfn.IFNA(VLOOKUP('Rock Climbing Log'!Z139,'RC Lookup'!$A$3:$B$9,2,FALSE),0.5),VLOOKUP('Rock Climbing Log'!Z139,'RC Lookup'!$G$3:$H$5,2,FALSE)),0)*VLOOKUP(Y$7,'RC Lookup'!$D$3:$E$18,2,FALSE)</f>
        <v>0</v>
      </c>
      <c r="AA139" s="26">
        <f>_xlfn.IFNA(IF(LEFT('Rock Climbing Log'!AA139)="C",_xlfn.IFNA(VLOOKUP('Rock Climbing Log'!AA139,'RC Lookup'!$A$3:$B$9,2,FALSE),0.5),VLOOKUP('Rock Climbing Log'!AA139,'RC Lookup'!$G$3:$H$5,2,FALSE)),0)*VLOOKUP(Y$7,'RC Lookup'!$D$3:$E$18,2,FALSE)</f>
        <v>0</v>
      </c>
      <c r="AB139" s="26">
        <f>_xlfn.IFNA(IF(LEFT('Rock Climbing Log'!AB139)="C",_xlfn.IFNA(VLOOKUP('Rock Climbing Log'!AB139,'RC Lookup'!$A$3:$B$9,2,FALSE),0.5),VLOOKUP('Rock Climbing Log'!AB139,'RC Lookup'!$G$3:$H$5,2,FALSE)),0)*VLOOKUP(AB$7,'RC Lookup'!$D$3:$E$18,2,FALSE)</f>
        <v>0</v>
      </c>
      <c r="AC139" s="26">
        <f>_xlfn.IFNA(IF(LEFT('Rock Climbing Log'!AC139)="C",_xlfn.IFNA(VLOOKUP('Rock Climbing Log'!AC139,'RC Lookup'!$A$3:$B$9,2,FALSE),0.5),VLOOKUP('Rock Climbing Log'!AC139,'RC Lookup'!$G$3:$H$5,2,FALSE)),0)*VLOOKUP(AB$7,'RC Lookup'!$D$3:$E$18,2,FALSE)</f>
        <v>0</v>
      </c>
      <c r="AD139" s="26">
        <f>_xlfn.IFNA(IF(LEFT('Rock Climbing Log'!AD139)="C",_xlfn.IFNA(VLOOKUP('Rock Climbing Log'!AD139,'RC Lookup'!$A$3:$B$9,2,FALSE),0.5),VLOOKUP('Rock Climbing Log'!AD139,'RC Lookup'!$G$3:$H$5,2,FALSE)),0)*VLOOKUP(AB$7,'RC Lookup'!$D$3:$E$18,2,FALSE)</f>
        <v>0</v>
      </c>
      <c r="AE139" s="26">
        <f>_xlfn.IFNA(IF(LEFT('Rock Climbing Log'!AE139)="C",_xlfn.IFNA(VLOOKUP('Rock Climbing Log'!AE139,'RC Lookup'!$A$3:$B$9,2,FALSE),0.5),VLOOKUP('Rock Climbing Log'!AE139,'RC Lookup'!$G$3:$H$5,2,FALSE)),0)*VLOOKUP(AE$7,'RC Lookup'!$D$3:$E$18,2,FALSE)</f>
        <v>0</v>
      </c>
      <c r="AF139" s="26">
        <f>_xlfn.IFNA(IF(LEFT('Rock Climbing Log'!AF139)="C",_xlfn.IFNA(VLOOKUP('Rock Climbing Log'!AF139,'RC Lookup'!$A$3:$B$9,2,FALSE),0.5),VLOOKUP('Rock Climbing Log'!AF139,'RC Lookup'!$G$3:$H$5,2,FALSE)),0)*VLOOKUP(AE$7,'RC Lookup'!$D$3:$E$18,2,FALSE)</f>
        <v>0</v>
      </c>
      <c r="AG139" s="26">
        <f>_xlfn.IFNA(IF(LEFT('Rock Climbing Log'!AG139)="C",_xlfn.IFNA(VLOOKUP('Rock Climbing Log'!AG139,'RC Lookup'!$A$3:$B$9,2,FALSE),0.5),VLOOKUP('Rock Climbing Log'!AG139,'RC Lookup'!$G$3:$H$5,2,FALSE)),0)*VLOOKUP(AE$7,'RC Lookup'!$D$3:$E$18,2,FALSE)</f>
        <v>0</v>
      </c>
      <c r="AH139" s="26">
        <f>_xlfn.IFNA(IF(LEFT('Rock Climbing Log'!AH139)="C",_xlfn.IFNA(VLOOKUP('Rock Climbing Log'!AH139,'RC Lookup'!$A$3:$B$9,2,FALSE),0.5),VLOOKUP('Rock Climbing Log'!AH139,'RC Lookup'!$G$3:$H$5,2,FALSE)),0)*VLOOKUP(AH$7,'RC Lookup'!$D$3:$E$18,2,FALSE)</f>
        <v>0</v>
      </c>
      <c r="AI139" s="26">
        <f>_xlfn.IFNA(IF(LEFT('Rock Climbing Log'!AI139)="C",_xlfn.IFNA(VLOOKUP('Rock Climbing Log'!AI139,'RC Lookup'!$A$3:$B$9,2,FALSE),0.5),VLOOKUP('Rock Climbing Log'!AI139,'RC Lookup'!$G$3:$H$5,2,FALSE)),0)*VLOOKUP(AH$7,'RC Lookup'!$D$3:$E$18,2,FALSE)</f>
        <v>0</v>
      </c>
      <c r="AJ139" s="26">
        <f>_xlfn.IFNA(IF(LEFT('Rock Climbing Log'!AJ139)="C",_xlfn.IFNA(VLOOKUP('Rock Climbing Log'!AJ139,'RC Lookup'!$A$3:$B$9,2,FALSE),0.5),VLOOKUP('Rock Climbing Log'!AJ139,'RC Lookup'!$G$3:$H$5,2,FALSE)),0)*VLOOKUP(AH$7,'RC Lookup'!$D$3:$E$18,2,FALSE)</f>
        <v>0</v>
      </c>
      <c r="AK139" s="26">
        <f>_xlfn.IFNA(IF(LEFT('Rock Climbing Log'!AK139)="C",_xlfn.IFNA(VLOOKUP('Rock Climbing Log'!AK139,'RC Lookup'!$A$3:$B$9,2,FALSE),0.5),VLOOKUP('Rock Climbing Log'!AK139,'RC Lookup'!$G$3:$H$5,2,FALSE)),0)*VLOOKUP(AK$7,'RC Lookup'!$D$3:$E$18,2,FALSE)</f>
        <v>0</v>
      </c>
      <c r="AL139" s="26">
        <f>_xlfn.IFNA(IF(LEFT('Rock Climbing Log'!AL139)="C",_xlfn.IFNA(VLOOKUP('Rock Climbing Log'!AL139,'RC Lookup'!$A$3:$B$9,2,FALSE),0.5),VLOOKUP('Rock Climbing Log'!AL139,'RC Lookup'!$G$3:$H$5,2,FALSE)),0)*VLOOKUP(AK$7,'RC Lookup'!$D$3:$E$18,2,FALSE)</f>
        <v>0</v>
      </c>
      <c r="AM139" s="26">
        <f>_xlfn.IFNA(IF(LEFT('Rock Climbing Log'!AM139)="C",_xlfn.IFNA(VLOOKUP('Rock Climbing Log'!AM139,'RC Lookup'!$A$3:$B$9,2,FALSE),0.5),VLOOKUP('Rock Climbing Log'!AM139,'RC Lookup'!$G$3:$H$5,2,FALSE)),0)*VLOOKUP(AK$7,'RC Lookup'!$D$3:$E$18,2,FALSE)</f>
        <v>0</v>
      </c>
      <c r="AN139" s="26">
        <f>_xlfn.IFNA(IF(LEFT('Rock Climbing Log'!AN139)="C",_xlfn.IFNA(VLOOKUP('Rock Climbing Log'!AN139,'RC Lookup'!$A$3:$B$9,2,FALSE),0.5),VLOOKUP('Rock Climbing Log'!AN139,'RC Lookup'!$G$3:$H$5,2,FALSE)),0)*VLOOKUP(AN$7,'RC Lookup'!$D$3:$E$18,2,FALSE)</f>
        <v>0</v>
      </c>
      <c r="AO139" s="26">
        <f>_xlfn.IFNA(IF(LEFT('Rock Climbing Log'!AO139)="C",_xlfn.IFNA(VLOOKUP('Rock Climbing Log'!AO139,'RC Lookup'!$A$3:$B$9,2,FALSE),0.5),VLOOKUP('Rock Climbing Log'!AO139,'RC Lookup'!$G$3:$H$5,2,FALSE)),0)*VLOOKUP(AN$7,'RC Lookup'!$D$3:$E$18,2,FALSE)</f>
        <v>0</v>
      </c>
      <c r="AP139" s="26">
        <f>_xlfn.IFNA(IF(LEFT('Rock Climbing Log'!AP139)="C",_xlfn.IFNA(VLOOKUP('Rock Climbing Log'!AP139,'RC Lookup'!$A$3:$B$9,2,FALSE),0.5),VLOOKUP('Rock Climbing Log'!AP139,'RC Lookup'!$G$3:$H$5,2,FALSE)),0)*VLOOKUP(AN$7,'RC Lookup'!$D$3:$E$18,2,FALSE)</f>
        <v>0</v>
      </c>
      <c r="AQ139" s="26">
        <f>_xlfn.IFNA(IF(LEFT('Rock Climbing Log'!AQ139)="C",_xlfn.IFNA(VLOOKUP('Rock Climbing Log'!AQ139,'RC Lookup'!$A$3:$B$9,2,FALSE),0.5),VLOOKUP('Rock Climbing Log'!AQ139,'RC Lookup'!$G$3:$H$5,2,FALSE)),0)*VLOOKUP(AQ$7,'RC Lookup'!$D$3:$E$18,2,FALSE)</f>
        <v>0</v>
      </c>
      <c r="AR139" s="26">
        <f>_xlfn.IFNA(IF(LEFT('Rock Climbing Log'!AR139)="C",_xlfn.IFNA(VLOOKUP('Rock Climbing Log'!AR139,'RC Lookup'!$A$3:$B$9,2,FALSE),0.5),VLOOKUP('Rock Climbing Log'!AR139,'RC Lookup'!$G$3:$H$5,2,FALSE)),0)*VLOOKUP(AQ$7,'RC Lookup'!$D$3:$E$18,2,FALSE)</f>
        <v>0</v>
      </c>
      <c r="AS139" s="26">
        <f>_xlfn.IFNA(IF(LEFT('Rock Climbing Log'!AS139)="C",_xlfn.IFNA(VLOOKUP('Rock Climbing Log'!AS139,'RC Lookup'!$A$3:$B$9,2,FALSE),0.5),VLOOKUP('Rock Climbing Log'!AS139,'RC Lookup'!$G$3:$H$5,2,FALSE)),0)*VLOOKUP(AQ$7,'RC Lookup'!$D$3:$E$18,2,FALSE)</f>
        <v>0</v>
      </c>
      <c r="AT139" s="26">
        <f>_xlfn.IFNA(IF(LEFT('Rock Climbing Log'!AT139)="C",_xlfn.IFNA(VLOOKUP('Rock Climbing Log'!AT139,'RC Lookup'!$A$3:$B$9,2,FALSE),0.5),VLOOKUP('Rock Climbing Log'!AT139,'RC Lookup'!$G$3:$H$5,2,FALSE)),0)*VLOOKUP(AT$7,'RC Lookup'!$D$3:$E$18,2,FALSE)</f>
        <v>0</v>
      </c>
      <c r="AU139" s="26">
        <f>_xlfn.IFNA(IF(LEFT('Rock Climbing Log'!AU139)="C",_xlfn.IFNA(VLOOKUP('Rock Climbing Log'!AU139,'RC Lookup'!$A$3:$B$9,2,FALSE),0.5),VLOOKUP('Rock Climbing Log'!AU139,'RC Lookup'!$G$3:$H$5,2,FALSE)),0)*VLOOKUP(AT$7,'RC Lookup'!$D$3:$E$18,2,FALSE)</f>
        <v>0</v>
      </c>
      <c r="AV139" s="26">
        <f>_xlfn.IFNA(IF(LEFT('Rock Climbing Log'!AV139)="C",_xlfn.IFNA(VLOOKUP('Rock Climbing Log'!AV139,'RC Lookup'!$A$3:$B$9,2,FALSE),0.5),VLOOKUP('Rock Climbing Log'!AV139,'RC Lookup'!$G$3:$H$5,2,FALSE)),0)*VLOOKUP(AT$7,'RC Lookup'!$D$3:$E$18,2,FALSE)</f>
        <v>0</v>
      </c>
      <c r="AW139" s="30">
        <f t="shared" ca="1" si="5"/>
        <v>0</v>
      </c>
      <c r="AX139" s="30">
        <f ca="1">_xlfn.IFNA(VLOOKUP(SUMPRODUCT(LARGE(($C$8:$C139=Table1[[#This Row],[Climber]])*$A$8:$A139,1)),$A$8:$AW139,MATCH($AW$7,$A$7:$AW$7,FALSE),FALSE),0)/LEFT($AX$7,FIND(" ",$AX$7))+_xlfn.IFNA(VLOOKUP(SUMPRODUCT(LARGE(($C$8:$C139=Table1[[#This Row],[Climber]])*$A$8:$A139,MIN(2,COUNTIFS($C$8:$C139,$C139)))),$A$8:$AW139,MATCH($AW$7,$A$7:$AW$7,FALSE),FALSE),0)/LEFT($AX$7,FIND(" ",$AX$7))+_xlfn.IFNA(VLOOKUP(SUMPRODUCT(LARGE(($C$8:$C139=Table1[[#This Row],[Climber]])*$A$8:$A139,MIN(3,COUNTIFS($C$8:$C139,$C139)))),$A$8:$AW139,MATCH($AW$7,$A$7:$AW$7,FALSE),FALSE),0)/LEFT($AX$7,FIND(" ",$AX$7))</f>
        <v>0</v>
      </c>
      <c r="AY139" s="30">
        <f ca="1">_xlfn.IFNA(VLOOKUP(SUMPRODUCT(LARGE(($C$8:$C139=Table1[[#This Row],[Climber]])*$A$8:$A139,1)),$A$8:$AW139,MATCH($AW$7,$A$7:$AW$7,FALSE),FALSE),0)/LEFT($AY$7,FIND(" ",$AY$7))+_xlfn.IFNA(VLOOKUP(SUMPRODUCT(LARGE(($C$8:$C139=Table1[[#This Row],[Climber]])*$A$8:$A139,MIN(2,COUNTIFS($C$8:$C139,$C139)))),$A$8:$AW139,MATCH($AW$7,$A$7:$AW$7,FALSE),FALSE),0)/LEFT($AY$7,FIND(" ",$AY$7))+_xlfn.IFNA(VLOOKUP(SUMPRODUCT(LARGE(($C$8:$C139=Table1[[#This Row],[Climber]])*$A$8:$A139,MIN(3,COUNTIFS($C$8:$C139,$C139)))),$A$8:$AW139,MATCH($AW$7,$A$7:$AW$7,FALSE),FALSE),0)/LEFT($AY$7,FIND(" ",$AY$7))+_xlfn.IFNA(VLOOKUP(SUMPRODUCT(LARGE(($C$8:$C139=Table1[[#This Row],[Climber]])*$A$8:$A139,MIN(4,COUNTIFS($C$8:$C139,$C139)))),$A$8:$AW139,MATCH($AW$7,$A$7:$AW$7,FALSE),FALSE),0)/LEFT($AY$7,FIND(" ",$AY$7))+_xlfn.IFNA(VLOOKUP(SUMPRODUCT(LARGE(($C$8:$C139=Table1[[#This Row],[Climber]])*$A$8:$A139,MIN(5,COUNTIFS($C$8:$C139,$C139)))),$A$8:$AW139,MATCH($AW$7,$A$7:$AW$7,FALSE),FALSE),0)/LEFT($AY$7,FIND(" ",$AY$7))</f>
        <v>0</v>
      </c>
      <c r="AZ139" s="30">
        <f ca="1">(_xlfn.IFNA(VLOOKUP(SUMPRODUCT(LARGE(($C$8:$C139=Table1[[#This Row],[Climber]])*$A$8:$A139,4)),$A$8:$AW139,MATCH($AW$7,$A$7:$AW$7,FALSE),FALSE),0)+_xlfn.IFNA(VLOOKUP(SUMPRODUCT(LARGE(($C$8:$C139=Table1[[#This Row],[Climber]])*$A$8:$A139,5)),$A$8:$AW139,MATCH($AW$7,$A$7:$AW$7,FALSE),FALSE),0)+_xlfn.IFNA(VLOOKUP(SUMPRODUCT(LARGE(($C$8:$C139=Table1[[#This Row],[Climber]])*$A$8:$A139,6)),$A$8:$AW139,MATCH($AW$7,$A$7:$AW$7,FALSE),FALSE),0))/3</f>
        <v>0</v>
      </c>
      <c r="BA139" s="46">
        <f ca="1">_xlfn.MAXIFS(INDIRECT("$AW"&amp;IF(SUMPRODUCT(LARGE(($C$8:$C139=$C139)*$A$8:$A139,LEFT($BA$7,FIND(" ",$BA$7)-1)))=0,8,SUMPRODUCT(LARGE(($C$8:$C139=$C139)*$A$8:$A139,LEFT($BA$7,FIND(" ",$BA$7)-1)))+7)&amp;":$AW"&amp;ROW()),INDIRECT("$C"&amp;IF(SUMPRODUCT(LARGE(($C$8:$C139=$C139)*$A$8:$A139,LEFT($BA$7,FIND(" ",$BA$7)-1)))=0,8,SUMPRODUCT(LARGE(($C$8:$C139=$C139)*$A$8:$A139,LEFT($BA$7,FIND(" ",$BA$7)-1)))+7)&amp;":$C"&amp;ROW()),$C139)</f>
        <v>0</v>
      </c>
      <c r="BB139" s="46" t="str">
        <f ca="1">VLOOKUP(MAX(BG139,$AX139),'RC Lookup'!$G$14:$J$20,2,TRUE)</f>
        <v>T1</v>
      </c>
      <c r="BC139" s="46">
        <f ca="1">_xlfn.IFNA(VLOOKUP(VLOOKUP($C139,'RC Lookup'!$O$3:$P$50,2,FALSE),'RC Lookup'!$H$14:$J$23,2,FALSE),0)*AW139</f>
        <v>0</v>
      </c>
      <c r="BD139" s="6">
        <f ca="1">_xlfn.IFNA(VLOOKUP(SUMPRODUCT(LARGE(($C$8:$C139=Table1[[#This Row],[Climber]])*$A$8:$A139,1)),$A$8:$BC139,55,FALSE),0)/LEFT($AX$7,FIND(" ",$AX$7))+_xlfn.IFNA(VLOOKUP(SUMPRODUCT(LARGE(($C$8:$C139=Table1[[#This Row],[Climber]])*$A$8:$A139,MIN(2,COUNTIFS($C$8:$C139,$C139)))),$A$8:$BC139,55,FALSE),0)/LEFT($AX$7,FIND(" ",$AX$7))+_xlfn.IFNA(VLOOKUP(SUMPRODUCT(LARGE(($C$8:$C139=Table1[[#This Row],[Climber]])*$A$8:$A139,MIN(3,COUNTIFS($C$8:$C139,$C139)))),$A$8:$BC139,55,FALSE),0)/LEFT($AX$7,FIND(" ",$AX$7))</f>
        <v>0</v>
      </c>
      <c r="BE139" s="6">
        <f ca="1">(_xlfn.IFNA(VLOOKUP(SUMPRODUCT(LARGE(($C$8:$C139=Table1[[#This Row],[Climber]])*$A$8:$A139,4)),$A$8:$BD139,55,FALSE),0)+_xlfn.IFNA(VLOOKUP(SUMPRODUCT(LARGE(($C$8:$C139=Table1[[#This Row],[Climber]])*$A$8:$A139,5)),$A$8:$BD139,55,FALSE),0)+_xlfn.IFNA(VLOOKUP(SUMPRODUCT(LARGE(($C$8:$C139=Table1[[#This Row],[Climber]])*$A$8:$A139,6)),$A$8:$BD139,55,FALSE),0))/3</f>
        <v>0</v>
      </c>
      <c r="BF139" s="46">
        <f ca="1">_xlfn.MAXIFS(INDIRECT("$BC"&amp;IF(SUMPRODUCT(LARGE(($C$8:$C139=$C139)*$A$8:$A139,LEFT($BA$7,FIND(" ",$BA$7)-1)))=0,8,SUMPRODUCT(LARGE(($C$8:$C139=$C139)*$A$8:$A139,LEFT($BA$7,FIND(" ",$BA$7)-1)))+7)&amp;":$BC"&amp;ROW()),INDIRECT("$C"&amp;IF(SUMPRODUCT(LARGE(($C$8:$C139=$C139)*$A$8:$A139,LEFT($BA$7,FIND(" ",$BA$7)-1)))=0,8,SUMPRODUCT(LARGE(($C$8:$C139=$C139)*$A$8:$A139,LEFT($BA$7,FIND(" ",$BA$7)-1)))+7)&amp;":$C"&amp;ROW()),$C139)</f>
        <v>0</v>
      </c>
      <c r="BG139" s="46">
        <f t="array" aca="1" ref="BG139" ca="1">IFERROR(SUMPRODUCT(LARGE(($C$8:$C139=Table1[[#This Row],[Climber]])*$AW$8:$AW139,ROW(INDIRECT("1:5")))),AW139)/MIN(COUNTIFS($C$8:$C139,C139),5)</f>
        <v>0</v>
      </c>
    </row>
    <row r="140" spans="1:59" x14ac:dyDescent="0.3">
      <c r="A140" s="125">
        <f t="shared" si="1"/>
        <v>133</v>
      </c>
      <c r="B140" s="25">
        <f>'Rock Climbing Log'!B140</f>
        <v>0</v>
      </c>
      <c r="C140" s="126">
        <f>'Rock Climbing Log'!C140</f>
        <v>0</v>
      </c>
      <c r="D140" s="26">
        <f>_xlfn.IFNA(IF(LEFT('Rock Climbing Log'!D140)="C",_xlfn.IFNA(VLOOKUP('Rock Climbing Log'!D140,'RC Lookup'!$A$3:$B$9,2,FALSE),0.5),VLOOKUP('Rock Climbing Log'!D140,'RC Lookup'!$G$3:$H$5,2,FALSE)),0)*VLOOKUP(D$7,'RC Lookup'!$D$3:$E$18,2,FALSE)</f>
        <v>0</v>
      </c>
      <c r="E140" s="26">
        <f>_xlfn.IFNA(IF(LEFT('Rock Climbing Log'!E140)="C",_xlfn.IFNA(VLOOKUP('Rock Climbing Log'!E140,'RC Lookup'!$A$3:$B$9,2,FALSE),0.5),VLOOKUP('Rock Climbing Log'!E140,'RC Lookup'!$G$3:$H$5,2,FALSE)),0)*VLOOKUP(D$7,'RC Lookup'!$D$3:$E$18,2,FALSE)</f>
        <v>0</v>
      </c>
      <c r="F140" s="26">
        <f>_xlfn.IFNA(IF(LEFT('Rock Climbing Log'!F140)="C",_xlfn.IFNA(VLOOKUP('Rock Climbing Log'!F140,'RC Lookup'!$A$3:$B$9,2,FALSE),0.5),VLOOKUP('Rock Climbing Log'!F140,'RC Lookup'!$G$3:$H$5,2,FALSE)),0)*VLOOKUP(D$7,'RC Lookup'!$D$3:$E$18,2,FALSE)</f>
        <v>0</v>
      </c>
      <c r="G140" s="26">
        <f>_xlfn.IFNA(IF(LEFT('Rock Climbing Log'!G140)="C",_xlfn.IFNA(VLOOKUP('Rock Climbing Log'!G140,'RC Lookup'!$A$3:$B$9,2,FALSE),0.5),VLOOKUP('Rock Climbing Log'!G140,'RC Lookup'!$G$3:$H$5,2,FALSE)),0)*VLOOKUP(G$7,'RC Lookup'!$D$3:$E$18,2,FALSE)</f>
        <v>0</v>
      </c>
      <c r="H140" s="26">
        <f>_xlfn.IFNA(IF(LEFT('Rock Climbing Log'!H140)="C",_xlfn.IFNA(VLOOKUP('Rock Climbing Log'!H140,'RC Lookup'!$A$3:$B$9,2,FALSE),0.5),VLOOKUP('Rock Climbing Log'!H140,'RC Lookup'!$G$3:$H$5,2,FALSE)),0)*VLOOKUP(G$7,'RC Lookup'!$D$3:$E$18,2,FALSE)</f>
        <v>0</v>
      </c>
      <c r="I140" s="26">
        <f>_xlfn.IFNA(IF(LEFT('Rock Climbing Log'!I140)="C",_xlfn.IFNA(VLOOKUP('Rock Climbing Log'!I140,'RC Lookup'!$A$3:$B$9,2,FALSE),0.5),VLOOKUP('Rock Climbing Log'!I140,'RC Lookup'!$G$3:$H$5,2,FALSE)),0)*VLOOKUP(G$7,'RC Lookup'!$D$3:$E$18,2,FALSE)</f>
        <v>0</v>
      </c>
      <c r="J140" s="26">
        <f>_xlfn.IFNA(IF(LEFT('Rock Climbing Log'!J140)="C",_xlfn.IFNA(VLOOKUP('Rock Climbing Log'!J140,'RC Lookup'!$A$3:$B$9,2,FALSE),0.5),VLOOKUP('Rock Climbing Log'!J140,'RC Lookup'!$G$3:$H$5,2,FALSE)),0)*VLOOKUP(J$7,'RC Lookup'!$D$3:$E$18,2,FALSE)</f>
        <v>0</v>
      </c>
      <c r="K140" s="26">
        <f>_xlfn.IFNA(IF(LEFT('Rock Climbing Log'!K140)="C",_xlfn.IFNA(VLOOKUP('Rock Climbing Log'!K140,'RC Lookup'!$A$3:$B$9,2,FALSE),0.5),VLOOKUP('Rock Climbing Log'!K140,'RC Lookup'!$G$3:$H$5,2,FALSE)),0)*VLOOKUP(J$7,'RC Lookup'!$D$3:$E$18,2,FALSE)</f>
        <v>0</v>
      </c>
      <c r="L140" s="26">
        <f>_xlfn.IFNA(IF(LEFT('Rock Climbing Log'!L140)="C",_xlfn.IFNA(VLOOKUP('Rock Climbing Log'!L140,'RC Lookup'!$A$3:$B$9,2,FALSE),0.5),VLOOKUP('Rock Climbing Log'!L140,'RC Lookup'!$G$3:$H$5,2,FALSE)),0)*VLOOKUP(J$7,'RC Lookup'!$D$3:$E$18,2,FALSE)</f>
        <v>0</v>
      </c>
      <c r="M140" s="26">
        <f>_xlfn.IFNA(IF(LEFT('Rock Climbing Log'!M140)="C",_xlfn.IFNA(VLOOKUP('Rock Climbing Log'!M140,'RC Lookup'!$A$3:$B$9,2,FALSE),0.5),VLOOKUP('Rock Climbing Log'!M140,'RC Lookup'!$G$3:$H$5,2,FALSE)),0)*VLOOKUP(M$7,'RC Lookup'!$D$3:$E$18,2,FALSE)</f>
        <v>0</v>
      </c>
      <c r="N140" s="26">
        <f>_xlfn.IFNA(IF(LEFT('Rock Climbing Log'!N140)="C",_xlfn.IFNA(VLOOKUP('Rock Climbing Log'!N140,'RC Lookup'!$A$3:$B$9,2,FALSE),0.5),VLOOKUP('Rock Climbing Log'!N140,'RC Lookup'!$G$3:$H$5,2,FALSE)),0)*VLOOKUP(M$7,'RC Lookup'!$D$3:$E$18,2,FALSE)</f>
        <v>0</v>
      </c>
      <c r="O140" s="26">
        <f>_xlfn.IFNA(IF(LEFT('Rock Climbing Log'!O140)="C",_xlfn.IFNA(VLOOKUP('Rock Climbing Log'!O140,'RC Lookup'!$A$3:$B$9,2,FALSE),0.5),VLOOKUP('Rock Climbing Log'!O140,'RC Lookup'!$G$3:$H$5,2,FALSE)),0)*VLOOKUP(M$7,'RC Lookup'!$D$3:$E$18,2,FALSE)</f>
        <v>0</v>
      </c>
      <c r="P140" s="26">
        <f>_xlfn.IFNA(IF(LEFT('Rock Climbing Log'!P140)="C",_xlfn.IFNA(VLOOKUP('Rock Climbing Log'!P140,'RC Lookup'!$A$3:$B$9,2,FALSE),0.5),VLOOKUP('Rock Climbing Log'!P140,'RC Lookup'!$G$3:$H$5,2,FALSE)),0)*VLOOKUP(P$7,'RC Lookup'!$D$3:$E$18,2,FALSE)</f>
        <v>0</v>
      </c>
      <c r="Q140" s="26">
        <f>_xlfn.IFNA(IF(LEFT('Rock Climbing Log'!Q140)="C",_xlfn.IFNA(VLOOKUP('Rock Climbing Log'!Q140,'RC Lookup'!$A$3:$B$9,2,FALSE),0.5),VLOOKUP('Rock Climbing Log'!Q140,'RC Lookup'!$G$3:$H$5,2,FALSE)),0)*VLOOKUP(P$7,'RC Lookup'!$D$3:$E$18,2,FALSE)</f>
        <v>0</v>
      </c>
      <c r="R140" s="26">
        <f>_xlfn.IFNA(IF(LEFT('Rock Climbing Log'!R140)="C",_xlfn.IFNA(VLOOKUP('Rock Climbing Log'!R140,'RC Lookup'!$A$3:$B$9,2,FALSE),0.5),VLOOKUP('Rock Climbing Log'!R140,'RC Lookup'!$G$3:$H$5,2,FALSE)),0)*VLOOKUP(P$7,'RC Lookup'!$D$3:$E$18,2,FALSE)</f>
        <v>0</v>
      </c>
      <c r="S140" s="26">
        <f>_xlfn.IFNA(IF(LEFT('Rock Climbing Log'!S140)="C",_xlfn.IFNA(VLOOKUP('Rock Climbing Log'!S140,'RC Lookup'!$A$3:$B$9,2,FALSE),0.5),VLOOKUP('Rock Climbing Log'!S140,'RC Lookup'!$G$3:$H$5,2,FALSE)),0)*VLOOKUP(S$7,'RC Lookup'!$D$3:$E$18,2,FALSE)</f>
        <v>0</v>
      </c>
      <c r="T140" s="26">
        <f>_xlfn.IFNA(IF(LEFT('Rock Climbing Log'!T140)="C",_xlfn.IFNA(VLOOKUP('Rock Climbing Log'!T140,'RC Lookup'!$A$3:$B$9,2,FALSE),0.5),VLOOKUP('Rock Climbing Log'!T140,'RC Lookup'!$G$3:$H$5,2,FALSE)),0)*VLOOKUP(S$7,'RC Lookup'!$D$3:$E$18,2,FALSE)</f>
        <v>0</v>
      </c>
      <c r="U140" s="26">
        <f>_xlfn.IFNA(IF(LEFT('Rock Climbing Log'!U140)="C",_xlfn.IFNA(VLOOKUP('Rock Climbing Log'!U140,'RC Lookup'!$A$3:$B$9,2,FALSE),0.5),VLOOKUP('Rock Climbing Log'!U140,'RC Lookup'!$G$3:$H$5,2,FALSE)),0)*VLOOKUP(S$7,'RC Lookup'!$D$3:$E$18,2,FALSE)</f>
        <v>0</v>
      </c>
      <c r="V140" s="26">
        <f>_xlfn.IFNA(IF(LEFT('Rock Climbing Log'!V140)="C",_xlfn.IFNA(VLOOKUP('Rock Climbing Log'!V140,'RC Lookup'!$A$3:$B$9,2,FALSE),0.5),VLOOKUP('Rock Climbing Log'!V140,'RC Lookup'!$G$3:$H$5,2,FALSE)),0)*VLOOKUP(V$7,'RC Lookup'!$D$3:$E$18,2,FALSE)</f>
        <v>0</v>
      </c>
      <c r="W140" s="26">
        <f>_xlfn.IFNA(IF(LEFT('Rock Climbing Log'!W140)="C",_xlfn.IFNA(VLOOKUP('Rock Climbing Log'!W140,'RC Lookup'!$A$3:$B$9,2,FALSE),0.5),VLOOKUP('Rock Climbing Log'!W140,'RC Lookup'!$G$3:$H$5,2,FALSE)),0)*VLOOKUP(V$7,'RC Lookup'!$D$3:$E$18,2,FALSE)</f>
        <v>0</v>
      </c>
      <c r="X140" s="26">
        <f>_xlfn.IFNA(IF(LEFT('Rock Climbing Log'!X140)="C",_xlfn.IFNA(VLOOKUP('Rock Climbing Log'!X140,'RC Lookup'!$A$3:$B$9,2,FALSE),0.5),VLOOKUP('Rock Climbing Log'!X140,'RC Lookup'!$G$3:$H$5,2,FALSE)),0)*VLOOKUP(V$7,'RC Lookup'!$D$3:$E$18,2,FALSE)</f>
        <v>0</v>
      </c>
      <c r="Y140" s="26">
        <f>_xlfn.IFNA(IF(LEFT('Rock Climbing Log'!Y140)="C",_xlfn.IFNA(VLOOKUP('Rock Climbing Log'!Y140,'RC Lookup'!$A$3:$B$9,2,FALSE),0.5),VLOOKUP('Rock Climbing Log'!Y140,'RC Lookup'!$G$3:$H$5,2,FALSE)),0)*VLOOKUP(Y$7,'RC Lookup'!$D$3:$E$18,2,FALSE)</f>
        <v>0</v>
      </c>
      <c r="Z140" s="26">
        <f>_xlfn.IFNA(IF(LEFT('Rock Climbing Log'!Z140)="C",_xlfn.IFNA(VLOOKUP('Rock Climbing Log'!Z140,'RC Lookup'!$A$3:$B$9,2,FALSE),0.5),VLOOKUP('Rock Climbing Log'!Z140,'RC Lookup'!$G$3:$H$5,2,FALSE)),0)*VLOOKUP(Y$7,'RC Lookup'!$D$3:$E$18,2,FALSE)</f>
        <v>0</v>
      </c>
      <c r="AA140" s="26">
        <f>_xlfn.IFNA(IF(LEFT('Rock Climbing Log'!AA140)="C",_xlfn.IFNA(VLOOKUP('Rock Climbing Log'!AA140,'RC Lookup'!$A$3:$B$9,2,FALSE),0.5),VLOOKUP('Rock Climbing Log'!AA140,'RC Lookup'!$G$3:$H$5,2,FALSE)),0)*VLOOKUP(Y$7,'RC Lookup'!$D$3:$E$18,2,FALSE)</f>
        <v>0</v>
      </c>
      <c r="AB140" s="26">
        <f>_xlfn.IFNA(IF(LEFT('Rock Climbing Log'!AB140)="C",_xlfn.IFNA(VLOOKUP('Rock Climbing Log'!AB140,'RC Lookup'!$A$3:$B$9,2,FALSE),0.5),VLOOKUP('Rock Climbing Log'!AB140,'RC Lookup'!$G$3:$H$5,2,FALSE)),0)*VLOOKUP(AB$7,'RC Lookup'!$D$3:$E$18,2,FALSE)</f>
        <v>0</v>
      </c>
      <c r="AC140" s="26">
        <f>_xlfn.IFNA(IF(LEFT('Rock Climbing Log'!AC140)="C",_xlfn.IFNA(VLOOKUP('Rock Climbing Log'!AC140,'RC Lookup'!$A$3:$B$9,2,FALSE),0.5),VLOOKUP('Rock Climbing Log'!AC140,'RC Lookup'!$G$3:$H$5,2,FALSE)),0)*VLOOKUP(AB$7,'RC Lookup'!$D$3:$E$18,2,FALSE)</f>
        <v>0</v>
      </c>
      <c r="AD140" s="26">
        <f>_xlfn.IFNA(IF(LEFT('Rock Climbing Log'!AD140)="C",_xlfn.IFNA(VLOOKUP('Rock Climbing Log'!AD140,'RC Lookup'!$A$3:$B$9,2,FALSE),0.5),VLOOKUP('Rock Climbing Log'!AD140,'RC Lookup'!$G$3:$H$5,2,FALSE)),0)*VLOOKUP(AB$7,'RC Lookup'!$D$3:$E$18,2,FALSE)</f>
        <v>0</v>
      </c>
      <c r="AE140" s="26">
        <f>_xlfn.IFNA(IF(LEFT('Rock Climbing Log'!AE140)="C",_xlfn.IFNA(VLOOKUP('Rock Climbing Log'!AE140,'RC Lookup'!$A$3:$B$9,2,FALSE),0.5),VLOOKUP('Rock Climbing Log'!AE140,'RC Lookup'!$G$3:$H$5,2,FALSE)),0)*VLOOKUP(AE$7,'RC Lookup'!$D$3:$E$18,2,FALSE)</f>
        <v>0</v>
      </c>
      <c r="AF140" s="26">
        <f>_xlfn.IFNA(IF(LEFT('Rock Climbing Log'!AF140)="C",_xlfn.IFNA(VLOOKUP('Rock Climbing Log'!AF140,'RC Lookup'!$A$3:$B$9,2,FALSE),0.5),VLOOKUP('Rock Climbing Log'!AF140,'RC Lookup'!$G$3:$H$5,2,FALSE)),0)*VLOOKUP(AE$7,'RC Lookup'!$D$3:$E$18,2,FALSE)</f>
        <v>0</v>
      </c>
      <c r="AG140" s="26">
        <f>_xlfn.IFNA(IF(LEFT('Rock Climbing Log'!AG140)="C",_xlfn.IFNA(VLOOKUP('Rock Climbing Log'!AG140,'RC Lookup'!$A$3:$B$9,2,FALSE),0.5),VLOOKUP('Rock Climbing Log'!AG140,'RC Lookup'!$G$3:$H$5,2,FALSE)),0)*VLOOKUP(AE$7,'RC Lookup'!$D$3:$E$18,2,FALSE)</f>
        <v>0</v>
      </c>
      <c r="AH140" s="26">
        <f>_xlfn.IFNA(IF(LEFT('Rock Climbing Log'!AH140)="C",_xlfn.IFNA(VLOOKUP('Rock Climbing Log'!AH140,'RC Lookup'!$A$3:$B$9,2,FALSE),0.5),VLOOKUP('Rock Climbing Log'!AH140,'RC Lookup'!$G$3:$H$5,2,FALSE)),0)*VLOOKUP(AH$7,'RC Lookup'!$D$3:$E$18,2,FALSE)</f>
        <v>0</v>
      </c>
      <c r="AI140" s="26">
        <f>_xlfn.IFNA(IF(LEFT('Rock Climbing Log'!AI140)="C",_xlfn.IFNA(VLOOKUP('Rock Climbing Log'!AI140,'RC Lookup'!$A$3:$B$9,2,FALSE),0.5),VLOOKUP('Rock Climbing Log'!AI140,'RC Lookup'!$G$3:$H$5,2,FALSE)),0)*VLOOKUP(AH$7,'RC Lookup'!$D$3:$E$18,2,FALSE)</f>
        <v>0</v>
      </c>
      <c r="AJ140" s="26">
        <f>_xlfn.IFNA(IF(LEFT('Rock Climbing Log'!AJ140)="C",_xlfn.IFNA(VLOOKUP('Rock Climbing Log'!AJ140,'RC Lookup'!$A$3:$B$9,2,FALSE),0.5),VLOOKUP('Rock Climbing Log'!AJ140,'RC Lookup'!$G$3:$H$5,2,FALSE)),0)*VLOOKUP(AH$7,'RC Lookup'!$D$3:$E$18,2,FALSE)</f>
        <v>0</v>
      </c>
      <c r="AK140" s="26">
        <f>_xlfn.IFNA(IF(LEFT('Rock Climbing Log'!AK140)="C",_xlfn.IFNA(VLOOKUP('Rock Climbing Log'!AK140,'RC Lookup'!$A$3:$B$9,2,FALSE),0.5),VLOOKUP('Rock Climbing Log'!AK140,'RC Lookup'!$G$3:$H$5,2,FALSE)),0)*VLOOKUP(AK$7,'RC Lookup'!$D$3:$E$18,2,FALSE)</f>
        <v>0</v>
      </c>
      <c r="AL140" s="26">
        <f>_xlfn.IFNA(IF(LEFT('Rock Climbing Log'!AL140)="C",_xlfn.IFNA(VLOOKUP('Rock Climbing Log'!AL140,'RC Lookup'!$A$3:$B$9,2,FALSE),0.5),VLOOKUP('Rock Climbing Log'!AL140,'RC Lookup'!$G$3:$H$5,2,FALSE)),0)*VLOOKUP(AK$7,'RC Lookup'!$D$3:$E$18,2,FALSE)</f>
        <v>0</v>
      </c>
      <c r="AM140" s="26">
        <f>_xlfn.IFNA(IF(LEFT('Rock Climbing Log'!AM140)="C",_xlfn.IFNA(VLOOKUP('Rock Climbing Log'!AM140,'RC Lookup'!$A$3:$B$9,2,FALSE),0.5),VLOOKUP('Rock Climbing Log'!AM140,'RC Lookup'!$G$3:$H$5,2,FALSE)),0)*VLOOKUP(AK$7,'RC Lookup'!$D$3:$E$18,2,FALSE)</f>
        <v>0</v>
      </c>
      <c r="AN140" s="26">
        <f>_xlfn.IFNA(IF(LEFT('Rock Climbing Log'!AN140)="C",_xlfn.IFNA(VLOOKUP('Rock Climbing Log'!AN140,'RC Lookup'!$A$3:$B$9,2,FALSE),0.5),VLOOKUP('Rock Climbing Log'!AN140,'RC Lookup'!$G$3:$H$5,2,FALSE)),0)*VLOOKUP(AN$7,'RC Lookup'!$D$3:$E$18,2,FALSE)</f>
        <v>0</v>
      </c>
      <c r="AO140" s="26">
        <f>_xlfn.IFNA(IF(LEFT('Rock Climbing Log'!AO140)="C",_xlfn.IFNA(VLOOKUP('Rock Climbing Log'!AO140,'RC Lookup'!$A$3:$B$9,2,FALSE),0.5),VLOOKUP('Rock Climbing Log'!AO140,'RC Lookup'!$G$3:$H$5,2,FALSE)),0)*VLOOKUP(AN$7,'RC Lookup'!$D$3:$E$18,2,FALSE)</f>
        <v>0</v>
      </c>
      <c r="AP140" s="26">
        <f>_xlfn.IFNA(IF(LEFT('Rock Climbing Log'!AP140)="C",_xlfn.IFNA(VLOOKUP('Rock Climbing Log'!AP140,'RC Lookup'!$A$3:$B$9,2,FALSE),0.5),VLOOKUP('Rock Climbing Log'!AP140,'RC Lookup'!$G$3:$H$5,2,FALSE)),0)*VLOOKUP(AN$7,'RC Lookup'!$D$3:$E$18,2,FALSE)</f>
        <v>0</v>
      </c>
      <c r="AQ140" s="26">
        <f>_xlfn.IFNA(IF(LEFT('Rock Climbing Log'!AQ140)="C",_xlfn.IFNA(VLOOKUP('Rock Climbing Log'!AQ140,'RC Lookup'!$A$3:$B$9,2,FALSE),0.5),VLOOKUP('Rock Climbing Log'!AQ140,'RC Lookup'!$G$3:$H$5,2,FALSE)),0)*VLOOKUP(AQ$7,'RC Lookup'!$D$3:$E$18,2,FALSE)</f>
        <v>0</v>
      </c>
      <c r="AR140" s="26">
        <f>_xlfn.IFNA(IF(LEFT('Rock Climbing Log'!AR140)="C",_xlfn.IFNA(VLOOKUP('Rock Climbing Log'!AR140,'RC Lookup'!$A$3:$B$9,2,FALSE),0.5),VLOOKUP('Rock Climbing Log'!AR140,'RC Lookup'!$G$3:$H$5,2,FALSE)),0)*VLOOKUP(AQ$7,'RC Lookup'!$D$3:$E$18,2,FALSE)</f>
        <v>0</v>
      </c>
      <c r="AS140" s="26">
        <f>_xlfn.IFNA(IF(LEFT('Rock Climbing Log'!AS140)="C",_xlfn.IFNA(VLOOKUP('Rock Climbing Log'!AS140,'RC Lookup'!$A$3:$B$9,2,FALSE),0.5),VLOOKUP('Rock Climbing Log'!AS140,'RC Lookup'!$G$3:$H$5,2,FALSE)),0)*VLOOKUP(AQ$7,'RC Lookup'!$D$3:$E$18,2,FALSE)</f>
        <v>0</v>
      </c>
      <c r="AT140" s="26">
        <f>_xlfn.IFNA(IF(LEFT('Rock Climbing Log'!AT140)="C",_xlfn.IFNA(VLOOKUP('Rock Climbing Log'!AT140,'RC Lookup'!$A$3:$B$9,2,FALSE),0.5),VLOOKUP('Rock Climbing Log'!AT140,'RC Lookup'!$G$3:$H$5,2,FALSE)),0)*VLOOKUP(AT$7,'RC Lookup'!$D$3:$E$18,2,FALSE)</f>
        <v>0</v>
      </c>
      <c r="AU140" s="26">
        <f>_xlfn.IFNA(IF(LEFT('Rock Climbing Log'!AU140)="C",_xlfn.IFNA(VLOOKUP('Rock Climbing Log'!AU140,'RC Lookup'!$A$3:$B$9,2,FALSE),0.5),VLOOKUP('Rock Climbing Log'!AU140,'RC Lookup'!$G$3:$H$5,2,FALSE)),0)*VLOOKUP(AT$7,'RC Lookup'!$D$3:$E$18,2,FALSE)</f>
        <v>0</v>
      </c>
      <c r="AV140" s="26">
        <f>_xlfn.IFNA(IF(LEFT('Rock Climbing Log'!AV140)="C",_xlfn.IFNA(VLOOKUP('Rock Climbing Log'!AV140,'RC Lookup'!$A$3:$B$9,2,FALSE),0.5),VLOOKUP('Rock Climbing Log'!AV140,'RC Lookup'!$G$3:$H$5,2,FALSE)),0)*VLOOKUP(AT$7,'RC Lookup'!$D$3:$E$18,2,FALSE)</f>
        <v>0</v>
      </c>
      <c r="AW140" s="30">
        <f t="shared" ca="1" si="5"/>
        <v>0</v>
      </c>
      <c r="AX140" s="30">
        <f ca="1">_xlfn.IFNA(VLOOKUP(SUMPRODUCT(LARGE(($C$8:$C140=Table1[[#This Row],[Climber]])*$A$8:$A140,1)),$A$8:$AW140,MATCH($AW$7,$A$7:$AW$7,FALSE),FALSE),0)/LEFT($AX$7,FIND(" ",$AX$7))+_xlfn.IFNA(VLOOKUP(SUMPRODUCT(LARGE(($C$8:$C140=Table1[[#This Row],[Climber]])*$A$8:$A140,MIN(2,COUNTIFS($C$8:$C140,$C140)))),$A$8:$AW140,MATCH($AW$7,$A$7:$AW$7,FALSE),FALSE),0)/LEFT($AX$7,FIND(" ",$AX$7))+_xlfn.IFNA(VLOOKUP(SUMPRODUCT(LARGE(($C$8:$C140=Table1[[#This Row],[Climber]])*$A$8:$A140,MIN(3,COUNTIFS($C$8:$C140,$C140)))),$A$8:$AW140,MATCH($AW$7,$A$7:$AW$7,FALSE),FALSE),0)/LEFT($AX$7,FIND(" ",$AX$7))</f>
        <v>0</v>
      </c>
      <c r="AY140" s="30">
        <f ca="1">_xlfn.IFNA(VLOOKUP(SUMPRODUCT(LARGE(($C$8:$C140=Table1[[#This Row],[Climber]])*$A$8:$A140,1)),$A$8:$AW140,MATCH($AW$7,$A$7:$AW$7,FALSE),FALSE),0)/LEFT($AY$7,FIND(" ",$AY$7))+_xlfn.IFNA(VLOOKUP(SUMPRODUCT(LARGE(($C$8:$C140=Table1[[#This Row],[Climber]])*$A$8:$A140,MIN(2,COUNTIFS($C$8:$C140,$C140)))),$A$8:$AW140,MATCH($AW$7,$A$7:$AW$7,FALSE),FALSE),0)/LEFT($AY$7,FIND(" ",$AY$7))+_xlfn.IFNA(VLOOKUP(SUMPRODUCT(LARGE(($C$8:$C140=Table1[[#This Row],[Climber]])*$A$8:$A140,MIN(3,COUNTIFS($C$8:$C140,$C140)))),$A$8:$AW140,MATCH($AW$7,$A$7:$AW$7,FALSE),FALSE),0)/LEFT($AY$7,FIND(" ",$AY$7))+_xlfn.IFNA(VLOOKUP(SUMPRODUCT(LARGE(($C$8:$C140=Table1[[#This Row],[Climber]])*$A$8:$A140,MIN(4,COUNTIFS($C$8:$C140,$C140)))),$A$8:$AW140,MATCH($AW$7,$A$7:$AW$7,FALSE),FALSE),0)/LEFT($AY$7,FIND(" ",$AY$7))+_xlfn.IFNA(VLOOKUP(SUMPRODUCT(LARGE(($C$8:$C140=Table1[[#This Row],[Climber]])*$A$8:$A140,MIN(5,COUNTIFS($C$8:$C140,$C140)))),$A$8:$AW140,MATCH($AW$7,$A$7:$AW$7,FALSE),FALSE),0)/LEFT($AY$7,FIND(" ",$AY$7))</f>
        <v>0</v>
      </c>
      <c r="AZ140" s="30">
        <f ca="1">(_xlfn.IFNA(VLOOKUP(SUMPRODUCT(LARGE(($C$8:$C140=Table1[[#This Row],[Climber]])*$A$8:$A140,4)),$A$8:$AW140,MATCH($AW$7,$A$7:$AW$7,FALSE),FALSE),0)+_xlfn.IFNA(VLOOKUP(SUMPRODUCT(LARGE(($C$8:$C140=Table1[[#This Row],[Climber]])*$A$8:$A140,5)),$A$8:$AW140,MATCH($AW$7,$A$7:$AW$7,FALSE),FALSE),0)+_xlfn.IFNA(VLOOKUP(SUMPRODUCT(LARGE(($C$8:$C140=Table1[[#This Row],[Climber]])*$A$8:$A140,6)),$A$8:$AW140,MATCH($AW$7,$A$7:$AW$7,FALSE),FALSE),0))/3</f>
        <v>0</v>
      </c>
      <c r="BA140" s="46">
        <f ca="1">_xlfn.MAXIFS(INDIRECT("$AW"&amp;IF(SUMPRODUCT(LARGE(($C$8:$C140=$C140)*$A$8:$A140,LEFT($BA$7,FIND(" ",$BA$7)-1)))=0,8,SUMPRODUCT(LARGE(($C$8:$C140=$C140)*$A$8:$A140,LEFT($BA$7,FIND(" ",$BA$7)-1)))+7)&amp;":$AW"&amp;ROW()),INDIRECT("$C"&amp;IF(SUMPRODUCT(LARGE(($C$8:$C140=$C140)*$A$8:$A140,LEFT($BA$7,FIND(" ",$BA$7)-1)))=0,8,SUMPRODUCT(LARGE(($C$8:$C140=$C140)*$A$8:$A140,LEFT($BA$7,FIND(" ",$BA$7)-1)))+7)&amp;":$C"&amp;ROW()),$C140)</f>
        <v>0</v>
      </c>
      <c r="BB140" s="46" t="str">
        <f ca="1">VLOOKUP(MAX(BG140,$AX140),'RC Lookup'!$G$14:$J$20,2,TRUE)</f>
        <v>T1</v>
      </c>
      <c r="BC140" s="46">
        <f ca="1">_xlfn.IFNA(VLOOKUP(VLOOKUP($C140,'RC Lookup'!$O$3:$P$50,2,FALSE),'RC Lookup'!$H$14:$J$23,2,FALSE),0)*AW140</f>
        <v>0</v>
      </c>
      <c r="BD140" s="6">
        <f ca="1">_xlfn.IFNA(VLOOKUP(SUMPRODUCT(LARGE(($C$8:$C140=Table1[[#This Row],[Climber]])*$A$8:$A140,1)),$A$8:$BC140,55,FALSE),0)/LEFT($AX$7,FIND(" ",$AX$7))+_xlfn.IFNA(VLOOKUP(SUMPRODUCT(LARGE(($C$8:$C140=Table1[[#This Row],[Climber]])*$A$8:$A140,MIN(2,COUNTIFS($C$8:$C140,$C140)))),$A$8:$BC140,55,FALSE),0)/LEFT($AX$7,FIND(" ",$AX$7))+_xlfn.IFNA(VLOOKUP(SUMPRODUCT(LARGE(($C$8:$C140=Table1[[#This Row],[Climber]])*$A$8:$A140,MIN(3,COUNTIFS($C$8:$C140,$C140)))),$A$8:$BC140,55,FALSE),0)/LEFT($AX$7,FIND(" ",$AX$7))</f>
        <v>0</v>
      </c>
      <c r="BE140" s="6">
        <f ca="1">(_xlfn.IFNA(VLOOKUP(SUMPRODUCT(LARGE(($C$8:$C140=Table1[[#This Row],[Climber]])*$A$8:$A140,4)),$A$8:$BD140,55,FALSE),0)+_xlfn.IFNA(VLOOKUP(SUMPRODUCT(LARGE(($C$8:$C140=Table1[[#This Row],[Climber]])*$A$8:$A140,5)),$A$8:$BD140,55,FALSE),0)+_xlfn.IFNA(VLOOKUP(SUMPRODUCT(LARGE(($C$8:$C140=Table1[[#This Row],[Climber]])*$A$8:$A140,6)),$A$8:$BD140,55,FALSE),0))/3</f>
        <v>0</v>
      </c>
      <c r="BF140" s="46">
        <f ca="1">_xlfn.MAXIFS(INDIRECT("$BC"&amp;IF(SUMPRODUCT(LARGE(($C$8:$C140=$C140)*$A$8:$A140,LEFT($BA$7,FIND(" ",$BA$7)-1)))=0,8,SUMPRODUCT(LARGE(($C$8:$C140=$C140)*$A$8:$A140,LEFT($BA$7,FIND(" ",$BA$7)-1)))+7)&amp;":$BC"&amp;ROW()),INDIRECT("$C"&amp;IF(SUMPRODUCT(LARGE(($C$8:$C140=$C140)*$A$8:$A140,LEFT($BA$7,FIND(" ",$BA$7)-1)))=0,8,SUMPRODUCT(LARGE(($C$8:$C140=$C140)*$A$8:$A140,LEFT($BA$7,FIND(" ",$BA$7)-1)))+7)&amp;":$C"&amp;ROW()),$C140)</f>
        <v>0</v>
      </c>
      <c r="BG140" s="46">
        <f t="array" aca="1" ref="BG140" ca="1">IFERROR(SUMPRODUCT(LARGE(($C$8:$C140=Table1[[#This Row],[Climber]])*$AW$8:$AW140,ROW(INDIRECT("1:5")))),AW140)/MIN(COUNTIFS($C$8:$C140,C140),5)</f>
        <v>0</v>
      </c>
    </row>
    <row r="141" spans="1:59" x14ac:dyDescent="0.3">
      <c r="A141" s="125">
        <f t="shared" si="1"/>
        <v>134</v>
      </c>
      <c r="B141" s="25">
        <f>'Rock Climbing Log'!B141</f>
        <v>0</v>
      </c>
      <c r="C141" s="126">
        <f>'Rock Climbing Log'!C141</f>
        <v>0</v>
      </c>
      <c r="D141" s="26">
        <f>_xlfn.IFNA(IF(LEFT('Rock Climbing Log'!D141)="C",_xlfn.IFNA(VLOOKUP('Rock Climbing Log'!D141,'RC Lookup'!$A$3:$B$9,2,FALSE),0.5),VLOOKUP('Rock Climbing Log'!D141,'RC Lookup'!$G$3:$H$5,2,FALSE)),0)*VLOOKUP(D$7,'RC Lookup'!$D$3:$E$18,2,FALSE)</f>
        <v>0</v>
      </c>
      <c r="E141" s="26">
        <f>_xlfn.IFNA(IF(LEFT('Rock Climbing Log'!E141)="C",_xlfn.IFNA(VLOOKUP('Rock Climbing Log'!E141,'RC Lookup'!$A$3:$B$9,2,FALSE),0.5),VLOOKUP('Rock Climbing Log'!E141,'RC Lookup'!$G$3:$H$5,2,FALSE)),0)*VLOOKUP(D$7,'RC Lookup'!$D$3:$E$18,2,FALSE)</f>
        <v>0</v>
      </c>
      <c r="F141" s="26">
        <f>_xlfn.IFNA(IF(LEFT('Rock Climbing Log'!F141)="C",_xlfn.IFNA(VLOOKUP('Rock Climbing Log'!F141,'RC Lookup'!$A$3:$B$9,2,FALSE),0.5),VLOOKUP('Rock Climbing Log'!F141,'RC Lookup'!$G$3:$H$5,2,FALSE)),0)*VLOOKUP(D$7,'RC Lookup'!$D$3:$E$18,2,FALSE)</f>
        <v>0</v>
      </c>
      <c r="G141" s="26">
        <f>_xlfn.IFNA(IF(LEFT('Rock Climbing Log'!G141)="C",_xlfn.IFNA(VLOOKUP('Rock Climbing Log'!G141,'RC Lookup'!$A$3:$B$9,2,FALSE),0.5),VLOOKUP('Rock Climbing Log'!G141,'RC Lookup'!$G$3:$H$5,2,FALSE)),0)*VLOOKUP(G$7,'RC Lookup'!$D$3:$E$18,2,FALSE)</f>
        <v>0</v>
      </c>
      <c r="H141" s="26">
        <f>_xlfn.IFNA(IF(LEFT('Rock Climbing Log'!H141)="C",_xlfn.IFNA(VLOOKUP('Rock Climbing Log'!H141,'RC Lookup'!$A$3:$B$9,2,FALSE),0.5),VLOOKUP('Rock Climbing Log'!H141,'RC Lookup'!$G$3:$H$5,2,FALSE)),0)*VLOOKUP(G$7,'RC Lookup'!$D$3:$E$18,2,FALSE)</f>
        <v>0</v>
      </c>
      <c r="I141" s="26">
        <f>_xlfn.IFNA(IF(LEFT('Rock Climbing Log'!I141)="C",_xlfn.IFNA(VLOOKUP('Rock Climbing Log'!I141,'RC Lookup'!$A$3:$B$9,2,FALSE),0.5),VLOOKUP('Rock Climbing Log'!I141,'RC Lookup'!$G$3:$H$5,2,FALSE)),0)*VLOOKUP(G$7,'RC Lookup'!$D$3:$E$18,2,FALSE)</f>
        <v>0</v>
      </c>
      <c r="J141" s="26">
        <f>_xlfn.IFNA(IF(LEFT('Rock Climbing Log'!J141)="C",_xlfn.IFNA(VLOOKUP('Rock Climbing Log'!J141,'RC Lookup'!$A$3:$B$9,2,FALSE),0.5),VLOOKUP('Rock Climbing Log'!J141,'RC Lookup'!$G$3:$H$5,2,FALSE)),0)*VLOOKUP(J$7,'RC Lookup'!$D$3:$E$18,2,FALSE)</f>
        <v>0</v>
      </c>
      <c r="K141" s="26">
        <f>_xlfn.IFNA(IF(LEFT('Rock Climbing Log'!K141)="C",_xlfn.IFNA(VLOOKUP('Rock Climbing Log'!K141,'RC Lookup'!$A$3:$B$9,2,FALSE),0.5),VLOOKUP('Rock Climbing Log'!K141,'RC Lookup'!$G$3:$H$5,2,FALSE)),0)*VLOOKUP(J$7,'RC Lookup'!$D$3:$E$18,2,FALSE)</f>
        <v>0</v>
      </c>
      <c r="L141" s="26">
        <f>_xlfn.IFNA(IF(LEFT('Rock Climbing Log'!L141)="C",_xlfn.IFNA(VLOOKUP('Rock Climbing Log'!L141,'RC Lookup'!$A$3:$B$9,2,FALSE),0.5),VLOOKUP('Rock Climbing Log'!L141,'RC Lookup'!$G$3:$H$5,2,FALSE)),0)*VLOOKUP(J$7,'RC Lookup'!$D$3:$E$18,2,FALSE)</f>
        <v>0</v>
      </c>
      <c r="M141" s="26">
        <f>_xlfn.IFNA(IF(LEFT('Rock Climbing Log'!M141)="C",_xlfn.IFNA(VLOOKUP('Rock Climbing Log'!M141,'RC Lookup'!$A$3:$B$9,2,FALSE),0.5),VLOOKUP('Rock Climbing Log'!M141,'RC Lookup'!$G$3:$H$5,2,FALSE)),0)*VLOOKUP(M$7,'RC Lookup'!$D$3:$E$18,2,FALSE)</f>
        <v>0</v>
      </c>
      <c r="N141" s="26">
        <f>_xlfn.IFNA(IF(LEFT('Rock Climbing Log'!N141)="C",_xlfn.IFNA(VLOOKUP('Rock Climbing Log'!N141,'RC Lookup'!$A$3:$B$9,2,FALSE),0.5),VLOOKUP('Rock Climbing Log'!N141,'RC Lookup'!$G$3:$H$5,2,FALSE)),0)*VLOOKUP(M$7,'RC Lookup'!$D$3:$E$18,2,FALSE)</f>
        <v>0</v>
      </c>
      <c r="O141" s="26">
        <f>_xlfn.IFNA(IF(LEFT('Rock Climbing Log'!O141)="C",_xlfn.IFNA(VLOOKUP('Rock Climbing Log'!O141,'RC Lookup'!$A$3:$B$9,2,FALSE),0.5),VLOOKUP('Rock Climbing Log'!O141,'RC Lookup'!$G$3:$H$5,2,FALSE)),0)*VLOOKUP(M$7,'RC Lookup'!$D$3:$E$18,2,FALSE)</f>
        <v>0</v>
      </c>
      <c r="P141" s="26">
        <f>_xlfn.IFNA(IF(LEFT('Rock Climbing Log'!P141)="C",_xlfn.IFNA(VLOOKUP('Rock Climbing Log'!P141,'RC Lookup'!$A$3:$B$9,2,FALSE),0.5),VLOOKUP('Rock Climbing Log'!P141,'RC Lookup'!$G$3:$H$5,2,FALSE)),0)*VLOOKUP(P$7,'RC Lookup'!$D$3:$E$18,2,FALSE)</f>
        <v>0</v>
      </c>
      <c r="Q141" s="26">
        <f>_xlfn.IFNA(IF(LEFT('Rock Climbing Log'!Q141)="C",_xlfn.IFNA(VLOOKUP('Rock Climbing Log'!Q141,'RC Lookup'!$A$3:$B$9,2,FALSE),0.5),VLOOKUP('Rock Climbing Log'!Q141,'RC Lookup'!$G$3:$H$5,2,FALSE)),0)*VLOOKUP(P$7,'RC Lookup'!$D$3:$E$18,2,FALSE)</f>
        <v>0</v>
      </c>
      <c r="R141" s="26">
        <f>_xlfn.IFNA(IF(LEFT('Rock Climbing Log'!R141)="C",_xlfn.IFNA(VLOOKUP('Rock Climbing Log'!R141,'RC Lookup'!$A$3:$B$9,2,FALSE),0.5),VLOOKUP('Rock Climbing Log'!R141,'RC Lookup'!$G$3:$H$5,2,FALSE)),0)*VLOOKUP(P$7,'RC Lookup'!$D$3:$E$18,2,FALSE)</f>
        <v>0</v>
      </c>
      <c r="S141" s="26">
        <f>_xlfn.IFNA(IF(LEFT('Rock Climbing Log'!S141)="C",_xlfn.IFNA(VLOOKUP('Rock Climbing Log'!S141,'RC Lookup'!$A$3:$B$9,2,FALSE),0.5),VLOOKUP('Rock Climbing Log'!S141,'RC Lookup'!$G$3:$H$5,2,FALSE)),0)*VLOOKUP(S$7,'RC Lookup'!$D$3:$E$18,2,FALSE)</f>
        <v>0</v>
      </c>
      <c r="T141" s="26">
        <f>_xlfn.IFNA(IF(LEFT('Rock Climbing Log'!T141)="C",_xlfn.IFNA(VLOOKUP('Rock Climbing Log'!T141,'RC Lookup'!$A$3:$B$9,2,FALSE),0.5),VLOOKUP('Rock Climbing Log'!T141,'RC Lookup'!$G$3:$H$5,2,FALSE)),0)*VLOOKUP(S$7,'RC Lookup'!$D$3:$E$18,2,FALSE)</f>
        <v>0</v>
      </c>
      <c r="U141" s="26">
        <f>_xlfn.IFNA(IF(LEFT('Rock Climbing Log'!U141)="C",_xlfn.IFNA(VLOOKUP('Rock Climbing Log'!U141,'RC Lookup'!$A$3:$B$9,2,FALSE),0.5),VLOOKUP('Rock Climbing Log'!U141,'RC Lookup'!$G$3:$H$5,2,FALSE)),0)*VLOOKUP(S$7,'RC Lookup'!$D$3:$E$18,2,FALSE)</f>
        <v>0</v>
      </c>
      <c r="V141" s="26">
        <f>_xlfn.IFNA(IF(LEFT('Rock Climbing Log'!V141)="C",_xlfn.IFNA(VLOOKUP('Rock Climbing Log'!V141,'RC Lookup'!$A$3:$B$9,2,FALSE),0.5),VLOOKUP('Rock Climbing Log'!V141,'RC Lookup'!$G$3:$H$5,2,FALSE)),0)*VLOOKUP(V$7,'RC Lookup'!$D$3:$E$18,2,FALSE)</f>
        <v>0</v>
      </c>
      <c r="W141" s="26">
        <f>_xlfn.IFNA(IF(LEFT('Rock Climbing Log'!W141)="C",_xlfn.IFNA(VLOOKUP('Rock Climbing Log'!W141,'RC Lookup'!$A$3:$B$9,2,FALSE),0.5),VLOOKUP('Rock Climbing Log'!W141,'RC Lookup'!$G$3:$H$5,2,FALSE)),0)*VLOOKUP(V$7,'RC Lookup'!$D$3:$E$18,2,FALSE)</f>
        <v>0</v>
      </c>
      <c r="X141" s="26">
        <f>_xlfn.IFNA(IF(LEFT('Rock Climbing Log'!X141)="C",_xlfn.IFNA(VLOOKUP('Rock Climbing Log'!X141,'RC Lookup'!$A$3:$B$9,2,FALSE),0.5),VLOOKUP('Rock Climbing Log'!X141,'RC Lookup'!$G$3:$H$5,2,FALSE)),0)*VLOOKUP(V$7,'RC Lookup'!$D$3:$E$18,2,FALSE)</f>
        <v>0</v>
      </c>
      <c r="Y141" s="26">
        <f>_xlfn.IFNA(IF(LEFT('Rock Climbing Log'!Y141)="C",_xlfn.IFNA(VLOOKUP('Rock Climbing Log'!Y141,'RC Lookup'!$A$3:$B$9,2,FALSE),0.5),VLOOKUP('Rock Climbing Log'!Y141,'RC Lookup'!$G$3:$H$5,2,FALSE)),0)*VLOOKUP(Y$7,'RC Lookup'!$D$3:$E$18,2,FALSE)</f>
        <v>0</v>
      </c>
      <c r="Z141" s="26">
        <f>_xlfn.IFNA(IF(LEFT('Rock Climbing Log'!Z141)="C",_xlfn.IFNA(VLOOKUP('Rock Climbing Log'!Z141,'RC Lookup'!$A$3:$B$9,2,FALSE),0.5),VLOOKUP('Rock Climbing Log'!Z141,'RC Lookup'!$G$3:$H$5,2,FALSE)),0)*VLOOKUP(Y$7,'RC Lookup'!$D$3:$E$18,2,FALSE)</f>
        <v>0</v>
      </c>
      <c r="AA141" s="26">
        <f>_xlfn.IFNA(IF(LEFT('Rock Climbing Log'!AA141)="C",_xlfn.IFNA(VLOOKUP('Rock Climbing Log'!AA141,'RC Lookup'!$A$3:$B$9,2,FALSE),0.5),VLOOKUP('Rock Climbing Log'!AA141,'RC Lookup'!$G$3:$H$5,2,FALSE)),0)*VLOOKUP(Y$7,'RC Lookup'!$D$3:$E$18,2,FALSE)</f>
        <v>0</v>
      </c>
      <c r="AB141" s="26">
        <f>_xlfn.IFNA(IF(LEFT('Rock Climbing Log'!AB141)="C",_xlfn.IFNA(VLOOKUP('Rock Climbing Log'!AB141,'RC Lookup'!$A$3:$B$9,2,FALSE),0.5),VLOOKUP('Rock Climbing Log'!AB141,'RC Lookup'!$G$3:$H$5,2,FALSE)),0)*VLOOKUP(AB$7,'RC Lookup'!$D$3:$E$18,2,FALSE)</f>
        <v>0</v>
      </c>
      <c r="AC141" s="26">
        <f>_xlfn.IFNA(IF(LEFT('Rock Climbing Log'!AC141)="C",_xlfn.IFNA(VLOOKUP('Rock Climbing Log'!AC141,'RC Lookup'!$A$3:$B$9,2,FALSE),0.5),VLOOKUP('Rock Climbing Log'!AC141,'RC Lookup'!$G$3:$H$5,2,FALSE)),0)*VLOOKUP(AB$7,'RC Lookup'!$D$3:$E$18,2,FALSE)</f>
        <v>0</v>
      </c>
      <c r="AD141" s="26">
        <f>_xlfn.IFNA(IF(LEFT('Rock Climbing Log'!AD141)="C",_xlfn.IFNA(VLOOKUP('Rock Climbing Log'!AD141,'RC Lookup'!$A$3:$B$9,2,FALSE),0.5),VLOOKUP('Rock Climbing Log'!AD141,'RC Lookup'!$G$3:$H$5,2,FALSE)),0)*VLOOKUP(AB$7,'RC Lookup'!$D$3:$E$18,2,FALSE)</f>
        <v>0</v>
      </c>
      <c r="AE141" s="26">
        <f>_xlfn.IFNA(IF(LEFT('Rock Climbing Log'!AE141)="C",_xlfn.IFNA(VLOOKUP('Rock Climbing Log'!AE141,'RC Lookup'!$A$3:$B$9,2,FALSE),0.5),VLOOKUP('Rock Climbing Log'!AE141,'RC Lookup'!$G$3:$H$5,2,FALSE)),0)*VLOOKUP(AE$7,'RC Lookup'!$D$3:$E$18,2,FALSE)</f>
        <v>0</v>
      </c>
      <c r="AF141" s="26">
        <f>_xlfn.IFNA(IF(LEFT('Rock Climbing Log'!AF141)="C",_xlfn.IFNA(VLOOKUP('Rock Climbing Log'!AF141,'RC Lookup'!$A$3:$B$9,2,FALSE),0.5),VLOOKUP('Rock Climbing Log'!AF141,'RC Lookup'!$G$3:$H$5,2,FALSE)),0)*VLOOKUP(AE$7,'RC Lookup'!$D$3:$E$18,2,FALSE)</f>
        <v>0</v>
      </c>
      <c r="AG141" s="26">
        <f>_xlfn.IFNA(IF(LEFT('Rock Climbing Log'!AG141)="C",_xlfn.IFNA(VLOOKUP('Rock Climbing Log'!AG141,'RC Lookup'!$A$3:$B$9,2,FALSE),0.5),VLOOKUP('Rock Climbing Log'!AG141,'RC Lookup'!$G$3:$H$5,2,FALSE)),0)*VLOOKUP(AE$7,'RC Lookup'!$D$3:$E$18,2,FALSE)</f>
        <v>0</v>
      </c>
      <c r="AH141" s="26">
        <f>_xlfn.IFNA(IF(LEFT('Rock Climbing Log'!AH141)="C",_xlfn.IFNA(VLOOKUP('Rock Climbing Log'!AH141,'RC Lookup'!$A$3:$B$9,2,FALSE),0.5),VLOOKUP('Rock Climbing Log'!AH141,'RC Lookup'!$G$3:$H$5,2,FALSE)),0)*VLOOKUP(AH$7,'RC Lookup'!$D$3:$E$18,2,FALSE)</f>
        <v>0</v>
      </c>
      <c r="AI141" s="26">
        <f>_xlfn.IFNA(IF(LEFT('Rock Climbing Log'!AI141)="C",_xlfn.IFNA(VLOOKUP('Rock Climbing Log'!AI141,'RC Lookup'!$A$3:$B$9,2,FALSE),0.5),VLOOKUP('Rock Climbing Log'!AI141,'RC Lookup'!$G$3:$H$5,2,FALSE)),0)*VLOOKUP(AH$7,'RC Lookup'!$D$3:$E$18,2,FALSE)</f>
        <v>0</v>
      </c>
      <c r="AJ141" s="26">
        <f>_xlfn.IFNA(IF(LEFT('Rock Climbing Log'!AJ141)="C",_xlfn.IFNA(VLOOKUP('Rock Climbing Log'!AJ141,'RC Lookup'!$A$3:$B$9,2,FALSE),0.5),VLOOKUP('Rock Climbing Log'!AJ141,'RC Lookup'!$G$3:$H$5,2,FALSE)),0)*VLOOKUP(AH$7,'RC Lookup'!$D$3:$E$18,2,FALSE)</f>
        <v>0</v>
      </c>
      <c r="AK141" s="26">
        <f>_xlfn.IFNA(IF(LEFT('Rock Climbing Log'!AK141)="C",_xlfn.IFNA(VLOOKUP('Rock Climbing Log'!AK141,'RC Lookup'!$A$3:$B$9,2,FALSE),0.5),VLOOKUP('Rock Climbing Log'!AK141,'RC Lookup'!$G$3:$H$5,2,FALSE)),0)*VLOOKUP(AK$7,'RC Lookup'!$D$3:$E$18,2,FALSE)</f>
        <v>0</v>
      </c>
      <c r="AL141" s="26">
        <f>_xlfn.IFNA(IF(LEFT('Rock Climbing Log'!AL141)="C",_xlfn.IFNA(VLOOKUP('Rock Climbing Log'!AL141,'RC Lookup'!$A$3:$B$9,2,FALSE),0.5),VLOOKUP('Rock Climbing Log'!AL141,'RC Lookup'!$G$3:$H$5,2,FALSE)),0)*VLOOKUP(AK$7,'RC Lookup'!$D$3:$E$18,2,FALSE)</f>
        <v>0</v>
      </c>
      <c r="AM141" s="26">
        <f>_xlfn.IFNA(IF(LEFT('Rock Climbing Log'!AM141)="C",_xlfn.IFNA(VLOOKUP('Rock Climbing Log'!AM141,'RC Lookup'!$A$3:$B$9,2,FALSE),0.5),VLOOKUP('Rock Climbing Log'!AM141,'RC Lookup'!$G$3:$H$5,2,FALSE)),0)*VLOOKUP(AK$7,'RC Lookup'!$D$3:$E$18,2,FALSE)</f>
        <v>0</v>
      </c>
      <c r="AN141" s="26">
        <f>_xlfn.IFNA(IF(LEFT('Rock Climbing Log'!AN141)="C",_xlfn.IFNA(VLOOKUP('Rock Climbing Log'!AN141,'RC Lookup'!$A$3:$B$9,2,FALSE),0.5),VLOOKUP('Rock Climbing Log'!AN141,'RC Lookup'!$G$3:$H$5,2,FALSE)),0)*VLOOKUP(AN$7,'RC Lookup'!$D$3:$E$18,2,FALSE)</f>
        <v>0</v>
      </c>
      <c r="AO141" s="26">
        <f>_xlfn.IFNA(IF(LEFT('Rock Climbing Log'!AO141)="C",_xlfn.IFNA(VLOOKUP('Rock Climbing Log'!AO141,'RC Lookup'!$A$3:$B$9,2,FALSE),0.5),VLOOKUP('Rock Climbing Log'!AO141,'RC Lookup'!$G$3:$H$5,2,FALSE)),0)*VLOOKUP(AN$7,'RC Lookup'!$D$3:$E$18,2,FALSE)</f>
        <v>0</v>
      </c>
      <c r="AP141" s="26">
        <f>_xlfn.IFNA(IF(LEFT('Rock Climbing Log'!AP141)="C",_xlfn.IFNA(VLOOKUP('Rock Climbing Log'!AP141,'RC Lookup'!$A$3:$B$9,2,FALSE),0.5),VLOOKUP('Rock Climbing Log'!AP141,'RC Lookup'!$G$3:$H$5,2,FALSE)),0)*VLOOKUP(AN$7,'RC Lookup'!$D$3:$E$18,2,FALSE)</f>
        <v>0</v>
      </c>
      <c r="AQ141" s="26">
        <f>_xlfn.IFNA(IF(LEFT('Rock Climbing Log'!AQ141)="C",_xlfn.IFNA(VLOOKUP('Rock Climbing Log'!AQ141,'RC Lookup'!$A$3:$B$9,2,FALSE),0.5),VLOOKUP('Rock Climbing Log'!AQ141,'RC Lookup'!$G$3:$H$5,2,FALSE)),0)*VLOOKUP(AQ$7,'RC Lookup'!$D$3:$E$18,2,FALSE)</f>
        <v>0</v>
      </c>
      <c r="AR141" s="26">
        <f>_xlfn.IFNA(IF(LEFT('Rock Climbing Log'!AR141)="C",_xlfn.IFNA(VLOOKUP('Rock Climbing Log'!AR141,'RC Lookup'!$A$3:$B$9,2,FALSE),0.5),VLOOKUP('Rock Climbing Log'!AR141,'RC Lookup'!$G$3:$H$5,2,FALSE)),0)*VLOOKUP(AQ$7,'RC Lookup'!$D$3:$E$18,2,FALSE)</f>
        <v>0</v>
      </c>
      <c r="AS141" s="26">
        <f>_xlfn.IFNA(IF(LEFT('Rock Climbing Log'!AS141)="C",_xlfn.IFNA(VLOOKUP('Rock Climbing Log'!AS141,'RC Lookup'!$A$3:$B$9,2,FALSE),0.5),VLOOKUP('Rock Climbing Log'!AS141,'RC Lookup'!$G$3:$H$5,2,FALSE)),0)*VLOOKUP(AQ$7,'RC Lookup'!$D$3:$E$18,2,FALSE)</f>
        <v>0</v>
      </c>
      <c r="AT141" s="26">
        <f>_xlfn.IFNA(IF(LEFT('Rock Climbing Log'!AT141)="C",_xlfn.IFNA(VLOOKUP('Rock Climbing Log'!AT141,'RC Lookup'!$A$3:$B$9,2,FALSE),0.5),VLOOKUP('Rock Climbing Log'!AT141,'RC Lookup'!$G$3:$H$5,2,FALSE)),0)*VLOOKUP(AT$7,'RC Lookup'!$D$3:$E$18,2,FALSE)</f>
        <v>0</v>
      </c>
      <c r="AU141" s="26">
        <f>_xlfn.IFNA(IF(LEFT('Rock Climbing Log'!AU141)="C",_xlfn.IFNA(VLOOKUP('Rock Climbing Log'!AU141,'RC Lookup'!$A$3:$B$9,2,FALSE),0.5),VLOOKUP('Rock Climbing Log'!AU141,'RC Lookup'!$G$3:$H$5,2,FALSE)),0)*VLOOKUP(AT$7,'RC Lookup'!$D$3:$E$18,2,FALSE)</f>
        <v>0</v>
      </c>
      <c r="AV141" s="26">
        <f>_xlfn.IFNA(IF(LEFT('Rock Climbing Log'!AV141)="C",_xlfn.IFNA(VLOOKUP('Rock Climbing Log'!AV141,'RC Lookup'!$A$3:$B$9,2,FALSE),0.5),VLOOKUP('Rock Climbing Log'!AV141,'RC Lookup'!$G$3:$H$5,2,FALSE)),0)*VLOOKUP(AT$7,'RC Lookup'!$D$3:$E$18,2,FALSE)</f>
        <v>0</v>
      </c>
      <c r="AW141" s="30">
        <f t="shared" ca="1" si="5"/>
        <v>0</v>
      </c>
      <c r="AX141" s="30">
        <f ca="1">_xlfn.IFNA(VLOOKUP(SUMPRODUCT(LARGE(($C$8:$C141=Table1[[#This Row],[Climber]])*$A$8:$A141,1)),$A$8:$AW141,MATCH($AW$7,$A$7:$AW$7,FALSE),FALSE),0)/LEFT($AX$7,FIND(" ",$AX$7))+_xlfn.IFNA(VLOOKUP(SUMPRODUCT(LARGE(($C$8:$C141=Table1[[#This Row],[Climber]])*$A$8:$A141,MIN(2,COUNTIFS($C$8:$C141,$C141)))),$A$8:$AW141,MATCH($AW$7,$A$7:$AW$7,FALSE),FALSE),0)/LEFT($AX$7,FIND(" ",$AX$7))+_xlfn.IFNA(VLOOKUP(SUMPRODUCT(LARGE(($C$8:$C141=Table1[[#This Row],[Climber]])*$A$8:$A141,MIN(3,COUNTIFS($C$8:$C141,$C141)))),$A$8:$AW141,MATCH($AW$7,$A$7:$AW$7,FALSE),FALSE),0)/LEFT($AX$7,FIND(" ",$AX$7))</f>
        <v>0</v>
      </c>
      <c r="AY141" s="30">
        <f ca="1">_xlfn.IFNA(VLOOKUP(SUMPRODUCT(LARGE(($C$8:$C141=Table1[[#This Row],[Climber]])*$A$8:$A141,1)),$A$8:$AW141,MATCH($AW$7,$A$7:$AW$7,FALSE),FALSE),0)/LEFT($AY$7,FIND(" ",$AY$7))+_xlfn.IFNA(VLOOKUP(SUMPRODUCT(LARGE(($C$8:$C141=Table1[[#This Row],[Climber]])*$A$8:$A141,MIN(2,COUNTIFS($C$8:$C141,$C141)))),$A$8:$AW141,MATCH($AW$7,$A$7:$AW$7,FALSE),FALSE),0)/LEFT($AY$7,FIND(" ",$AY$7))+_xlfn.IFNA(VLOOKUP(SUMPRODUCT(LARGE(($C$8:$C141=Table1[[#This Row],[Climber]])*$A$8:$A141,MIN(3,COUNTIFS($C$8:$C141,$C141)))),$A$8:$AW141,MATCH($AW$7,$A$7:$AW$7,FALSE),FALSE),0)/LEFT($AY$7,FIND(" ",$AY$7))+_xlfn.IFNA(VLOOKUP(SUMPRODUCT(LARGE(($C$8:$C141=Table1[[#This Row],[Climber]])*$A$8:$A141,MIN(4,COUNTIFS($C$8:$C141,$C141)))),$A$8:$AW141,MATCH($AW$7,$A$7:$AW$7,FALSE),FALSE),0)/LEFT($AY$7,FIND(" ",$AY$7))+_xlfn.IFNA(VLOOKUP(SUMPRODUCT(LARGE(($C$8:$C141=Table1[[#This Row],[Climber]])*$A$8:$A141,MIN(5,COUNTIFS($C$8:$C141,$C141)))),$A$8:$AW141,MATCH($AW$7,$A$7:$AW$7,FALSE),FALSE),0)/LEFT($AY$7,FIND(" ",$AY$7))</f>
        <v>0</v>
      </c>
      <c r="AZ141" s="30">
        <f ca="1">(_xlfn.IFNA(VLOOKUP(SUMPRODUCT(LARGE(($C$8:$C141=Table1[[#This Row],[Climber]])*$A$8:$A141,4)),$A$8:$AW141,MATCH($AW$7,$A$7:$AW$7,FALSE),FALSE),0)+_xlfn.IFNA(VLOOKUP(SUMPRODUCT(LARGE(($C$8:$C141=Table1[[#This Row],[Climber]])*$A$8:$A141,5)),$A$8:$AW141,MATCH($AW$7,$A$7:$AW$7,FALSE),FALSE),0)+_xlfn.IFNA(VLOOKUP(SUMPRODUCT(LARGE(($C$8:$C141=Table1[[#This Row],[Climber]])*$A$8:$A141,6)),$A$8:$AW141,MATCH($AW$7,$A$7:$AW$7,FALSE),FALSE),0))/3</f>
        <v>0</v>
      </c>
      <c r="BA141" s="46">
        <f ca="1">_xlfn.MAXIFS(INDIRECT("$AW"&amp;IF(SUMPRODUCT(LARGE(($C$8:$C141=$C141)*$A$8:$A141,LEFT($BA$7,FIND(" ",$BA$7)-1)))=0,8,SUMPRODUCT(LARGE(($C$8:$C141=$C141)*$A$8:$A141,LEFT($BA$7,FIND(" ",$BA$7)-1)))+7)&amp;":$AW"&amp;ROW()),INDIRECT("$C"&amp;IF(SUMPRODUCT(LARGE(($C$8:$C141=$C141)*$A$8:$A141,LEFT($BA$7,FIND(" ",$BA$7)-1)))=0,8,SUMPRODUCT(LARGE(($C$8:$C141=$C141)*$A$8:$A141,LEFT($BA$7,FIND(" ",$BA$7)-1)))+7)&amp;":$C"&amp;ROW()),$C141)</f>
        <v>0</v>
      </c>
      <c r="BB141" s="46" t="str">
        <f ca="1">VLOOKUP(MAX(BG141,$AX141),'RC Lookup'!$G$14:$J$20,2,TRUE)</f>
        <v>T1</v>
      </c>
      <c r="BC141" s="46">
        <f ca="1">_xlfn.IFNA(VLOOKUP(VLOOKUP($C141,'RC Lookup'!$O$3:$P$50,2,FALSE),'RC Lookup'!$H$14:$J$23,2,FALSE),0)*AW141</f>
        <v>0</v>
      </c>
      <c r="BD141" s="6">
        <f ca="1">_xlfn.IFNA(VLOOKUP(SUMPRODUCT(LARGE(($C$8:$C141=Table1[[#This Row],[Climber]])*$A$8:$A141,1)),$A$8:$BC141,55,FALSE),0)/LEFT($AX$7,FIND(" ",$AX$7))+_xlfn.IFNA(VLOOKUP(SUMPRODUCT(LARGE(($C$8:$C141=Table1[[#This Row],[Climber]])*$A$8:$A141,MIN(2,COUNTIFS($C$8:$C141,$C141)))),$A$8:$BC141,55,FALSE),0)/LEFT($AX$7,FIND(" ",$AX$7))+_xlfn.IFNA(VLOOKUP(SUMPRODUCT(LARGE(($C$8:$C141=Table1[[#This Row],[Climber]])*$A$8:$A141,MIN(3,COUNTIFS($C$8:$C141,$C141)))),$A$8:$BC141,55,FALSE),0)/LEFT($AX$7,FIND(" ",$AX$7))</f>
        <v>0</v>
      </c>
      <c r="BE141" s="6">
        <f ca="1">(_xlfn.IFNA(VLOOKUP(SUMPRODUCT(LARGE(($C$8:$C141=Table1[[#This Row],[Climber]])*$A$8:$A141,4)),$A$8:$BD141,55,FALSE),0)+_xlfn.IFNA(VLOOKUP(SUMPRODUCT(LARGE(($C$8:$C141=Table1[[#This Row],[Climber]])*$A$8:$A141,5)),$A$8:$BD141,55,FALSE),0)+_xlfn.IFNA(VLOOKUP(SUMPRODUCT(LARGE(($C$8:$C141=Table1[[#This Row],[Climber]])*$A$8:$A141,6)),$A$8:$BD141,55,FALSE),0))/3</f>
        <v>0</v>
      </c>
      <c r="BF141" s="46">
        <f ca="1">_xlfn.MAXIFS(INDIRECT("$BC"&amp;IF(SUMPRODUCT(LARGE(($C$8:$C141=$C141)*$A$8:$A141,LEFT($BA$7,FIND(" ",$BA$7)-1)))=0,8,SUMPRODUCT(LARGE(($C$8:$C141=$C141)*$A$8:$A141,LEFT($BA$7,FIND(" ",$BA$7)-1)))+7)&amp;":$BC"&amp;ROW()),INDIRECT("$C"&amp;IF(SUMPRODUCT(LARGE(($C$8:$C141=$C141)*$A$8:$A141,LEFT($BA$7,FIND(" ",$BA$7)-1)))=0,8,SUMPRODUCT(LARGE(($C$8:$C141=$C141)*$A$8:$A141,LEFT($BA$7,FIND(" ",$BA$7)-1)))+7)&amp;":$C"&amp;ROW()),$C141)</f>
        <v>0</v>
      </c>
      <c r="BG141" s="46">
        <f t="array" aca="1" ref="BG141" ca="1">IFERROR(SUMPRODUCT(LARGE(($C$8:$C141=Table1[[#This Row],[Climber]])*$AW$8:$AW141,ROW(INDIRECT("1:5")))),AW141)/MIN(COUNTIFS($C$8:$C141,C141),5)</f>
        <v>0</v>
      </c>
    </row>
    <row r="142" spans="1:59" x14ac:dyDescent="0.3">
      <c r="A142" s="125">
        <f t="shared" si="1"/>
        <v>135</v>
      </c>
      <c r="B142" s="25">
        <f>'Rock Climbing Log'!B142</f>
        <v>0</v>
      </c>
      <c r="C142" s="126">
        <f>'Rock Climbing Log'!C142</f>
        <v>0</v>
      </c>
      <c r="D142" s="26">
        <f>_xlfn.IFNA(IF(LEFT('Rock Climbing Log'!D142)="C",_xlfn.IFNA(VLOOKUP('Rock Climbing Log'!D142,'RC Lookup'!$A$3:$B$9,2,FALSE),0.5),VLOOKUP('Rock Climbing Log'!D142,'RC Lookup'!$G$3:$H$5,2,FALSE)),0)*VLOOKUP(D$7,'RC Lookup'!$D$3:$E$18,2,FALSE)</f>
        <v>0</v>
      </c>
      <c r="E142" s="26">
        <f>_xlfn.IFNA(IF(LEFT('Rock Climbing Log'!E142)="C",_xlfn.IFNA(VLOOKUP('Rock Climbing Log'!E142,'RC Lookup'!$A$3:$B$9,2,FALSE),0.5),VLOOKUP('Rock Climbing Log'!E142,'RC Lookup'!$G$3:$H$5,2,FALSE)),0)*VLOOKUP(D$7,'RC Lookup'!$D$3:$E$18,2,FALSE)</f>
        <v>0</v>
      </c>
      <c r="F142" s="26">
        <f>_xlfn.IFNA(IF(LEFT('Rock Climbing Log'!F142)="C",_xlfn.IFNA(VLOOKUP('Rock Climbing Log'!F142,'RC Lookup'!$A$3:$B$9,2,FALSE),0.5),VLOOKUP('Rock Climbing Log'!F142,'RC Lookup'!$G$3:$H$5,2,FALSE)),0)*VLOOKUP(D$7,'RC Lookup'!$D$3:$E$18,2,FALSE)</f>
        <v>0</v>
      </c>
      <c r="G142" s="26">
        <f>_xlfn.IFNA(IF(LEFT('Rock Climbing Log'!G142)="C",_xlfn.IFNA(VLOOKUP('Rock Climbing Log'!G142,'RC Lookup'!$A$3:$B$9,2,FALSE),0.5),VLOOKUP('Rock Climbing Log'!G142,'RC Lookup'!$G$3:$H$5,2,FALSE)),0)*VLOOKUP(G$7,'RC Lookup'!$D$3:$E$18,2,FALSE)</f>
        <v>0</v>
      </c>
      <c r="H142" s="26">
        <f>_xlfn.IFNA(IF(LEFT('Rock Climbing Log'!H142)="C",_xlfn.IFNA(VLOOKUP('Rock Climbing Log'!H142,'RC Lookup'!$A$3:$B$9,2,FALSE),0.5),VLOOKUP('Rock Climbing Log'!H142,'RC Lookup'!$G$3:$H$5,2,FALSE)),0)*VLOOKUP(G$7,'RC Lookup'!$D$3:$E$18,2,FALSE)</f>
        <v>0</v>
      </c>
      <c r="I142" s="26">
        <f>_xlfn.IFNA(IF(LEFT('Rock Climbing Log'!I142)="C",_xlfn.IFNA(VLOOKUP('Rock Climbing Log'!I142,'RC Lookup'!$A$3:$B$9,2,FALSE),0.5),VLOOKUP('Rock Climbing Log'!I142,'RC Lookup'!$G$3:$H$5,2,FALSE)),0)*VLOOKUP(G$7,'RC Lookup'!$D$3:$E$18,2,FALSE)</f>
        <v>0</v>
      </c>
      <c r="J142" s="26">
        <f>_xlfn.IFNA(IF(LEFT('Rock Climbing Log'!J142)="C",_xlfn.IFNA(VLOOKUP('Rock Climbing Log'!J142,'RC Lookup'!$A$3:$B$9,2,FALSE),0.5),VLOOKUP('Rock Climbing Log'!J142,'RC Lookup'!$G$3:$H$5,2,FALSE)),0)*VLOOKUP(J$7,'RC Lookup'!$D$3:$E$18,2,FALSE)</f>
        <v>0</v>
      </c>
      <c r="K142" s="26">
        <f>_xlfn.IFNA(IF(LEFT('Rock Climbing Log'!K142)="C",_xlfn.IFNA(VLOOKUP('Rock Climbing Log'!K142,'RC Lookup'!$A$3:$B$9,2,FALSE),0.5),VLOOKUP('Rock Climbing Log'!K142,'RC Lookup'!$G$3:$H$5,2,FALSE)),0)*VLOOKUP(J$7,'RC Lookup'!$D$3:$E$18,2,FALSE)</f>
        <v>0</v>
      </c>
      <c r="L142" s="26">
        <f>_xlfn.IFNA(IF(LEFT('Rock Climbing Log'!L142)="C",_xlfn.IFNA(VLOOKUP('Rock Climbing Log'!L142,'RC Lookup'!$A$3:$B$9,2,FALSE),0.5),VLOOKUP('Rock Climbing Log'!L142,'RC Lookup'!$G$3:$H$5,2,FALSE)),0)*VLOOKUP(J$7,'RC Lookup'!$D$3:$E$18,2,FALSE)</f>
        <v>0</v>
      </c>
      <c r="M142" s="26">
        <f>_xlfn.IFNA(IF(LEFT('Rock Climbing Log'!M142)="C",_xlfn.IFNA(VLOOKUP('Rock Climbing Log'!M142,'RC Lookup'!$A$3:$B$9,2,FALSE),0.5),VLOOKUP('Rock Climbing Log'!M142,'RC Lookup'!$G$3:$H$5,2,FALSE)),0)*VLOOKUP(M$7,'RC Lookup'!$D$3:$E$18,2,FALSE)</f>
        <v>0</v>
      </c>
      <c r="N142" s="26">
        <f>_xlfn.IFNA(IF(LEFT('Rock Climbing Log'!N142)="C",_xlfn.IFNA(VLOOKUP('Rock Climbing Log'!N142,'RC Lookup'!$A$3:$B$9,2,FALSE),0.5),VLOOKUP('Rock Climbing Log'!N142,'RC Lookup'!$G$3:$H$5,2,FALSE)),0)*VLOOKUP(M$7,'RC Lookup'!$D$3:$E$18,2,FALSE)</f>
        <v>0</v>
      </c>
      <c r="O142" s="26">
        <f>_xlfn.IFNA(IF(LEFT('Rock Climbing Log'!O142)="C",_xlfn.IFNA(VLOOKUP('Rock Climbing Log'!O142,'RC Lookup'!$A$3:$B$9,2,FALSE),0.5),VLOOKUP('Rock Climbing Log'!O142,'RC Lookup'!$G$3:$H$5,2,FALSE)),0)*VLOOKUP(M$7,'RC Lookup'!$D$3:$E$18,2,FALSE)</f>
        <v>0</v>
      </c>
      <c r="P142" s="26">
        <f>_xlfn.IFNA(IF(LEFT('Rock Climbing Log'!P142)="C",_xlfn.IFNA(VLOOKUP('Rock Climbing Log'!P142,'RC Lookup'!$A$3:$B$9,2,FALSE),0.5),VLOOKUP('Rock Climbing Log'!P142,'RC Lookup'!$G$3:$H$5,2,FALSE)),0)*VLOOKUP(P$7,'RC Lookup'!$D$3:$E$18,2,FALSE)</f>
        <v>0</v>
      </c>
      <c r="Q142" s="26">
        <f>_xlfn.IFNA(IF(LEFT('Rock Climbing Log'!Q142)="C",_xlfn.IFNA(VLOOKUP('Rock Climbing Log'!Q142,'RC Lookup'!$A$3:$B$9,2,FALSE),0.5),VLOOKUP('Rock Climbing Log'!Q142,'RC Lookup'!$G$3:$H$5,2,FALSE)),0)*VLOOKUP(P$7,'RC Lookup'!$D$3:$E$18,2,FALSE)</f>
        <v>0</v>
      </c>
      <c r="R142" s="26">
        <f>_xlfn.IFNA(IF(LEFT('Rock Climbing Log'!R142)="C",_xlfn.IFNA(VLOOKUP('Rock Climbing Log'!R142,'RC Lookup'!$A$3:$B$9,2,FALSE),0.5),VLOOKUP('Rock Climbing Log'!R142,'RC Lookup'!$G$3:$H$5,2,FALSE)),0)*VLOOKUP(P$7,'RC Lookup'!$D$3:$E$18,2,FALSE)</f>
        <v>0</v>
      </c>
      <c r="S142" s="26">
        <f>_xlfn.IFNA(IF(LEFT('Rock Climbing Log'!S142)="C",_xlfn.IFNA(VLOOKUP('Rock Climbing Log'!S142,'RC Lookup'!$A$3:$B$9,2,FALSE),0.5),VLOOKUP('Rock Climbing Log'!S142,'RC Lookup'!$G$3:$H$5,2,FALSE)),0)*VLOOKUP(S$7,'RC Lookup'!$D$3:$E$18,2,FALSE)</f>
        <v>0</v>
      </c>
      <c r="T142" s="26">
        <f>_xlfn.IFNA(IF(LEFT('Rock Climbing Log'!T142)="C",_xlfn.IFNA(VLOOKUP('Rock Climbing Log'!T142,'RC Lookup'!$A$3:$B$9,2,FALSE),0.5),VLOOKUP('Rock Climbing Log'!T142,'RC Lookup'!$G$3:$H$5,2,FALSE)),0)*VLOOKUP(S$7,'RC Lookup'!$D$3:$E$18,2,FALSE)</f>
        <v>0</v>
      </c>
      <c r="U142" s="26">
        <f>_xlfn.IFNA(IF(LEFT('Rock Climbing Log'!U142)="C",_xlfn.IFNA(VLOOKUP('Rock Climbing Log'!U142,'RC Lookup'!$A$3:$B$9,2,FALSE),0.5),VLOOKUP('Rock Climbing Log'!U142,'RC Lookup'!$G$3:$H$5,2,FALSE)),0)*VLOOKUP(S$7,'RC Lookup'!$D$3:$E$18,2,FALSE)</f>
        <v>0</v>
      </c>
      <c r="V142" s="26">
        <f>_xlfn.IFNA(IF(LEFT('Rock Climbing Log'!V142)="C",_xlfn.IFNA(VLOOKUP('Rock Climbing Log'!V142,'RC Lookup'!$A$3:$B$9,2,FALSE),0.5),VLOOKUP('Rock Climbing Log'!V142,'RC Lookup'!$G$3:$H$5,2,FALSE)),0)*VLOOKUP(V$7,'RC Lookup'!$D$3:$E$18,2,FALSE)</f>
        <v>0</v>
      </c>
      <c r="W142" s="26">
        <f>_xlfn.IFNA(IF(LEFT('Rock Climbing Log'!W142)="C",_xlfn.IFNA(VLOOKUP('Rock Climbing Log'!W142,'RC Lookup'!$A$3:$B$9,2,FALSE),0.5),VLOOKUP('Rock Climbing Log'!W142,'RC Lookup'!$G$3:$H$5,2,FALSE)),0)*VLOOKUP(V$7,'RC Lookup'!$D$3:$E$18,2,FALSE)</f>
        <v>0</v>
      </c>
      <c r="X142" s="26">
        <f>_xlfn.IFNA(IF(LEFT('Rock Climbing Log'!X142)="C",_xlfn.IFNA(VLOOKUP('Rock Climbing Log'!X142,'RC Lookup'!$A$3:$B$9,2,FALSE),0.5),VLOOKUP('Rock Climbing Log'!X142,'RC Lookup'!$G$3:$H$5,2,FALSE)),0)*VLOOKUP(V$7,'RC Lookup'!$D$3:$E$18,2,FALSE)</f>
        <v>0</v>
      </c>
      <c r="Y142" s="26">
        <f>_xlfn.IFNA(IF(LEFT('Rock Climbing Log'!Y142)="C",_xlfn.IFNA(VLOOKUP('Rock Climbing Log'!Y142,'RC Lookup'!$A$3:$B$9,2,FALSE),0.5),VLOOKUP('Rock Climbing Log'!Y142,'RC Lookup'!$G$3:$H$5,2,FALSE)),0)*VLOOKUP(Y$7,'RC Lookup'!$D$3:$E$18,2,FALSE)</f>
        <v>0</v>
      </c>
      <c r="Z142" s="26">
        <f>_xlfn.IFNA(IF(LEFT('Rock Climbing Log'!Z142)="C",_xlfn.IFNA(VLOOKUP('Rock Climbing Log'!Z142,'RC Lookup'!$A$3:$B$9,2,FALSE),0.5),VLOOKUP('Rock Climbing Log'!Z142,'RC Lookup'!$G$3:$H$5,2,FALSE)),0)*VLOOKUP(Y$7,'RC Lookup'!$D$3:$E$18,2,FALSE)</f>
        <v>0</v>
      </c>
      <c r="AA142" s="26">
        <f>_xlfn.IFNA(IF(LEFT('Rock Climbing Log'!AA142)="C",_xlfn.IFNA(VLOOKUP('Rock Climbing Log'!AA142,'RC Lookup'!$A$3:$B$9,2,FALSE),0.5),VLOOKUP('Rock Climbing Log'!AA142,'RC Lookup'!$G$3:$H$5,2,FALSE)),0)*VLOOKUP(Y$7,'RC Lookup'!$D$3:$E$18,2,FALSE)</f>
        <v>0</v>
      </c>
      <c r="AB142" s="26">
        <f>_xlfn.IFNA(IF(LEFT('Rock Climbing Log'!AB142)="C",_xlfn.IFNA(VLOOKUP('Rock Climbing Log'!AB142,'RC Lookup'!$A$3:$B$9,2,FALSE),0.5),VLOOKUP('Rock Climbing Log'!AB142,'RC Lookup'!$G$3:$H$5,2,FALSE)),0)*VLOOKUP(AB$7,'RC Lookup'!$D$3:$E$18,2,FALSE)</f>
        <v>0</v>
      </c>
      <c r="AC142" s="26">
        <f>_xlfn.IFNA(IF(LEFT('Rock Climbing Log'!AC142)="C",_xlfn.IFNA(VLOOKUP('Rock Climbing Log'!AC142,'RC Lookup'!$A$3:$B$9,2,FALSE),0.5),VLOOKUP('Rock Climbing Log'!AC142,'RC Lookup'!$G$3:$H$5,2,FALSE)),0)*VLOOKUP(AB$7,'RC Lookup'!$D$3:$E$18,2,FALSE)</f>
        <v>0</v>
      </c>
      <c r="AD142" s="26">
        <f>_xlfn.IFNA(IF(LEFT('Rock Climbing Log'!AD142)="C",_xlfn.IFNA(VLOOKUP('Rock Climbing Log'!AD142,'RC Lookup'!$A$3:$B$9,2,FALSE),0.5),VLOOKUP('Rock Climbing Log'!AD142,'RC Lookup'!$G$3:$H$5,2,FALSE)),0)*VLOOKUP(AB$7,'RC Lookup'!$D$3:$E$18,2,FALSE)</f>
        <v>0</v>
      </c>
      <c r="AE142" s="26">
        <f>_xlfn.IFNA(IF(LEFT('Rock Climbing Log'!AE142)="C",_xlfn.IFNA(VLOOKUP('Rock Climbing Log'!AE142,'RC Lookup'!$A$3:$B$9,2,FALSE),0.5),VLOOKUP('Rock Climbing Log'!AE142,'RC Lookup'!$G$3:$H$5,2,FALSE)),0)*VLOOKUP(AE$7,'RC Lookup'!$D$3:$E$18,2,FALSE)</f>
        <v>0</v>
      </c>
      <c r="AF142" s="26">
        <f>_xlfn.IFNA(IF(LEFT('Rock Climbing Log'!AF142)="C",_xlfn.IFNA(VLOOKUP('Rock Climbing Log'!AF142,'RC Lookup'!$A$3:$B$9,2,FALSE),0.5),VLOOKUP('Rock Climbing Log'!AF142,'RC Lookup'!$G$3:$H$5,2,FALSE)),0)*VLOOKUP(AE$7,'RC Lookup'!$D$3:$E$18,2,FALSE)</f>
        <v>0</v>
      </c>
      <c r="AG142" s="26">
        <f>_xlfn.IFNA(IF(LEFT('Rock Climbing Log'!AG142)="C",_xlfn.IFNA(VLOOKUP('Rock Climbing Log'!AG142,'RC Lookup'!$A$3:$B$9,2,FALSE),0.5),VLOOKUP('Rock Climbing Log'!AG142,'RC Lookup'!$G$3:$H$5,2,FALSE)),0)*VLOOKUP(AE$7,'RC Lookup'!$D$3:$E$18,2,FALSE)</f>
        <v>0</v>
      </c>
      <c r="AH142" s="26">
        <f>_xlfn.IFNA(IF(LEFT('Rock Climbing Log'!AH142)="C",_xlfn.IFNA(VLOOKUP('Rock Climbing Log'!AH142,'RC Lookup'!$A$3:$B$9,2,FALSE),0.5),VLOOKUP('Rock Climbing Log'!AH142,'RC Lookup'!$G$3:$H$5,2,FALSE)),0)*VLOOKUP(AH$7,'RC Lookup'!$D$3:$E$18,2,FALSE)</f>
        <v>0</v>
      </c>
      <c r="AI142" s="26">
        <f>_xlfn.IFNA(IF(LEFT('Rock Climbing Log'!AI142)="C",_xlfn.IFNA(VLOOKUP('Rock Climbing Log'!AI142,'RC Lookup'!$A$3:$B$9,2,FALSE),0.5),VLOOKUP('Rock Climbing Log'!AI142,'RC Lookup'!$G$3:$H$5,2,FALSE)),0)*VLOOKUP(AH$7,'RC Lookup'!$D$3:$E$18,2,FALSE)</f>
        <v>0</v>
      </c>
      <c r="AJ142" s="26">
        <f>_xlfn.IFNA(IF(LEFT('Rock Climbing Log'!AJ142)="C",_xlfn.IFNA(VLOOKUP('Rock Climbing Log'!AJ142,'RC Lookup'!$A$3:$B$9,2,FALSE),0.5),VLOOKUP('Rock Climbing Log'!AJ142,'RC Lookup'!$G$3:$H$5,2,FALSE)),0)*VLOOKUP(AH$7,'RC Lookup'!$D$3:$E$18,2,FALSE)</f>
        <v>0</v>
      </c>
      <c r="AK142" s="26">
        <f>_xlfn.IFNA(IF(LEFT('Rock Climbing Log'!AK142)="C",_xlfn.IFNA(VLOOKUP('Rock Climbing Log'!AK142,'RC Lookup'!$A$3:$B$9,2,FALSE),0.5),VLOOKUP('Rock Climbing Log'!AK142,'RC Lookup'!$G$3:$H$5,2,FALSE)),0)*VLOOKUP(AK$7,'RC Lookup'!$D$3:$E$18,2,FALSE)</f>
        <v>0</v>
      </c>
      <c r="AL142" s="26">
        <f>_xlfn.IFNA(IF(LEFT('Rock Climbing Log'!AL142)="C",_xlfn.IFNA(VLOOKUP('Rock Climbing Log'!AL142,'RC Lookup'!$A$3:$B$9,2,FALSE),0.5),VLOOKUP('Rock Climbing Log'!AL142,'RC Lookup'!$G$3:$H$5,2,FALSE)),0)*VLOOKUP(AK$7,'RC Lookup'!$D$3:$E$18,2,FALSE)</f>
        <v>0</v>
      </c>
      <c r="AM142" s="26">
        <f>_xlfn.IFNA(IF(LEFT('Rock Climbing Log'!AM142)="C",_xlfn.IFNA(VLOOKUP('Rock Climbing Log'!AM142,'RC Lookup'!$A$3:$B$9,2,FALSE),0.5),VLOOKUP('Rock Climbing Log'!AM142,'RC Lookup'!$G$3:$H$5,2,FALSE)),0)*VLOOKUP(AK$7,'RC Lookup'!$D$3:$E$18,2,FALSE)</f>
        <v>0</v>
      </c>
      <c r="AN142" s="26">
        <f>_xlfn.IFNA(IF(LEFT('Rock Climbing Log'!AN142)="C",_xlfn.IFNA(VLOOKUP('Rock Climbing Log'!AN142,'RC Lookup'!$A$3:$B$9,2,FALSE),0.5),VLOOKUP('Rock Climbing Log'!AN142,'RC Lookup'!$G$3:$H$5,2,FALSE)),0)*VLOOKUP(AN$7,'RC Lookup'!$D$3:$E$18,2,FALSE)</f>
        <v>0</v>
      </c>
      <c r="AO142" s="26">
        <f>_xlfn.IFNA(IF(LEFT('Rock Climbing Log'!AO142)="C",_xlfn.IFNA(VLOOKUP('Rock Climbing Log'!AO142,'RC Lookup'!$A$3:$B$9,2,FALSE),0.5),VLOOKUP('Rock Climbing Log'!AO142,'RC Lookup'!$G$3:$H$5,2,FALSE)),0)*VLOOKUP(AN$7,'RC Lookup'!$D$3:$E$18,2,FALSE)</f>
        <v>0</v>
      </c>
      <c r="AP142" s="26">
        <f>_xlfn.IFNA(IF(LEFT('Rock Climbing Log'!AP142)="C",_xlfn.IFNA(VLOOKUP('Rock Climbing Log'!AP142,'RC Lookup'!$A$3:$B$9,2,FALSE),0.5),VLOOKUP('Rock Climbing Log'!AP142,'RC Lookup'!$G$3:$H$5,2,FALSE)),0)*VLOOKUP(AN$7,'RC Lookup'!$D$3:$E$18,2,FALSE)</f>
        <v>0</v>
      </c>
      <c r="AQ142" s="26">
        <f>_xlfn.IFNA(IF(LEFT('Rock Climbing Log'!AQ142)="C",_xlfn.IFNA(VLOOKUP('Rock Climbing Log'!AQ142,'RC Lookup'!$A$3:$B$9,2,FALSE),0.5),VLOOKUP('Rock Climbing Log'!AQ142,'RC Lookup'!$G$3:$H$5,2,FALSE)),0)*VLOOKUP(AQ$7,'RC Lookup'!$D$3:$E$18,2,FALSE)</f>
        <v>0</v>
      </c>
      <c r="AR142" s="26">
        <f>_xlfn.IFNA(IF(LEFT('Rock Climbing Log'!AR142)="C",_xlfn.IFNA(VLOOKUP('Rock Climbing Log'!AR142,'RC Lookup'!$A$3:$B$9,2,FALSE),0.5),VLOOKUP('Rock Climbing Log'!AR142,'RC Lookup'!$G$3:$H$5,2,FALSE)),0)*VLOOKUP(AQ$7,'RC Lookup'!$D$3:$E$18,2,FALSE)</f>
        <v>0</v>
      </c>
      <c r="AS142" s="26">
        <f>_xlfn.IFNA(IF(LEFT('Rock Climbing Log'!AS142)="C",_xlfn.IFNA(VLOOKUP('Rock Climbing Log'!AS142,'RC Lookup'!$A$3:$B$9,2,FALSE),0.5),VLOOKUP('Rock Climbing Log'!AS142,'RC Lookup'!$G$3:$H$5,2,FALSE)),0)*VLOOKUP(AQ$7,'RC Lookup'!$D$3:$E$18,2,FALSE)</f>
        <v>0</v>
      </c>
      <c r="AT142" s="26">
        <f>_xlfn.IFNA(IF(LEFT('Rock Climbing Log'!AT142)="C",_xlfn.IFNA(VLOOKUP('Rock Climbing Log'!AT142,'RC Lookup'!$A$3:$B$9,2,FALSE),0.5),VLOOKUP('Rock Climbing Log'!AT142,'RC Lookup'!$G$3:$H$5,2,FALSE)),0)*VLOOKUP(AT$7,'RC Lookup'!$D$3:$E$18,2,FALSE)</f>
        <v>0</v>
      </c>
      <c r="AU142" s="26">
        <f>_xlfn.IFNA(IF(LEFT('Rock Climbing Log'!AU142)="C",_xlfn.IFNA(VLOOKUP('Rock Climbing Log'!AU142,'RC Lookup'!$A$3:$B$9,2,FALSE),0.5),VLOOKUP('Rock Climbing Log'!AU142,'RC Lookup'!$G$3:$H$5,2,FALSE)),0)*VLOOKUP(AT$7,'RC Lookup'!$D$3:$E$18,2,FALSE)</f>
        <v>0</v>
      </c>
      <c r="AV142" s="26">
        <f>_xlfn.IFNA(IF(LEFT('Rock Climbing Log'!AV142)="C",_xlfn.IFNA(VLOOKUP('Rock Climbing Log'!AV142,'RC Lookup'!$A$3:$B$9,2,FALSE),0.5),VLOOKUP('Rock Climbing Log'!AV142,'RC Lookup'!$G$3:$H$5,2,FALSE)),0)*VLOOKUP(AT$7,'RC Lookup'!$D$3:$E$18,2,FALSE)</f>
        <v>0</v>
      </c>
      <c r="AW142" s="30">
        <f t="shared" ca="1" si="5"/>
        <v>0</v>
      </c>
      <c r="AX142" s="30">
        <f ca="1">_xlfn.IFNA(VLOOKUP(SUMPRODUCT(LARGE(($C$8:$C142=Table1[[#This Row],[Climber]])*$A$8:$A142,1)),$A$8:$AW142,MATCH($AW$7,$A$7:$AW$7,FALSE),FALSE),0)/LEFT($AX$7,FIND(" ",$AX$7))+_xlfn.IFNA(VLOOKUP(SUMPRODUCT(LARGE(($C$8:$C142=Table1[[#This Row],[Climber]])*$A$8:$A142,MIN(2,COUNTIFS($C$8:$C142,$C142)))),$A$8:$AW142,MATCH($AW$7,$A$7:$AW$7,FALSE),FALSE),0)/LEFT($AX$7,FIND(" ",$AX$7))+_xlfn.IFNA(VLOOKUP(SUMPRODUCT(LARGE(($C$8:$C142=Table1[[#This Row],[Climber]])*$A$8:$A142,MIN(3,COUNTIFS($C$8:$C142,$C142)))),$A$8:$AW142,MATCH($AW$7,$A$7:$AW$7,FALSE),FALSE),0)/LEFT($AX$7,FIND(" ",$AX$7))</f>
        <v>0</v>
      </c>
      <c r="AY142" s="30">
        <f ca="1">_xlfn.IFNA(VLOOKUP(SUMPRODUCT(LARGE(($C$8:$C142=Table1[[#This Row],[Climber]])*$A$8:$A142,1)),$A$8:$AW142,MATCH($AW$7,$A$7:$AW$7,FALSE),FALSE),0)/LEFT($AY$7,FIND(" ",$AY$7))+_xlfn.IFNA(VLOOKUP(SUMPRODUCT(LARGE(($C$8:$C142=Table1[[#This Row],[Climber]])*$A$8:$A142,MIN(2,COUNTIFS($C$8:$C142,$C142)))),$A$8:$AW142,MATCH($AW$7,$A$7:$AW$7,FALSE),FALSE),0)/LEFT($AY$7,FIND(" ",$AY$7))+_xlfn.IFNA(VLOOKUP(SUMPRODUCT(LARGE(($C$8:$C142=Table1[[#This Row],[Climber]])*$A$8:$A142,MIN(3,COUNTIFS($C$8:$C142,$C142)))),$A$8:$AW142,MATCH($AW$7,$A$7:$AW$7,FALSE),FALSE),0)/LEFT($AY$7,FIND(" ",$AY$7))+_xlfn.IFNA(VLOOKUP(SUMPRODUCT(LARGE(($C$8:$C142=Table1[[#This Row],[Climber]])*$A$8:$A142,MIN(4,COUNTIFS($C$8:$C142,$C142)))),$A$8:$AW142,MATCH($AW$7,$A$7:$AW$7,FALSE),FALSE),0)/LEFT($AY$7,FIND(" ",$AY$7))+_xlfn.IFNA(VLOOKUP(SUMPRODUCT(LARGE(($C$8:$C142=Table1[[#This Row],[Climber]])*$A$8:$A142,MIN(5,COUNTIFS($C$8:$C142,$C142)))),$A$8:$AW142,MATCH($AW$7,$A$7:$AW$7,FALSE),FALSE),0)/LEFT($AY$7,FIND(" ",$AY$7))</f>
        <v>0</v>
      </c>
      <c r="AZ142" s="30">
        <f ca="1">(_xlfn.IFNA(VLOOKUP(SUMPRODUCT(LARGE(($C$8:$C142=Table1[[#This Row],[Climber]])*$A$8:$A142,4)),$A$8:$AW142,MATCH($AW$7,$A$7:$AW$7,FALSE),FALSE),0)+_xlfn.IFNA(VLOOKUP(SUMPRODUCT(LARGE(($C$8:$C142=Table1[[#This Row],[Climber]])*$A$8:$A142,5)),$A$8:$AW142,MATCH($AW$7,$A$7:$AW$7,FALSE),FALSE),0)+_xlfn.IFNA(VLOOKUP(SUMPRODUCT(LARGE(($C$8:$C142=Table1[[#This Row],[Climber]])*$A$8:$A142,6)),$A$8:$AW142,MATCH($AW$7,$A$7:$AW$7,FALSE),FALSE),0))/3</f>
        <v>0</v>
      </c>
      <c r="BA142" s="46">
        <f ca="1">_xlfn.MAXIFS(INDIRECT("$AW"&amp;IF(SUMPRODUCT(LARGE(($C$8:$C142=$C142)*$A$8:$A142,LEFT($BA$7,FIND(" ",$BA$7)-1)))=0,8,SUMPRODUCT(LARGE(($C$8:$C142=$C142)*$A$8:$A142,LEFT($BA$7,FIND(" ",$BA$7)-1)))+7)&amp;":$AW"&amp;ROW()),INDIRECT("$C"&amp;IF(SUMPRODUCT(LARGE(($C$8:$C142=$C142)*$A$8:$A142,LEFT($BA$7,FIND(" ",$BA$7)-1)))=0,8,SUMPRODUCT(LARGE(($C$8:$C142=$C142)*$A$8:$A142,LEFT($BA$7,FIND(" ",$BA$7)-1)))+7)&amp;":$C"&amp;ROW()),$C142)</f>
        <v>0</v>
      </c>
      <c r="BB142" s="46" t="str">
        <f ca="1">VLOOKUP(MAX(BG142,$AX142),'RC Lookup'!$G$14:$J$20,2,TRUE)</f>
        <v>T1</v>
      </c>
      <c r="BC142" s="46">
        <f ca="1">_xlfn.IFNA(VLOOKUP(VLOOKUP($C142,'RC Lookup'!$O$3:$P$50,2,FALSE),'RC Lookup'!$H$14:$J$23,2,FALSE),0)*AW142</f>
        <v>0</v>
      </c>
      <c r="BD142" s="6">
        <f ca="1">_xlfn.IFNA(VLOOKUP(SUMPRODUCT(LARGE(($C$8:$C142=Table1[[#This Row],[Climber]])*$A$8:$A142,1)),$A$8:$BC142,55,FALSE),0)/LEFT($AX$7,FIND(" ",$AX$7))+_xlfn.IFNA(VLOOKUP(SUMPRODUCT(LARGE(($C$8:$C142=Table1[[#This Row],[Climber]])*$A$8:$A142,MIN(2,COUNTIFS($C$8:$C142,$C142)))),$A$8:$BC142,55,FALSE),0)/LEFT($AX$7,FIND(" ",$AX$7))+_xlfn.IFNA(VLOOKUP(SUMPRODUCT(LARGE(($C$8:$C142=Table1[[#This Row],[Climber]])*$A$8:$A142,MIN(3,COUNTIFS($C$8:$C142,$C142)))),$A$8:$BC142,55,FALSE),0)/LEFT($AX$7,FIND(" ",$AX$7))</f>
        <v>0</v>
      </c>
      <c r="BE142" s="6">
        <f ca="1">(_xlfn.IFNA(VLOOKUP(SUMPRODUCT(LARGE(($C$8:$C142=Table1[[#This Row],[Climber]])*$A$8:$A142,4)),$A$8:$BD142,55,FALSE),0)+_xlfn.IFNA(VLOOKUP(SUMPRODUCT(LARGE(($C$8:$C142=Table1[[#This Row],[Climber]])*$A$8:$A142,5)),$A$8:$BD142,55,FALSE),0)+_xlfn.IFNA(VLOOKUP(SUMPRODUCT(LARGE(($C$8:$C142=Table1[[#This Row],[Climber]])*$A$8:$A142,6)),$A$8:$BD142,55,FALSE),0))/3</f>
        <v>0</v>
      </c>
      <c r="BF142" s="46">
        <f ca="1">_xlfn.MAXIFS(INDIRECT("$BC"&amp;IF(SUMPRODUCT(LARGE(($C$8:$C142=$C142)*$A$8:$A142,LEFT($BA$7,FIND(" ",$BA$7)-1)))=0,8,SUMPRODUCT(LARGE(($C$8:$C142=$C142)*$A$8:$A142,LEFT($BA$7,FIND(" ",$BA$7)-1)))+7)&amp;":$BC"&amp;ROW()),INDIRECT("$C"&amp;IF(SUMPRODUCT(LARGE(($C$8:$C142=$C142)*$A$8:$A142,LEFT($BA$7,FIND(" ",$BA$7)-1)))=0,8,SUMPRODUCT(LARGE(($C$8:$C142=$C142)*$A$8:$A142,LEFT($BA$7,FIND(" ",$BA$7)-1)))+7)&amp;":$C"&amp;ROW()),$C142)</f>
        <v>0</v>
      </c>
      <c r="BG142" s="46">
        <f t="array" aca="1" ref="BG142" ca="1">IFERROR(SUMPRODUCT(LARGE(($C$8:$C142=Table1[[#This Row],[Climber]])*$AW$8:$AW142,ROW(INDIRECT("1:5")))),AW142)/MIN(COUNTIFS($C$8:$C142,C142),5)</f>
        <v>0</v>
      </c>
    </row>
    <row r="143" spans="1:59" x14ac:dyDescent="0.3">
      <c r="A143" s="125">
        <f t="shared" si="1"/>
        <v>136</v>
      </c>
      <c r="B143" s="25">
        <f>'Rock Climbing Log'!B143</f>
        <v>0</v>
      </c>
      <c r="C143" s="126">
        <f>'Rock Climbing Log'!C143</f>
        <v>0</v>
      </c>
      <c r="D143" s="26">
        <f>_xlfn.IFNA(IF(LEFT('Rock Climbing Log'!D143)="C",_xlfn.IFNA(VLOOKUP('Rock Climbing Log'!D143,'RC Lookup'!$A$3:$B$9,2,FALSE),0.5),VLOOKUP('Rock Climbing Log'!D143,'RC Lookup'!$G$3:$H$5,2,FALSE)),0)*VLOOKUP(D$7,'RC Lookup'!$D$3:$E$18,2,FALSE)</f>
        <v>0</v>
      </c>
      <c r="E143" s="26">
        <f>_xlfn.IFNA(IF(LEFT('Rock Climbing Log'!E143)="C",_xlfn.IFNA(VLOOKUP('Rock Climbing Log'!E143,'RC Lookup'!$A$3:$B$9,2,FALSE),0.5),VLOOKUP('Rock Climbing Log'!E143,'RC Lookup'!$G$3:$H$5,2,FALSE)),0)*VLOOKUP(D$7,'RC Lookup'!$D$3:$E$18,2,FALSE)</f>
        <v>0</v>
      </c>
      <c r="F143" s="26">
        <f>_xlfn.IFNA(IF(LEFT('Rock Climbing Log'!F143)="C",_xlfn.IFNA(VLOOKUP('Rock Climbing Log'!F143,'RC Lookup'!$A$3:$B$9,2,FALSE),0.5),VLOOKUP('Rock Climbing Log'!F143,'RC Lookup'!$G$3:$H$5,2,FALSE)),0)*VLOOKUP(D$7,'RC Lookup'!$D$3:$E$18,2,FALSE)</f>
        <v>0</v>
      </c>
      <c r="G143" s="26">
        <f>_xlfn.IFNA(IF(LEFT('Rock Climbing Log'!G143)="C",_xlfn.IFNA(VLOOKUP('Rock Climbing Log'!G143,'RC Lookup'!$A$3:$B$9,2,FALSE),0.5),VLOOKUP('Rock Climbing Log'!G143,'RC Lookup'!$G$3:$H$5,2,FALSE)),0)*VLOOKUP(G$7,'RC Lookup'!$D$3:$E$18,2,FALSE)</f>
        <v>0</v>
      </c>
      <c r="H143" s="26">
        <f>_xlfn.IFNA(IF(LEFT('Rock Climbing Log'!H143)="C",_xlfn.IFNA(VLOOKUP('Rock Climbing Log'!H143,'RC Lookup'!$A$3:$B$9,2,FALSE),0.5),VLOOKUP('Rock Climbing Log'!H143,'RC Lookup'!$G$3:$H$5,2,FALSE)),0)*VLOOKUP(G$7,'RC Lookup'!$D$3:$E$18,2,FALSE)</f>
        <v>0</v>
      </c>
      <c r="I143" s="26">
        <f>_xlfn.IFNA(IF(LEFT('Rock Climbing Log'!I143)="C",_xlfn.IFNA(VLOOKUP('Rock Climbing Log'!I143,'RC Lookup'!$A$3:$B$9,2,FALSE),0.5),VLOOKUP('Rock Climbing Log'!I143,'RC Lookup'!$G$3:$H$5,2,FALSE)),0)*VLOOKUP(G$7,'RC Lookup'!$D$3:$E$18,2,FALSE)</f>
        <v>0</v>
      </c>
      <c r="J143" s="26">
        <f>_xlfn.IFNA(IF(LEFT('Rock Climbing Log'!J143)="C",_xlfn.IFNA(VLOOKUP('Rock Climbing Log'!J143,'RC Lookup'!$A$3:$B$9,2,FALSE),0.5),VLOOKUP('Rock Climbing Log'!J143,'RC Lookup'!$G$3:$H$5,2,FALSE)),0)*VLOOKUP(J$7,'RC Lookup'!$D$3:$E$18,2,FALSE)</f>
        <v>0</v>
      </c>
      <c r="K143" s="26">
        <f>_xlfn.IFNA(IF(LEFT('Rock Climbing Log'!K143)="C",_xlfn.IFNA(VLOOKUP('Rock Climbing Log'!K143,'RC Lookup'!$A$3:$B$9,2,FALSE),0.5),VLOOKUP('Rock Climbing Log'!K143,'RC Lookup'!$G$3:$H$5,2,FALSE)),0)*VLOOKUP(J$7,'RC Lookup'!$D$3:$E$18,2,FALSE)</f>
        <v>0</v>
      </c>
      <c r="L143" s="26">
        <f>_xlfn.IFNA(IF(LEFT('Rock Climbing Log'!L143)="C",_xlfn.IFNA(VLOOKUP('Rock Climbing Log'!L143,'RC Lookup'!$A$3:$B$9,2,FALSE),0.5),VLOOKUP('Rock Climbing Log'!L143,'RC Lookup'!$G$3:$H$5,2,FALSE)),0)*VLOOKUP(J$7,'RC Lookup'!$D$3:$E$18,2,FALSE)</f>
        <v>0</v>
      </c>
      <c r="M143" s="26">
        <f>_xlfn.IFNA(IF(LEFT('Rock Climbing Log'!M143)="C",_xlfn.IFNA(VLOOKUP('Rock Climbing Log'!M143,'RC Lookup'!$A$3:$B$9,2,FALSE),0.5),VLOOKUP('Rock Climbing Log'!M143,'RC Lookup'!$G$3:$H$5,2,FALSE)),0)*VLOOKUP(M$7,'RC Lookup'!$D$3:$E$18,2,FALSE)</f>
        <v>0</v>
      </c>
      <c r="N143" s="26">
        <f>_xlfn.IFNA(IF(LEFT('Rock Climbing Log'!N143)="C",_xlfn.IFNA(VLOOKUP('Rock Climbing Log'!N143,'RC Lookup'!$A$3:$B$9,2,FALSE),0.5),VLOOKUP('Rock Climbing Log'!N143,'RC Lookup'!$G$3:$H$5,2,FALSE)),0)*VLOOKUP(M$7,'RC Lookup'!$D$3:$E$18,2,FALSE)</f>
        <v>0</v>
      </c>
      <c r="O143" s="26">
        <f>_xlfn.IFNA(IF(LEFT('Rock Climbing Log'!O143)="C",_xlfn.IFNA(VLOOKUP('Rock Climbing Log'!O143,'RC Lookup'!$A$3:$B$9,2,FALSE),0.5),VLOOKUP('Rock Climbing Log'!O143,'RC Lookup'!$G$3:$H$5,2,FALSE)),0)*VLOOKUP(M$7,'RC Lookup'!$D$3:$E$18,2,FALSE)</f>
        <v>0</v>
      </c>
      <c r="P143" s="26">
        <f>_xlfn.IFNA(IF(LEFT('Rock Climbing Log'!P143)="C",_xlfn.IFNA(VLOOKUP('Rock Climbing Log'!P143,'RC Lookup'!$A$3:$B$9,2,FALSE),0.5),VLOOKUP('Rock Climbing Log'!P143,'RC Lookup'!$G$3:$H$5,2,FALSE)),0)*VLOOKUP(P$7,'RC Lookup'!$D$3:$E$18,2,FALSE)</f>
        <v>0</v>
      </c>
      <c r="Q143" s="26">
        <f>_xlfn.IFNA(IF(LEFT('Rock Climbing Log'!Q143)="C",_xlfn.IFNA(VLOOKUP('Rock Climbing Log'!Q143,'RC Lookup'!$A$3:$B$9,2,FALSE),0.5),VLOOKUP('Rock Climbing Log'!Q143,'RC Lookup'!$G$3:$H$5,2,FALSE)),0)*VLOOKUP(P$7,'RC Lookup'!$D$3:$E$18,2,FALSE)</f>
        <v>0</v>
      </c>
      <c r="R143" s="26">
        <f>_xlfn.IFNA(IF(LEFT('Rock Climbing Log'!R143)="C",_xlfn.IFNA(VLOOKUP('Rock Climbing Log'!R143,'RC Lookup'!$A$3:$B$9,2,FALSE),0.5),VLOOKUP('Rock Climbing Log'!R143,'RC Lookup'!$G$3:$H$5,2,FALSE)),0)*VLOOKUP(P$7,'RC Lookup'!$D$3:$E$18,2,FALSE)</f>
        <v>0</v>
      </c>
      <c r="S143" s="26">
        <f>_xlfn.IFNA(IF(LEFT('Rock Climbing Log'!S143)="C",_xlfn.IFNA(VLOOKUP('Rock Climbing Log'!S143,'RC Lookup'!$A$3:$B$9,2,FALSE),0.5),VLOOKUP('Rock Climbing Log'!S143,'RC Lookup'!$G$3:$H$5,2,FALSE)),0)*VLOOKUP(S$7,'RC Lookup'!$D$3:$E$18,2,FALSE)</f>
        <v>0</v>
      </c>
      <c r="T143" s="26">
        <f>_xlfn.IFNA(IF(LEFT('Rock Climbing Log'!T143)="C",_xlfn.IFNA(VLOOKUP('Rock Climbing Log'!T143,'RC Lookup'!$A$3:$B$9,2,FALSE),0.5),VLOOKUP('Rock Climbing Log'!T143,'RC Lookup'!$G$3:$H$5,2,FALSE)),0)*VLOOKUP(S$7,'RC Lookup'!$D$3:$E$18,2,FALSE)</f>
        <v>0</v>
      </c>
      <c r="U143" s="26">
        <f>_xlfn.IFNA(IF(LEFT('Rock Climbing Log'!U143)="C",_xlfn.IFNA(VLOOKUP('Rock Climbing Log'!U143,'RC Lookup'!$A$3:$B$9,2,FALSE),0.5),VLOOKUP('Rock Climbing Log'!U143,'RC Lookup'!$G$3:$H$5,2,FALSE)),0)*VLOOKUP(S$7,'RC Lookup'!$D$3:$E$18,2,FALSE)</f>
        <v>0</v>
      </c>
      <c r="V143" s="26">
        <f>_xlfn.IFNA(IF(LEFT('Rock Climbing Log'!V143)="C",_xlfn.IFNA(VLOOKUP('Rock Climbing Log'!V143,'RC Lookup'!$A$3:$B$9,2,FALSE),0.5),VLOOKUP('Rock Climbing Log'!V143,'RC Lookup'!$G$3:$H$5,2,FALSE)),0)*VLOOKUP(V$7,'RC Lookup'!$D$3:$E$18,2,FALSE)</f>
        <v>0</v>
      </c>
      <c r="W143" s="26">
        <f>_xlfn.IFNA(IF(LEFT('Rock Climbing Log'!W143)="C",_xlfn.IFNA(VLOOKUP('Rock Climbing Log'!W143,'RC Lookup'!$A$3:$B$9,2,FALSE),0.5),VLOOKUP('Rock Climbing Log'!W143,'RC Lookup'!$G$3:$H$5,2,FALSE)),0)*VLOOKUP(V$7,'RC Lookup'!$D$3:$E$18,2,FALSE)</f>
        <v>0</v>
      </c>
      <c r="X143" s="26">
        <f>_xlfn.IFNA(IF(LEFT('Rock Climbing Log'!X143)="C",_xlfn.IFNA(VLOOKUP('Rock Climbing Log'!X143,'RC Lookup'!$A$3:$B$9,2,FALSE),0.5),VLOOKUP('Rock Climbing Log'!X143,'RC Lookup'!$G$3:$H$5,2,FALSE)),0)*VLOOKUP(V$7,'RC Lookup'!$D$3:$E$18,2,FALSE)</f>
        <v>0</v>
      </c>
      <c r="Y143" s="26">
        <f>_xlfn.IFNA(IF(LEFT('Rock Climbing Log'!Y143)="C",_xlfn.IFNA(VLOOKUP('Rock Climbing Log'!Y143,'RC Lookup'!$A$3:$B$9,2,FALSE),0.5),VLOOKUP('Rock Climbing Log'!Y143,'RC Lookup'!$G$3:$H$5,2,FALSE)),0)*VLOOKUP(Y$7,'RC Lookup'!$D$3:$E$18,2,FALSE)</f>
        <v>0</v>
      </c>
      <c r="Z143" s="26">
        <f>_xlfn.IFNA(IF(LEFT('Rock Climbing Log'!Z143)="C",_xlfn.IFNA(VLOOKUP('Rock Climbing Log'!Z143,'RC Lookup'!$A$3:$B$9,2,FALSE),0.5),VLOOKUP('Rock Climbing Log'!Z143,'RC Lookup'!$G$3:$H$5,2,FALSE)),0)*VLOOKUP(Y$7,'RC Lookup'!$D$3:$E$18,2,FALSE)</f>
        <v>0</v>
      </c>
      <c r="AA143" s="26">
        <f>_xlfn.IFNA(IF(LEFT('Rock Climbing Log'!AA143)="C",_xlfn.IFNA(VLOOKUP('Rock Climbing Log'!AA143,'RC Lookup'!$A$3:$B$9,2,FALSE),0.5),VLOOKUP('Rock Climbing Log'!AA143,'RC Lookup'!$G$3:$H$5,2,FALSE)),0)*VLOOKUP(Y$7,'RC Lookup'!$D$3:$E$18,2,FALSE)</f>
        <v>0</v>
      </c>
      <c r="AB143" s="26">
        <f>_xlfn.IFNA(IF(LEFT('Rock Climbing Log'!AB143)="C",_xlfn.IFNA(VLOOKUP('Rock Climbing Log'!AB143,'RC Lookup'!$A$3:$B$9,2,FALSE),0.5),VLOOKUP('Rock Climbing Log'!AB143,'RC Lookup'!$G$3:$H$5,2,FALSE)),0)*VLOOKUP(AB$7,'RC Lookup'!$D$3:$E$18,2,FALSE)</f>
        <v>0</v>
      </c>
      <c r="AC143" s="26">
        <f>_xlfn.IFNA(IF(LEFT('Rock Climbing Log'!AC143)="C",_xlfn.IFNA(VLOOKUP('Rock Climbing Log'!AC143,'RC Lookup'!$A$3:$B$9,2,FALSE),0.5),VLOOKUP('Rock Climbing Log'!AC143,'RC Lookup'!$G$3:$H$5,2,FALSE)),0)*VLOOKUP(AB$7,'RC Lookup'!$D$3:$E$18,2,FALSE)</f>
        <v>0</v>
      </c>
      <c r="AD143" s="26">
        <f>_xlfn.IFNA(IF(LEFT('Rock Climbing Log'!AD143)="C",_xlfn.IFNA(VLOOKUP('Rock Climbing Log'!AD143,'RC Lookup'!$A$3:$B$9,2,FALSE),0.5),VLOOKUP('Rock Climbing Log'!AD143,'RC Lookup'!$G$3:$H$5,2,FALSE)),0)*VLOOKUP(AB$7,'RC Lookup'!$D$3:$E$18,2,FALSE)</f>
        <v>0</v>
      </c>
      <c r="AE143" s="26">
        <f>_xlfn.IFNA(IF(LEFT('Rock Climbing Log'!AE143)="C",_xlfn.IFNA(VLOOKUP('Rock Climbing Log'!AE143,'RC Lookup'!$A$3:$B$9,2,FALSE),0.5),VLOOKUP('Rock Climbing Log'!AE143,'RC Lookup'!$G$3:$H$5,2,FALSE)),0)*VLOOKUP(AE$7,'RC Lookup'!$D$3:$E$18,2,FALSE)</f>
        <v>0</v>
      </c>
      <c r="AF143" s="26">
        <f>_xlfn.IFNA(IF(LEFT('Rock Climbing Log'!AF143)="C",_xlfn.IFNA(VLOOKUP('Rock Climbing Log'!AF143,'RC Lookup'!$A$3:$B$9,2,FALSE),0.5),VLOOKUP('Rock Climbing Log'!AF143,'RC Lookup'!$G$3:$H$5,2,FALSE)),0)*VLOOKUP(AE$7,'RC Lookup'!$D$3:$E$18,2,FALSE)</f>
        <v>0</v>
      </c>
      <c r="AG143" s="26">
        <f>_xlfn.IFNA(IF(LEFT('Rock Climbing Log'!AG143)="C",_xlfn.IFNA(VLOOKUP('Rock Climbing Log'!AG143,'RC Lookup'!$A$3:$B$9,2,FALSE),0.5),VLOOKUP('Rock Climbing Log'!AG143,'RC Lookup'!$G$3:$H$5,2,FALSE)),0)*VLOOKUP(AE$7,'RC Lookup'!$D$3:$E$18,2,FALSE)</f>
        <v>0</v>
      </c>
      <c r="AH143" s="26">
        <f>_xlfn.IFNA(IF(LEFT('Rock Climbing Log'!AH143)="C",_xlfn.IFNA(VLOOKUP('Rock Climbing Log'!AH143,'RC Lookup'!$A$3:$B$9,2,FALSE),0.5),VLOOKUP('Rock Climbing Log'!AH143,'RC Lookup'!$G$3:$H$5,2,FALSE)),0)*VLOOKUP(AH$7,'RC Lookup'!$D$3:$E$18,2,FALSE)</f>
        <v>0</v>
      </c>
      <c r="AI143" s="26">
        <f>_xlfn.IFNA(IF(LEFT('Rock Climbing Log'!AI143)="C",_xlfn.IFNA(VLOOKUP('Rock Climbing Log'!AI143,'RC Lookup'!$A$3:$B$9,2,FALSE),0.5),VLOOKUP('Rock Climbing Log'!AI143,'RC Lookup'!$G$3:$H$5,2,FALSE)),0)*VLOOKUP(AH$7,'RC Lookup'!$D$3:$E$18,2,FALSE)</f>
        <v>0</v>
      </c>
      <c r="AJ143" s="26">
        <f>_xlfn.IFNA(IF(LEFT('Rock Climbing Log'!AJ143)="C",_xlfn.IFNA(VLOOKUP('Rock Climbing Log'!AJ143,'RC Lookup'!$A$3:$B$9,2,FALSE),0.5),VLOOKUP('Rock Climbing Log'!AJ143,'RC Lookup'!$G$3:$H$5,2,FALSE)),0)*VLOOKUP(AH$7,'RC Lookup'!$D$3:$E$18,2,FALSE)</f>
        <v>0</v>
      </c>
      <c r="AK143" s="26">
        <f>_xlfn.IFNA(IF(LEFT('Rock Climbing Log'!AK143)="C",_xlfn.IFNA(VLOOKUP('Rock Climbing Log'!AK143,'RC Lookup'!$A$3:$B$9,2,FALSE),0.5),VLOOKUP('Rock Climbing Log'!AK143,'RC Lookup'!$G$3:$H$5,2,FALSE)),0)*VLOOKUP(AK$7,'RC Lookup'!$D$3:$E$18,2,FALSE)</f>
        <v>0</v>
      </c>
      <c r="AL143" s="26">
        <f>_xlfn.IFNA(IF(LEFT('Rock Climbing Log'!AL143)="C",_xlfn.IFNA(VLOOKUP('Rock Climbing Log'!AL143,'RC Lookup'!$A$3:$B$9,2,FALSE),0.5),VLOOKUP('Rock Climbing Log'!AL143,'RC Lookup'!$G$3:$H$5,2,FALSE)),0)*VLOOKUP(AK$7,'RC Lookup'!$D$3:$E$18,2,FALSE)</f>
        <v>0</v>
      </c>
      <c r="AM143" s="26">
        <f>_xlfn.IFNA(IF(LEFT('Rock Climbing Log'!AM143)="C",_xlfn.IFNA(VLOOKUP('Rock Climbing Log'!AM143,'RC Lookup'!$A$3:$B$9,2,FALSE),0.5),VLOOKUP('Rock Climbing Log'!AM143,'RC Lookup'!$G$3:$H$5,2,FALSE)),0)*VLOOKUP(AK$7,'RC Lookup'!$D$3:$E$18,2,FALSE)</f>
        <v>0</v>
      </c>
      <c r="AN143" s="26">
        <f>_xlfn.IFNA(IF(LEFT('Rock Climbing Log'!AN143)="C",_xlfn.IFNA(VLOOKUP('Rock Climbing Log'!AN143,'RC Lookup'!$A$3:$B$9,2,FALSE),0.5),VLOOKUP('Rock Climbing Log'!AN143,'RC Lookup'!$G$3:$H$5,2,FALSE)),0)*VLOOKUP(AN$7,'RC Lookup'!$D$3:$E$18,2,FALSE)</f>
        <v>0</v>
      </c>
      <c r="AO143" s="26">
        <f>_xlfn.IFNA(IF(LEFT('Rock Climbing Log'!AO143)="C",_xlfn.IFNA(VLOOKUP('Rock Climbing Log'!AO143,'RC Lookup'!$A$3:$B$9,2,FALSE),0.5),VLOOKUP('Rock Climbing Log'!AO143,'RC Lookup'!$G$3:$H$5,2,FALSE)),0)*VLOOKUP(AN$7,'RC Lookup'!$D$3:$E$18,2,FALSE)</f>
        <v>0</v>
      </c>
      <c r="AP143" s="26">
        <f>_xlfn.IFNA(IF(LEFT('Rock Climbing Log'!AP143)="C",_xlfn.IFNA(VLOOKUP('Rock Climbing Log'!AP143,'RC Lookup'!$A$3:$B$9,2,FALSE),0.5),VLOOKUP('Rock Climbing Log'!AP143,'RC Lookup'!$G$3:$H$5,2,FALSE)),0)*VLOOKUP(AN$7,'RC Lookup'!$D$3:$E$18,2,FALSE)</f>
        <v>0</v>
      </c>
      <c r="AQ143" s="26">
        <f>_xlfn.IFNA(IF(LEFT('Rock Climbing Log'!AQ143)="C",_xlfn.IFNA(VLOOKUP('Rock Climbing Log'!AQ143,'RC Lookup'!$A$3:$B$9,2,FALSE),0.5),VLOOKUP('Rock Climbing Log'!AQ143,'RC Lookup'!$G$3:$H$5,2,FALSE)),0)*VLOOKUP(AQ$7,'RC Lookup'!$D$3:$E$18,2,FALSE)</f>
        <v>0</v>
      </c>
      <c r="AR143" s="26">
        <f>_xlfn.IFNA(IF(LEFT('Rock Climbing Log'!AR143)="C",_xlfn.IFNA(VLOOKUP('Rock Climbing Log'!AR143,'RC Lookup'!$A$3:$B$9,2,FALSE),0.5),VLOOKUP('Rock Climbing Log'!AR143,'RC Lookup'!$G$3:$H$5,2,FALSE)),0)*VLOOKUP(AQ$7,'RC Lookup'!$D$3:$E$18,2,FALSE)</f>
        <v>0</v>
      </c>
      <c r="AS143" s="26">
        <f>_xlfn.IFNA(IF(LEFT('Rock Climbing Log'!AS143)="C",_xlfn.IFNA(VLOOKUP('Rock Climbing Log'!AS143,'RC Lookup'!$A$3:$B$9,2,FALSE),0.5),VLOOKUP('Rock Climbing Log'!AS143,'RC Lookup'!$G$3:$H$5,2,FALSE)),0)*VLOOKUP(AQ$7,'RC Lookup'!$D$3:$E$18,2,FALSE)</f>
        <v>0</v>
      </c>
      <c r="AT143" s="26">
        <f>_xlfn.IFNA(IF(LEFT('Rock Climbing Log'!AT143)="C",_xlfn.IFNA(VLOOKUP('Rock Climbing Log'!AT143,'RC Lookup'!$A$3:$B$9,2,FALSE),0.5),VLOOKUP('Rock Climbing Log'!AT143,'RC Lookup'!$G$3:$H$5,2,FALSE)),0)*VLOOKUP(AT$7,'RC Lookup'!$D$3:$E$18,2,FALSE)</f>
        <v>0</v>
      </c>
      <c r="AU143" s="26">
        <f>_xlfn.IFNA(IF(LEFT('Rock Climbing Log'!AU143)="C",_xlfn.IFNA(VLOOKUP('Rock Climbing Log'!AU143,'RC Lookup'!$A$3:$B$9,2,FALSE),0.5),VLOOKUP('Rock Climbing Log'!AU143,'RC Lookup'!$G$3:$H$5,2,FALSE)),0)*VLOOKUP(AT$7,'RC Lookup'!$D$3:$E$18,2,FALSE)</f>
        <v>0</v>
      </c>
      <c r="AV143" s="26">
        <f>_xlfn.IFNA(IF(LEFT('Rock Climbing Log'!AV143)="C",_xlfn.IFNA(VLOOKUP('Rock Climbing Log'!AV143,'RC Lookup'!$A$3:$B$9,2,FALSE),0.5),VLOOKUP('Rock Climbing Log'!AV143,'RC Lookup'!$G$3:$H$5,2,FALSE)),0)*VLOOKUP(AT$7,'RC Lookup'!$D$3:$E$18,2,FALSE)</f>
        <v>0</v>
      </c>
      <c r="AW143" s="30">
        <f t="shared" ca="1" si="5"/>
        <v>0</v>
      </c>
      <c r="AX143" s="30">
        <f ca="1">_xlfn.IFNA(VLOOKUP(SUMPRODUCT(LARGE(($C$8:$C143=Table1[[#This Row],[Climber]])*$A$8:$A143,1)),$A$8:$AW143,MATCH($AW$7,$A$7:$AW$7,FALSE),FALSE),0)/LEFT($AX$7,FIND(" ",$AX$7))+_xlfn.IFNA(VLOOKUP(SUMPRODUCT(LARGE(($C$8:$C143=Table1[[#This Row],[Climber]])*$A$8:$A143,MIN(2,COUNTIFS($C$8:$C143,$C143)))),$A$8:$AW143,MATCH($AW$7,$A$7:$AW$7,FALSE),FALSE),0)/LEFT($AX$7,FIND(" ",$AX$7))+_xlfn.IFNA(VLOOKUP(SUMPRODUCT(LARGE(($C$8:$C143=Table1[[#This Row],[Climber]])*$A$8:$A143,MIN(3,COUNTIFS($C$8:$C143,$C143)))),$A$8:$AW143,MATCH($AW$7,$A$7:$AW$7,FALSE),FALSE),0)/LEFT($AX$7,FIND(" ",$AX$7))</f>
        <v>0</v>
      </c>
      <c r="AY143" s="30">
        <f ca="1">_xlfn.IFNA(VLOOKUP(SUMPRODUCT(LARGE(($C$8:$C143=Table1[[#This Row],[Climber]])*$A$8:$A143,1)),$A$8:$AW143,MATCH($AW$7,$A$7:$AW$7,FALSE),FALSE),0)/LEFT($AY$7,FIND(" ",$AY$7))+_xlfn.IFNA(VLOOKUP(SUMPRODUCT(LARGE(($C$8:$C143=Table1[[#This Row],[Climber]])*$A$8:$A143,MIN(2,COUNTIFS($C$8:$C143,$C143)))),$A$8:$AW143,MATCH($AW$7,$A$7:$AW$7,FALSE),FALSE),0)/LEFT($AY$7,FIND(" ",$AY$7))+_xlfn.IFNA(VLOOKUP(SUMPRODUCT(LARGE(($C$8:$C143=Table1[[#This Row],[Climber]])*$A$8:$A143,MIN(3,COUNTIFS($C$8:$C143,$C143)))),$A$8:$AW143,MATCH($AW$7,$A$7:$AW$7,FALSE),FALSE),0)/LEFT($AY$7,FIND(" ",$AY$7))+_xlfn.IFNA(VLOOKUP(SUMPRODUCT(LARGE(($C$8:$C143=Table1[[#This Row],[Climber]])*$A$8:$A143,MIN(4,COUNTIFS($C$8:$C143,$C143)))),$A$8:$AW143,MATCH($AW$7,$A$7:$AW$7,FALSE),FALSE),0)/LEFT($AY$7,FIND(" ",$AY$7))+_xlfn.IFNA(VLOOKUP(SUMPRODUCT(LARGE(($C$8:$C143=Table1[[#This Row],[Climber]])*$A$8:$A143,MIN(5,COUNTIFS($C$8:$C143,$C143)))),$A$8:$AW143,MATCH($AW$7,$A$7:$AW$7,FALSE),FALSE),0)/LEFT($AY$7,FIND(" ",$AY$7))</f>
        <v>0</v>
      </c>
      <c r="AZ143" s="30">
        <f ca="1">(_xlfn.IFNA(VLOOKUP(SUMPRODUCT(LARGE(($C$8:$C143=Table1[[#This Row],[Climber]])*$A$8:$A143,4)),$A$8:$AW143,MATCH($AW$7,$A$7:$AW$7,FALSE),FALSE),0)+_xlfn.IFNA(VLOOKUP(SUMPRODUCT(LARGE(($C$8:$C143=Table1[[#This Row],[Climber]])*$A$8:$A143,5)),$A$8:$AW143,MATCH($AW$7,$A$7:$AW$7,FALSE),FALSE),0)+_xlfn.IFNA(VLOOKUP(SUMPRODUCT(LARGE(($C$8:$C143=Table1[[#This Row],[Climber]])*$A$8:$A143,6)),$A$8:$AW143,MATCH($AW$7,$A$7:$AW$7,FALSE),FALSE),0))/3</f>
        <v>0</v>
      </c>
      <c r="BA143" s="46">
        <f ca="1">_xlfn.MAXIFS(INDIRECT("$AW"&amp;IF(SUMPRODUCT(LARGE(($C$8:$C143=$C143)*$A$8:$A143,LEFT($BA$7,FIND(" ",$BA$7)-1)))=0,8,SUMPRODUCT(LARGE(($C$8:$C143=$C143)*$A$8:$A143,LEFT($BA$7,FIND(" ",$BA$7)-1)))+7)&amp;":$AW"&amp;ROW()),INDIRECT("$C"&amp;IF(SUMPRODUCT(LARGE(($C$8:$C143=$C143)*$A$8:$A143,LEFT($BA$7,FIND(" ",$BA$7)-1)))=0,8,SUMPRODUCT(LARGE(($C$8:$C143=$C143)*$A$8:$A143,LEFT($BA$7,FIND(" ",$BA$7)-1)))+7)&amp;":$C"&amp;ROW()),$C143)</f>
        <v>0</v>
      </c>
      <c r="BB143" s="46" t="str">
        <f ca="1">VLOOKUP(MAX(BG143,$AX143),'RC Lookup'!$G$14:$J$20,2,TRUE)</f>
        <v>T1</v>
      </c>
      <c r="BC143" s="46">
        <f ca="1">_xlfn.IFNA(VLOOKUP(VLOOKUP($C143,'RC Lookup'!$O$3:$P$50,2,FALSE),'RC Lookup'!$H$14:$J$23,2,FALSE),0)*AW143</f>
        <v>0</v>
      </c>
      <c r="BD143" s="6">
        <f ca="1">_xlfn.IFNA(VLOOKUP(SUMPRODUCT(LARGE(($C$8:$C143=Table1[[#This Row],[Climber]])*$A$8:$A143,1)),$A$8:$BC143,55,FALSE),0)/LEFT($AX$7,FIND(" ",$AX$7))+_xlfn.IFNA(VLOOKUP(SUMPRODUCT(LARGE(($C$8:$C143=Table1[[#This Row],[Climber]])*$A$8:$A143,MIN(2,COUNTIFS($C$8:$C143,$C143)))),$A$8:$BC143,55,FALSE),0)/LEFT($AX$7,FIND(" ",$AX$7))+_xlfn.IFNA(VLOOKUP(SUMPRODUCT(LARGE(($C$8:$C143=Table1[[#This Row],[Climber]])*$A$8:$A143,MIN(3,COUNTIFS($C$8:$C143,$C143)))),$A$8:$BC143,55,FALSE),0)/LEFT($AX$7,FIND(" ",$AX$7))</f>
        <v>0</v>
      </c>
      <c r="BE143" s="6">
        <f ca="1">(_xlfn.IFNA(VLOOKUP(SUMPRODUCT(LARGE(($C$8:$C143=Table1[[#This Row],[Climber]])*$A$8:$A143,4)),$A$8:$BD143,55,FALSE),0)+_xlfn.IFNA(VLOOKUP(SUMPRODUCT(LARGE(($C$8:$C143=Table1[[#This Row],[Climber]])*$A$8:$A143,5)),$A$8:$BD143,55,FALSE),0)+_xlfn.IFNA(VLOOKUP(SUMPRODUCT(LARGE(($C$8:$C143=Table1[[#This Row],[Climber]])*$A$8:$A143,6)),$A$8:$BD143,55,FALSE),0))/3</f>
        <v>0</v>
      </c>
      <c r="BF143" s="46">
        <f ca="1">_xlfn.MAXIFS(INDIRECT("$BC"&amp;IF(SUMPRODUCT(LARGE(($C$8:$C143=$C143)*$A$8:$A143,LEFT($BA$7,FIND(" ",$BA$7)-1)))=0,8,SUMPRODUCT(LARGE(($C$8:$C143=$C143)*$A$8:$A143,LEFT($BA$7,FIND(" ",$BA$7)-1)))+7)&amp;":$BC"&amp;ROW()),INDIRECT("$C"&amp;IF(SUMPRODUCT(LARGE(($C$8:$C143=$C143)*$A$8:$A143,LEFT($BA$7,FIND(" ",$BA$7)-1)))=0,8,SUMPRODUCT(LARGE(($C$8:$C143=$C143)*$A$8:$A143,LEFT($BA$7,FIND(" ",$BA$7)-1)))+7)&amp;":$C"&amp;ROW()),$C143)</f>
        <v>0</v>
      </c>
      <c r="BG143" s="46">
        <f t="array" aca="1" ref="BG143" ca="1">IFERROR(SUMPRODUCT(LARGE(($C$8:$C143=Table1[[#This Row],[Climber]])*$AW$8:$AW143,ROW(INDIRECT("1:5")))),AW143)/MIN(COUNTIFS($C$8:$C143,C143),5)</f>
        <v>0</v>
      </c>
    </row>
    <row r="144" spans="1:59" x14ac:dyDescent="0.3">
      <c r="A144" s="125">
        <f t="shared" si="1"/>
        <v>137</v>
      </c>
      <c r="B144" s="25">
        <f>'Rock Climbing Log'!B144</f>
        <v>0</v>
      </c>
      <c r="C144" s="126">
        <f>'Rock Climbing Log'!C144</f>
        <v>0</v>
      </c>
      <c r="D144" s="26">
        <f>_xlfn.IFNA(IF(LEFT('Rock Climbing Log'!D144)="C",_xlfn.IFNA(VLOOKUP('Rock Climbing Log'!D144,'RC Lookup'!$A$3:$B$9,2,FALSE),0.5),VLOOKUP('Rock Climbing Log'!D144,'RC Lookup'!$G$3:$H$5,2,FALSE)),0)*VLOOKUP(D$7,'RC Lookup'!$D$3:$E$18,2,FALSE)</f>
        <v>0</v>
      </c>
      <c r="E144" s="26">
        <f>_xlfn.IFNA(IF(LEFT('Rock Climbing Log'!E144)="C",_xlfn.IFNA(VLOOKUP('Rock Climbing Log'!E144,'RC Lookup'!$A$3:$B$9,2,FALSE),0.5),VLOOKUP('Rock Climbing Log'!E144,'RC Lookup'!$G$3:$H$5,2,FALSE)),0)*VLOOKUP(D$7,'RC Lookup'!$D$3:$E$18,2,FALSE)</f>
        <v>0</v>
      </c>
      <c r="F144" s="26">
        <f>_xlfn.IFNA(IF(LEFT('Rock Climbing Log'!F144)="C",_xlfn.IFNA(VLOOKUP('Rock Climbing Log'!F144,'RC Lookup'!$A$3:$B$9,2,FALSE),0.5),VLOOKUP('Rock Climbing Log'!F144,'RC Lookup'!$G$3:$H$5,2,FALSE)),0)*VLOOKUP(D$7,'RC Lookup'!$D$3:$E$18,2,FALSE)</f>
        <v>0</v>
      </c>
      <c r="G144" s="26">
        <f>_xlfn.IFNA(IF(LEFT('Rock Climbing Log'!G144)="C",_xlfn.IFNA(VLOOKUP('Rock Climbing Log'!G144,'RC Lookup'!$A$3:$B$9,2,FALSE),0.5),VLOOKUP('Rock Climbing Log'!G144,'RC Lookup'!$G$3:$H$5,2,FALSE)),0)*VLOOKUP(G$7,'RC Lookup'!$D$3:$E$18,2,FALSE)</f>
        <v>0</v>
      </c>
      <c r="H144" s="26">
        <f>_xlfn.IFNA(IF(LEFT('Rock Climbing Log'!H144)="C",_xlfn.IFNA(VLOOKUP('Rock Climbing Log'!H144,'RC Lookup'!$A$3:$B$9,2,FALSE),0.5),VLOOKUP('Rock Climbing Log'!H144,'RC Lookup'!$G$3:$H$5,2,FALSE)),0)*VLOOKUP(G$7,'RC Lookup'!$D$3:$E$18,2,FALSE)</f>
        <v>0</v>
      </c>
      <c r="I144" s="26">
        <f>_xlfn.IFNA(IF(LEFT('Rock Climbing Log'!I144)="C",_xlfn.IFNA(VLOOKUP('Rock Climbing Log'!I144,'RC Lookup'!$A$3:$B$9,2,FALSE),0.5),VLOOKUP('Rock Climbing Log'!I144,'RC Lookup'!$G$3:$H$5,2,FALSE)),0)*VLOOKUP(G$7,'RC Lookup'!$D$3:$E$18,2,FALSE)</f>
        <v>0</v>
      </c>
      <c r="J144" s="26">
        <f>_xlfn.IFNA(IF(LEFT('Rock Climbing Log'!J144)="C",_xlfn.IFNA(VLOOKUP('Rock Climbing Log'!J144,'RC Lookup'!$A$3:$B$9,2,FALSE),0.5),VLOOKUP('Rock Climbing Log'!J144,'RC Lookup'!$G$3:$H$5,2,FALSE)),0)*VLOOKUP(J$7,'RC Lookup'!$D$3:$E$18,2,FALSE)</f>
        <v>0</v>
      </c>
      <c r="K144" s="26">
        <f>_xlfn.IFNA(IF(LEFT('Rock Climbing Log'!K144)="C",_xlfn.IFNA(VLOOKUP('Rock Climbing Log'!K144,'RC Lookup'!$A$3:$B$9,2,FALSE),0.5),VLOOKUP('Rock Climbing Log'!K144,'RC Lookup'!$G$3:$H$5,2,FALSE)),0)*VLOOKUP(J$7,'RC Lookup'!$D$3:$E$18,2,FALSE)</f>
        <v>0</v>
      </c>
      <c r="L144" s="26">
        <f>_xlfn.IFNA(IF(LEFT('Rock Climbing Log'!L144)="C",_xlfn.IFNA(VLOOKUP('Rock Climbing Log'!L144,'RC Lookup'!$A$3:$B$9,2,FALSE),0.5),VLOOKUP('Rock Climbing Log'!L144,'RC Lookup'!$G$3:$H$5,2,FALSE)),0)*VLOOKUP(J$7,'RC Lookup'!$D$3:$E$18,2,FALSE)</f>
        <v>0</v>
      </c>
      <c r="M144" s="26">
        <f>_xlfn.IFNA(IF(LEFT('Rock Climbing Log'!M144)="C",_xlfn.IFNA(VLOOKUP('Rock Climbing Log'!M144,'RC Lookup'!$A$3:$B$9,2,FALSE),0.5),VLOOKUP('Rock Climbing Log'!M144,'RC Lookup'!$G$3:$H$5,2,FALSE)),0)*VLOOKUP(M$7,'RC Lookup'!$D$3:$E$18,2,FALSE)</f>
        <v>0</v>
      </c>
      <c r="N144" s="26">
        <f>_xlfn.IFNA(IF(LEFT('Rock Climbing Log'!N144)="C",_xlfn.IFNA(VLOOKUP('Rock Climbing Log'!N144,'RC Lookup'!$A$3:$B$9,2,FALSE),0.5),VLOOKUP('Rock Climbing Log'!N144,'RC Lookup'!$G$3:$H$5,2,FALSE)),0)*VLOOKUP(M$7,'RC Lookup'!$D$3:$E$18,2,FALSE)</f>
        <v>0</v>
      </c>
      <c r="O144" s="26">
        <f>_xlfn.IFNA(IF(LEFT('Rock Climbing Log'!O144)="C",_xlfn.IFNA(VLOOKUP('Rock Climbing Log'!O144,'RC Lookup'!$A$3:$B$9,2,FALSE),0.5),VLOOKUP('Rock Climbing Log'!O144,'RC Lookup'!$G$3:$H$5,2,FALSE)),0)*VLOOKUP(M$7,'RC Lookup'!$D$3:$E$18,2,FALSE)</f>
        <v>0</v>
      </c>
      <c r="P144" s="26">
        <f>_xlfn.IFNA(IF(LEFT('Rock Climbing Log'!P144)="C",_xlfn.IFNA(VLOOKUP('Rock Climbing Log'!P144,'RC Lookup'!$A$3:$B$9,2,FALSE),0.5),VLOOKUP('Rock Climbing Log'!P144,'RC Lookup'!$G$3:$H$5,2,FALSE)),0)*VLOOKUP(P$7,'RC Lookup'!$D$3:$E$18,2,FALSE)</f>
        <v>0</v>
      </c>
      <c r="Q144" s="26">
        <f>_xlfn.IFNA(IF(LEFT('Rock Climbing Log'!Q144)="C",_xlfn.IFNA(VLOOKUP('Rock Climbing Log'!Q144,'RC Lookup'!$A$3:$B$9,2,FALSE),0.5),VLOOKUP('Rock Climbing Log'!Q144,'RC Lookup'!$G$3:$H$5,2,FALSE)),0)*VLOOKUP(P$7,'RC Lookup'!$D$3:$E$18,2,FALSE)</f>
        <v>0</v>
      </c>
      <c r="R144" s="26">
        <f>_xlfn.IFNA(IF(LEFT('Rock Climbing Log'!R144)="C",_xlfn.IFNA(VLOOKUP('Rock Climbing Log'!R144,'RC Lookup'!$A$3:$B$9,2,FALSE),0.5),VLOOKUP('Rock Climbing Log'!R144,'RC Lookup'!$G$3:$H$5,2,FALSE)),0)*VLOOKUP(P$7,'RC Lookup'!$D$3:$E$18,2,FALSE)</f>
        <v>0</v>
      </c>
      <c r="S144" s="26">
        <f>_xlfn.IFNA(IF(LEFT('Rock Climbing Log'!S144)="C",_xlfn.IFNA(VLOOKUP('Rock Climbing Log'!S144,'RC Lookup'!$A$3:$B$9,2,FALSE),0.5),VLOOKUP('Rock Climbing Log'!S144,'RC Lookup'!$G$3:$H$5,2,FALSE)),0)*VLOOKUP(S$7,'RC Lookup'!$D$3:$E$18,2,FALSE)</f>
        <v>0</v>
      </c>
      <c r="T144" s="26">
        <f>_xlfn.IFNA(IF(LEFT('Rock Climbing Log'!T144)="C",_xlfn.IFNA(VLOOKUP('Rock Climbing Log'!T144,'RC Lookup'!$A$3:$B$9,2,FALSE),0.5),VLOOKUP('Rock Climbing Log'!T144,'RC Lookup'!$G$3:$H$5,2,FALSE)),0)*VLOOKUP(S$7,'RC Lookup'!$D$3:$E$18,2,FALSE)</f>
        <v>0</v>
      </c>
      <c r="U144" s="26">
        <f>_xlfn.IFNA(IF(LEFT('Rock Climbing Log'!U144)="C",_xlfn.IFNA(VLOOKUP('Rock Climbing Log'!U144,'RC Lookup'!$A$3:$B$9,2,FALSE),0.5),VLOOKUP('Rock Climbing Log'!U144,'RC Lookup'!$G$3:$H$5,2,FALSE)),0)*VLOOKUP(S$7,'RC Lookup'!$D$3:$E$18,2,FALSE)</f>
        <v>0</v>
      </c>
      <c r="V144" s="26">
        <f>_xlfn.IFNA(IF(LEFT('Rock Climbing Log'!V144)="C",_xlfn.IFNA(VLOOKUP('Rock Climbing Log'!V144,'RC Lookup'!$A$3:$B$9,2,FALSE),0.5),VLOOKUP('Rock Climbing Log'!V144,'RC Lookup'!$G$3:$H$5,2,FALSE)),0)*VLOOKUP(V$7,'RC Lookup'!$D$3:$E$18,2,FALSE)</f>
        <v>0</v>
      </c>
      <c r="W144" s="26">
        <f>_xlfn.IFNA(IF(LEFT('Rock Climbing Log'!W144)="C",_xlfn.IFNA(VLOOKUP('Rock Climbing Log'!W144,'RC Lookup'!$A$3:$B$9,2,FALSE),0.5),VLOOKUP('Rock Climbing Log'!W144,'RC Lookup'!$G$3:$H$5,2,FALSE)),0)*VLOOKUP(V$7,'RC Lookup'!$D$3:$E$18,2,FALSE)</f>
        <v>0</v>
      </c>
      <c r="X144" s="26">
        <f>_xlfn.IFNA(IF(LEFT('Rock Climbing Log'!X144)="C",_xlfn.IFNA(VLOOKUP('Rock Climbing Log'!X144,'RC Lookup'!$A$3:$B$9,2,FALSE),0.5),VLOOKUP('Rock Climbing Log'!X144,'RC Lookup'!$G$3:$H$5,2,FALSE)),0)*VLOOKUP(V$7,'RC Lookup'!$D$3:$E$18,2,FALSE)</f>
        <v>0</v>
      </c>
      <c r="Y144" s="26">
        <f>_xlfn.IFNA(IF(LEFT('Rock Climbing Log'!Y144)="C",_xlfn.IFNA(VLOOKUP('Rock Climbing Log'!Y144,'RC Lookup'!$A$3:$B$9,2,FALSE),0.5),VLOOKUP('Rock Climbing Log'!Y144,'RC Lookup'!$G$3:$H$5,2,FALSE)),0)*VLOOKUP(Y$7,'RC Lookup'!$D$3:$E$18,2,FALSE)</f>
        <v>0</v>
      </c>
      <c r="Z144" s="26">
        <f>_xlfn.IFNA(IF(LEFT('Rock Climbing Log'!Z144)="C",_xlfn.IFNA(VLOOKUP('Rock Climbing Log'!Z144,'RC Lookup'!$A$3:$B$9,2,FALSE),0.5),VLOOKUP('Rock Climbing Log'!Z144,'RC Lookup'!$G$3:$H$5,2,FALSE)),0)*VLOOKUP(Y$7,'RC Lookup'!$D$3:$E$18,2,FALSE)</f>
        <v>0</v>
      </c>
      <c r="AA144" s="26">
        <f>_xlfn.IFNA(IF(LEFT('Rock Climbing Log'!AA144)="C",_xlfn.IFNA(VLOOKUP('Rock Climbing Log'!AA144,'RC Lookup'!$A$3:$B$9,2,FALSE),0.5),VLOOKUP('Rock Climbing Log'!AA144,'RC Lookup'!$G$3:$H$5,2,FALSE)),0)*VLOOKUP(Y$7,'RC Lookup'!$D$3:$E$18,2,FALSE)</f>
        <v>0</v>
      </c>
      <c r="AB144" s="26">
        <f>_xlfn.IFNA(IF(LEFT('Rock Climbing Log'!AB144)="C",_xlfn.IFNA(VLOOKUP('Rock Climbing Log'!AB144,'RC Lookup'!$A$3:$B$9,2,FALSE),0.5),VLOOKUP('Rock Climbing Log'!AB144,'RC Lookup'!$G$3:$H$5,2,FALSE)),0)*VLOOKUP(AB$7,'RC Lookup'!$D$3:$E$18,2,FALSE)</f>
        <v>0</v>
      </c>
      <c r="AC144" s="26">
        <f>_xlfn.IFNA(IF(LEFT('Rock Climbing Log'!AC144)="C",_xlfn.IFNA(VLOOKUP('Rock Climbing Log'!AC144,'RC Lookup'!$A$3:$B$9,2,FALSE),0.5),VLOOKUP('Rock Climbing Log'!AC144,'RC Lookup'!$G$3:$H$5,2,FALSE)),0)*VLOOKUP(AB$7,'RC Lookup'!$D$3:$E$18,2,FALSE)</f>
        <v>0</v>
      </c>
      <c r="AD144" s="26">
        <f>_xlfn.IFNA(IF(LEFT('Rock Climbing Log'!AD144)="C",_xlfn.IFNA(VLOOKUP('Rock Climbing Log'!AD144,'RC Lookup'!$A$3:$B$9,2,FALSE),0.5),VLOOKUP('Rock Climbing Log'!AD144,'RC Lookup'!$G$3:$H$5,2,FALSE)),0)*VLOOKUP(AB$7,'RC Lookup'!$D$3:$E$18,2,FALSE)</f>
        <v>0</v>
      </c>
      <c r="AE144" s="26">
        <f>_xlfn.IFNA(IF(LEFT('Rock Climbing Log'!AE144)="C",_xlfn.IFNA(VLOOKUP('Rock Climbing Log'!AE144,'RC Lookup'!$A$3:$B$9,2,FALSE),0.5),VLOOKUP('Rock Climbing Log'!AE144,'RC Lookup'!$G$3:$H$5,2,FALSE)),0)*VLOOKUP(AE$7,'RC Lookup'!$D$3:$E$18,2,FALSE)</f>
        <v>0</v>
      </c>
      <c r="AF144" s="26">
        <f>_xlfn.IFNA(IF(LEFT('Rock Climbing Log'!AF144)="C",_xlfn.IFNA(VLOOKUP('Rock Climbing Log'!AF144,'RC Lookup'!$A$3:$B$9,2,FALSE),0.5),VLOOKUP('Rock Climbing Log'!AF144,'RC Lookup'!$G$3:$H$5,2,FALSE)),0)*VLOOKUP(AE$7,'RC Lookup'!$D$3:$E$18,2,FALSE)</f>
        <v>0</v>
      </c>
      <c r="AG144" s="26">
        <f>_xlfn.IFNA(IF(LEFT('Rock Climbing Log'!AG144)="C",_xlfn.IFNA(VLOOKUP('Rock Climbing Log'!AG144,'RC Lookup'!$A$3:$B$9,2,FALSE),0.5),VLOOKUP('Rock Climbing Log'!AG144,'RC Lookup'!$G$3:$H$5,2,FALSE)),0)*VLOOKUP(AE$7,'RC Lookup'!$D$3:$E$18,2,FALSE)</f>
        <v>0</v>
      </c>
      <c r="AH144" s="26">
        <f>_xlfn.IFNA(IF(LEFT('Rock Climbing Log'!AH144)="C",_xlfn.IFNA(VLOOKUP('Rock Climbing Log'!AH144,'RC Lookup'!$A$3:$B$9,2,FALSE),0.5),VLOOKUP('Rock Climbing Log'!AH144,'RC Lookup'!$G$3:$H$5,2,FALSE)),0)*VLOOKUP(AH$7,'RC Lookup'!$D$3:$E$18,2,FALSE)</f>
        <v>0</v>
      </c>
      <c r="AI144" s="26">
        <f>_xlfn.IFNA(IF(LEFT('Rock Climbing Log'!AI144)="C",_xlfn.IFNA(VLOOKUP('Rock Climbing Log'!AI144,'RC Lookup'!$A$3:$B$9,2,FALSE),0.5),VLOOKUP('Rock Climbing Log'!AI144,'RC Lookup'!$G$3:$H$5,2,FALSE)),0)*VLOOKUP(AH$7,'RC Lookup'!$D$3:$E$18,2,FALSE)</f>
        <v>0</v>
      </c>
      <c r="AJ144" s="26">
        <f>_xlfn.IFNA(IF(LEFT('Rock Climbing Log'!AJ144)="C",_xlfn.IFNA(VLOOKUP('Rock Climbing Log'!AJ144,'RC Lookup'!$A$3:$B$9,2,FALSE),0.5),VLOOKUP('Rock Climbing Log'!AJ144,'RC Lookup'!$G$3:$H$5,2,FALSE)),0)*VLOOKUP(AH$7,'RC Lookup'!$D$3:$E$18,2,FALSE)</f>
        <v>0</v>
      </c>
      <c r="AK144" s="26">
        <f>_xlfn.IFNA(IF(LEFT('Rock Climbing Log'!AK144)="C",_xlfn.IFNA(VLOOKUP('Rock Climbing Log'!AK144,'RC Lookup'!$A$3:$B$9,2,FALSE),0.5),VLOOKUP('Rock Climbing Log'!AK144,'RC Lookup'!$G$3:$H$5,2,FALSE)),0)*VLOOKUP(AK$7,'RC Lookup'!$D$3:$E$18,2,FALSE)</f>
        <v>0</v>
      </c>
      <c r="AL144" s="26">
        <f>_xlfn.IFNA(IF(LEFT('Rock Climbing Log'!AL144)="C",_xlfn.IFNA(VLOOKUP('Rock Climbing Log'!AL144,'RC Lookup'!$A$3:$B$9,2,FALSE),0.5),VLOOKUP('Rock Climbing Log'!AL144,'RC Lookup'!$G$3:$H$5,2,FALSE)),0)*VLOOKUP(AK$7,'RC Lookup'!$D$3:$E$18,2,FALSE)</f>
        <v>0</v>
      </c>
      <c r="AM144" s="26">
        <f>_xlfn.IFNA(IF(LEFT('Rock Climbing Log'!AM144)="C",_xlfn.IFNA(VLOOKUP('Rock Climbing Log'!AM144,'RC Lookup'!$A$3:$B$9,2,FALSE),0.5),VLOOKUP('Rock Climbing Log'!AM144,'RC Lookup'!$G$3:$H$5,2,FALSE)),0)*VLOOKUP(AK$7,'RC Lookup'!$D$3:$E$18,2,FALSE)</f>
        <v>0</v>
      </c>
      <c r="AN144" s="26">
        <f>_xlfn.IFNA(IF(LEFT('Rock Climbing Log'!AN144)="C",_xlfn.IFNA(VLOOKUP('Rock Climbing Log'!AN144,'RC Lookup'!$A$3:$B$9,2,FALSE),0.5),VLOOKUP('Rock Climbing Log'!AN144,'RC Lookup'!$G$3:$H$5,2,FALSE)),0)*VLOOKUP(AN$7,'RC Lookup'!$D$3:$E$18,2,FALSE)</f>
        <v>0</v>
      </c>
      <c r="AO144" s="26">
        <f>_xlfn.IFNA(IF(LEFT('Rock Climbing Log'!AO144)="C",_xlfn.IFNA(VLOOKUP('Rock Climbing Log'!AO144,'RC Lookup'!$A$3:$B$9,2,FALSE),0.5),VLOOKUP('Rock Climbing Log'!AO144,'RC Lookup'!$G$3:$H$5,2,FALSE)),0)*VLOOKUP(AN$7,'RC Lookup'!$D$3:$E$18,2,FALSE)</f>
        <v>0</v>
      </c>
      <c r="AP144" s="26">
        <f>_xlfn.IFNA(IF(LEFT('Rock Climbing Log'!AP144)="C",_xlfn.IFNA(VLOOKUP('Rock Climbing Log'!AP144,'RC Lookup'!$A$3:$B$9,2,FALSE),0.5),VLOOKUP('Rock Climbing Log'!AP144,'RC Lookup'!$G$3:$H$5,2,FALSE)),0)*VLOOKUP(AN$7,'RC Lookup'!$D$3:$E$18,2,FALSE)</f>
        <v>0</v>
      </c>
      <c r="AQ144" s="26">
        <f>_xlfn.IFNA(IF(LEFT('Rock Climbing Log'!AQ144)="C",_xlfn.IFNA(VLOOKUP('Rock Climbing Log'!AQ144,'RC Lookup'!$A$3:$B$9,2,FALSE),0.5),VLOOKUP('Rock Climbing Log'!AQ144,'RC Lookup'!$G$3:$H$5,2,FALSE)),0)*VLOOKUP(AQ$7,'RC Lookup'!$D$3:$E$18,2,FALSE)</f>
        <v>0</v>
      </c>
      <c r="AR144" s="26">
        <f>_xlfn.IFNA(IF(LEFT('Rock Climbing Log'!AR144)="C",_xlfn.IFNA(VLOOKUP('Rock Climbing Log'!AR144,'RC Lookup'!$A$3:$B$9,2,FALSE),0.5),VLOOKUP('Rock Climbing Log'!AR144,'RC Lookup'!$G$3:$H$5,2,FALSE)),0)*VLOOKUP(AQ$7,'RC Lookup'!$D$3:$E$18,2,FALSE)</f>
        <v>0</v>
      </c>
      <c r="AS144" s="26">
        <f>_xlfn.IFNA(IF(LEFT('Rock Climbing Log'!AS144)="C",_xlfn.IFNA(VLOOKUP('Rock Climbing Log'!AS144,'RC Lookup'!$A$3:$B$9,2,FALSE),0.5),VLOOKUP('Rock Climbing Log'!AS144,'RC Lookup'!$G$3:$H$5,2,FALSE)),0)*VLOOKUP(AQ$7,'RC Lookup'!$D$3:$E$18,2,FALSE)</f>
        <v>0</v>
      </c>
      <c r="AT144" s="26">
        <f>_xlfn.IFNA(IF(LEFT('Rock Climbing Log'!AT144)="C",_xlfn.IFNA(VLOOKUP('Rock Climbing Log'!AT144,'RC Lookup'!$A$3:$B$9,2,FALSE),0.5),VLOOKUP('Rock Climbing Log'!AT144,'RC Lookup'!$G$3:$H$5,2,FALSE)),0)*VLOOKUP(AT$7,'RC Lookup'!$D$3:$E$18,2,FALSE)</f>
        <v>0</v>
      </c>
      <c r="AU144" s="26">
        <f>_xlfn.IFNA(IF(LEFT('Rock Climbing Log'!AU144)="C",_xlfn.IFNA(VLOOKUP('Rock Climbing Log'!AU144,'RC Lookup'!$A$3:$B$9,2,FALSE),0.5),VLOOKUP('Rock Climbing Log'!AU144,'RC Lookup'!$G$3:$H$5,2,FALSE)),0)*VLOOKUP(AT$7,'RC Lookup'!$D$3:$E$18,2,FALSE)</f>
        <v>0</v>
      </c>
      <c r="AV144" s="26">
        <f>_xlfn.IFNA(IF(LEFT('Rock Climbing Log'!AV144)="C",_xlfn.IFNA(VLOOKUP('Rock Climbing Log'!AV144,'RC Lookup'!$A$3:$B$9,2,FALSE),0.5),VLOOKUP('Rock Climbing Log'!AV144,'RC Lookup'!$G$3:$H$5,2,FALSE)),0)*VLOOKUP(AT$7,'RC Lookup'!$D$3:$E$18,2,FALSE)</f>
        <v>0</v>
      </c>
      <c r="AW144" s="30">
        <f t="shared" ca="1" si="5"/>
        <v>0</v>
      </c>
      <c r="AX144" s="30">
        <f ca="1">_xlfn.IFNA(VLOOKUP(SUMPRODUCT(LARGE(($C$8:$C144=Table1[[#This Row],[Climber]])*$A$8:$A144,1)),$A$8:$AW144,MATCH($AW$7,$A$7:$AW$7,FALSE),FALSE),0)/LEFT($AX$7,FIND(" ",$AX$7))+_xlfn.IFNA(VLOOKUP(SUMPRODUCT(LARGE(($C$8:$C144=Table1[[#This Row],[Climber]])*$A$8:$A144,MIN(2,COUNTIFS($C$8:$C144,$C144)))),$A$8:$AW144,MATCH($AW$7,$A$7:$AW$7,FALSE),FALSE),0)/LEFT($AX$7,FIND(" ",$AX$7))+_xlfn.IFNA(VLOOKUP(SUMPRODUCT(LARGE(($C$8:$C144=Table1[[#This Row],[Climber]])*$A$8:$A144,MIN(3,COUNTIFS($C$8:$C144,$C144)))),$A$8:$AW144,MATCH($AW$7,$A$7:$AW$7,FALSE),FALSE),0)/LEFT($AX$7,FIND(" ",$AX$7))</f>
        <v>0</v>
      </c>
      <c r="AY144" s="30">
        <f ca="1">_xlfn.IFNA(VLOOKUP(SUMPRODUCT(LARGE(($C$8:$C144=Table1[[#This Row],[Climber]])*$A$8:$A144,1)),$A$8:$AW144,MATCH($AW$7,$A$7:$AW$7,FALSE),FALSE),0)/LEFT($AY$7,FIND(" ",$AY$7))+_xlfn.IFNA(VLOOKUP(SUMPRODUCT(LARGE(($C$8:$C144=Table1[[#This Row],[Climber]])*$A$8:$A144,MIN(2,COUNTIFS($C$8:$C144,$C144)))),$A$8:$AW144,MATCH($AW$7,$A$7:$AW$7,FALSE),FALSE),0)/LEFT($AY$7,FIND(" ",$AY$7))+_xlfn.IFNA(VLOOKUP(SUMPRODUCT(LARGE(($C$8:$C144=Table1[[#This Row],[Climber]])*$A$8:$A144,MIN(3,COUNTIFS($C$8:$C144,$C144)))),$A$8:$AW144,MATCH($AW$7,$A$7:$AW$7,FALSE),FALSE),0)/LEFT($AY$7,FIND(" ",$AY$7))+_xlfn.IFNA(VLOOKUP(SUMPRODUCT(LARGE(($C$8:$C144=Table1[[#This Row],[Climber]])*$A$8:$A144,MIN(4,COUNTIFS($C$8:$C144,$C144)))),$A$8:$AW144,MATCH($AW$7,$A$7:$AW$7,FALSE),FALSE),0)/LEFT($AY$7,FIND(" ",$AY$7))+_xlfn.IFNA(VLOOKUP(SUMPRODUCT(LARGE(($C$8:$C144=Table1[[#This Row],[Climber]])*$A$8:$A144,MIN(5,COUNTIFS($C$8:$C144,$C144)))),$A$8:$AW144,MATCH($AW$7,$A$7:$AW$7,FALSE),FALSE),0)/LEFT($AY$7,FIND(" ",$AY$7))</f>
        <v>0</v>
      </c>
      <c r="AZ144" s="30">
        <f ca="1">(_xlfn.IFNA(VLOOKUP(SUMPRODUCT(LARGE(($C$8:$C144=Table1[[#This Row],[Climber]])*$A$8:$A144,4)),$A$8:$AW144,MATCH($AW$7,$A$7:$AW$7,FALSE),FALSE),0)+_xlfn.IFNA(VLOOKUP(SUMPRODUCT(LARGE(($C$8:$C144=Table1[[#This Row],[Climber]])*$A$8:$A144,5)),$A$8:$AW144,MATCH($AW$7,$A$7:$AW$7,FALSE),FALSE),0)+_xlfn.IFNA(VLOOKUP(SUMPRODUCT(LARGE(($C$8:$C144=Table1[[#This Row],[Climber]])*$A$8:$A144,6)),$A$8:$AW144,MATCH($AW$7,$A$7:$AW$7,FALSE),FALSE),0))/3</f>
        <v>0</v>
      </c>
      <c r="BA144" s="46">
        <f ca="1">_xlfn.MAXIFS(INDIRECT("$AW"&amp;IF(SUMPRODUCT(LARGE(($C$8:$C144=$C144)*$A$8:$A144,LEFT($BA$7,FIND(" ",$BA$7)-1)))=0,8,SUMPRODUCT(LARGE(($C$8:$C144=$C144)*$A$8:$A144,LEFT($BA$7,FIND(" ",$BA$7)-1)))+7)&amp;":$AW"&amp;ROW()),INDIRECT("$C"&amp;IF(SUMPRODUCT(LARGE(($C$8:$C144=$C144)*$A$8:$A144,LEFT($BA$7,FIND(" ",$BA$7)-1)))=0,8,SUMPRODUCT(LARGE(($C$8:$C144=$C144)*$A$8:$A144,LEFT($BA$7,FIND(" ",$BA$7)-1)))+7)&amp;":$C"&amp;ROW()),$C144)</f>
        <v>0</v>
      </c>
      <c r="BB144" s="46" t="str">
        <f ca="1">VLOOKUP(MAX(BG144,$AX144),'RC Lookup'!$G$14:$J$20,2,TRUE)</f>
        <v>T1</v>
      </c>
      <c r="BC144" s="46">
        <f ca="1">_xlfn.IFNA(VLOOKUP(VLOOKUP($C144,'RC Lookup'!$O$3:$P$50,2,FALSE),'RC Lookup'!$H$14:$J$23,2,FALSE),0)*AW144</f>
        <v>0</v>
      </c>
      <c r="BD144" s="6">
        <f ca="1">_xlfn.IFNA(VLOOKUP(SUMPRODUCT(LARGE(($C$8:$C144=Table1[[#This Row],[Climber]])*$A$8:$A144,1)),$A$8:$BC144,55,FALSE),0)/LEFT($AX$7,FIND(" ",$AX$7))+_xlfn.IFNA(VLOOKUP(SUMPRODUCT(LARGE(($C$8:$C144=Table1[[#This Row],[Climber]])*$A$8:$A144,MIN(2,COUNTIFS($C$8:$C144,$C144)))),$A$8:$BC144,55,FALSE),0)/LEFT($AX$7,FIND(" ",$AX$7))+_xlfn.IFNA(VLOOKUP(SUMPRODUCT(LARGE(($C$8:$C144=Table1[[#This Row],[Climber]])*$A$8:$A144,MIN(3,COUNTIFS($C$8:$C144,$C144)))),$A$8:$BC144,55,FALSE),0)/LEFT($AX$7,FIND(" ",$AX$7))</f>
        <v>0</v>
      </c>
      <c r="BE144" s="6">
        <f ca="1">(_xlfn.IFNA(VLOOKUP(SUMPRODUCT(LARGE(($C$8:$C144=Table1[[#This Row],[Climber]])*$A$8:$A144,4)),$A$8:$BD144,55,FALSE),0)+_xlfn.IFNA(VLOOKUP(SUMPRODUCT(LARGE(($C$8:$C144=Table1[[#This Row],[Climber]])*$A$8:$A144,5)),$A$8:$BD144,55,FALSE),0)+_xlfn.IFNA(VLOOKUP(SUMPRODUCT(LARGE(($C$8:$C144=Table1[[#This Row],[Climber]])*$A$8:$A144,6)),$A$8:$BD144,55,FALSE),0))/3</f>
        <v>0</v>
      </c>
      <c r="BF144" s="46">
        <f ca="1">_xlfn.MAXIFS(INDIRECT("$BC"&amp;IF(SUMPRODUCT(LARGE(($C$8:$C144=$C144)*$A$8:$A144,LEFT($BA$7,FIND(" ",$BA$7)-1)))=0,8,SUMPRODUCT(LARGE(($C$8:$C144=$C144)*$A$8:$A144,LEFT($BA$7,FIND(" ",$BA$7)-1)))+7)&amp;":$BC"&amp;ROW()),INDIRECT("$C"&amp;IF(SUMPRODUCT(LARGE(($C$8:$C144=$C144)*$A$8:$A144,LEFT($BA$7,FIND(" ",$BA$7)-1)))=0,8,SUMPRODUCT(LARGE(($C$8:$C144=$C144)*$A$8:$A144,LEFT($BA$7,FIND(" ",$BA$7)-1)))+7)&amp;":$C"&amp;ROW()),$C144)</f>
        <v>0</v>
      </c>
      <c r="BG144" s="46">
        <f t="array" aca="1" ref="BG144" ca="1">IFERROR(SUMPRODUCT(LARGE(($C$8:$C144=Table1[[#This Row],[Climber]])*$AW$8:$AW144,ROW(INDIRECT("1:5")))),AW144)/MIN(COUNTIFS($C$8:$C144,C144),5)</f>
        <v>0</v>
      </c>
    </row>
    <row r="145" spans="1:59" x14ac:dyDescent="0.3">
      <c r="A145" s="125">
        <f t="shared" si="1"/>
        <v>138</v>
      </c>
      <c r="B145" s="25">
        <f>'Rock Climbing Log'!B145</f>
        <v>0</v>
      </c>
      <c r="C145" s="126">
        <f>'Rock Climbing Log'!C145</f>
        <v>0</v>
      </c>
      <c r="D145" s="26">
        <f>_xlfn.IFNA(IF(LEFT('Rock Climbing Log'!D145)="C",_xlfn.IFNA(VLOOKUP('Rock Climbing Log'!D145,'RC Lookup'!$A$3:$B$9,2,FALSE),0.5),VLOOKUP('Rock Climbing Log'!D145,'RC Lookup'!$G$3:$H$5,2,FALSE)),0)*VLOOKUP(D$7,'RC Lookup'!$D$3:$E$18,2,FALSE)</f>
        <v>0</v>
      </c>
      <c r="E145" s="26">
        <f>_xlfn.IFNA(IF(LEFT('Rock Climbing Log'!E145)="C",_xlfn.IFNA(VLOOKUP('Rock Climbing Log'!E145,'RC Lookup'!$A$3:$B$9,2,FALSE),0.5),VLOOKUP('Rock Climbing Log'!E145,'RC Lookup'!$G$3:$H$5,2,FALSE)),0)*VLOOKUP(D$7,'RC Lookup'!$D$3:$E$18,2,FALSE)</f>
        <v>0</v>
      </c>
      <c r="F145" s="26">
        <f>_xlfn.IFNA(IF(LEFT('Rock Climbing Log'!F145)="C",_xlfn.IFNA(VLOOKUP('Rock Climbing Log'!F145,'RC Lookup'!$A$3:$B$9,2,FALSE),0.5),VLOOKUP('Rock Climbing Log'!F145,'RC Lookup'!$G$3:$H$5,2,FALSE)),0)*VLOOKUP(D$7,'RC Lookup'!$D$3:$E$18,2,FALSE)</f>
        <v>0</v>
      </c>
      <c r="G145" s="26">
        <f>_xlfn.IFNA(IF(LEFT('Rock Climbing Log'!G145)="C",_xlfn.IFNA(VLOOKUP('Rock Climbing Log'!G145,'RC Lookup'!$A$3:$B$9,2,FALSE),0.5),VLOOKUP('Rock Climbing Log'!G145,'RC Lookup'!$G$3:$H$5,2,FALSE)),0)*VLOOKUP(G$7,'RC Lookup'!$D$3:$E$18,2,FALSE)</f>
        <v>0</v>
      </c>
      <c r="H145" s="26">
        <f>_xlfn.IFNA(IF(LEFT('Rock Climbing Log'!H145)="C",_xlfn.IFNA(VLOOKUP('Rock Climbing Log'!H145,'RC Lookup'!$A$3:$B$9,2,FALSE),0.5),VLOOKUP('Rock Climbing Log'!H145,'RC Lookup'!$G$3:$H$5,2,FALSE)),0)*VLOOKUP(G$7,'RC Lookup'!$D$3:$E$18,2,FALSE)</f>
        <v>0</v>
      </c>
      <c r="I145" s="26">
        <f>_xlfn.IFNA(IF(LEFT('Rock Climbing Log'!I145)="C",_xlfn.IFNA(VLOOKUP('Rock Climbing Log'!I145,'RC Lookup'!$A$3:$B$9,2,FALSE),0.5),VLOOKUP('Rock Climbing Log'!I145,'RC Lookup'!$G$3:$H$5,2,FALSE)),0)*VLOOKUP(G$7,'RC Lookup'!$D$3:$E$18,2,FALSE)</f>
        <v>0</v>
      </c>
      <c r="J145" s="26">
        <f>_xlfn.IFNA(IF(LEFT('Rock Climbing Log'!J145)="C",_xlfn.IFNA(VLOOKUP('Rock Climbing Log'!J145,'RC Lookup'!$A$3:$B$9,2,FALSE),0.5),VLOOKUP('Rock Climbing Log'!J145,'RC Lookup'!$G$3:$H$5,2,FALSE)),0)*VLOOKUP(J$7,'RC Lookup'!$D$3:$E$18,2,FALSE)</f>
        <v>0</v>
      </c>
      <c r="K145" s="26">
        <f>_xlfn.IFNA(IF(LEFT('Rock Climbing Log'!K145)="C",_xlfn.IFNA(VLOOKUP('Rock Climbing Log'!K145,'RC Lookup'!$A$3:$B$9,2,FALSE),0.5),VLOOKUP('Rock Climbing Log'!K145,'RC Lookup'!$G$3:$H$5,2,FALSE)),0)*VLOOKUP(J$7,'RC Lookup'!$D$3:$E$18,2,FALSE)</f>
        <v>0</v>
      </c>
      <c r="L145" s="26">
        <f>_xlfn.IFNA(IF(LEFT('Rock Climbing Log'!L145)="C",_xlfn.IFNA(VLOOKUP('Rock Climbing Log'!L145,'RC Lookup'!$A$3:$B$9,2,FALSE),0.5),VLOOKUP('Rock Climbing Log'!L145,'RC Lookup'!$G$3:$H$5,2,FALSE)),0)*VLOOKUP(J$7,'RC Lookup'!$D$3:$E$18,2,FALSE)</f>
        <v>0</v>
      </c>
      <c r="M145" s="26">
        <f>_xlfn.IFNA(IF(LEFT('Rock Climbing Log'!M145)="C",_xlfn.IFNA(VLOOKUP('Rock Climbing Log'!M145,'RC Lookup'!$A$3:$B$9,2,FALSE),0.5),VLOOKUP('Rock Climbing Log'!M145,'RC Lookup'!$G$3:$H$5,2,FALSE)),0)*VLOOKUP(M$7,'RC Lookup'!$D$3:$E$18,2,FALSE)</f>
        <v>0</v>
      </c>
      <c r="N145" s="26">
        <f>_xlfn.IFNA(IF(LEFT('Rock Climbing Log'!N145)="C",_xlfn.IFNA(VLOOKUP('Rock Climbing Log'!N145,'RC Lookup'!$A$3:$B$9,2,FALSE),0.5),VLOOKUP('Rock Climbing Log'!N145,'RC Lookup'!$G$3:$H$5,2,FALSE)),0)*VLOOKUP(M$7,'RC Lookup'!$D$3:$E$18,2,FALSE)</f>
        <v>0</v>
      </c>
      <c r="O145" s="26">
        <f>_xlfn.IFNA(IF(LEFT('Rock Climbing Log'!O145)="C",_xlfn.IFNA(VLOOKUP('Rock Climbing Log'!O145,'RC Lookup'!$A$3:$B$9,2,FALSE),0.5),VLOOKUP('Rock Climbing Log'!O145,'RC Lookup'!$G$3:$H$5,2,FALSE)),0)*VLOOKUP(M$7,'RC Lookup'!$D$3:$E$18,2,FALSE)</f>
        <v>0</v>
      </c>
      <c r="P145" s="26">
        <f>_xlfn.IFNA(IF(LEFT('Rock Climbing Log'!P145)="C",_xlfn.IFNA(VLOOKUP('Rock Climbing Log'!P145,'RC Lookup'!$A$3:$B$9,2,FALSE),0.5),VLOOKUP('Rock Climbing Log'!P145,'RC Lookup'!$G$3:$H$5,2,FALSE)),0)*VLOOKUP(P$7,'RC Lookup'!$D$3:$E$18,2,FALSE)</f>
        <v>0</v>
      </c>
      <c r="Q145" s="26">
        <f>_xlfn.IFNA(IF(LEFT('Rock Climbing Log'!Q145)="C",_xlfn.IFNA(VLOOKUP('Rock Climbing Log'!Q145,'RC Lookup'!$A$3:$B$9,2,FALSE),0.5),VLOOKUP('Rock Climbing Log'!Q145,'RC Lookup'!$G$3:$H$5,2,FALSE)),0)*VLOOKUP(P$7,'RC Lookup'!$D$3:$E$18,2,FALSE)</f>
        <v>0</v>
      </c>
      <c r="R145" s="26">
        <f>_xlfn.IFNA(IF(LEFT('Rock Climbing Log'!R145)="C",_xlfn.IFNA(VLOOKUP('Rock Climbing Log'!R145,'RC Lookup'!$A$3:$B$9,2,FALSE),0.5),VLOOKUP('Rock Climbing Log'!R145,'RC Lookup'!$G$3:$H$5,2,FALSE)),0)*VLOOKUP(P$7,'RC Lookup'!$D$3:$E$18,2,FALSE)</f>
        <v>0</v>
      </c>
      <c r="S145" s="26">
        <f>_xlfn.IFNA(IF(LEFT('Rock Climbing Log'!S145)="C",_xlfn.IFNA(VLOOKUP('Rock Climbing Log'!S145,'RC Lookup'!$A$3:$B$9,2,FALSE),0.5),VLOOKUP('Rock Climbing Log'!S145,'RC Lookup'!$G$3:$H$5,2,FALSE)),0)*VLOOKUP(S$7,'RC Lookup'!$D$3:$E$18,2,FALSE)</f>
        <v>0</v>
      </c>
      <c r="T145" s="26">
        <f>_xlfn.IFNA(IF(LEFT('Rock Climbing Log'!T145)="C",_xlfn.IFNA(VLOOKUP('Rock Climbing Log'!T145,'RC Lookup'!$A$3:$B$9,2,FALSE),0.5),VLOOKUP('Rock Climbing Log'!T145,'RC Lookup'!$G$3:$H$5,2,FALSE)),0)*VLOOKUP(S$7,'RC Lookup'!$D$3:$E$18,2,FALSE)</f>
        <v>0</v>
      </c>
      <c r="U145" s="26">
        <f>_xlfn.IFNA(IF(LEFT('Rock Climbing Log'!U145)="C",_xlfn.IFNA(VLOOKUP('Rock Climbing Log'!U145,'RC Lookup'!$A$3:$B$9,2,FALSE),0.5),VLOOKUP('Rock Climbing Log'!U145,'RC Lookup'!$G$3:$H$5,2,FALSE)),0)*VLOOKUP(S$7,'RC Lookup'!$D$3:$E$18,2,FALSE)</f>
        <v>0</v>
      </c>
      <c r="V145" s="26">
        <f>_xlfn.IFNA(IF(LEFT('Rock Climbing Log'!V145)="C",_xlfn.IFNA(VLOOKUP('Rock Climbing Log'!V145,'RC Lookup'!$A$3:$B$9,2,FALSE),0.5),VLOOKUP('Rock Climbing Log'!V145,'RC Lookup'!$G$3:$H$5,2,FALSE)),0)*VLOOKUP(V$7,'RC Lookup'!$D$3:$E$18,2,FALSE)</f>
        <v>0</v>
      </c>
      <c r="W145" s="26">
        <f>_xlfn.IFNA(IF(LEFT('Rock Climbing Log'!W145)="C",_xlfn.IFNA(VLOOKUP('Rock Climbing Log'!W145,'RC Lookup'!$A$3:$B$9,2,FALSE),0.5),VLOOKUP('Rock Climbing Log'!W145,'RC Lookup'!$G$3:$H$5,2,FALSE)),0)*VLOOKUP(V$7,'RC Lookup'!$D$3:$E$18,2,FALSE)</f>
        <v>0</v>
      </c>
      <c r="X145" s="26">
        <f>_xlfn.IFNA(IF(LEFT('Rock Climbing Log'!X145)="C",_xlfn.IFNA(VLOOKUP('Rock Climbing Log'!X145,'RC Lookup'!$A$3:$B$9,2,FALSE),0.5),VLOOKUP('Rock Climbing Log'!X145,'RC Lookup'!$G$3:$H$5,2,FALSE)),0)*VLOOKUP(V$7,'RC Lookup'!$D$3:$E$18,2,FALSE)</f>
        <v>0</v>
      </c>
      <c r="Y145" s="26">
        <f>_xlfn.IFNA(IF(LEFT('Rock Climbing Log'!Y145)="C",_xlfn.IFNA(VLOOKUP('Rock Climbing Log'!Y145,'RC Lookup'!$A$3:$B$9,2,FALSE),0.5),VLOOKUP('Rock Climbing Log'!Y145,'RC Lookup'!$G$3:$H$5,2,FALSE)),0)*VLOOKUP(Y$7,'RC Lookup'!$D$3:$E$18,2,FALSE)</f>
        <v>0</v>
      </c>
      <c r="Z145" s="26">
        <f>_xlfn.IFNA(IF(LEFT('Rock Climbing Log'!Z145)="C",_xlfn.IFNA(VLOOKUP('Rock Climbing Log'!Z145,'RC Lookup'!$A$3:$B$9,2,FALSE),0.5),VLOOKUP('Rock Climbing Log'!Z145,'RC Lookup'!$G$3:$H$5,2,FALSE)),0)*VLOOKUP(Y$7,'RC Lookup'!$D$3:$E$18,2,FALSE)</f>
        <v>0</v>
      </c>
      <c r="AA145" s="26">
        <f>_xlfn.IFNA(IF(LEFT('Rock Climbing Log'!AA145)="C",_xlfn.IFNA(VLOOKUP('Rock Climbing Log'!AA145,'RC Lookup'!$A$3:$B$9,2,FALSE),0.5),VLOOKUP('Rock Climbing Log'!AA145,'RC Lookup'!$G$3:$H$5,2,FALSE)),0)*VLOOKUP(Y$7,'RC Lookup'!$D$3:$E$18,2,FALSE)</f>
        <v>0</v>
      </c>
      <c r="AB145" s="26">
        <f>_xlfn.IFNA(IF(LEFT('Rock Climbing Log'!AB145)="C",_xlfn.IFNA(VLOOKUP('Rock Climbing Log'!AB145,'RC Lookup'!$A$3:$B$9,2,FALSE),0.5),VLOOKUP('Rock Climbing Log'!AB145,'RC Lookup'!$G$3:$H$5,2,FALSE)),0)*VLOOKUP(AB$7,'RC Lookup'!$D$3:$E$18,2,FALSE)</f>
        <v>0</v>
      </c>
      <c r="AC145" s="26">
        <f>_xlfn.IFNA(IF(LEFT('Rock Climbing Log'!AC145)="C",_xlfn.IFNA(VLOOKUP('Rock Climbing Log'!AC145,'RC Lookup'!$A$3:$B$9,2,FALSE),0.5),VLOOKUP('Rock Climbing Log'!AC145,'RC Lookup'!$G$3:$H$5,2,FALSE)),0)*VLOOKUP(AB$7,'RC Lookup'!$D$3:$E$18,2,FALSE)</f>
        <v>0</v>
      </c>
      <c r="AD145" s="26">
        <f>_xlfn.IFNA(IF(LEFT('Rock Climbing Log'!AD145)="C",_xlfn.IFNA(VLOOKUP('Rock Climbing Log'!AD145,'RC Lookup'!$A$3:$B$9,2,FALSE),0.5),VLOOKUP('Rock Climbing Log'!AD145,'RC Lookup'!$G$3:$H$5,2,FALSE)),0)*VLOOKUP(AB$7,'RC Lookup'!$D$3:$E$18,2,FALSE)</f>
        <v>0</v>
      </c>
      <c r="AE145" s="26">
        <f>_xlfn.IFNA(IF(LEFT('Rock Climbing Log'!AE145)="C",_xlfn.IFNA(VLOOKUP('Rock Climbing Log'!AE145,'RC Lookup'!$A$3:$B$9,2,FALSE),0.5),VLOOKUP('Rock Climbing Log'!AE145,'RC Lookup'!$G$3:$H$5,2,FALSE)),0)*VLOOKUP(AE$7,'RC Lookup'!$D$3:$E$18,2,FALSE)</f>
        <v>0</v>
      </c>
      <c r="AF145" s="26">
        <f>_xlfn.IFNA(IF(LEFT('Rock Climbing Log'!AF145)="C",_xlfn.IFNA(VLOOKUP('Rock Climbing Log'!AF145,'RC Lookup'!$A$3:$B$9,2,FALSE),0.5),VLOOKUP('Rock Climbing Log'!AF145,'RC Lookup'!$G$3:$H$5,2,FALSE)),0)*VLOOKUP(AE$7,'RC Lookup'!$D$3:$E$18,2,FALSE)</f>
        <v>0</v>
      </c>
      <c r="AG145" s="26">
        <f>_xlfn.IFNA(IF(LEFT('Rock Climbing Log'!AG145)="C",_xlfn.IFNA(VLOOKUP('Rock Climbing Log'!AG145,'RC Lookup'!$A$3:$B$9,2,FALSE),0.5),VLOOKUP('Rock Climbing Log'!AG145,'RC Lookup'!$G$3:$H$5,2,FALSE)),0)*VLOOKUP(AE$7,'RC Lookup'!$D$3:$E$18,2,FALSE)</f>
        <v>0</v>
      </c>
      <c r="AH145" s="26">
        <f>_xlfn.IFNA(IF(LEFT('Rock Climbing Log'!AH145)="C",_xlfn.IFNA(VLOOKUP('Rock Climbing Log'!AH145,'RC Lookup'!$A$3:$B$9,2,FALSE),0.5),VLOOKUP('Rock Climbing Log'!AH145,'RC Lookup'!$G$3:$H$5,2,FALSE)),0)*VLOOKUP(AH$7,'RC Lookup'!$D$3:$E$18,2,FALSE)</f>
        <v>0</v>
      </c>
      <c r="AI145" s="26">
        <f>_xlfn.IFNA(IF(LEFT('Rock Climbing Log'!AI145)="C",_xlfn.IFNA(VLOOKUP('Rock Climbing Log'!AI145,'RC Lookup'!$A$3:$B$9,2,FALSE),0.5),VLOOKUP('Rock Climbing Log'!AI145,'RC Lookup'!$G$3:$H$5,2,FALSE)),0)*VLOOKUP(AH$7,'RC Lookup'!$D$3:$E$18,2,FALSE)</f>
        <v>0</v>
      </c>
      <c r="AJ145" s="26">
        <f>_xlfn.IFNA(IF(LEFT('Rock Climbing Log'!AJ145)="C",_xlfn.IFNA(VLOOKUP('Rock Climbing Log'!AJ145,'RC Lookup'!$A$3:$B$9,2,FALSE),0.5),VLOOKUP('Rock Climbing Log'!AJ145,'RC Lookup'!$G$3:$H$5,2,FALSE)),0)*VLOOKUP(AH$7,'RC Lookup'!$D$3:$E$18,2,FALSE)</f>
        <v>0</v>
      </c>
      <c r="AK145" s="26">
        <f>_xlfn.IFNA(IF(LEFT('Rock Climbing Log'!AK145)="C",_xlfn.IFNA(VLOOKUP('Rock Climbing Log'!AK145,'RC Lookup'!$A$3:$B$9,2,FALSE),0.5),VLOOKUP('Rock Climbing Log'!AK145,'RC Lookup'!$G$3:$H$5,2,FALSE)),0)*VLOOKUP(AK$7,'RC Lookup'!$D$3:$E$18,2,FALSE)</f>
        <v>0</v>
      </c>
      <c r="AL145" s="26">
        <f>_xlfn.IFNA(IF(LEFT('Rock Climbing Log'!AL145)="C",_xlfn.IFNA(VLOOKUP('Rock Climbing Log'!AL145,'RC Lookup'!$A$3:$B$9,2,FALSE),0.5),VLOOKUP('Rock Climbing Log'!AL145,'RC Lookup'!$G$3:$H$5,2,FALSE)),0)*VLOOKUP(AK$7,'RC Lookup'!$D$3:$E$18,2,FALSE)</f>
        <v>0</v>
      </c>
      <c r="AM145" s="26">
        <f>_xlfn.IFNA(IF(LEFT('Rock Climbing Log'!AM145)="C",_xlfn.IFNA(VLOOKUP('Rock Climbing Log'!AM145,'RC Lookup'!$A$3:$B$9,2,FALSE),0.5),VLOOKUP('Rock Climbing Log'!AM145,'RC Lookup'!$G$3:$H$5,2,FALSE)),0)*VLOOKUP(AK$7,'RC Lookup'!$D$3:$E$18,2,FALSE)</f>
        <v>0</v>
      </c>
      <c r="AN145" s="26">
        <f>_xlfn.IFNA(IF(LEFT('Rock Climbing Log'!AN145)="C",_xlfn.IFNA(VLOOKUP('Rock Climbing Log'!AN145,'RC Lookup'!$A$3:$B$9,2,FALSE),0.5),VLOOKUP('Rock Climbing Log'!AN145,'RC Lookup'!$G$3:$H$5,2,FALSE)),0)*VLOOKUP(AN$7,'RC Lookup'!$D$3:$E$18,2,FALSE)</f>
        <v>0</v>
      </c>
      <c r="AO145" s="26">
        <f>_xlfn.IFNA(IF(LEFT('Rock Climbing Log'!AO145)="C",_xlfn.IFNA(VLOOKUP('Rock Climbing Log'!AO145,'RC Lookup'!$A$3:$B$9,2,FALSE),0.5),VLOOKUP('Rock Climbing Log'!AO145,'RC Lookup'!$G$3:$H$5,2,FALSE)),0)*VLOOKUP(AN$7,'RC Lookup'!$D$3:$E$18,2,FALSE)</f>
        <v>0</v>
      </c>
      <c r="AP145" s="26">
        <f>_xlfn.IFNA(IF(LEFT('Rock Climbing Log'!AP145)="C",_xlfn.IFNA(VLOOKUP('Rock Climbing Log'!AP145,'RC Lookup'!$A$3:$B$9,2,FALSE),0.5),VLOOKUP('Rock Climbing Log'!AP145,'RC Lookup'!$G$3:$H$5,2,FALSE)),0)*VLOOKUP(AN$7,'RC Lookup'!$D$3:$E$18,2,FALSE)</f>
        <v>0</v>
      </c>
      <c r="AQ145" s="26">
        <f>_xlfn.IFNA(IF(LEFT('Rock Climbing Log'!AQ145)="C",_xlfn.IFNA(VLOOKUP('Rock Climbing Log'!AQ145,'RC Lookup'!$A$3:$B$9,2,FALSE),0.5),VLOOKUP('Rock Climbing Log'!AQ145,'RC Lookup'!$G$3:$H$5,2,FALSE)),0)*VLOOKUP(AQ$7,'RC Lookup'!$D$3:$E$18,2,FALSE)</f>
        <v>0</v>
      </c>
      <c r="AR145" s="26">
        <f>_xlfn.IFNA(IF(LEFT('Rock Climbing Log'!AR145)="C",_xlfn.IFNA(VLOOKUP('Rock Climbing Log'!AR145,'RC Lookup'!$A$3:$B$9,2,FALSE),0.5),VLOOKUP('Rock Climbing Log'!AR145,'RC Lookup'!$G$3:$H$5,2,FALSE)),0)*VLOOKUP(AQ$7,'RC Lookup'!$D$3:$E$18,2,FALSE)</f>
        <v>0</v>
      </c>
      <c r="AS145" s="26">
        <f>_xlfn.IFNA(IF(LEFT('Rock Climbing Log'!AS145)="C",_xlfn.IFNA(VLOOKUP('Rock Climbing Log'!AS145,'RC Lookup'!$A$3:$B$9,2,FALSE),0.5),VLOOKUP('Rock Climbing Log'!AS145,'RC Lookup'!$G$3:$H$5,2,FALSE)),0)*VLOOKUP(AQ$7,'RC Lookup'!$D$3:$E$18,2,FALSE)</f>
        <v>0</v>
      </c>
      <c r="AT145" s="26">
        <f>_xlfn.IFNA(IF(LEFT('Rock Climbing Log'!AT145)="C",_xlfn.IFNA(VLOOKUP('Rock Climbing Log'!AT145,'RC Lookup'!$A$3:$B$9,2,FALSE),0.5),VLOOKUP('Rock Climbing Log'!AT145,'RC Lookup'!$G$3:$H$5,2,FALSE)),0)*VLOOKUP(AT$7,'RC Lookup'!$D$3:$E$18,2,FALSE)</f>
        <v>0</v>
      </c>
      <c r="AU145" s="26">
        <f>_xlfn.IFNA(IF(LEFT('Rock Climbing Log'!AU145)="C",_xlfn.IFNA(VLOOKUP('Rock Climbing Log'!AU145,'RC Lookup'!$A$3:$B$9,2,FALSE),0.5),VLOOKUP('Rock Climbing Log'!AU145,'RC Lookup'!$G$3:$H$5,2,FALSE)),0)*VLOOKUP(AT$7,'RC Lookup'!$D$3:$E$18,2,FALSE)</f>
        <v>0</v>
      </c>
      <c r="AV145" s="26">
        <f>_xlfn.IFNA(IF(LEFT('Rock Climbing Log'!AV145)="C",_xlfn.IFNA(VLOOKUP('Rock Climbing Log'!AV145,'RC Lookup'!$A$3:$B$9,2,FALSE),0.5),VLOOKUP('Rock Climbing Log'!AV145,'RC Lookup'!$G$3:$H$5,2,FALSE)),0)*VLOOKUP(AT$7,'RC Lookup'!$D$3:$E$18,2,FALSE)</f>
        <v>0</v>
      </c>
      <c r="AW145" s="30">
        <f t="shared" ca="1" si="5"/>
        <v>0</v>
      </c>
      <c r="AX145" s="30">
        <f ca="1">_xlfn.IFNA(VLOOKUP(SUMPRODUCT(LARGE(($C$8:$C145=Table1[[#This Row],[Climber]])*$A$8:$A145,1)),$A$8:$AW145,MATCH($AW$7,$A$7:$AW$7,FALSE),FALSE),0)/LEFT($AX$7,FIND(" ",$AX$7))+_xlfn.IFNA(VLOOKUP(SUMPRODUCT(LARGE(($C$8:$C145=Table1[[#This Row],[Climber]])*$A$8:$A145,MIN(2,COUNTIFS($C$8:$C145,$C145)))),$A$8:$AW145,MATCH($AW$7,$A$7:$AW$7,FALSE),FALSE),0)/LEFT($AX$7,FIND(" ",$AX$7))+_xlfn.IFNA(VLOOKUP(SUMPRODUCT(LARGE(($C$8:$C145=Table1[[#This Row],[Climber]])*$A$8:$A145,MIN(3,COUNTIFS($C$8:$C145,$C145)))),$A$8:$AW145,MATCH($AW$7,$A$7:$AW$7,FALSE),FALSE),0)/LEFT($AX$7,FIND(" ",$AX$7))</f>
        <v>0</v>
      </c>
      <c r="AY145" s="30">
        <f ca="1">_xlfn.IFNA(VLOOKUP(SUMPRODUCT(LARGE(($C$8:$C145=Table1[[#This Row],[Climber]])*$A$8:$A145,1)),$A$8:$AW145,MATCH($AW$7,$A$7:$AW$7,FALSE),FALSE),0)/LEFT($AY$7,FIND(" ",$AY$7))+_xlfn.IFNA(VLOOKUP(SUMPRODUCT(LARGE(($C$8:$C145=Table1[[#This Row],[Climber]])*$A$8:$A145,MIN(2,COUNTIFS($C$8:$C145,$C145)))),$A$8:$AW145,MATCH($AW$7,$A$7:$AW$7,FALSE),FALSE),0)/LEFT($AY$7,FIND(" ",$AY$7))+_xlfn.IFNA(VLOOKUP(SUMPRODUCT(LARGE(($C$8:$C145=Table1[[#This Row],[Climber]])*$A$8:$A145,MIN(3,COUNTIFS($C$8:$C145,$C145)))),$A$8:$AW145,MATCH($AW$7,$A$7:$AW$7,FALSE),FALSE),0)/LEFT($AY$7,FIND(" ",$AY$7))+_xlfn.IFNA(VLOOKUP(SUMPRODUCT(LARGE(($C$8:$C145=Table1[[#This Row],[Climber]])*$A$8:$A145,MIN(4,COUNTIFS($C$8:$C145,$C145)))),$A$8:$AW145,MATCH($AW$7,$A$7:$AW$7,FALSE),FALSE),0)/LEFT($AY$7,FIND(" ",$AY$7))+_xlfn.IFNA(VLOOKUP(SUMPRODUCT(LARGE(($C$8:$C145=Table1[[#This Row],[Climber]])*$A$8:$A145,MIN(5,COUNTIFS($C$8:$C145,$C145)))),$A$8:$AW145,MATCH($AW$7,$A$7:$AW$7,FALSE),FALSE),0)/LEFT($AY$7,FIND(" ",$AY$7))</f>
        <v>0</v>
      </c>
      <c r="AZ145" s="30">
        <f ca="1">(_xlfn.IFNA(VLOOKUP(SUMPRODUCT(LARGE(($C$8:$C145=Table1[[#This Row],[Climber]])*$A$8:$A145,4)),$A$8:$AW145,MATCH($AW$7,$A$7:$AW$7,FALSE),FALSE),0)+_xlfn.IFNA(VLOOKUP(SUMPRODUCT(LARGE(($C$8:$C145=Table1[[#This Row],[Climber]])*$A$8:$A145,5)),$A$8:$AW145,MATCH($AW$7,$A$7:$AW$7,FALSE),FALSE),0)+_xlfn.IFNA(VLOOKUP(SUMPRODUCT(LARGE(($C$8:$C145=Table1[[#This Row],[Climber]])*$A$8:$A145,6)),$A$8:$AW145,MATCH($AW$7,$A$7:$AW$7,FALSE),FALSE),0))/3</f>
        <v>0</v>
      </c>
      <c r="BA145" s="46">
        <f ca="1">_xlfn.MAXIFS(INDIRECT("$AW"&amp;IF(SUMPRODUCT(LARGE(($C$8:$C145=$C145)*$A$8:$A145,LEFT($BA$7,FIND(" ",$BA$7)-1)))=0,8,SUMPRODUCT(LARGE(($C$8:$C145=$C145)*$A$8:$A145,LEFT($BA$7,FIND(" ",$BA$7)-1)))+7)&amp;":$AW"&amp;ROW()),INDIRECT("$C"&amp;IF(SUMPRODUCT(LARGE(($C$8:$C145=$C145)*$A$8:$A145,LEFT($BA$7,FIND(" ",$BA$7)-1)))=0,8,SUMPRODUCT(LARGE(($C$8:$C145=$C145)*$A$8:$A145,LEFT($BA$7,FIND(" ",$BA$7)-1)))+7)&amp;":$C"&amp;ROW()),$C145)</f>
        <v>0</v>
      </c>
      <c r="BB145" s="46" t="str">
        <f ca="1">VLOOKUP(MAX(BG145,$AX145),'RC Lookup'!$G$14:$J$20,2,TRUE)</f>
        <v>T1</v>
      </c>
      <c r="BC145" s="46">
        <f ca="1">_xlfn.IFNA(VLOOKUP(VLOOKUP($C145,'RC Lookup'!$O$3:$P$50,2,FALSE),'RC Lookup'!$H$14:$J$23,2,FALSE),0)*AW145</f>
        <v>0</v>
      </c>
      <c r="BD145" s="6">
        <f ca="1">_xlfn.IFNA(VLOOKUP(SUMPRODUCT(LARGE(($C$8:$C145=Table1[[#This Row],[Climber]])*$A$8:$A145,1)),$A$8:$BC145,55,FALSE),0)/LEFT($AX$7,FIND(" ",$AX$7))+_xlfn.IFNA(VLOOKUP(SUMPRODUCT(LARGE(($C$8:$C145=Table1[[#This Row],[Climber]])*$A$8:$A145,MIN(2,COUNTIFS($C$8:$C145,$C145)))),$A$8:$BC145,55,FALSE),0)/LEFT($AX$7,FIND(" ",$AX$7))+_xlfn.IFNA(VLOOKUP(SUMPRODUCT(LARGE(($C$8:$C145=Table1[[#This Row],[Climber]])*$A$8:$A145,MIN(3,COUNTIFS($C$8:$C145,$C145)))),$A$8:$BC145,55,FALSE),0)/LEFT($AX$7,FIND(" ",$AX$7))</f>
        <v>0</v>
      </c>
      <c r="BE145" s="6">
        <f ca="1">(_xlfn.IFNA(VLOOKUP(SUMPRODUCT(LARGE(($C$8:$C145=Table1[[#This Row],[Climber]])*$A$8:$A145,4)),$A$8:$BD145,55,FALSE),0)+_xlfn.IFNA(VLOOKUP(SUMPRODUCT(LARGE(($C$8:$C145=Table1[[#This Row],[Climber]])*$A$8:$A145,5)),$A$8:$BD145,55,FALSE),0)+_xlfn.IFNA(VLOOKUP(SUMPRODUCT(LARGE(($C$8:$C145=Table1[[#This Row],[Climber]])*$A$8:$A145,6)),$A$8:$BD145,55,FALSE),0))/3</f>
        <v>0</v>
      </c>
      <c r="BF145" s="46">
        <f ca="1">_xlfn.MAXIFS(INDIRECT("$BC"&amp;IF(SUMPRODUCT(LARGE(($C$8:$C145=$C145)*$A$8:$A145,LEFT($BA$7,FIND(" ",$BA$7)-1)))=0,8,SUMPRODUCT(LARGE(($C$8:$C145=$C145)*$A$8:$A145,LEFT($BA$7,FIND(" ",$BA$7)-1)))+7)&amp;":$BC"&amp;ROW()),INDIRECT("$C"&amp;IF(SUMPRODUCT(LARGE(($C$8:$C145=$C145)*$A$8:$A145,LEFT($BA$7,FIND(" ",$BA$7)-1)))=0,8,SUMPRODUCT(LARGE(($C$8:$C145=$C145)*$A$8:$A145,LEFT($BA$7,FIND(" ",$BA$7)-1)))+7)&amp;":$C"&amp;ROW()),$C145)</f>
        <v>0</v>
      </c>
      <c r="BG145" s="46">
        <f t="array" aca="1" ref="BG145" ca="1">IFERROR(SUMPRODUCT(LARGE(($C$8:$C145=Table1[[#This Row],[Climber]])*$AW$8:$AW145,ROW(INDIRECT("1:5")))),AW145)/MIN(COUNTIFS($C$8:$C145,C145),5)</f>
        <v>0</v>
      </c>
    </row>
    <row r="146" spans="1:59" x14ac:dyDescent="0.3">
      <c r="A146" s="125">
        <f t="shared" si="1"/>
        <v>139</v>
      </c>
      <c r="B146" s="25">
        <f>'Rock Climbing Log'!B146</f>
        <v>0</v>
      </c>
      <c r="C146" s="126">
        <f>'Rock Climbing Log'!C146</f>
        <v>0</v>
      </c>
      <c r="D146" s="26">
        <f>_xlfn.IFNA(IF(LEFT('Rock Climbing Log'!D146)="C",_xlfn.IFNA(VLOOKUP('Rock Climbing Log'!D146,'RC Lookup'!$A$3:$B$9,2,FALSE),0.5),VLOOKUP('Rock Climbing Log'!D146,'RC Lookup'!$G$3:$H$5,2,FALSE)),0)*VLOOKUP(D$7,'RC Lookup'!$D$3:$E$18,2,FALSE)</f>
        <v>0</v>
      </c>
      <c r="E146" s="26">
        <f>_xlfn.IFNA(IF(LEFT('Rock Climbing Log'!E146)="C",_xlfn.IFNA(VLOOKUP('Rock Climbing Log'!E146,'RC Lookup'!$A$3:$B$9,2,FALSE),0.5),VLOOKUP('Rock Climbing Log'!E146,'RC Lookup'!$G$3:$H$5,2,FALSE)),0)*VLOOKUP(D$7,'RC Lookup'!$D$3:$E$18,2,FALSE)</f>
        <v>0</v>
      </c>
      <c r="F146" s="26">
        <f>_xlfn.IFNA(IF(LEFT('Rock Climbing Log'!F146)="C",_xlfn.IFNA(VLOOKUP('Rock Climbing Log'!F146,'RC Lookup'!$A$3:$B$9,2,FALSE),0.5),VLOOKUP('Rock Climbing Log'!F146,'RC Lookup'!$G$3:$H$5,2,FALSE)),0)*VLOOKUP(D$7,'RC Lookup'!$D$3:$E$18,2,FALSE)</f>
        <v>0</v>
      </c>
      <c r="G146" s="26">
        <f>_xlfn.IFNA(IF(LEFT('Rock Climbing Log'!G146)="C",_xlfn.IFNA(VLOOKUP('Rock Climbing Log'!G146,'RC Lookup'!$A$3:$B$9,2,FALSE),0.5),VLOOKUP('Rock Climbing Log'!G146,'RC Lookup'!$G$3:$H$5,2,FALSE)),0)*VLOOKUP(G$7,'RC Lookup'!$D$3:$E$18,2,FALSE)</f>
        <v>0</v>
      </c>
      <c r="H146" s="26">
        <f>_xlfn.IFNA(IF(LEFT('Rock Climbing Log'!H146)="C",_xlfn.IFNA(VLOOKUP('Rock Climbing Log'!H146,'RC Lookup'!$A$3:$B$9,2,FALSE),0.5),VLOOKUP('Rock Climbing Log'!H146,'RC Lookup'!$G$3:$H$5,2,FALSE)),0)*VLOOKUP(G$7,'RC Lookup'!$D$3:$E$18,2,FALSE)</f>
        <v>0</v>
      </c>
      <c r="I146" s="26">
        <f>_xlfn.IFNA(IF(LEFT('Rock Climbing Log'!I146)="C",_xlfn.IFNA(VLOOKUP('Rock Climbing Log'!I146,'RC Lookup'!$A$3:$B$9,2,FALSE),0.5),VLOOKUP('Rock Climbing Log'!I146,'RC Lookup'!$G$3:$H$5,2,FALSE)),0)*VLOOKUP(G$7,'RC Lookup'!$D$3:$E$18,2,FALSE)</f>
        <v>0</v>
      </c>
      <c r="J146" s="26">
        <f>_xlfn.IFNA(IF(LEFT('Rock Climbing Log'!J146)="C",_xlfn.IFNA(VLOOKUP('Rock Climbing Log'!J146,'RC Lookup'!$A$3:$B$9,2,FALSE),0.5),VLOOKUP('Rock Climbing Log'!J146,'RC Lookup'!$G$3:$H$5,2,FALSE)),0)*VLOOKUP(J$7,'RC Lookup'!$D$3:$E$18,2,FALSE)</f>
        <v>0</v>
      </c>
      <c r="K146" s="26">
        <f>_xlfn.IFNA(IF(LEFT('Rock Climbing Log'!K146)="C",_xlfn.IFNA(VLOOKUP('Rock Climbing Log'!K146,'RC Lookup'!$A$3:$B$9,2,FALSE),0.5),VLOOKUP('Rock Climbing Log'!K146,'RC Lookup'!$G$3:$H$5,2,FALSE)),0)*VLOOKUP(J$7,'RC Lookup'!$D$3:$E$18,2,FALSE)</f>
        <v>0</v>
      </c>
      <c r="L146" s="26">
        <f>_xlfn.IFNA(IF(LEFT('Rock Climbing Log'!L146)="C",_xlfn.IFNA(VLOOKUP('Rock Climbing Log'!L146,'RC Lookup'!$A$3:$B$9,2,FALSE),0.5),VLOOKUP('Rock Climbing Log'!L146,'RC Lookup'!$G$3:$H$5,2,FALSE)),0)*VLOOKUP(J$7,'RC Lookup'!$D$3:$E$18,2,FALSE)</f>
        <v>0</v>
      </c>
      <c r="M146" s="26">
        <f>_xlfn.IFNA(IF(LEFT('Rock Climbing Log'!M146)="C",_xlfn.IFNA(VLOOKUP('Rock Climbing Log'!M146,'RC Lookup'!$A$3:$B$9,2,FALSE),0.5),VLOOKUP('Rock Climbing Log'!M146,'RC Lookup'!$G$3:$H$5,2,FALSE)),0)*VLOOKUP(M$7,'RC Lookup'!$D$3:$E$18,2,FALSE)</f>
        <v>0</v>
      </c>
      <c r="N146" s="26">
        <f>_xlfn.IFNA(IF(LEFT('Rock Climbing Log'!N146)="C",_xlfn.IFNA(VLOOKUP('Rock Climbing Log'!N146,'RC Lookup'!$A$3:$B$9,2,FALSE),0.5),VLOOKUP('Rock Climbing Log'!N146,'RC Lookup'!$G$3:$H$5,2,FALSE)),0)*VLOOKUP(M$7,'RC Lookup'!$D$3:$E$18,2,FALSE)</f>
        <v>0</v>
      </c>
      <c r="O146" s="26">
        <f>_xlfn.IFNA(IF(LEFT('Rock Climbing Log'!O146)="C",_xlfn.IFNA(VLOOKUP('Rock Climbing Log'!O146,'RC Lookup'!$A$3:$B$9,2,FALSE),0.5),VLOOKUP('Rock Climbing Log'!O146,'RC Lookup'!$G$3:$H$5,2,FALSE)),0)*VLOOKUP(M$7,'RC Lookup'!$D$3:$E$18,2,FALSE)</f>
        <v>0</v>
      </c>
      <c r="P146" s="26">
        <f>_xlfn.IFNA(IF(LEFT('Rock Climbing Log'!P146)="C",_xlfn.IFNA(VLOOKUP('Rock Climbing Log'!P146,'RC Lookup'!$A$3:$B$9,2,FALSE),0.5),VLOOKUP('Rock Climbing Log'!P146,'RC Lookup'!$G$3:$H$5,2,FALSE)),0)*VLOOKUP(P$7,'RC Lookup'!$D$3:$E$18,2,FALSE)</f>
        <v>0</v>
      </c>
      <c r="Q146" s="26">
        <f>_xlfn.IFNA(IF(LEFT('Rock Climbing Log'!Q146)="C",_xlfn.IFNA(VLOOKUP('Rock Climbing Log'!Q146,'RC Lookup'!$A$3:$B$9,2,FALSE),0.5),VLOOKUP('Rock Climbing Log'!Q146,'RC Lookup'!$G$3:$H$5,2,FALSE)),0)*VLOOKUP(P$7,'RC Lookup'!$D$3:$E$18,2,FALSE)</f>
        <v>0</v>
      </c>
      <c r="R146" s="26">
        <f>_xlfn.IFNA(IF(LEFT('Rock Climbing Log'!R146)="C",_xlfn.IFNA(VLOOKUP('Rock Climbing Log'!R146,'RC Lookup'!$A$3:$B$9,2,FALSE),0.5),VLOOKUP('Rock Climbing Log'!R146,'RC Lookup'!$G$3:$H$5,2,FALSE)),0)*VLOOKUP(P$7,'RC Lookup'!$D$3:$E$18,2,FALSE)</f>
        <v>0</v>
      </c>
      <c r="S146" s="26">
        <f>_xlfn.IFNA(IF(LEFT('Rock Climbing Log'!S146)="C",_xlfn.IFNA(VLOOKUP('Rock Climbing Log'!S146,'RC Lookup'!$A$3:$B$9,2,FALSE),0.5),VLOOKUP('Rock Climbing Log'!S146,'RC Lookup'!$G$3:$H$5,2,FALSE)),0)*VLOOKUP(S$7,'RC Lookup'!$D$3:$E$18,2,FALSE)</f>
        <v>0</v>
      </c>
      <c r="T146" s="26">
        <f>_xlfn.IFNA(IF(LEFT('Rock Climbing Log'!T146)="C",_xlfn.IFNA(VLOOKUP('Rock Climbing Log'!T146,'RC Lookup'!$A$3:$B$9,2,FALSE),0.5),VLOOKUP('Rock Climbing Log'!T146,'RC Lookup'!$G$3:$H$5,2,FALSE)),0)*VLOOKUP(S$7,'RC Lookup'!$D$3:$E$18,2,FALSE)</f>
        <v>0</v>
      </c>
      <c r="U146" s="26">
        <f>_xlfn.IFNA(IF(LEFT('Rock Climbing Log'!U146)="C",_xlfn.IFNA(VLOOKUP('Rock Climbing Log'!U146,'RC Lookup'!$A$3:$B$9,2,FALSE),0.5),VLOOKUP('Rock Climbing Log'!U146,'RC Lookup'!$G$3:$H$5,2,FALSE)),0)*VLOOKUP(S$7,'RC Lookup'!$D$3:$E$18,2,FALSE)</f>
        <v>0</v>
      </c>
      <c r="V146" s="26">
        <f>_xlfn.IFNA(IF(LEFT('Rock Climbing Log'!V146)="C",_xlfn.IFNA(VLOOKUP('Rock Climbing Log'!V146,'RC Lookup'!$A$3:$B$9,2,FALSE),0.5),VLOOKUP('Rock Climbing Log'!V146,'RC Lookup'!$G$3:$H$5,2,FALSE)),0)*VLOOKUP(V$7,'RC Lookup'!$D$3:$E$18,2,FALSE)</f>
        <v>0</v>
      </c>
      <c r="W146" s="26">
        <f>_xlfn.IFNA(IF(LEFT('Rock Climbing Log'!W146)="C",_xlfn.IFNA(VLOOKUP('Rock Climbing Log'!W146,'RC Lookup'!$A$3:$B$9,2,FALSE),0.5),VLOOKUP('Rock Climbing Log'!W146,'RC Lookup'!$G$3:$H$5,2,FALSE)),0)*VLOOKUP(V$7,'RC Lookup'!$D$3:$E$18,2,FALSE)</f>
        <v>0</v>
      </c>
      <c r="X146" s="26">
        <f>_xlfn.IFNA(IF(LEFT('Rock Climbing Log'!X146)="C",_xlfn.IFNA(VLOOKUP('Rock Climbing Log'!X146,'RC Lookup'!$A$3:$B$9,2,FALSE),0.5),VLOOKUP('Rock Climbing Log'!X146,'RC Lookup'!$G$3:$H$5,2,FALSE)),0)*VLOOKUP(V$7,'RC Lookup'!$D$3:$E$18,2,FALSE)</f>
        <v>0</v>
      </c>
      <c r="Y146" s="26">
        <f>_xlfn.IFNA(IF(LEFT('Rock Climbing Log'!Y146)="C",_xlfn.IFNA(VLOOKUP('Rock Climbing Log'!Y146,'RC Lookup'!$A$3:$B$9,2,FALSE),0.5),VLOOKUP('Rock Climbing Log'!Y146,'RC Lookup'!$G$3:$H$5,2,FALSE)),0)*VLOOKUP(Y$7,'RC Lookup'!$D$3:$E$18,2,FALSE)</f>
        <v>0</v>
      </c>
      <c r="Z146" s="26">
        <f>_xlfn.IFNA(IF(LEFT('Rock Climbing Log'!Z146)="C",_xlfn.IFNA(VLOOKUP('Rock Climbing Log'!Z146,'RC Lookup'!$A$3:$B$9,2,FALSE),0.5),VLOOKUP('Rock Climbing Log'!Z146,'RC Lookup'!$G$3:$H$5,2,FALSE)),0)*VLOOKUP(Y$7,'RC Lookup'!$D$3:$E$18,2,FALSE)</f>
        <v>0</v>
      </c>
      <c r="AA146" s="26">
        <f>_xlfn.IFNA(IF(LEFT('Rock Climbing Log'!AA146)="C",_xlfn.IFNA(VLOOKUP('Rock Climbing Log'!AA146,'RC Lookup'!$A$3:$B$9,2,FALSE),0.5),VLOOKUP('Rock Climbing Log'!AA146,'RC Lookup'!$G$3:$H$5,2,FALSE)),0)*VLOOKUP(Y$7,'RC Lookup'!$D$3:$E$18,2,FALSE)</f>
        <v>0</v>
      </c>
      <c r="AB146" s="26">
        <f>_xlfn.IFNA(IF(LEFT('Rock Climbing Log'!AB146)="C",_xlfn.IFNA(VLOOKUP('Rock Climbing Log'!AB146,'RC Lookup'!$A$3:$B$9,2,FALSE),0.5),VLOOKUP('Rock Climbing Log'!AB146,'RC Lookup'!$G$3:$H$5,2,FALSE)),0)*VLOOKUP(AB$7,'RC Lookup'!$D$3:$E$18,2,FALSE)</f>
        <v>0</v>
      </c>
      <c r="AC146" s="26">
        <f>_xlfn.IFNA(IF(LEFT('Rock Climbing Log'!AC146)="C",_xlfn.IFNA(VLOOKUP('Rock Climbing Log'!AC146,'RC Lookup'!$A$3:$B$9,2,FALSE),0.5),VLOOKUP('Rock Climbing Log'!AC146,'RC Lookup'!$G$3:$H$5,2,FALSE)),0)*VLOOKUP(AB$7,'RC Lookup'!$D$3:$E$18,2,FALSE)</f>
        <v>0</v>
      </c>
      <c r="AD146" s="26">
        <f>_xlfn.IFNA(IF(LEFT('Rock Climbing Log'!AD146)="C",_xlfn.IFNA(VLOOKUP('Rock Climbing Log'!AD146,'RC Lookup'!$A$3:$B$9,2,FALSE),0.5),VLOOKUP('Rock Climbing Log'!AD146,'RC Lookup'!$G$3:$H$5,2,FALSE)),0)*VLOOKUP(AB$7,'RC Lookup'!$D$3:$E$18,2,FALSE)</f>
        <v>0</v>
      </c>
      <c r="AE146" s="26">
        <f>_xlfn.IFNA(IF(LEFT('Rock Climbing Log'!AE146)="C",_xlfn.IFNA(VLOOKUP('Rock Climbing Log'!AE146,'RC Lookup'!$A$3:$B$9,2,FALSE),0.5),VLOOKUP('Rock Climbing Log'!AE146,'RC Lookup'!$G$3:$H$5,2,FALSE)),0)*VLOOKUP(AE$7,'RC Lookup'!$D$3:$E$18,2,FALSE)</f>
        <v>0</v>
      </c>
      <c r="AF146" s="26">
        <f>_xlfn.IFNA(IF(LEFT('Rock Climbing Log'!AF146)="C",_xlfn.IFNA(VLOOKUP('Rock Climbing Log'!AF146,'RC Lookup'!$A$3:$B$9,2,FALSE),0.5),VLOOKUP('Rock Climbing Log'!AF146,'RC Lookup'!$G$3:$H$5,2,FALSE)),0)*VLOOKUP(AE$7,'RC Lookup'!$D$3:$E$18,2,FALSE)</f>
        <v>0</v>
      </c>
      <c r="AG146" s="26">
        <f>_xlfn.IFNA(IF(LEFT('Rock Climbing Log'!AG146)="C",_xlfn.IFNA(VLOOKUP('Rock Climbing Log'!AG146,'RC Lookup'!$A$3:$B$9,2,FALSE),0.5),VLOOKUP('Rock Climbing Log'!AG146,'RC Lookup'!$G$3:$H$5,2,FALSE)),0)*VLOOKUP(AE$7,'RC Lookup'!$D$3:$E$18,2,FALSE)</f>
        <v>0</v>
      </c>
      <c r="AH146" s="26">
        <f>_xlfn.IFNA(IF(LEFT('Rock Climbing Log'!AH146)="C",_xlfn.IFNA(VLOOKUP('Rock Climbing Log'!AH146,'RC Lookup'!$A$3:$B$9,2,FALSE),0.5),VLOOKUP('Rock Climbing Log'!AH146,'RC Lookup'!$G$3:$H$5,2,FALSE)),0)*VLOOKUP(AH$7,'RC Lookup'!$D$3:$E$18,2,FALSE)</f>
        <v>0</v>
      </c>
      <c r="AI146" s="26">
        <f>_xlfn.IFNA(IF(LEFT('Rock Climbing Log'!AI146)="C",_xlfn.IFNA(VLOOKUP('Rock Climbing Log'!AI146,'RC Lookup'!$A$3:$B$9,2,FALSE),0.5),VLOOKUP('Rock Climbing Log'!AI146,'RC Lookup'!$G$3:$H$5,2,FALSE)),0)*VLOOKUP(AH$7,'RC Lookup'!$D$3:$E$18,2,FALSE)</f>
        <v>0</v>
      </c>
      <c r="AJ146" s="26">
        <f>_xlfn.IFNA(IF(LEFT('Rock Climbing Log'!AJ146)="C",_xlfn.IFNA(VLOOKUP('Rock Climbing Log'!AJ146,'RC Lookup'!$A$3:$B$9,2,FALSE),0.5),VLOOKUP('Rock Climbing Log'!AJ146,'RC Lookup'!$G$3:$H$5,2,FALSE)),0)*VLOOKUP(AH$7,'RC Lookup'!$D$3:$E$18,2,FALSE)</f>
        <v>0</v>
      </c>
      <c r="AK146" s="26">
        <f>_xlfn.IFNA(IF(LEFT('Rock Climbing Log'!AK146)="C",_xlfn.IFNA(VLOOKUP('Rock Climbing Log'!AK146,'RC Lookup'!$A$3:$B$9,2,FALSE),0.5),VLOOKUP('Rock Climbing Log'!AK146,'RC Lookup'!$G$3:$H$5,2,FALSE)),0)*VLOOKUP(AK$7,'RC Lookup'!$D$3:$E$18,2,FALSE)</f>
        <v>0</v>
      </c>
      <c r="AL146" s="26">
        <f>_xlfn.IFNA(IF(LEFT('Rock Climbing Log'!AL146)="C",_xlfn.IFNA(VLOOKUP('Rock Climbing Log'!AL146,'RC Lookup'!$A$3:$B$9,2,FALSE),0.5),VLOOKUP('Rock Climbing Log'!AL146,'RC Lookup'!$G$3:$H$5,2,FALSE)),0)*VLOOKUP(AK$7,'RC Lookup'!$D$3:$E$18,2,FALSE)</f>
        <v>0</v>
      </c>
      <c r="AM146" s="26">
        <f>_xlfn.IFNA(IF(LEFT('Rock Climbing Log'!AM146)="C",_xlfn.IFNA(VLOOKUP('Rock Climbing Log'!AM146,'RC Lookup'!$A$3:$B$9,2,FALSE),0.5),VLOOKUP('Rock Climbing Log'!AM146,'RC Lookup'!$G$3:$H$5,2,FALSE)),0)*VLOOKUP(AK$7,'RC Lookup'!$D$3:$E$18,2,FALSE)</f>
        <v>0</v>
      </c>
      <c r="AN146" s="26">
        <f>_xlfn.IFNA(IF(LEFT('Rock Climbing Log'!AN146)="C",_xlfn.IFNA(VLOOKUP('Rock Climbing Log'!AN146,'RC Lookup'!$A$3:$B$9,2,FALSE),0.5),VLOOKUP('Rock Climbing Log'!AN146,'RC Lookup'!$G$3:$H$5,2,FALSE)),0)*VLOOKUP(AN$7,'RC Lookup'!$D$3:$E$18,2,FALSE)</f>
        <v>0</v>
      </c>
      <c r="AO146" s="26">
        <f>_xlfn.IFNA(IF(LEFT('Rock Climbing Log'!AO146)="C",_xlfn.IFNA(VLOOKUP('Rock Climbing Log'!AO146,'RC Lookup'!$A$3:$B$9,2,FALSE),0.5),VLOOKUP('Rock Climbing Log'!AO146,'RC Lookup'!$G$3:$H$5,2,FALSE)),0)*VLOOKUP(AN$7,'RC Lookup'!$D$3:$E$18,2,FALSE)</f>
        <v>0</v>
      </c>
      <c r="AP146" s="26">
        <f>_xlfn.IFNA(IF(LEFT('Rock Climbing Log'!AP146)="C",_xlfn.IFNA(VLOOKUP('Rock Climbing Log'!AP146,'RC Lookup'!$A$3:$B$9,2,FALSE),0.5),VLOOKUP('Rock Climbing Log'!AP146,'RC Lookup'!$G$3:$H$5,2,FALSE)),0)*VLOOKUP(AN$7,'RC Lookup'!$D$3:$E$18,2,FALSE)</f>
        <v>0</v>
      </c>
      <c r="AQ146" s="26">
        <f>_xlfn.IFNA(IF(LEFT('Rock Climbing Log'!AQ146)="C",_xlfn.IFNA(VLOOKUP('Rock Climbing Log'!AQ146,'RC Lookup'!$A$3:$B$9,2,FALSE),0.5),VLOOKUP('Rock Climbing Log'!AQ146,'RC Lookup'!$G$3:$H$5,2,FALSE)),0)*VLOOKUP(AQ$7,'RC Lookup'!$D$3:$E$18,2,FALSE)</f>
        <v>0</v>
      </c>
      <c r="AR146" s="26">
        <f>_xlfn.IFNA(IF(LEFT('Rock Climbing Log'!AR146)="C",_xlfn.IFNA(VLOOKUP('Rock Climbing Log'!AR146,'RC Lookup'!$A$3:$B$9,2,FALSE),0.5),VLOOKUP('Rock Climbing Log'!AR146,'RC Lookup'!$G$3:$H$5,2,FALSE)),0)*VLOOKUP(AQ$7,'RC Lookup'!$D$3:$E$18,2,FALSE)</f>
        <v>0</v>
      </c>
      <c r="AS146" s="26">
        <f>_xlfn.IFNA(IF(LEFT('Rock Climbing Log'!AS146)="C",_xlfn.IFNA(VLOOKUP('Rock Climbing Log'!AS146,'RC Lookup'!$A$3:$B$9,2,FALSE),0.5),VLOOKUP('Rock Climbing Log'!AS146,'RC Lookup'!$G$3:$H$5,2,FALSE)),0)*VLOOKUP(AQ$7,'RC Lookup'!$D$3:$E$18,2,FALSE)</f>
        <v>0</v>
      </c>
      <c r="AT146" s="26">
        <f>_xlfn.IFNA(IF(LEFT('Rock Climbing Log'!AT146)="C",_xlfn.IFNA(VLOOKUP('Rock Climbing Log'!AT146,'RC Lookup'!$A$3:$B$9,2,FALSE),0.5),VLOOKUP('Rock Climbing Log'!AT146,'RC Lookup'!$G$3:$H$5,2,FALSE)),0)*VLOOKUP(AT$7,'RC Lookup'!$D$3:$E$18,2,FALSE)</f>
        <v>0</v>
      </c>
      <c r="AU146" s="26">
        <f>_xlfn.IFNA(IF(LEFT('Rock Climbing Log'!AU146)="C",_xlfn.IFNA(VLOOKUP('Rock Climbing Log'!AU146,'RC Lookup'!$A$3:$B$9,2,FALSE),0.5),VLOOKUP('Rock Climbing Log'!AU146,'RC Lookup'!$G$3:$H$5,2,FALSE)),0)*VLOOKUP(AT$7,'RC Lookup'!$D$3:$E$18,2,FALSE)</f>
        <v>0</v>
      </c>
      <c r="AV146" s="26">
        <f>_xlfn.IFNA(IF(LEFT('Rock Climbing Log'!AV146)="C",_xlfn.IFNA(VLOOKUP('Rock Climbing Log'!AV146,'RC Lookup'!$A$3:$B$9,2,FALSE),0.5),VLOOKUP('Rock Climbing Log'!AV146,'RC Lookup'!$G$3:$H$5,2,FALSE)),0)*VLOOKUP(AT$7,'RC Lookup'!$D$3:$E$18,2,FALSE)</f>
        <v>0</v>
      </c>
      <c r="AW146" s="30">
        <f t="shared" ca="1" si="5"/>
        <v>0</v>
      </c>
      <c r="AX146" s="30">
        <f ca="1">_xlfn.IFNA(VLOOKUP(SUMPRODUCT(LARGE(($C$8:$C146=Table1[[#This Row],[Climber]])*$A$8:$A146,1)),$A$8:$AW146,MATCH($AW$7,$A$7:$AW$7,FALSE),FALSE),0)/LEFT($AX$7,FIND(" ",$AX$7))+_xlfn.IFNA(VLOOKUP(SUMPRODUCT(LARGE(($C$8:$C146=Table1[[#This Row],[Climber]])*$A$8:$A146,MIN(2,COUNTIFS($C$8:$C146,$C146)))),$A$8:$AW146,MATCH($AW$7,$A$7:$AW$7,FALSE),FALSE),0)/LEFT($AX$7,FIND(" ",$AX$7))+_xlfn.IFNA(VLOOKUP(SUMPRODUCT(LARGE(($C$8:$C146=Table1[[#This Row],[Climber]])*$A$8:$A146,MIN(3,COUNTIFS($C$8:$C146,$C146)))),$A$8:$AW146,MATCH($AW$7,$A$7:$AW$7,FALSE),FALSE),0)/LEFT($AX$7,FIND(" ",$AX$7))</f>
        <v>0</v>
      </c>
      <c r="AY146" s="30">
        <f ca="1">_xlfn.IFNA(VLOOKUP(SUMPRODUCT(LARGE(($C$8:$C146=Table1[[#This Row],[Climber]])*$A$8:$A146,1)),$A$8:$AW146,MATCH($AW$7,$A$7:$AW$7,FALSE),FALSE),0)/LEFT($AY$7,FIND(" ",$AY$7))+_xlfn.IFNA(VLOOKUP(SUMPRODUCT(LARGE(($C$8:$C146=Table1[[#This Row],[Climber]])*$A$8:$A146,MIN(2,COUNTIFS($C$8:$C146,$C146)))),$A$8:$AW146,MATCH($AW$7,$A$7:$AW$7,FALSE),FALSE),0)/LEFT($AY$7,FIND(" ",$AY$7))+_xlfn.IFNA(VLOOKUP(SUMPRODUCT(LARGE(($C$8:$C146=Table1[[#This Row],[Climber]])*$A$8:$A146,MIN(3,COUNTIFS($C$8:$C146,$C146)))),$A$8:$AW146,MATCH($AW$7,$A$7:$AW$7,FALSE),FALSE),0)/LEFT($AY$7,FIND(" ",$AY$7))+_xlfn.IFNA(VLOOKUP(SUMPRODUCT(LARGE(($C$8:$C146=Table1[[#This Row],[Climber]])*$A$8:$A146,MIN(4,COUNTIFS($C$8:$C146,$C146)))),$A$8:$AW146,MATCH($AW$7,$A$7:$AW$7,FALSE),FALSE),0)/LEFT($AY$7,FIND(" ",$AY$7))+_xlfn.IFNA(VLOOKUP(SUMPRODUCT(LARGE(($C$8:$C146=Table1[[#This Row],[Climber]])*$A$8:$A146,MIN(5,COUNTIFS($C$8:$C146,$C146)))),$A$8:$AW146,MATCH($AW$7,$A$7:$AW$7,FALSE),FALSE),0)/LEFT($AY$7,FIND(" ",$AY$7))</f>
        <v>0</v>
      </c>
      <c r="AZ146" s="30">
        <f ca="1">(_xlfn.IFNA(VLOOKUP(SUMPRODUCT(LARGE(($C$8:$C146=Table1[[#This Row],[Climber]])*$A$8:$A146,4)),$A$8:$AW146,MATCH($AW$7,$A$7:$AW$7,FALSE),FALSE),0)+_xlfn.IFNA(VLOOKUP(SUMPRODUCT(LARGE(($C$8:$C146=Table1[[#This Row],[Climber]])*$A$8:$A146,5)),$A$8:$AW146,MATCH($AW$7,$A$7:$AW$7,FALSE),FALSE),0)+_xlfn.IFNA(VLOOKUP(SUMPRODUCT(LARGE(($C$8:$C146=Table1[[#This Row],[Climber]])*$A$8:$A146,6)),$A$8:$AW146,MATCH($AW$7,$A$7:$AW$7,FALSE),FALSE),0))/3</f>
        <v>0</v>
      </c>
      <c r="BA146" s="46">
        <f ca="1">_xlfn.MAXIFS(INDIRECT("$AW"&amp;IF(SUMPRODUCT(LARGE(($C$8:$C146=$C146)*$A$8:$A146,LEFT($BA$7,FIND(" ",$BA$7)-1)))=0,8,SUMPRODUCT(LARGE(($C$8:$C146=$C146)*$A$8:$A146,LEFT($BA$7,FIND(" ",$BA$7)-1)))+7)&amp;":$AW"&amp;ROW()),INDIRECT("$C"&amp;IF(SUMPRODUCT(LARGE(($C$8:$C146=$C146)*$A$8:$A146,LEFT($BA$7,FIND(" ",$BA$7)-1)))=0,8,SUMPRODUCT(LARGE(($C$8:$C146=$C146)*$A$8:$A146,LEFT($BA$7,FIND(" ",$BA$7)-1)))+7)&amp;":$C"&amp;ROW()),$C146)</f>
        <v>0</v>
      </c>
      <c r="BB146" s="46" t="str">
        <f ca="1">VLOOKUP(MAX(BG146,$AX146),'RC Lookup'!$G$14:$J$20,2,TRUE)</f>
        <v>T1</v>
      </c>
      <c r="BC146" s="46">
        <f ca="1">_xlfn.IFNA(VLOOKUP(VLOOKUP($C146,'RC Lookup'!$O$3:$P$50,2,FALSE),'RC Lookup'!$H$14:$J$23,2,FALSE),0)*AW146</f>
        <v>0</v>
      </c>
      <c r="BD146" s="6">
        <f ca="1">_xlfn.IFNA(VLOOKUP(SUMPRODUCT(LARGE(($C$8:$C146=Table1[[#This Row],[Climber]])*$A$8:$A146,1)),$A$8:$BC146,55,FALSE),0)/LEFT($AX$7,FIND(" ",$AX$7))+_xlfn.IFNA(VLOOKUP(SUMPRODUCT(LARGE(($C$8:$C146=Table1[[#This Row],[Climber]])*$A$8:$A146,MIN(2,COUNTIFS($C$8:$C146,$C146)))),$A$8:$BC146,55,FALSE),0)/LEFT($AX$7,FIND(" ",$AX$7))+_xlfn.IFNA(VLOOKUP(SUMPRODUCT(LARGE(($C$8:$C146=Table1[[#This Row],[Climber]])*$A$8:$A146,MIN(3,COUNTIFS($C$8:$C146,$C146)))),$A$8:$BC146,55,FALSE),0)/LEFT($AX$7,FIND(" ",$AX$7))</f>
        <v>0</v>
      </c>
      <c r="BE146" s="6">
        <f ca="1">(_xlfn.IFNA(VLOOKUP(SUMPRODUCT(LARGE(($C$8:$C146=Table1[[#This Row],[Climber]])*$A$8:$A146,4)),$A$8:$BD146,55,FALSE),0)+_xlfn.IFNA(VLOOKUP(SUMPRODUCT(LARGE(($C$8:$C146=Table1[[#This Row],[Climber]])*$A$8:$A146,5)),$A$8:$BD146,55,FALSE),0)+_xlfn.IFNA(VLOOKUP(SUMPRODUCT(LARGE(($C$8:$C146=Table1[[#This Row],[Climber]])*$A$8:$A146,6)),$A$8:$BD146,55,FALSE),0))/3</f>
        <v>0</v>
      </c>
      <c r="BF146" s="46">
        <f ca="1">_xlfn.MAXIFS(INDIRECT("$BC"&amp;IF(SUMPRODUCT(LARGE(($C$8:$C146=$C146)*$A$8:$A146,LEFT($BA$7,FIND(" ",$BA$7)-1)))=0,8,SUMPRODUCT(LARGE(($C$8:$C146=$C146)*$A$8:$A146,LEFT($BA$7,FIND(" ",$BA$7)-1)))+7)&amp;":$BC"&amp;ROW()),INDIRECT("$C"&amp;IF(SUMPRODUCT(LARGE(($C$8:$C146=$C146)*$A$8:$A146,LEFT($BA$7,FIND(" ",$BA$7)-1)))=0,8,SUMPRODUCT(LARGE(($C$8:$C146=$C146)*$A$8:$A146,LEFT($BA$7,FIND(" ",$BA$7)-1)))+7)&amp;":$C"&amp;ROW()),$C146)</f>
        <v>0</v>
      </c>
      <c r="BG146" s="46">
        <f t="array" aca="1" ref="BG146" ca="1">IFERROR(SUMPRODUCT(LARGE(($C$8:$C146=Table1[[#This Row],[Climber]])*$AW$8:$AW146,ROW(INDIRECT("1:5")))),AW146)/MIN(COUNTIFS($C$8:$C146,C146),5)</f>
        <v>0</v>
      </c>
    </row>
    <row r="147" spans="1:59" x14ac:dyDescent="0.3">
      <c r="A147" s="125">
        <f t="shared" si="1"/>
        <v>140</v>
      </c>
      <c r="B147" s="25">
        <f>'Rock Climbing Log'!B147</f>
        <v>0</v>
      </c>
      <c r="C147" s="126">
        <f>'Rock Climbing Log'!C147</f>
        <v>0</v>
      </c>
      <c r="D147" s="26">
        <f>_xlfn.IFNA(IF(LEFT('Rock Climbing Log'!D147)="C",_xlfn.IFNA(VLOOKUP('Rock Climbing Log'!D147,'RC Lookup'!$A$3:$B$9,2,FALSE),0.5),VLOOKUP('Rock Climbing Log'!D147,'RC Lookup'!$G$3:$H$5,2,FALSE)),0)*VLOOKUP(D$7,'RC Lookup'!$D$3:$E$18,2,FALSE)</f>
        <v>0</v>
      </c>
      <c r="E147" s="26">
        <f>_xlfn.IFNA(IF(LEFT('Rock Climbing Log'!E147)="C",_xlfn.IFNA(VLOOKUP('Rock Climbing Log'!E147,'RC Lookup'!$A$3:$B$9,2,FALSE),0.5),VLOOKUP('Rock Climbing Log'!E147,'RC Lookup'!$G$3:$H$5,2,FALSE)),0)*VLOOKUP(D$7,'RC Lookup'!$D$3:$E$18,2,FALSE)</f>
        <v>0</v>
      </c>
      <c r="F147" s="26">
        <f>_xlfn.IFNA(IF(LEFT('Rock Climbing Log'!F147)="C",_xlfn.IFNA(VLOOKUP('Rock Climbing Log'!F147,'RC Lookup'!$A$3:$B$9,2,FALSE),0.5),VLOOKUP('Rock Climbing Log'!F147,'RC Lookup'!$G$3:$H$5,2,FALSE)),0)*VLOOKUP(D$7,'RC Lookup'!$D$3:$E$18,2,FALSE)</f>
        <v>0</v>
      </c>
      <c r="G147" s="26">
        <f>_xlfn.IFNA(IF(LEFT('Rock Climbing Log'!G147)="C",_xlfn.IFNA(VLOOKUP('Rock Climbing Log'!G147,'RC Lookup'!$A$3:$B$9,2,FALSE),0.5),VLOOKUP('Rock Climbing Log'!G147,'RC Lookup'!$G$3:$H$5,2,FALSE)),0)*VLOOKUP(G$7,'RC Lookup'!$D$3:$E$18,2,FALSE)</f>
        <v>0</v>
      </c>
      <c r="H147" s="26">
        <f>_xlfn.IFNA(IF(LEFT('Rock Climbing Log'!H147)="C",_xlfn.IFNA(VLOOKUP('Rock Climbing Log'!H147,'RC Lookup'!$A$3:$B$9,2,FALSE),0.5),VLOOKUP('Rock Climbing Log'!H147,'RC Lookup'!$G$3:$H$5,2,FALSE)),0)*VLOOKUP(G$7,'RC Lookup'!$D$3:$E$18,2,FALSE)</f>
        <v>0</v>
      </c>
      <c r="I147" s="26">
        <f>_xlfn.IFNA(IF(LEFT('Rock Climbing Log'!I147)="C",_xlfn.IFNA(VLOOKUP('Rock Climbing Log'!I147,'RC Lookup'!$A$3:$B$9,2,FALSE),0.5),VLOOKUP('Rock Climbing Log'!I147,'RC Lookup'!$G$3:$H$5,2,FALSE)),0)*VLOOKUP(G$7,'RC Lookup'!$D$3:$E$18,2,FALSE)</f>
        <v>0</v>
      </c>
      <c r="J147" s="26">
        <f>_xlfn.IFNA(IF(LEFT('Rock Climbing Log'!J147)="C",_xlfn.IFNA(VLOOKUP('Rock Climbing Log'!J147,'RC Lookup'!$A$3:$B$9,2,FALSE),0.5),VLOOKUP('Rock Climbing Log'!J147,'RC Lookup'!$G$3:$H$5,2,FALSE)),0)*VLOOKUP(J$7,'RC Lookup'!$D$3:$E$18,2,FALSE)</f>
        <v>0</v>
      </c>
      <c r="K147" s="26">
        <f>_xlfn.IFNA(IF(LEFT('Rock Climbing Log'!K147)="C",_xlfn.IFNA(VLOOKUP('Rock Climbing Log'!K147,'RC Lookup'!$A$3:$B$9,2,FALSE),0.5),VLOOKUP('Rock Climbing Log'!K147,'RC Lookup'!$G$3:$H$5,2,FALSE)),0)*VLOOKUP(J$7,'RC Lookup'!$D$3:$E$18,2,FALSE)</f>
        <v>0</v>
      </c>
      <c r="L147" s="26">
        <f>_xlfn.IFNA(IF(LEFT('Rock Climbing Log'!L147)="C",_xlfn.IFNA(VLOOKUP('Rock Climbing Log'!L147,'RC Lookup'!$A$3:$B$9,2,FALSE),0.5),VLOOKUP('Rock Climbing Log'!L147,'RC Lookup'!$G$3:$H$5,2,FALSE)),0)*VLOOKUP(J$7,'RC Lookup'!$D$3:$E$18,2,FALSE)</f>
        <v>0</v>
      </c>
      <c r="M147" s="26">
        <f>_xlfn.IFNA(IF(LEFT('Rock Climbing Log'!M147)="C",_xlfn.IFNA(VLOOKUP('Rock Climbing Log'!M147,'RC Lookup'!$A$3:$B$9,2,FALSE),0.5),VLOOKUP('Rock Climbing Log'!M147,'RC Lookup'!$G$3:$H$5,2,FALSE)),0)*VLOOKUP(M$7,'RC Lookup'!$D$3:$E$18,2,FALSE)</f>
        <v>0</v>
      </c>
      <c r="N147" s="26">
        <f>_xlfn.IFNA(IF(LEFT('Rock Climbing Log'!N147)="C",_xlfn.IFNA(VLOOKUP('Rock Climbing Log'!N147,'RC Lookup'!$A$3:$B$9,2,FALSE),0.5),VLOOKUP('Rock Climbing Log'!N147,'RC Lookup'!$G$3:$H$5,2,FALSE)),0)*VLOOKUP(M$7,'RC Lookup'!$D$3:$E$18,2,FALSE)</f>
        <v>0</v>
      </c>
      <c r="O147" s="26">
        <f>_xlfn.IFNA(IF(LEFT('Rock Climbing Log'!O147)="C",_xlfn.IFNA(VLOOKUP('Rock Climbing Log'!O147,'RC Lookup'!$A$3:$B$9,2,FALSE),0.5),VLOOKUP('Rock Climbing Log'!O147,'RC Lookup'!$G$3:$H$5,2,FALSE)),0)*VLOOKUP(M$7,'RC Lookup'!$D$3:$E$18,2,FALSE)</f>
        <v>0</v>
      </c>
      <c r="P147" s="26">
        <f>_xlfn.IFNA(IF(LEFT('Rock Climbing Log'!P147)="C",_xlfn.IFNA(VLOOKUP('Rock Climbing Log'!P147,'RC Lookup'!$A$3:$B$9,2,FALSE),0.5),VLOOKUP('Rock Climbing Log'!P147,'RC Lookup'!$G$3:$H$5,2,FALSE)),0)*VLOOKUP(P$7,'RC Lookup'!$D$3:$E$18,2,FALSE)</f>
        <v>0</v>
      </c>
      <c r="Q147" s="26">
        <f>_xlfn.IFNA(IF(LEFT('Rock Climbing Log'!Q147)="C",_xlfn.IFNA(VLOOKUP('Rock Climbing Log'!Q147,'RC Lookup'!$A$3:$B$9,2,FALSE),0.5),VLOOKUP('Rock Climbing Log'!Q147,'RC Lookup'!$G$3:$H$5,2,FALSE)),0)*VLOOKUP(P$7,'RC Lookup'!$D$3:$E$18,2,FALSE)</f>
        <v>0</v>
      </c>
      <c r="R147" s="26">
        <f>_xlfn.IFNA(IF(LEFT('Rock Climbing Log'!R147)="C",_xlfn.IFNA(VLOOKUP('Rock Climbing Log'!R147,'RC Lookup'!$A$3:$B$9,2,FALSE),0.5),VLOOKUP('Rock Climbing Log'!R147,'RC Lookup'!$G$3:$H$5,2,FALSE)),0)*VLOOKUP(P$7,'RC Lookup'!$D$3:$E$18,2,FALSE)</f>
        <v>0</v>
      </c>
      <c r="S147" s="26">
        <f>_xlfn.IFNA(IF(LEFT('Rock Climbing Log'!S147)="C",_xlfn.IFNA(VLOOKUP('Rock Climbing Log'!S147,'RC Lookup'!$A$3:$B$9,2,FALSE),0.5),VLOOKUP('Rock Climbing Log'!S147,'RC Lookup'!$G$3:$H$5,2,FALSE)),0)*VLOOKUP(S$7,'RC Lookup'!$D$3:$E$18,2,FALSE)</f>
        <v>0</v>
      </c>
      <c r="T147" s="26">
        <f>_xlfn.IFNA(IF(LEFT('Rock Climbing Log'!T147)="C",_xlfn.IFNA(VLOOKUP('Rock Climbing Log'!T147,'RC Lookup'!$A$3:$B$9,2,FALSE),0.5),VLOOKUP('Rock Climbing Log'!T147,'RC Lookup'!$G$3:$H$5,2,FALSE)),0)*VLOOKUP(S$7,'RC Lookup'!$D$3:$E$18,2,FALSE)</f>
        <v>0</v>
      </c>
      <c r="U147" s="26">
        <f>_xlfn.IFNA(IF(LEFT('Rock Climbing Log'!U147)="C",_xlfn.IFNA(VLOOKUP('Rock Climbing Log'!U147,'RC Lookup'!$A$3:$B$9,2,FALSE),0.5),VLOOKUP('Rock Climbing Log'!U147,'RC Lookup'!$G$3:$H$5,2,FALSE)),0)*VLOOKUP(S$7,'RC Lookup'!$D$3:$E$18,2,FALSE)</f>
        <v>0</v>
      </c>
      <c r="V147" s="26">
        <f>_xlfn.IFNA(IF(LEFT('Rock Climbing Log'!V147)="C",_xlfn.IFNA(VLOOKUP('Rock Climbing Log'!V147,'RC Lookup'!$A$3:$B$9,2,FALSE),0.5),VLOOKUP('Rock Climbing Log'!V147,'RC Lookup'!$G$3:$H$5,2,FALSE)),0)*VLOOKUP(V$7,'RC Lookup'!$D$3:$E$18,2,FALSE)</f>
        <v>0</v>
      </c>
      <c r="W147" s="26">
        <f>_xlfn.IFNA(IF(LEFT('Rock Climbing Log'!W147)="C",_xlfn.IFNA(VLOOKUP('Rock Climbing Log'!W147,'RC Lookup'!$A$3:$B$9,2,FALSE),0.5),VLOOKUP('Rock Climbing Log'!W147,'RC Lookup'!$G$3:$H$5,2,FALSE)),0)*VLOOKUP(V$7,'RC Lookup'!$D$3:$E$18,2,FALSE)</f>
        <v>0</v>
      </c>
      <c r="X147" s="26">
        <f>_xlfn.IFNA(IF(LEFT('Rock Climbing Log'!X147)="C",_xlfn.IFNA(VLOOKUP('Rock Climbing Log'!X147,'RC Lookup'!$A$3:$B$9,2,FALSE),0.5),VLOOKUP('Rock Climbing Log'!X147,'RC Lookup'!$G$3:$H$5,2,FALSE)),0)*VLOOKUP(V$7,'RC Lookup'!$D$3:$E$18,2,FALSE)</f>
        <v>0</v>
      </c>
      <c r="Y147" s="26">
        <f>_xlfn.IFNA(IF(LEFT('Rock Climbing Log'!Y147)="C",_xlfn.IFNA(VLOOKUP('Rock Climbing Log'!Y147,'RC Lookup'!$A$3:$B$9,2,FALSE),0.5),VLOOKUP('Rock Climbing Log'!Y147,'RC Lookup'!$G$3:$H$5,2,FALSE)),0)*VLOOKUP(Y$7,'RC Lookup'!$D$3:$E$18,2,FALSE)</f>
        <v>0</v>
      </c>
      <c r="Z147" s="26">
        <f>_xlfn.IFNA(IF(LEFT('Rock Climbing Log'!Z147)="C",_xlfn.IFNA(VLOOKUP('Rock Climbing Log'!Z147,'RC Lookup'!$A$3:$B$9,2,FALSE),0.5),VLOOKUP('Rock Climbing Log'!Z147,'RC Lookup'!$G$3:$H$5,2,FALSE)),0)*VLOOKUP(Y$7,'RC Lookup'!$D$3:$E$18,2,FALSE)</f>
        <v>0</v>
      </c>
      <c r="AA147" s="26">
        <f>_xlfn.IFNA(IF(LEFT('Rock Climbing Log'!AA147)="C",_xlfn.IFNA(VLOOKUP('Rock Climbing Log'!AA147,'RC Lookup'!$A$3:$B$9,2,FALSE),0.5),VLOOKUP('Rock Climbing Log'!AA147,'RC Lookup'!$G$3:$H$5,2,FALSE)),0)*VLOOKUP(Y$7,'RC Lookup'!$D$3:$E$18,2,FALSE)</f>
        <v>0</v>
      </c>
      <c r="AB147" s="26">
        <f>_xlfn.IFNA(IF(LEFT('Rock Climbing Log'!AB147)="C",_xlfn.IFNA(VLOOKUP('Rock Climbing Log'!AB147,'RC Lookup'!$A$3:$B$9,2,FALSE),0.5),VLOOKUP('Rock Climbing Log'!AB147,'RC Lookup'!$G$3:$H$5,2,FALSE)),0)*VLOOKUP(AB$7,'RC Lookup'!$D$3:$E$18,2,FALSE)</f>
        <v>0</v>
      </c>
      <c r="AC147" s="26">
        <f>_xlfn.IFNA(IF(LEFT('Rock Climbing Log'!AC147)="C",_xlfn.IFNA(VLOOKUP('Rock Climbing Log'!AC147,'RC Lookup'!$A$3:$B$9,2,FALSE),0.5),VLOOKUP('Rock Climbing Log'!AC147,'RC Lookup'!$G$3:$H$5,2,FALSE)),0)*VLOOKUP(AB$7,'RC Lookup'!$D$3:$E$18,2,FALSE)</f>
        <v>0</v>
      </c>
      <c r="AD147" s="26">
        <f>_xlfn.IFNA(IF(LEFT('Rock Climbing Log'!AD147)="C",_xlfn.IFNA(VLOOKUP('Rock Climbing Log'!AD147,'RC Lookup'!$A$3:$B$9,2,FALSE),0.5),VLOOKUP('Rock Climbing Log'!AD147,'RC Lookup'!$G$3:$H$5,2,FALSE)),0)*VLOOKUP(AB$7,'RC Lookup'!$D$3:$E$18,2,FALSE)</f>
        <v>0</v>
      </c>
      <c r="AE147" s="26">
        <f>_xlfn.IFNA(IF(LEFT('Rock Climbing Log'!AE147)="C",_xlfn.IFNA(VLOOKUP('Rock Climbing Log'!AE147,'RC Lookup'!$A$3:$B$9,2,FALSE),0.5),VLOOKUP('Rock Climbing Log'!AE147,'RC Lookup'!$G$3:$H$5,2,FALSE)),0)*VLOOKUP(AE$7,'RC Lookup'!$D$3:$E$18,2,FALSE)</f>
        <v>0</v>
      </c>
      <c r="AF147" s="26">
        <f>_xlfn.IFNA(IF(LEFT('Rock Climbing Log'!AF147)="C",_xlfn.IFNA(VLOOKUP('Rock Climbing Log'!AF147,'RC Lookup'!$A$3:$B$9,2,FALSE),0.5),VLOOKUP('Rock Climbing Log'!AF147,'RC Lookup'!$G$3:$H$5,2,FALSE)),0)*VLOOKUP(AE$7,'RC Lookup'!$D$3:$E$18,2,FALSE)</f>
        <v>0</v>
      </c>
      <c r="AG147" s="26">
        <f>_xlfn.IFNA(IF(LEFT('Rock Climbing Log'!AG147)="C",_xlfn.IFNA(VLOOKUP('Rock Climbing Log'!AG147,'RC Lookup'!$A$3:$B$9,2,FALSE),0.5),VLOOKUP('Rock Climbing Log'!AG147,'RC Lookup'!$G$3:$H$5,2,FALSE)),0)*VLOOKUP(AE$7,'RC Lookup'!$D$3:$E$18,2,FALSE)</f>
        <v>0</v>
      </c>
      <c r="AH147" s="26">
        <f>_xlfn.IFNA(IF(LEFT('Rock Climbing Log'!AH147)="C",_xlfn.IFNA(VLOOKUP('Rock Climbing Log'!AH147,'RC Lookup'!$A$3:$B$9,2,FALSE),0.5),VLOOKUP('Rock Climbing Log'!AH147,'RC Lookup'!$G$3:$H$5,2,FALSE)),0)*VLOOKUP(AH$7,'RC Lookup'!$D$3:$E$18,2,FALSE)</f>
        <v>0</v>
      </c>
      <c r="AI147" s="26">
        <f>_xlfn.IFNA(IF(LEFT('Rock Climbing Log'!AI147)="C",_xlfn.IFNA(VLOOKUP('Rock Climbing Log'!AI147,'RC Lookup'!$A$3:$B$9,2,FALSE),0.5),VLOOKUP('Rock Climbing Log'!AI147,'RC Lookup'!$G$3:$H$5,2,FALSE)),0)*VLOOKUP(AH$7,'RC Lookup'!$D$3:$E$18,2,FALSE)</f>
        <v>0</v>
      </c>
      <c r="AJ147" s="26">
        <f>_xlfn.IFNA(IF(LEFT('Rock Climbing Log'!AJ147)="C",_xlfn.IFNA(VLOOKUP('Rock Climbing Log'!AJ147,'RC Lookup'!$A$3:$B$9,2,FALSE),0.5),VLOOKUP('Rock Climbing Log'!AJ147,'RC Lookup'!$G$3:$H$5,2,FALSE)),0)*VLOOKUP(AH$7,'RC Lookup'!$D$3:$E$18,2,FALSE)</f>
        <v>0</v>
      </c>
      <c r="AK147" s="26">
        <f>_xlfn.IFNA(IF(LEFT('Rock Climbing Log'!AK147)="C",_xlfn.IFNA(VLOOKUP('Rock Climbing Log'!AK147,'RC Lookup'!$A$3:$B$9,2,FALSE),0.5),VLOOKUP('Rock Climbing Log'!AK147,'RC Lookup'!$G$3:$H$5,2,FALSE)),0)*VLOOKUP(AK$7,'RC Lookup'!$D$3:$E$18,2,FALSE)</f>
        <v>0</v>
      </c>
      <c r="AL147" s="26">
        <f>_xlfn.IFNA(IF(LEFT('Rock Climbing Log'!AL147)="C",_xlfn.IFNA(VLOOKUP('Rock Climbing Log'!AL147,'RC Lookup'!$A$3:$B$9,2,FALSE),0.5),VLOOKUP('Rock Climbing Log'!AL147,'RC Lookup'!$G$3:$H$5,2,FALSE)),0)*VLOOKUP(AK$7,'RC Lookup'!$D$3:$E$18,2,FALSE)</f>
        <v>0</v>
      </c>
      <c r="AM147" s="26">
        <f>_xlfn.IFNA(IF(LEFT('Rock Climbing Log'!AM147)="C",_xlfn.IFNA(VLOOKUP('Rock Climbing Log'!AM147,'RC Lookup'!$A$3:$B$9,2,FALSE),0.5),VLOOKUP('Rock Climbing Log'!AM147,'RC Lookup'!$G$3:$H$5,2,FALSE)),0)*VLOOKUP(AK$7,'RC Lookup'!$D$3:$E$18,2,FALSE)</f>
        <v>0</v>
      </c>
      <c r="AN147" s="26">
        <f>_xlfn.IFNA(IF(LEFT('Rock Climbing Log'!AN147)="C",_xlfn.IFNA(VLOOKUP('Rock Climbing Log'!AN147,'RC Lookup'!$A$3:$B$9,2,FALSE),0.5),VLOOKUP('Rock Climbing Log'!AN147,'RC Lookup'!$G$3:$H$5,2,FALSE)),0)*VLOOKUP(AN$7,'RC Lookup'!$D$3:$E$18,2,FALSE)</f>
        <v>0</v>
      </c>
      <c r="AO147" s="26">
        <f>_xlfn.IFNA(IF(LEFT('Rock Climbing Log'!AO147)="C",_xlfn.IFNA(VLOOKUP('Rock Climbing Log'!AO147,'RC Lookup'!$A$3:$B$9,2,FALSE),0.5),VLOOKUP('Rock Climbing Log'!AO147,'RC Lookup'!$G$3:$H$5,2,FALSE)),0)*VLOOKUP(AN$7,'RC Lookup'!$D$3:$E$18,2,FALSE)</f>
        <v>0</v>
      </c>
      <c r="AP147" s="26">
        <f>_xlfn.IFNA(IF(LEFT('Rock Climbing Log'!AP147)="C",_xlfn.IFNA(VLOOKUP('Rock Climbing Log'!AP147,'RC Lookup'!$A$3:$B$9,2,FALSE),0.5),VLOOKUP('Rock Climbing Log'!AP147,'RC Lookup'!$G$3:$H$5,2,FALSE)),0)*VLOOKUP(AN$7,'RC Lookup'!$D$3:$E$18,2,FALSE)</f>
        <v>0</v>
      </c>
      <c r="AQ147" s="26">
        <f>_xlfn.IFNA(IF(LEFT('Rock Climbing Log'!AQ147)="C",_xlfn.IFNA(VLOOKUP('Rock Climbing Log'!AQ147,'RC Lookup'!$A$3:$B$9,2,FALSE),0.5),VLOOKUP('Rock Climbing Log'!AQ147,'RC Lookup'!$G$3:$H$5,2,FALSE)),0)*VLOOKUP(AQ$7,'RC Lookup'!$D$3:$E$18,2,FALSE)</f>
        <v>0</v>
      </c>
      <c r="AR147" s="26">
        <f>_xlfn.IFNA(IF(LEFT('Rock Climbing Log'!AR147)="C",_xlfn.IFNA(VLOOKUP('Rock Climbing Log'!AR147,'RC Lookup'!$A$3:$B$9,2,FALSE),0.5),VLOOKUP('Rock Climbing Log'!AR147,'RC Lookup'!$G$3:$H$5,2,FALSE)),0)*VLOOKUP(AQ$7,'RC Lookup'!$D$3:$E$18,2,FALSE)</f>
        <v>0</v>
      </c>
      <c r="AS147" s="26">
        <f>_xlfn.IFNA(IF(LEFT('Rock Climbing Log'!AS147)="C",_xlfn.IFNA(VLOOKUP('Rock Climbing Log'!AS147,'RC Lookup'!$A$3:$B$9,2,FALSE),0.5),VLOOKUP('Rock Climbing Log'!AS147,'RC Lookup'!$G$3:$H$5,2,FALSE)),0)*VLOOKUP(AQ$7,'RC Lookup'!$D$3:$E$18,2,FALSE)</f>
        <v>0</v>
      </c>
      <c r="AT147" s="26">
        <f>_xlfn.IFNA(IF(LEFT('Rock Climbing Log'!AT147)="C",_xlfn.IFNA(VLOOKUP('Rock Climbing Log'!AT147,'RC Lookup'!$A$3:$B$9,2,FALSE),0.5),VLOOKUP('Rock Climbing Log'!AT147,'RC Lookup'!$G$3:$H$5,2,FALSE)),0)*VLOOKUP(AT$7,'RC Lookup'!$D$3:$E$18,2,FALSE)</f>
        <v>0</v>
      </c>
      <c r="AU147" s="26">
        <f>_xlfn.IFNA(IF(LEFT('Rock Climbing Log'!AU147)="C",_xlfn.IFNA(VLOOKUP('Rock Climbing Log'!AU147,'RC Lookup'!$A$3:$B$9,2,FALSE),0.5),VLOOKUP('Rock Climbing Log'!AU147,'RC Lookup'!$G$3:$H$5,2,FALSE)),0)*VLOOKUP(AT$7,'RC Lookup'!$D$3:$E$18,2,FALSE)</f>
        <v>0</v>
      </c>
      <c r="AV147" s="26">
        <f>_xlfn.IFNA(IF(LEFT('Rock Climbing Log'!AV147)="C",_xlfn.IFNA(VLOOKUP('Rock Climbing Log'!AV147,'RC Lookup'!$A$3:$B$9,2,FALSE),0.5),VLOOKUP('Rock Climbing Log'!AV147,'RC Lookup'!$G$3:$H$5,2,FALSE)),0)*VLOOKUP(AT$7,'RC Lookup'!$D$3:$E$18,2,FALSE)</f>
        <v>0</v>
      </c>
      <c r="AW147" s="30">
        <f t="shared" ca="1" si="5"/>
        <v>0</v>
      </c>
      <c r="AX147" s="30">
        <f ca="1">_xlfn.IFNA(VLOOKUP(SUMPRODUCT(LARGE(($C$8:$C147=Table1[[#This Row],[Climber]])*$A$8:$A147,1)),$A$8:$AW147,MATCH($AW$7,$A$7:$AW$7,FALSE),FALSE),0)/LEFT($AX$7,FIND(" ",$AX$7))+_xlfn.IFNA(VLOOKUP(SUMPRODUCT(LARGE(($C$8:$C147=Table1[[#This Row],[Climber]])*$A$8:$A147,MIN(2,COUNTIFS($C$8:$C147,$C147)))),$A$8:$AW147,MATCH($AW$7,$A$7:$AW$7,FALSE),FALSE),0)/LEFT($AX$7,FIND(" ",$AX$7))+_xlfn.IFNA(VLOOKUP(SUMPRODUCT(LARGE(($C$8:$C147=Table1[[#This Row],[Climber]])*$A$8:$A147,MIN(3,COUNTIFS($C$8:$C147,$C147)))),$A$8:$AW147,MATCH($AW$7,$A$7:$AW$7,FALSE),FALSE),0)/LEFT($AX$7,FIND(" ",$AX$7))</f>
        <v>0</v>
      </c>
      <c r="AY147" s="30">
        <f ca="1">_xlfn.IFNA(VLOOKUP(SUMPRODUCT(LARGE(($C$8:$C147=Table1[[#This Row],[Climber]])*$A$8:$A147,1)),$A$8:$AW147,MATCH($AW$7,$A$7:$AW$7,FALSE),FALSE),0)/LEFT($AY$7,FIND(" ",$AY$7))+_xlfn.IFNA(VLOOKUP(SUMPRODUCT(LARGE(($C$8:$C147=Table1[[#This Row],[Climber]])*$A$8:$A147,MIN(2,COUNTIFS($C$8:$C147,$C147)))),$A$8:$AW147,MATCH($AW$7,$A$7:$AW$7,FALSE),FALSE),0)/LEFT($AY$7,FIND(" ",$AY$7))+_xlfn.IFNA(VLOOKUP(SUMPRODUCT(LARGE(($C$8:$C147=Table1[[#This Row],[Climber]])*$A$8:$A147,MIN(3,COUNTIFS($C$8:$C147,$C147)))),$A$8:$AW147,MATCH($AW$7,$A$7:$AW$7,FALSE),FALSE),0)/LEFT($AY$7,FIND(" ",$AY$7))+_xlfn.IFNA(VLOOKUP(SUMPRODUCT(LARGE(($C$8:$C147=Table1[[#This Row],[Climber]])*$A$8:$A147,MIN(4,COUNTIFS($C$8:$C147,$C147)))),$A$8:$AW147,MATCH($AW$7,$A$7:$AW$7,FALSE),FALSE),0)/LEFT($AY$7,FIND(" ",$AY$7))+_xlfn.IFNA(VLOOKUP(SUMPRODUCT(LARGE(($C$8:$C147=Table1[[#This Row],[Climber]])*$A$8:$A147,MIN(5,COUNTIFS($C$8:$C147,$C147)))),$A$8:$AW147,MATCH($AW$7,$A$7:$AW$7,FALSE),FALSE),0)/LEFT($AY$7,FIND(" ",$AY$7))</f>
        <v>0</v>
      </c>
      <c r="AZ147" s="30">
        <f ca="1">(_xlfn.IFNA(VLOOKUP(SUMPRODUCT(LARGE(($C$8:$C147=Table1[[#This Row],[Climber]])*$A$8:$A147,4)),$A$8:$AW147,MATCH($AW$7,$A$7:$AW$7,FALSE),FALSE),0)+_xlfn.IFNA(VLOOKUP(SUMPRODUCT(LARGE(($C$8:$C147=Table1[[#This Row],[Climber]])*$A$8:$A147,5)),$A$8:$AW147,MATCH($AW$7,$A$7:$AW$7,FALSE),FALSE),0)+_xlfn.IFNA(VLOOKUP(SUMPRODUCT(LARGE(($C$8:$C147=Table1[[#This Row],[Climber]])*$A$8:$A147,6)),$A$8:$AW147,MATCH($AW$7,$A$7:$AW$7,FALSE),FALSE),0))/3</f>
        <v>0</v>
      </c>
      <c r="BA147" s="46">
        <f ca="1">_xlfn.MAXIFS(INDIRECT("$AW"&amp;IF(SUMPRODUCT(LARGE(($C$8:$C147=$C147)*$A$8:$A147,LEFT($BA$7,FIND(" ",$BA$7)-1)))=0,8,SUMPRODUCT(LARGE(($C$8:$C147=$C147)*$A$8:$A147,LEFT($BA$7,FIND(" ",$BA$7)-1)))+7)&amp;":$AW"&amp;ROW()),INDIRECT("$C"&amp;IF(SUMPRODUCT(LARGE(($C$8:$C147=$C147)*$A$8:$A147,LEFT($BA$7,FIND(" ",$BA$7)-1)))=0,8,SUMPRODUCT(LARGE(($C$8:$C147=$C147)*$A$8:$A147,LEFT($BA$7,FIND(" ",$BA$7)-1)))+7)&amp;":$C"&amp;ROW()),$C147)</f>
        <v>0</v>
      </c>
      <c r="BB147" s="46" t="str">
        <f ca="1">VLOOKUP(MAX(BG147,$AX147),'RC Lookup'!$G$14:$J$20,2,TRUE)</f>
        <v>T1</v>
      </c>
      <c r="BC147" s="46">
        <f ca="1">_xlfn.IFNA(VLOOKUP(VLOOKUP($C147,'RC Lookup'!$O$3:$P$50,2,FALSE),'RC Lookup'!$H$14:$J$23,2,FALSE),0)*AW147</f>
        <v>0</v>
      </c>
      <c r="BD147" s="6">
        <f ca="1">_xlfn.IFNA(VLOOKUP(SUMPRODUCT(LARGE(($C$8:$C147=Table1[[#This Row],[Climber]])*$A$8:$A147,1)),$A$8:$BC147,55,FALSE),0)/LEFT($AX$7,FIND(" ",$AX$7))+_xlfn.IFNA(VLOOKUP(SUMPRODUCT(LARGE(($C$8:$C147=Table1[[#This Row],[Climber]])*$A$8:$A147,MIN(2,COUNTIFS($C$8:$C147,$C147)))),$A$8:$BC147,55,FALSE),0)/LEFT($AX$7,FIND(" ",$AX$7))+_xlfn.IFNA(VLOOKUP(SUMPRODUCT(LARGE(($C$8:$C147=Table1[[#This Row],[Climber]])*$A$8:$A147,MIN(3,COUNTIFS($C$8:$C147,$C147)))),$A$8:$BC147,55,FALSE),0)/LEFT($AX$7,FIND(" ",$AX$7))</f>
        <v>0</v>
      </c>
      <c r="BE147" s="6">
        <f ca="1">(_xlfn.IFNA(VLOOKUP(SUMPRODUCT(LARGE(($C$8:$C147=Table1[[#This Row],[Climber]])*$A$8:$A147,4)),$A$8:$BD147,55,FALSE),0)+_xlfn.IFNA(VLOOKUP(SUMPRODUCT(LARGE(($C$8:$C147=Table1[[#This Row],[Climber]])*$A$8:$A147,5)),$A$8:$BD147,55,FALSE),0)+_xlfn.IFNA(VLOOKUP(SUMPRODUCT(LARGE(($C$8:$C147=Table1[[#This Row],[Climber]])*$A$8:$A147,6)),$A$8:$BD147,55,FALSE),0))/3</f>
        <v>0</v>
      </c>
      <c r="BF147" s="46">
        <f ca="1">_xlfn.MAXIFS(INDIRECT("$BC"&amp;IF(SUMPRODUCT(LARGE(($C$8:$C147=$C147)*$A$8:$A147,LEFT($BA$7,FIND(" ",$BA$7)-1)))=0,8,SUMPRODUCT(LARGE(($C$8:$C147=$C147)*$A$8:$A147,LEFT($BA$7,FIND(" ",$BA$7)-1)))+7)&amp;":$BC"&amp;ROW()),INDIRECT("$C"&amp;IF(SUMPRODUCT(LARGE(($C$8:$C147=$C147)*$A$8:$A147,LEFT($BA$7,FIND(" ",$BA$7)-1)))=0,8,SUMPRODUCT(LARGE(($C$8:$C147=$C147)*$A$8:$A147,LEFT($BA$7,FIND(" ",$BA$7)-1)))+7)&amp;":$C"&amp;ROW()),$C147)</f>
        <v>0</v>
      </c>
      <c r="BG147" s="46">
        <f t="array" aca="1" ref="BG147" ca="1">IFERROR(SUMPRODUCT(LARGE(($C$8:$C147=Table1[[#This Row],[Climber]])*$AW$8:$AW147,ROW(INDIRECT("1:5")))),AW147)/MIN(COUNTIFS($C$8:$C147,C147),5)</f>
        <v>0</v>
      </c>
    </row>
    <row r="148" spans="1:59" x14ac:dyDescent="0.3">
      <c r="A148" s="125">
        <f t="shared" si="1"/>
        <v>141</v>
      </c>
      <c r="B148" s="25">
        <f>'Rock Climbing Log'!B148</f>
        <v>0</v>
      </c>
      <c r="C148" s="126">
        <f>'Rock Climbing Log'!C148</f>
        <v>0</v>
      </c>
      <c r="D148" s="26">
        <f>_xlfn.IFNA(IF(LEFT('Rock Climbing Log'!D148)="C",_xlfn.IFNA(VLOOKUP('Rock Climbing Log'!D148,'RC Lookup'!$A$3:$B$9,2,FALSE),0.5),VLOOKUP('Rock Climbing Log'!D148,'RC Lookup'!$G$3:$H$5,2,FALSE)),0)*VLOOKUP(D$7,'RC Lookup'!$D$3:$E$18,2,FALSE)</f>
        <v>0</v>
      </c>
      <c r="E148" s="26">
        <f>_xlfn.IFNA(IF(LEFT('Rock Climbing Log'!E148)="C",_xlfn.IFNA(VLOOKUP('Rock Climbing Log'!E148,'RC Lookup'!$A$3:$B$9,2,FALSE),0.5),VLOOKUP('Rock Climbing Log'!E148,'RC Lookup'!$G$3:$H$5,2,FALSE)),0)*VLOOKUP(D$7,'RC Lookup'!$D$3:$E$18,2,FALSE)</f>
        <v>0</v>
      </c>
      <c r="F148" s="26">
        <f>_xlfn.IFNA(IF(LEFT('Rock Climbing Log'!F148)="C",_xlfn.IFNA(VLOOKUP('Rock Climbing Log'!F148,'RC Lookup'!$A$3:$B$9,2,FALSE),0.5),VLOOKUP('Rock Climbing Log'!F148,'RC Lookup'!$G$3:$H$5,2,FALSE)),0)*VLOOKUP(D$7,'RC Lookup'!$D$3:$E$18,2,FALSE)</f>
        <v>0</v>
      </c>
      <c r="G148" s="26">
        <f>_xlfn.IFNA(IF(LEFT('Rock Climbing Log'!G148)="C",_xlfn.IFNA(VLOOKUP('Rock Climbing Log'!G148,'RC Lookup'!$A$3:$B$9,2,FALSE),0.5),VLOOKUP('Rock Climbing Log'!G148,'RC Lookup'!$G$3:$H$5,2,FALSE)),0)*VLOOKUP(G$7,'RC Lookup'!$D$3:$E$18,2,FALSE)</f>
        <v>0</v>
      </c>
      <c r="H148" s="26">
        <f>_xlfn.IFNA(IF(LEFT('Rock Climbing Log'!H148)="C",_xlfn.IFNA(VLOOKUP('Rock Climbing Log'!H148,'RC Lookup'!$A$3:$B$9,2,FALSE),0.5),VLOOKUP('Rock Climbing Log'!H148,'RC Lookup'!$G$3:$H$5,2,FALSE)),0)*VLOOKUP(G$7,'RC Lookup'!$D$3:$E$18,2,FALSE)</f>
        <v>0</v>
      </c>
      <c r="I148" s="26">
        <f>_xlfn.IFNA(IF(LEFT('Rock Climbing Log'!I148)="C",_xlfn.IFNA(VLOOKUP('Rock Climbing Log'!I148,'RC Lookup'!$A$3:$B$9,2,FALSE),0.5),VLOOKUP('Rock Climbing Log'!I148,'RC Lookup'!$G$3:$H$5,2,FALSE)),0)*VLOOKUP(G$7,'RC Lookup'!$D$3:$E$18,2,FALSE)</f>
        <v>0</v>
      </c>
      <c r="J148" s="26">
        <f>_xlfn.IFNA(IF(LEFT('Rock Climbing Log'!J148)="C",_xlfn.IFNA(VLOOKUP('Rock Climbing Log'!J148,'RC Lookup'!$A$3:$B$9,2,FALSE),0.5),VLOOKUP('Rock Climbing Log'!J148,'RC Lookup'!$G$3:$H$5,2,FALSE)),0)*VLOOKUP(J$7,'RC Lookup'!$D$3:$E$18,2,FALSE)</f>
        <v>0</v>
      </c>
      <c r="K148" s="26">
        <f>_xlfn.IFNA(IF(LEFT('Rock Climbing Log'!K148)="C",_xlfn.IFNA(VLOOKUP('Rock Climbing Log'!K148,'RC Lookup'!$A$3:$B$9,2,FALSE),0.5),VLOOKUP('Rock Climbing Log'!K148,'RC Lookup'!$G$3:$H$5,2,FALSE)),0)*VLOOKUP(J$7,'RC Lookup'!$D$3:$E$18,2,FALSE)</f>
        <v>0</v>
      </c>
      <c r="L148" s="26">
        <f>_xlfn.IFNA(IF(LEFT('Rock Climbing Log'!L148)="C",_xlfn.IFNA(VLOOKUP('Rock Climbing Log'!L148,'RC Lookup'!$A$3:$B$9,2,FALSE),0.5),VLOOKUP('Rock Climbing Log'!L148,'RC Lookup'!$G$3:$H$5,2,FALSE)),0)*VLOOKUP(J$7,'RC Lookup'!$D$3:$E$18,2,FALSE)</f>
        <v>0</v>
      </c>
      <c r="M148" s="26">
        <f>_xlfn.IFNA(IF(LEFT('Rock Climbing Log'!M148)="C",_xlfn.IFNA(VLOOKUP('Rock Climbing Log'!M148,'RC Lookup'!$A$3:$B$9,2,FALSE),0.5),VLOOKUP('Rock Climbing Log'!M148,'RC Lookup'!$G$3:$H$5,2,FALSE)),0)*VLOOKUP(M$7,'RC Lookup'!$D$3:$E$18,2,FALSE)</f>
        <v>0</v>
      </c>
      <c r="N148" s="26">
        <f>_xlfn.IFNA(IF(LEFT('Rock Climbing Log'!N148)="C",_xlfn.IFNA(VLOOKUP('Rock Climbing Log'!N148,'RC Lookup'!$A$3:$B$9,2,FALSE),0.5),VLOOKUP('Rock Climbing Log'!N148,'RC Lookup'!$G$3:$H$5,2,FALSE)),0)*VLOOKUP(M$7,'RC Lookup'!$D$3:$E$18,2,FALSE)</f>
        <v>0</v>
      </c>
      <c r="O148" s="26">
        <f>_xlfn.IFNA(IF(LEFT('Rock Climbing Log'!O148)="C",_xlfn.IFNA(VLOOKUP('Rock Climbing Log'!O148,'RC Lookup'!$A$3:$B$9,2,FALSE),0.5),VLOOKUP('Rock Climbing Log'!O148,'RC Lookup'!$G$3:$H$5,2,FALSE)),0)*VLOOKUP(M$7,'RC Lookup'!$D$3:$E$18,2,FALSE)</f>
        <v>0</v>
      </c>
      <c r="P148" s="26">
        <f>_xlfn.IFNA(IF(LEFT('Rock Climbing Log'!P148)="C",_xlfn.IFNA(VLOOKUP('Rock Climbing Log'!P148,'RC Lookup'!$A$3:$B$9,2,FALSE),0.5),VLOOKUP('Rock Climbing Log'!P148,'RC Lookup'!$G$3:$H$5,2,FALSE)),0)*VLOOKUP(P$7,'RC Lookup'!$D$3:$E$18,2,FALSE)</f>
        <v>0</v>
      </c>
      <c r="Q148" s="26">
        <f>_xlfn.IFNA(IF(LEFT('Rock Climbing Log'!Q148)="C",_xlfn.IFNA(VLOOKUP('Rock Climbing Log'!Q148,'RC Lookup'!$A$3:$B$9,2,FALSE),0.5),VLOOKUP('Rock Climbing Log'!Q148,'RC Lookup'!$G$3:$H$5,2,FALSE)),0)*VLOOKUP(P$7,'RC Lookup'!$D$3:$E$18,2,FALSE)</f>
        <v>0</v>
      </c>
      <c r="R148" s="26">
        <f>_xlfn.IFNA(IF(LEFT('Rock Climbing Log'!R148)="C",_xlfn.IFNA(VLOOKUP('Rock Climbing Log'!R148,'RC Lookup'!$A$3:$B$9,2,FALSE),0.5),VLOOKUP('Rock Climbing Log'!R148,'RC Lookup'!$G$3:$H$5,2,FALSE)),0)*VLOOKUP(P$7,'RC Lookup'!$D$3:$E$18,2,FALSE)</f>
        <v>0</v>
      </c>
      <c r="S148" s="26">
        <f>_xlfn.IFNA(IF(LEFT('Rock Climbing Log'!S148)="C",_xlfn.IFNA(VLOOKUP('Rock Climbing Log'!S148,'RC Lookup'!$A$3:$B$9,2,FALSE),0.5),VLOOKUP('Rock Climbing Log'!S148,'RC Lookup'!$G$3:$H$5,2,FALSE)),0)*VLOOKUP(S$7,'RC Lookup'!$D$3:$E$18,2,FALSE)</f>
        <v>0</v>
      </c>
      <c r="T148" s="26">
        <f>_xlfn.IFNA(IF(LEFT('Rock Climbing Log'!T148)="C",_xlfn.IFNA(VLOOKUP('Rock Climbing Log'!T148,'RC Lookup'!$A$3:$B$9,2,FALSE),0.5),VLOOKUP('Rock Climbing Log'!T148,'RC Lookup'!$G$3:$H$5,2,FALSE)),0)*VLOOKUP(S$7,'RC Lookup'!$D$3:$E$18,2,FALSE)</f>
        <v>0</v>
      </c>
      <c r="U148" s="26">
        <f>_xlfn.IFNA(IF(LEFT('Rock Climbing Log'!U148)="C",_xlfn.IFNA(VLOOKUP('Rock Climbing Log'!U148,'RC Lookup'!$A$3:$B$9,2,FALSE),0.5),VLOOKUP('Rock Climbing Log'!U148,'RC Lookup'!$G$3:$H$5,2,FALSE)),0)*VLOOKUP(S$7,'RC Lookup'!$D$3:$E$18,2,FALSE)</f>
        <v>0</v>
      </c>
      <c r="V148" s="26">
        <f>_xlfn.IFNA(IF(LEFT('Rock Climbing Log'!V148)="C",_xlfn.IFNA(VLOOKUP('Rock Climbing Log'!V148,'RC Lookup'!$A$3:$B$9,2,FALSE),0.5),VLOOKUP('Rock Climbing Log'!V148,'RC Lookup'!$G$3:$H$5,2,FALSE)),0)*VLOOKUP(V$7,'RC Lookup'!$D$3:$E$18,2,FALSE)</f>
        <v>0</v>
      </c>
      <c r="W148" s="26">
        <f>_xlfn.IFNA(IF(LEFT('Rock Climbing Log'!W148)="C",_xlfn.IFNA(VLOOKUP('Rock Climbing Log'!W148,'RC Lookup'!$A$3:$B$9,2,FALSE),0.5),VLOOKUP('Rock Climbing Log'!W148,'RC Lookup'!$G$3:$H$5,2,FALSE)),0)*VLOOKUP(V$7,'RC Lookup'!$D$3:$E$18,2,FALSE)</f>
        <v>0</v>
      </c>
      <c r="X148" s="26">
        <f>_xlfn.IFNA(IF(LEFT('Rock Climbing Log'!X148)="C",_xlfn.IFNA(VLOOKUP('Rock Climbing Log'!X148,'RC Lookup'!$A$3:$B$9,2,FALSE),0.5),VLOOKUP('Rock Climbing Log'!X148,'RC Lookup'!$G$3:$H$5,2,FALSE)),0)*VLOOKUP(V$7,'RC Lookup'!$D$3:$E$18,2,FALSE)</f>
        <v>0</v>
      </c>
      <c r="Y148" s="26">
        <f>_xlfn.IFNA(IF(LEFT('Rock Climbing Log'!Y148)="C",_xlfn.IFNA(VLOOKUP('Rock Climbing Log'!Y148,'RC Lookup'!$A$3:$B$9,2,FALSE),0.5),VLOOKUP('Rock Climbing Log'!Y148,'RC Lookup'!$G$3:$H$5,2,FALSE)),0)*VLOOKUP(Y$7,'RC Lookup'!$D$3:$E$18,2,FALSE)</f>
        <v>0</v>
      </c>
      <c r="Z148" s="26">
        <f>_xlfn.IFNA(IF(LEFT('Rock Climbing Log'!Z148)="C",_xlfn.IFNA(VLOOKUP('Rock Climbing Log'!Z148,'RC Lookup'!$A$3:$B$9,2,FALSE),0.5),VLOOKUP('Rock Climbing Log'!Z148,'RC Lookup'!$G$3:$H$5,2,FALSE)),0)*VLOOKUP(Y$7,'RC Lookup'!$D$3:$E$18,2,FALSE)</f>
        <v>0</v>
      </c>
      <c r="AA148" s="26">
        <f>_xlfn.IFNA(IF(LEFT('Rock Climbing Log'!AA148)="C",_xlfn.IFNA(VLOOKUP('Rock Climbing Log'!AA148,'RC Lookup'!$A$3:$B$9,2,FALSE),0.5),VLOOKUP('Rock Climbing Log'!AA148,'RC Lookup'!$G$3:$H$5,2,FALSE)),0)*VLOOKUP(Y$7,'RC Lookup'!$D$3:$E$18,2,FALSE)</f>
        <v>0</v>
      </c>
      <c r="AB148" s="26">
        <f>_xlfn.IFNA(IF(LEFT('Rock Climbing Log'!AB148)="C",_xlfn.IFNA(VLOOKUP('Rock Climbing Log'!AB148,'RC Lookup'!$A$3:$B$9,2,FALSE),0.5),VLOOKUP('Rock Climbing Log'!AB148,'RC Lookup'!$G$3:$H$5,2,FALSE)),0)*VLOOKUP(AB$7,'RC Lookup'!$D$3:$E$18,2,FALSE)</f>
        <v>0</v>
      </c>
      <c r="AC148" s="26">
        <f>_xlfn.IFNA(IF(LEFT('Rock Climbing Log'!AC148)="C",_xlfn.IFNA(VLOOKUP('Rock Climbing Log'!AC148,'RC Lookup'!$A$3:$B$9,2,FALSE),0.5),VLOOKUP('Rock Climbing Log'!AC148,'RC Lookup'!$G$3:$H$5,2,FALSE)),0)*VLOOKUP(AB$7,'RC Lookup'!$D$3:$E$18,2,FALSE)</f>
        <v>0</v>
      </c>
      <c r="AD148" s="26">
        <f>_xlfn.IFNA(IF(LEFT('Rock Climbing Log'!AD148)="C",_xlfn.IFNA(VLOOKUP('Rock Climbing Log'!AD148,'RC Lookup'!$A$3:$B$9,2,FALSE),0.5),VLOOKUP('Rock Climbing Log'!AD148,'RC Lookup'!$G$3:$H$5,2,FALSE)),0)*VLOOKUP(AB$7,'RC Lookup'!$D$3:$E$18,2,FALSE)</f>
        <v>0</v>
      </c>
      <c r="AE148" s="26">
        <f>_xlfn.IFNA(IF(LEFT('Rock Climbing Log'!AE148)="C",_xlfn.IFNA(VLOOKUP('Rock Climbing Log'!AE148,'RC Lookup'!$A$3:$B$9,2,FALSE),0.5),VLOOKUP('Rock Climbing Log'!AE148,'RC Lookup'!$G$3:$H$5,2,FALSE)),0)*VLOOKUP(AE$7,'RC Lookup'!$D$3:$E$18,2,FALSE)</f>
        <v>0</v>
      </c>
      <c r="AF148" s="26">
        <f>_xlfn.IFNA(IF(LEFT('Rock Climbing Log'!AF148)="C",_xlfn.IFNA(VLOOKUP('Rock Climbing Log'!AF148,'RC Lookup'!$A$3:$B$9,2,FALSE),0.5),VLOOKUP('Rock Climbing Log'!AF148,'RC Lookup'!$G$3:$H$5,2,FALSE)),0)*VLOOKUP(AE$7,'RC Lookup'!$D$3:$E$18,2,FALSE)</f>
        <v>0</v>
      </c>
      <c r="AG148" s="26">
        <f>_xlfn.IFNA(IF(LEFT('Rock Climbing Log'!AG148)="C",_xlfn.IFNA(VLOOKUP('Rock Climbing Log'!AG148,'RC Lookup'!$A$3:$B$9,2,FALSE),0.5),VLOOKUP('Rock Climbing Log'!AG148,'RC Lookup'!$G$3:$H$5,2,FALSE)),0)*VLOOKUP(AE$7,'RC Lookup'!$D$3:$E$18,2,FALSE)</f>
        <v>0</v>
      </c>
      <c r="AH148" s="26">
        <f>_xlfn.IFNA(IF(LEFT('Rock Climbing Log'!AH148)="C",_xlfn.IFNA(VLOOKUP('Rock Climbing Log'!AH148,'RC Lookup'!$A$3:$B$9,2,FALSE),0.5),VLOOKUP('Rock Climbing Log'!AH148,'RC Lookup'!$G$3:$H$5,2,FALSE)),0)*VLOOKUP(AH$7,'RC Lookup'!$D$3:$E$18,2,FALSE)</f>
        <v>0</v>
      </c>
      <c r="AI148" s="26">
        <f>_xlfn.IFNA(IF(LEFT('Rock Climbing Log'!AI148)="C",_xlfn.IFNA(VLOOKUP('Rock Climbing Log'!AI148,'RC Lookup'!$A$3:$B$9,2,FALSE),0.5),VLOOKUP('Rock Climbing Log'!AI148,'RC Lookup'!$G$3:$H$5,2,FALSE)),0)*VLOOKUP(AH$7,'RC Lookup'!$D$3:$E$18,2,FALSE)</f>
        <v>0</v>
      </c>
      <c r="AJ148" s="26">
        <f>_xlfn.IFNA(IF(LEFT('Rock Climbing Log'!AJ148)="C",_xlfn.IFNA(VLOOKUP('Rock Climbing Log'!AJ148,'RC Lookup'!$A$3:$B$9,2,FALSE),0.5),VLOOKUP('Rock Climbing Log'!AJ148,'RC Lookup'!$G$3:$H$5,2,FALSE)),0)*VLOOKUP(AH$7,'RC Lookup'!$D$3:$E$18,2,FALSE)</f>
        <v>0</v>
      </c>
      <c r="AK148" s="26">
        <f>_xlfn.IFNA(IF(LEFT('Rock Climbing Log'!AK148)="C",_xlfn.IFNA(VLOOKUP('Rock Climbing Log'!AK148,'RC Lookup'!$A$3:$B$9,2,FALSE),0.5),VLOOKUP('Rock Climbing Log'!AK148,'RC Lookup'!$G$3:$H$5,2,FALSE)),0)*VLOOKUP(AK$7,'RC Lookup'!$D$3:$E$18,2,FALSE)</f>
        <v>0</v>
      </c>
      <c r="AL148" s="26">
        <f>_xlfn.IFNA(IF(LEFT('Rock Climbing Log'!AL148)="C",_xlfn.IFNA(VLOOKUP('Rock Climbing Log'!AL148,'RC Lookup'!$A$3:$B$9,2,FALSE),0.5),VLOOKUP('Rock Climbing Log'!AL148,'RC Lookup'!$G$3:$H$5,2,FALSE)),0)*VLOOKUP(AK$7,'RC Lookup'!$D$3:$E$18,2,FALSE)</f>
        <v>0</v>
      </c>
      <c r="AM148" s="26">
        <f>_xlfn.IFNA(IF(LEFT('Rock Climbing Log'!AM148)="C",_xlfn.IFNA(VLOOKUP('Rock Climbing Log'!AM148,'RC Lookup'!$A$3:$B$9,2,FALSE),0.5),VLOOKUP('Rock Climbing Log'!AM148,'RC Lookup'!$G$3:$H$5,2,FALSE)),0)*VLOOKUP(AK$7,'RC Lookup'!$D$3:$E$18,2,FALSE)</f>
        <v>0</v>
      </c>
      <c r="AN148" s="26">
        <f>_xlfn.IFNA(IF(LEFT('Rock Climbing Log'!AN148)="C",_xlfn.IFNA(VLOOKUP('Rock Climbing Log'!AN148,'RC Lookup'!$A$3:$B$9,2,FALSE),0.5),VLOOKUP('Rock Climbing Log'!AN148,'RC Lookup'!$G$3:$H$5,2,FALSE)),0)*VLOOKUP(AN$7,'RC Lookup'!$D$3:$E$18,2,FALSE)</f>
        <v>0</v>
      </c>
      <c r="AO148" s="26">
        <f>_xlfn.IFNA(IF(LEFT('Rock Climbing Log'!AO148)="C",_xlfn.IFNA(VLOOKUP('Rock Climbing Log'!AO148,'RC Lookup'!$A$3:$B$9,2,FALSE),0.5),VLOOKUP('Rock Climbing Log'!AO148,'RC Lookup'!$G$3:$H$5,2,FALSE)),0)*VLOOKUP(AN$7,'RC Lookup'!$D$3:$E$18,2,FALSE)</f>
        <v>0</v>
      </c>
      <c r="AP148" s="26">
        <f>_xlfn.IFNA(IF(LEFT('Rock Climbing Log'!AP148)="C",_xlfn.IFNA(VLOOKUP('Rock Climbing Log'!AP148,'RC Lookup'!$A$3:$B$9,2,FALSE),0.5),VLOOKUP('Rock Climbing Log'!AP148,'RC Lookup'!$G$3:$H$5,2,FALSE)),0)*VLOOKUP(AN$7,'RC Lookup'!$D$3:$E$18,2,FALSE)</f>
        <v>0</v>
      </c>
      <c r="AQ148" s="26">
        <f>_xlfn.IFNA(IF(LEFT('Rock Climbing Log'!AQ148)="C",_xlfn.IFNA(VLOOKUP('Rock Climbing Log'!AQ148,'RC Lookup'!$A$3:$B$9,2,FALSE),0.5),VLOOKUP('Rock Climbing Log'!AQ148,'RC Lookup'!$G$3:$H$5,2,FALSE)),0)*VLOOKUP(AQ$7,'RC Lookup'!$D$3:$E$18,2,FALSE)</f>
        <v>0</v>
      </c>
      <c r="AR148" s="26">
        <f>_xlfn.IFNA(IF(LEFT('Rock Climbing Log'!AR148)="C",_xlfn.IFNA(VLOOKUP('Rock Climbing Log'!AR148,'RC Lookup'!$A$3:$B$9,2,FALSE),0.5),VLOOKUP('Rock Climbing Log'!AR148,'RC Lookup'!$G$3:$H$5,2,FALSE)),0)*VLOOKUP(AQ$7,'RC Lookup'!$D$3:$E$18,2,FALSE)</f>
        <v>0</v>
      </c>
      <c r="AS148" s="26">
        <f>_xlfn.IFNA(IF(LEFT('Rock Climbing Log'!AS148)="C",_xlfn.IFNA(VLOOKUP('Rock Climbing Log'!AS148,'RC Lookup'!$A$3:$B$9,2,FALSE),0.5),VLOOKUP('Rock Climbing Log'!AS148,'RC Lookup'!$G$3:$H$5,2,FALSE)),0)*VLOOKUP(AQ$7,'RC Lookup'!$D$3:$E$18,2,FALSE)</f>
        <v>0</v>
      </c>
      <c r="AT148" s="26">
        <f>_xlfn.IFNA(IF(LEFT('Rock Climbing Log'!AT148)="C",_xlfn.IFNA(VLOOKUP('Rock Climbing Log'!AT148,'RC Lookup'!$A$3:$B$9,2,FALSE),0.5),VLOOKUP('Rock Climbing Log'!AT148,'RC Lookup'!$G$3:$H$5,2,FALSE)),0)*VLOOKUP(AT$7,'RC Lookup'!$D$3:$E$18,2,FALSE)</f>
        <v>0</v>
      </c>
      <c r="AU148" s="26">
        <f>_xlfn.IFNA(IF(LEFT('Rock Climbing Log'!AU148)="C",_xlfn.IFNA(VLOOKUP('Rock Climbing Log'!AU148,'RC Lookup'!$A$3:$B$9,2,FALSE),0.5),VLOOKUP('Rock Climbing Log'!AU148,'RC Lookup'!$G$3:$H$5,2,FALSE)),0)*VLOOKUP(AT$7,'RC Lookup'!$D$3:$E$18,2,FALSE)</f>
        <v>0</v>
      </c>
      <c r="AV148" s="26">
        <f>_xlfn.IFNA(IF(LEFT('Rock Climbing Log'!AV148)="C",_xlfn.IFNA(VLOOKUP('Rock Climbing Log'!AV148,'RC Lookup'!$A$3:$B$9,2,FALSE),0.5),VLOOKUP('Rock Climbing Log'!AV148,'RC Lookup'!$G$3:$H$5,2,FALSE)),0)*VLOOKUP(AT$7,'RC Lookup'!$D$3:$E$18,2,FALSE)</f>
        <v>0</v>
      </c>
      <c r="AW148" s="30">
        <f t="shared" ca="1" si="5"/>
        <v>0</v>
      </c>
      <c r="AX148" s="30">
        <f ca="1">_xlfn.IFNA(VLOOKUP(SUMPRODUCT(LARGE(($C$8:$C148=Table1[[#This Row],[Climber]])*$A$8:$A148,1)),$A$8:$AW148,MATCH($AW$7,$A$7:$AW$7,FALSE),FALSE),0)/LEFT($AX$7,FIND(" ",$AX$7))+_xlfn.IFNA(VLOOKUP(SUMPRODUCT(LARGE(($C$8:$C148=Table1[[#This Row],[Climber]])*$A$8:$A148,MIN(2,COUNTIFS($C$8:$C148,$C148)))),$A$8:$AW148,MATCH($AW$7,$A$7:$AW$7,FALSE),FALSE),0)/LEFT($AX$7,FIND(" ",$AX$7))+_xlfn.IFNA(VLOOKUP(SUMPRODUCT(LARGE(($C$8:$C148=Table1[[#This Row],[Climber]])*$A$8:$A148,MIN(3,COUNTIFS($C$8:$C148,$C148)))),$A$8:$AW148,MATCH($AW$7,$A$7:$AW$7,FALSE),FALSE),0)/LEFT($AX$7,FIND(" ",$AX$7))</f>
        <v>0</v>
      </c>
      <c r="AY148" s="30">
        <f ca="1">_xlfn.IFNA(VLOOKUP(SUMPRODUCT(LARGE(($C$8:$C148=Table1[[#This Row],[Climber]])*$A$8:$A148,1)),$A$8:$AW148,MATCH($AW$7,$A$7:$AW$7,FALSE),FALSE),0)/LEFT($AY$7,FIND(" ",$AY$7))+_xlfn.IFNA(VLOOKUP(SUMPRODUCT(LARGE(($C$8:$C148=Table1[[#This Row],[Climber]])*$A$8:$A148,MIN(2,COUNTIFS($C$8:$C148,$C148)))),$A$8:$AW148,MATCH($AW$7,$A$7:$AW$7,FALSE),FALSE),0)/LEFT($AY$7,FIND(" ",$AY$7))+_xlfn.IFNA(VLOOKUP(SUMPRODUCT(LARGE(($C$8:$C148=Table1[[#This Row],[Climber]])*$A$8:$A148,MIN(3,COUNTIFS($C$8:$C148,$C148)))),$A$8:$AW148,MATCH($AW$7,$A$7:$AW$7,FALSE),FALSE),0)/LEFT($AY$7,FIND(" ",$AY$7))+_xlfn.IFNA(VLOOKUP(SUMPRODUCT(LARGE(($C$8:$C148=Table1[[#This Row],[Climber]])*$A$8:$A148,MIN(4,COUNTIFS($C$8:$C148,$C148)))),$A$8:$AW148,MATCH($AW$7,$A$7:$AW$7,FALSE),FALSE),0)/LEFT($AY$7,FIND(" ",$AY$7))+_xlfn.IFNA(VLOOKUP(SUMPRODUCT(LARGE(($C$8:$C148=Table1[[#This Row],[Climber]])*$A$8:$A148,MIN(5,COUNTIFS($C$8:$C148,$C148)))),$A$8:$AW148,MATCH($AW$7,$A$7:$AW$7,FALSE),FALSE),0)/LEFT($AY$7,FIND(" ",$AY$7))</f>
        <v>0</v>
      </c>
      <c r="AZ148" s="30">
        <f ca="1">(_xlfn.IFNA(VLOOKUP(SUMPRODUCT(LARGE(($C$8:$C148=Table1[[#This Row],[Climber]])*$A$8:$A148,4)),$A$8:$AW148,MATCH($AW$7,$A$7:$AW$7,FALSE),FALSE),0)+_xlfn.IFNA(VLOOKUP(SUMPRODUCT(LARGE(($C$8:$C148=Table1[[#This Row],[Climber]])*$A$8:$A148,5)),$A$8:$AW148,MATCH($AW$7,$A$7:$AW$7,FALSE),FALSE),0)+_xlfn.IFNA(VLOOKUP(SUMPRODUCT(LARGE(($C$8:$C148=Table1[[#This Row],[Climber]])*$A$8:$A148,6)),$A$8:$AW148,MATCH($AW$7,$A$7:$AW$7,FALSE),FALSE),0))/3</f>
        <v>0</v>
      </c>
      <c r="BA148" s="46">
        <f ca="1">_xlfn.MAXIFS(INDIRECT("$AW"&amp;IF(SUMPRODUCT(LARGE(($C$8:$C148=$C148)*$A$8:$A148,LEFT($BA$7,FIND(" ",$BA$7)-1)))=0,8,SUMPRODUCT(LARGE(($C$8:$C148=$C148)*$A$8:$A148,LEFT($BA$7,FIND(" ",$BA$7)-1)))+7)&amp;":$AW"&amp;ROW()),INDIRECT("$C"&amp;IF(SUMPRODUCT(LARGE(($C$8:$C148=$C148)*$A$8:$A148,LEFT($BA$7,FIND(" ",$BA$7)-1)))=0,8,SUMPRODUCT(LARGE(($C$8:$C148=$C148)*$A$8:$A148,LEFT($BA$7,FIND(" ",$BA$7)-1)))+7)&amp;":$C"&amp;ROW()),$C148)</f>
        <v>0</v>
      </c>
      <c r="BB148" s="46" t="str">
        <f ca="1">VLOOKUP(MAX(BG148,$AX148),'RC Lookup'!$G$14:$J$20,2,TRUE)</f>
        <v>T1</v>
      </c>
      <c r="BC148" s="46">
        <f ca="1">_xlfn.IFNA(VLOOKUP(VLOOKUP($C148,'RC Lookup'!$O$3:$P$50,2,FALSE),'RC Lookup'!$H$14:$J$23,2,FALSE),0)*AW148</f>
        <v>0</v>
      </c>
      <c r="BD148" s="6">
        <f ca="1">_xlfn.IFNA(VLOOKUP(SUMPRODUCT(LARGE(($C$8:$C148=Table1[[#This Row],[Climber]])*$A$8:$A148,1)),$A$8:$BC148,55,FALSE),0)/LEFT($AX$7,FIND(" ",$AX$7))+_xlfn.IFNA(VLOOKUP(SUMPRODUCT(LARGE(($C$8:$C148=Table1[[#This Row],[Climber]])*$A$8:$A148,MIN(2,COUNTIFS($C$8:$C148,$C148)))),$A$8:$BC148,55,FALSE),0)/LEFT($AX$7,FIND(" ",$AX$7))+_xlfn.IFNA(VLOOKUP(SUMPRODUCT(LARGE(($C$8:$C148=Table1[[#This Row],[Climber]])*$A$8:$A148,MIN(3,COUNTIFS($C$8:$C148,$C148)))),$A$8:$BC148,55,FALSE),0)/LEFT($AX$7,FIND(" ",$AX$7))</f>
        <v>0</v>
      </c>
      <c r="BE148" s="6">
        <f ca="1">(_xlfn.IFNA(VLOOKUP(SUMPRODUCT(LARGE(($C$8:$C148=Table1[[#This Row],[Climber]])*$A$8:$A148,4)),$A$8:$BD148,55,FALSE),0)+_xlfn.IFNA(VLOOKUP(SUMPRODUCT(LARGE(($C$8:$C148=Table1[[#This Row],[Climber]])*$A$8:$A148,5)),$A$8:$BD148,55,FALSE),0)+_xlfn.IFNA(VLOOKUP(SUMPRODUCT(LARGE(($C$8:$C148=Table1[[#This Row],[Climber]])*$A$8:$A148,6)),$A$8:$BD148,55,FALSE),0))/3</f>
        <v>0</v>
      </c>
      <c r="BF148" s="46">
        <f ca="1">_xlfn.MAXIFS(INDIRECT("$BC"&amp;IF(SUMPRODUCT(LARGE(($C$8:$C148=$C148)*$A$8:$A148,LEFT($BA$7,FIND(" ",$BA$7)-1)))=0,8,SUMPRODUCT(LARGE(($C$8:$C148=$C148)*$A$8:$A148,LEFT($BA$7,FIND(" ",$BA$7)-1)))+7)&amp;":$BC"&amp;ROW()),INDIRECT("$C"&amp;IF(SUMPRODUCT(LARGE(($C$8:$C148=$C148)*$A$8:$A148,LEFT($BA$7,FIND(" ",$BA$7)-1)))=0,8,SUMPRODUCT(LARGE(($C$8:$C148=$C148)*$A$8:$A148,LEFT($BA$7,FIND(" ",$BA$7)-1)))+7)&amp;":$C"&amp;ROW()),$C148)</f>
        <v>0</v>
      </c>
      <c r="BG148" s="46">
        <f t="array" aca="1" ref="BG148" ca="1">IFERROR(SUMPRODUCT(LARGE(($C$8:$C148=Table1[[#This Row],[Climber]])*$AW$8:$AW148,ROW(INDIRECT("1:5")))),AW148)/MIN(COUNTIFS($C$8:$C148,C148),5)</f>
        <v>0</v>
      </c>
    </row>
    <row r="149" spans="1:59" x14ac:dyDescent="0.3">
      <c r="A149" s="125">
        <f t="shared" si="1"/>
        <v>142</v>
      </c>
      <c r="B149" s="25">
        <f>'Rock Climbing Log'!B149</f>
        <v>0</v>
      </c>
      <c r="C149" s="126">
        <f>'Rock Climbing Log'!C149</f>
        <v>0</v>
      </c>
      <c r="D149" s="26">
        <f>_xlfn.IFNA(IF(LEFT('Rock Climbing Log'!D149)="C",_xlfn.IFNA(VLOOKUP('Rock Climbing Log'!D149,'RC Lookup'!$A$3:$B$9,2,FALSE),0.5),VLOOKUP('Rock Climbing Log'!D149,'RC Lookup'!$G$3:$H$5,2,FALSE)),0)*VLOOKUP(D$7,'RC Lookup'!$D$3:$E$18,2,FALSE)</f>
        <v>0</v>
      </c>
      <c r="E149" s="26">
        <f>_xlfn.IFNA(IF(LEFT('Rock Climbing Log'!E149)="C",_xlfn.IFNA(VLOOKUP('Rock Climbing Log'!E149,'RC Lookup'!$A$3:$B$9,2,FALSE),0.5),VLOOKUP('Rock Climbing Log'!E149,'RC Lookup'!$G$3:$H$5,2,FALSE)),0)*VLOOKUP(D$7,'RC Lookup'!$D$3:$E$18,2,FALSE)</f>
        <v>0</v>
      </c>
      <c r="F149" s="26">
        <f>_xlfn.IFNA(IF(LEFT('Rock Climbing Log'!F149)="C",_xlfn.IFNA(VLOOKUP('Rock Climbing Log'!F149,'RC Lookup'!$A$3:$B$9,2,FALSE),0.5),VLOOKUP('Rock Climbing Log'!F149,'RC Lookup'!$G$3:$H$5,2,FALSE)),0)*VLOOKUP(D$7,'RC Lookup'!$D$3:$E$18,2,FALSE)</f>
        <v>0</v>
      </c>
      <c r="G149" s="26">
        <f>_xlfn.IFNA(IF(LEFT('Rock Climbing Log'!G149)="C",_xlfn.IFNA(VLOOKUP('Rock Climbing Log'!G149,'RC Lookup'!$A$3:$B$9,2,FALSE),0.5),VLOOKUP('Rock Climbing Log'!G149,'RC Lookup'!$G$3:$H$5,2,FALSE)),0)*VLOOKUP(G$7,'RC Lookup'!$D$3:$E$18,2,FALSE)</f>
        <v>0</v>
      </c>
      <c r="H149" s="26">
        <f>_xlfn.IFNA(IF(LEFT('Rock Climbing Log'!H149)="C",_xlfn.IFNA(VLOOKUP('Rock Climbing Log'!H149,'RC Lookup'!$A$3:$B$9,2,FALSE),0.5),VLOOKUP('Rock Climbing Log'!H149,'RC Lookup'!$G$3:$H$5,2,FALSE)),0)*VLOOKUP(G$7,'RC Lookup'!$D$3:$E$18,2,FALSE)</f>
        <v>0</v>
      </c>
      <c r="I149" s="26">
        <f>_xlfn.IFNA(IF(LEFT('Rock Climbing Log'!I149)="C",_xlfn.IFNA(VLOOKUP('Rock Climbing Log'!I149,'RC Lookup'!$A$3:$B$9,2,FALSE),0.5),VLOOKUP('Rock Climbing Log'!I149,'RC Lookup'!$G$3:$H$5,2,FALSE)),0)*VLOOKUP(G$7,'RC Lookup'!$D$3:$E$18,2,FALSE)</f>
        <v>0</v>
      </c>
      <c r="J149" s="26">
        <f>_xlfn.IFNA(IF(LEFT('Rock Climbing Log'!J149)="C",_xlfn.IFNA(VLOOKUP('Rock Climbing Log'!J149,'RC Lookup'!$A$3:$B$9,2,FALSE),0.5),VLOOKUP('Rock Climbing Log'!J149,'RC Lookup'!$G$3:$H$5,2,FALSE)),0)*VLOOKUP(J$7,'RC Lookup'!$D$3:$E$18,2,FALSE)</f>
        <v>0</v>
      </c>
      <c r="K149" s="26">
        <f>_xlfn.IFNA(IF(LEFT('Rock Climbing Log'!K149)="C",_xlfn.IFNA(VLOOKUP('Rock Climbing Log'!K149,'RC Lookup'!$A$3:$B$9,2,FALSE),0.5),VLOOKUP('Rock Climbing Log'!K149,'RC Lookup'!$G$3:$H$5,2,FALSE)),0)*VLOOKUP(J$7,'RC Lookup'!$D$3:$E$18,2,FALSE)</f>
        <v>0</v>
      </c>
      <c r="L149" s="26">
        <f>_xlfn.IFNA(IF(LEFT('Rock Climbing Log'!L149)="C",_xlfn.IFNA(VLOOKUP('Rock Climbing Log'!L149,'RC Lookup'!$A$3:$B$9,2,FALSE),0.5),VLOOKUP('Rock Climbing Log'!L149,'RC Lookup'!$G$3:$H$5,2,FALSE)),0)*VLOOKUP(J$7,'RC Lookup'!$D$3:$E$18,2,FALSE)</f>
        <v>0</v>
      </c>
      <c r="M149" s="26">
        <f>_xlfn.IFNA(IF(LEFT('Rock Climbing Log'!M149)="C",_xlfn.IFNA(VLOOKUP('Rock Climbing Log'!M149,'RC Lookup'!$A$3:$B$9,2,FALSE),0.5),VLOOKUP('Rock Climbing Log'!M149,'RC Lookup'!$G$3:$H$5,2,FALSE)),0)*VLOOKUP(M$7,'RC Lookup'!$D$3:$E$18,2,FALSE)</f>
        <v>0</v>
      </c>
      <c r="N149" s="26">
        <f>_xlfn.IFNA(IF(LEFT('Rock Climbing Log'!N149)="C",_xlfn.IFNA(VLOOKUP('Rock Climbing Log'!N149,'RC Lookup'!$A$3:$B$9,2,FALSE),0.5),VLOOKUP('Rock Climbing Log'!N149,'RC Lookup'!$G$3:$H$5,2,FALSE)),0)*VLOOKUP(M$7,'RC Lookup'!$D$3:$E$18,2,FALSE)</f>
        <v>0</v>
      </c>
      <c r="O149" s="26">
        <f>_xlfn.IFNA(IF(LEFT('Rock Climbing Log'!O149)="C",_xlfn.IFNA(VLOOKUP('Rock Climbing Log'!O149,'RC Lookup'!$A$3:$B$9,2,FALSE),0.5),VLOOKUP('Rock Climbing Log'!O149,'RC Lookup'!$G$3:$H$5,2,FALSE)),0)*VLOOKUP(M$7,'RC Lookup'!$D$3:$E$18,2,FALSE)</f>
        <v>0</v>
      </c>
      <c r="P149" s="26">
        <f>_xlfn.IFNA(IF(LEFT('Rock Climbing Log'!P149)="C",_xlfn.IFNA(VLOOKUP('Rock Climbing Log'!P149,'RC Lookup'!$A$3:$B$9,2,FALSE),0.5),VLOOKUP('Rock Climbing Log'!P149,'RC Lookup'!$G$3:$H$5,2,FALSE)),0)*VLOOKUP(P$7,'RC Lookup'!$D$3:$E$18,2,FALSE)</f>
        <v>0</v>
      </c>
      <c r="Q149" s="26">
        <f>_xlfn.IFNA(IF(LEFT('Rock Climbing Log'!Q149)="C",_xlfn.IFNA(VLOOKUP('Rock Climbing Log'!Q149,'RC Lookup'!$A$3:$B$9,2,FALSE),0.5),VLOOKUP('Rock Climbing Log'!Q149,'RC Lookup'!$G$3:$H$5,2,FALSE)),0)*VLOOKUP(P$7,'RC Lookup'!$D$3:$E$18,2,FALSE)</f>
        <v>0</v>
      </c>
      <c r="R149" s="26">
        <f>_xlfn.IFNA(IF(LEFT('Rock Climbing Log'!R149)="C",_xlfn.IFNA(VLOOKUP('Rock Climbing Log'!R149,'RC Lookup'!$A$3:$B$9,2,FALSE),0.5),VLOOKUP('Rock Climbing Log'!R149,'RC Lookup'!$G$3:$H$5,2,FALSE)),0)*VLOOKUP(P$7,'RC Lookup'!$D$3:$E$18,2,FALSE)</f>
        <v>0</v>
      </c>
      <c r="S149" s="26">
        <f>_xlfn.IFNA(IF(LEFT('Rock Climbing Log'!S149)="C",_xlfn.IFNA(VLOOKUP('Rock Climbing Log'!S149,'RC Lookup'!$A$3:$B$9,2,FALSE),0.5),VLOOKUP('Rock Climbing Log'!S149,'RC Lookup'!$G$3:$H$5,2,FALSE)),0)*VLOOKUP(S$7,'RC Lookup'!$D$3:$E$18,2,FALSE)</f>
        <v>0</v>
      </c>
      <c r="T149" s="26">
        <f>_xlfn.IFNA(IF(LEFT('Rock Climbing Log'!T149)="C",_xlfn.IFNA(VLOOKUP('Rock Climbing Log'!T149,'RC Lookup'!$A$3:$B$9,2,FALSE),0.5),VLOOKUP('Rock Climbing Log'!T149,'RC Lookup'!$G$3:$H$5,2,FALSE)),0)*VLOOKUP(S$7,'RC Lookup'!$D$3:$E$18,2,FALSE)</f>
        <v>0</v>
      </c>
      <c r="U149" s="26">
        <f>_xlfn.IFNA(IF(LEFT('Rock Climbing Log'!U149)="C",_xlfn.IFNA(VLOOKUP('Rock Climbing Log'!U149,'RC Lookup'!$A$3:$B$9,2,FALSE),0.5),VLOOKUP('Rock Climbing Log'!U149,'RC Lookup'!$G$3:$H$5,2,FALSE)),0)*VLOOKUP(S$7,'RC Lookup'!$D$3:$E$18,2,FALSE)</f>
        <v>0</v>
      </c>
      <c r="V149" s="26">
        <f>_xlfn.IFNA(IF(LEFT('Rock Climbing Log'!V149)="C",_xlfn.IFNA(VLOOKUP('Rock Climbing Log'!V149,'RC Lookup'!$A$3:$B$9,2,FALSE),0.5),VLOOKUP('Rock Climbing Log'!V149,'RC Lookup'!$G$3:$H$5,2,FALSE)),0)*VLOOKUP(V$7,'RC Lookup'!$D$3:$E$18,2,FALSE)</f>
        <v>0</v>
      </c>
      <c r="W149" s="26">
        <f>_xlfn.IFNA(IF(LEFT('Rock Climbing Log'!W149)="C",_xlfn.IFNA(VLOOKUP('Rock Climbing Log'!W149,'RC Lookup'!$A$3:$B$9,2,FALSE),0.5),VLOOKUP('Rock Climbing Log'!W149,'RC Lookup'!$G$3:$H$5,2,FALSE)),0)*VLOOKUP(V$7,'RC Lookup'!$D$3:$E$18,2,FALSE)</f>
        <v>0</v>
      </c>
      <c r="X149" s="26">
        <f>_xlfn.IFNA(IF(LEFT('Rock Climbing Log'!X149)="C",_xlfn.IFNA(VLOOKUP('Rock Climbing Log'!X149,'RC Lookup'!$A$3:$B$9,2,FALSE),0.5),VLOOKUP('Rock Climbing Log'!X149,'RC Lookup'!$G$3:$H$5,2,FALSE)),0)*VLOOKUP(V$7,'RC Lookup'!$D$3:$E$18,2,FALSE)</f>
        <v>0</v>
      </c>
      <c r="Y149" s="26">
        <f>_xlfn.IFNA(IF(LEFT('Rock Climbing Log'!Y149)="C",_xlfn.IFNA(VLOOKUP('Rock Climbing Log'!Y149,'RC Lookup'!$A$3:$B$9,2,FALSE),0.5),VLOOKUP('Rock Climbing Log'!Y149,'RC Lookup'!$G$3:$H$5,2,FALSE)),0)*VLOOKUP(Y$7,'RC Lookup'!$D$3:$E$18,2,FALSE)</f>
        <v>0</v>
      </c>
      <c r="Z149" s="26">
        <f>_xlfn.IFNA(IF(LEFT('Rock Climbing Log'!Z149)="C",_xlfn.IFNA(VLOOKUP('Rock Climbing Log'!Z149,'RC Lookup'!$A$3:$B$9,2,FALSE),0.5),VLOOKUP('Rock Climbing Log'!Z149,'RC Lookup'!$G$3:$H$5,2,FALSE)),0)*VLOOKUP(Y$7,'RC Lookup'!$D$3:$E$18,2,FALSE)</f>
        <v>0</v>
      </c>
      <c r="AA149" s="26">
        <f>_xlfn.IFNA(IF(LEFT('Rock Climbing Log'!AA149)="C",_xlfn.IFNA(VLOOKUP('Rock Climbing Log'!AA149,'RC Lookup'!$A$3:$B$9,2,FALSE),0.5),VLOOKUP('Rock Climbing Log'!AA149,'RC Lookup'!$G$3:$H$5,2,FALSE)),0)*VLOOKUP(Y$7,'RC Lookup'!$D$3:$E$18,2,FALSE)</f>
        <v>0</v>
      </c>
      <c r="AB149" s="26">
        <f>_xlfn.IFNA(IF(LEFT('Rock Climbing Log'!AB149)="C",_xlfn.IFNA(VLOOKUP('Rock Climbing Log'!AB149,'RC Lookup'!$A$3:$B$9,2,FALSE),0.5),VLOOKUP('Rock Climbing Log'!AB149,'RC Lookup'!$G$3:$H$5,2,FALSE)),0)*VLOOKUP(AB$7,'RC Lookup'!$D$3:$E$18,2,FALSE)</f>
        <v>0</v>
      </c>
      <c r="AC149" s="26">
        <f>_xlfn.IFNA(IF(LEFT('Rock Climbing Log'!AC149)="C",_xlfn.IFNA(VLOOKUP('Rock Climbing Log'!AC149,'RC Lookup'!$A$3:$B$9,2,FALSE),0.5),VLOOKUP('Rock Climbing Log'!AC149,'RC Lookup'!$G$3:$H$5,2,FALSE)),0)*VLOOKUP(AB$7,'RC Lookup'!$D$3:$E$18,2,FALSE)</f>
        <v>0</v>
      </c>
      <c r="AD149" s="26">
        <f>_xlfn.IFNA(IF(LEFT('Rock Climbing Log'!AD149)="C",_xlfn.IFNA(VLOOKUP('Rock Climbing Log'!AD149,'RC Lookup'!$A$3:$B$9,2,FALSE),0.5),VLOOKUP('Rock Climbing Log'!AD149,'RC Lookup'!$G$3:$H$5,2,FALSE)),0)*VLOOKUP(AB$7,'RC Lookup'!$D$3:$E$18,2,FALSE)</f>
        <v>0</v>
      </c>
      <c r="AE149" s="26">
        <f>_xlfn.IFNA(IF(LEFT('Rock Climbing Log'!AE149)="C",_xlfn.IFNA(VLOOKUP('Rock Climbing Log'!AE149,'RC Lookup'!$A$3:$B$9,2,FALSE),0.5),VLOOKUP('Rock Climbing Log'!AE149,'RC Lookup'!$G$3:$H$5,2,FALSE)),0)*VLOOKUP(AE$7,'RC Lookup'!$D$3:$E$18,2,FALSE)</f>
        <v>0</v>
      </c>
      <c r="AF149" s="26">
        <f>_xlfn.IFNA(IF(LEFT('Rock Climbing Log'!AF149)="C",_xlfn.IFNA(VLOOKUP('Rock Climbing Log'!AF149,'RC Lookup'!$A$3:$B$9,2,FALSE),0.5),VLOOKUP('Rock Climbing Log'!AF149,'RC Lookup'!$G$3:$H$5,2,FALSE)),0)*VLOOKUP(AE$7,'RC Lookup'!$D$3:$E$18,2,FALSE)</f>
        <v>0</v>
      </c>
      <c r="AG149" s="26">
        <f>_xlfn.IFNA(IF(LEFT('Rock Climbing Log'!AG149)="C",_xlfn.IFNA(VLOOKUP('Rock Climbing Log'!AG149,'RC Lookup'!$A$3:$B$9,2,FALSE),0.5),VLOOKUP('Rock Climbing Log'!AG149,'RC Lookup'!$G$3:$H$5,2,FALSE)),0)*VLOOKUP(AE$7,'RC Lookup'!$D$3:$E$18,2,FALSE)</f>
        <v>0</v>
      </c>
      <c r="AH149" s="26">
        <f>_xlfn.IFNA(IF(LEFT('Rock Climbing Log'!AH149)="C",_xlfn.IFNA(VLOOKUP('Rock Climbing Log'!AH149,'RC Lookup'!$A$3:$B$9,2,FALSE),0.5),VLOOKUP('Rock Climbing Log'!AH149,'RC Lookup'!$G$3:$H$5,2,FALSE)),0)*VLOOKUP(AH$7,'RC Lookup'!$D$3:$E$18,2,FALSE)</f>
        <v>0</v>
      </c>
      <c r="AI149" s="26">
        <f>_xlfn.IFNA(IF(LEFT('Rock Climbing Log'!AI149)="C",_xlfn.IFNA(VLOOKUP('Rock Climbing Log'!AI149,'RC Lookup'!$A$3:$B$9,2,FALSE),0.5),VLOOKUP('Rock Climbing Log'!AI149,'RC Lookup'!$G$3:$H$5,2,FALSE)),0)*VLOOKUP(AH$7,'RC Lookup'!$D$3:$E$18,2,FALSE)</f>
        <v>0</v>
      </c>
      <c r="AJ149" s="26">
        <f>_xlfn.IFNA(IF(LEFT('Rock Climbing Log'!AJ149)="C",_xlfn.IFNA(VLOOKUP('Rock Climbing Log'!AJ149,'RC Lookup'!$A$3:$B$9,2,FALSE),0.5),VLOOKUP('Rock Climbing Log'!AJ149,'RC Lookup'!$G$3:$H$5,2,FALSE)),0)*VLOOKUP(AH$7,'RC Lookup'!$D$3:$E$18,2,FALSE)</f>
        <v>0</v>
      </c>
      <c r="AK149" s="26">
        <f>_xlfn.IFNA(IF(LEFT('Rock Climbing Log'!AK149)="C",_xlfn.IFNA(VLOOKUP('Rock Climbing Log'!AK149,'RC Lookup'!$A$3:$B$9,2,FALSE),0.5),VLOOKUP('Rock Climbing Log'!AK149,'RC Lookup'!$G$3:$H$5,2,FALSE)),0)*VLOOKUP(AK$7,'RC Lookup'!$D$3:$E$18,2,FALSE)</f>
        <v>0</v>
      </c>
      <c r="AL149" s="26">
        <f>_xlfn.IFNA(IF(LEFT('Rock Climbing Log'!AL149)="C",_xlfn.IFNA(VLOOKUP('Rock Climbing Log'!AL149,'RC Lookup'!$A$3:$B$9,2,FALSE),0.5),VLOOKUP('Rock Climbing Log'!AL149,'RC Lookup'!$G$3:$H$5,2,FALSE)),0)*VLOOKUP(AK$7,'RC Lookup'!$D$3:$E$18,2,FALSE)</f>
        <v>0</v>
      </c>
      <c r="AM149" s="26">
        <f>_xlfn.IFNA(IF(LEFT('Rock Climbing Log'!AM149)="C",_xlfn.IFNA(VLOOKUP('Rock Climbing Log'!AM149,'RC Lookup'!$A$3:$B$9,2,FALSE),0.5),VLOOKUP('Rock Climbing Log'!AM149,'RC Lookup'!$G$3:$H$5,2,FALSE)),0)*VLOOKUP(AK$7,'RC Lookup'!$D$3:$E$18,2,FALSE)</f>
        <v>0</v>
      </c>
      <c r="AN149" s="26">
        <f>_xlfn.IFNA(IF(LEFT('Rock Climbing Log'!AN149)="C",_xlfn.IFNA(VLOOKUP('Rock Climbing Log'!AN149,'RC Lookup'!$A$3:$B$9,2,FALSE),0.5),VLOOKUP('Rock Climbing Log'!AN149,'RC Lookup'!$G$3:$H$5,2,FALSE)),0)*VLOOKUP(AN$7,'RC Lookup'!$D$3:$E$18,2,FALSE)</f>
        <v>0</v>
      </c>
      <c r="AO149" s="26">
        <f>_xlfn.IFNA(IF(LEFT('Rock Climbing Log'!AO149)="C",_xlfn.IFNA(VLOOKUP('Rock Climbing Log'!AO149,'RC Lookup'!$A$3:$B$9,2,FALSE),0.5),VLOOKUP('Rock Climbing Log'!AO149,'RC Lookup'!$G$3:$H$5,2,FALSE)),0)*VLOOKUP(AN$7,'RC Lookup'!$D$3:$E$18,2,FALSE)</f>
        <v>0</v>
      </c>
      <c r="AP149" s="26">
        <f>_xlfn.IFNA(IF(LEFT('Rock Climbing Log'!AP149)="C",_xlfn.IFNA(VLOOKUP('Rock Climbing Log'!AP149,'RC Lookup'!$A$3:$B$9,2,FALSE),0.5),VLOOKUP('Rock Climbing Log'!AP149,'RC Lookup'!$G$3:$H$5,2,FALSE)),0)*VLOOKUP(AN$7,'RC Lookup'!$D$3:$E$18,2,FALSE)</f>
        <v>0</v>
      </c>
      <c r="AQ149" s="26">
        <f>_xlfn.IFNA(IF(LEFT('Rock Climbing Log'!AQ149)="C",_xlfn.IFNA(VLOOKUP('Rock Climbing Log'!AQ149,'RC Lookup'!$A$3:$B$9,2,FALSE),0.5),VLOOKUP('Rock Climbing Log'!AQ149,'RC Lookup'!$G$3:$H$5,2,FALSE)),0)*VLOOKUP(AQ$7,'RC Lookup'!$D$3:$E$18,2,FALSE)</f>
        <v>0</v>
      </c>
      <c r="AR149" s="26">
        <f>_xlfn.IFNA(IF(LEFT('Rock Climbing Log'!AR149)="C",_xlfn.IFNA(VLOOKUP('Rock Climbing Log'!AR149,'RC Lookup'!$A$3:$B$9,2,FALSE),0.5),VLOOKUP('Rock Climbing Log'!AR149,'RC Lookup'!$G$3:$H$5,2,FALSE)),0)*VLOOKUP(AQ$7,'RC Lookup'!$D$3:$E$18,2,FALSE)</f>
        <v>0</v>
      </c>
      <c r="AS149" s="26">
        <f>_xlfn.IFNA(IF(LEFT('Rock Climbing Log'!AS149)="C",_xlfn.IFNA(VLOOKUP('Rock Climbing Log'!AS149,'RC Lookup'!$A$3:$B$9,2,FALSE),0.5),VLOOKUP('Rock Climbing Log'!AS149,'RC Lookup'!$G$3:$H$5,2,FALSE)),0)*VLOOKUP(AQ$7,'RC Lookup'!$D$3:$E$18,2,FALSE)</f>
        <v>0</v>
      </c>
      <c r="AT149" s="26">
        <f>_xlfn.IFNA(IF(LEFT('Rock Climbing Log'!AT149)="C",_xlfn.IFNA(VLOOKUP('Rock Climbing Log'!AT149,'RC Lookup'!$A$3:$B$9,2,FALSE),0.5),VLOOKUP('Rock Climbing Log'!AT149,'RC Lookup'!$G$3:$H$5,2,FALSE)),0)*VLOOKUP(AT$7,'RC Lookup'!$D$3:$E$18,2,FALSE)</f>
        <v>0</v>
      </c>
      <c r="AU149" s="26">
        <f>_xlfn.IFNA(IF(LEFT('Rock Climbing Log'!AU149)="C",_xlfn.IFNA(VLOOKUP('Rock Climbing Log'!AU149,'RC Lookup'!$A$3:$B$9,2,FALSE),0.5),VLOOKUP('Rock Climbing Log'!AU149,'RC Lookup'!$G$3:$H$5,2,FALSE)),0)*VLOOKUP(AT$7,'RC Lookup'!$D$3:$E$18,2,FALSE)</f>
        <v>0</v>
      </c>
      <c r="AV149" s="26">
        <f>_xlfn.IFNA(IF(LEFT('Rock Climbing Log'!AV149)="C",_xlfn.IFNA(VLOOKUP('Rock Climbing Log'!AV149,'RC Lookup'!$A$3:$B$9,2,FALSE),0.5),VLOOKUP('Rock Climbing Log'!AV149,'RC Lookup'!$G$3:$H$5,2,FALSE)),0)*VLOOKUP(AT$7,'RC Lookup'!$D$3:$E$18,2,FALSE)</f>
        <v>0</v>
      </c>
      <c r="AW149" s="30">
        <f t="shared" ca="1" si="5"/>
        <v>0</v>
      </c>
      <c r="AX149" s="30">
        <f ca="1">_xlfn.IFNA(VLOOKUP(SUMPRODUCT(LARGE(($C$8:$C149=Table1[[#This Row],[Climber]])*$A$8:$A149,1)),$A$8:$AW149,MATCH($AW$7,$A$7:$AW$7,FALSE),FALSE),0)/LEFT($AX$7,FIND(" ",$AX$7))+_xlfn.IFNA(VLOOKUP(SUMPRODUCT(LARGE(($C$8:$C149=Table1[[#This Row],[Climber]])*$A$8:$A149,MIN(2,COUNTIFS($C$8:$C149,$C149)))),$A$8:$AW149,MATCH($AW$7,$A$7:$AW$7,FALSE),FALSE),0)/LEFT($AX$7,FIND(" ",$AX$7))+_xlfn.IFNA(VLOOKUP(SUMPRODUCT(LARGE(($C$8:$C149=Table1[[#This Row],[Climber]])*$A$8:$A149,MIN(3,COUNTIFS($C$8:$C149,$C149)))),$A$8:$AW149,MATCH($AW$7,$A$7:$AW$7,FALSE),FALSE),0)/LEFT($AX$7,FIND(" ",$AX$7))</f>
        <v>0</v>
      </c>
      <c r="AY149" s="30">
        <f ca="1">_xlfn.IFNA(VLOOKUP(SUMPRODUCT(LARGE(($C$8:$C149=Table1[[#This Row],[Climber]])*$A$8:$A149,1)),$A$8:$AW149,MATCH($AW$7,$A$7:$AW$7,FALSE),FALSE),0)/LEFT($AY$7,FIND(" ",$AY$7))+_xlfn.IFNA(VLOOKUP(SUMPRODUCT(LARGE(($C$8:$C149=Table1[[#This Row],[Climber]])*$A$8:$A149,MIN(2,COUNTIFS($C$8:$C149,$C149)))),$A$8:$AW149,MATCH($AW$7,$A$7:$AW$7,FALSE),FALSE),0)/LEFT($AY$7,FIND(" ",$AY$7))+_xlfn.IFNA(VLOOKUP(SUMPRODUCT(LARGE(($C$8:$C149=Table1[[#This Row],[Climber]])*$A$8:$A149,MIN(3,COUNTIFS($C$8:$C149,$C149)))),$A$8:$AW149,MATCH($AW$7,$A$7:$AW$7,FALSE),FALSE),0)/LEFT($AY$7,FIND(" ",$AY$7))+_xlfn.IFNA(VLOOKUP(SUMPRODUCT(LARGE(($C$8:$C149=Table1[[#This Row],[Climber]])*$A$8:$A149,MIN(4,COUNTIFS($C$8:$C149,$C149)))),$A$8:$AW149,MATCH($AW$7,$A$7:$AW$7,FALSE),FALSE),0)/LEFT($AY$7,FIND(" ",$AY$7))+_xlfn.IFNA(VLOOKUP(SUMPRODUCT(LARGE(($C$8:$C149=Table1[[#This Row],[Climber]])*$A$8:$A149,MIN(5,COUNTIFS($C$8:$C149,$C149)))),$A$8:$AW149,MATCH($AW$7,$A$7:$AW$7,FALSE),FALSE),0)/LEFT($AY$7,FIND(" ",$AY$7))</f>
        <v>0</v>
      </c>
      <c r="AZ149" s="30">
        <f ca="1">(_xlfn.IFNA(VLOOKUP(SUMPRODUCT(LARGE(($C$8:$C149=Table1[[#This Row],[Climber]])*$A$8:$A149,4)),$A$8:$AW149,MATCH($AW$7,$A$7:$AW$7,FALSE),FALSE),0)+_xlfn.IFNA(VLOOKUP(SUMPRODUCT(LARGE(($C$8:$C149=Table1[[#This Row],[Climber]])*$A$8:$A149,5)),$A$8:$AW149,MATCH($AW$7,$A$7:$AW$7,FALSE),FALSE),0)+_xlfn.IFNA(VLOOKUP(SUMPRODUCT(LARGE(($C$8:$C149=Table1[[#This Row],[Climber]])*$A$8:$A149,6)),$A$8:$AW149,MATCH($AW$7,$A$7:$AW$7,FALSE),FALSE),0))/3</f>
        <v>0</v>
      </c>
      <c r="BA149" s="46">
        <f ca="1">_xlfn.MAXIFS(INDIRECT("$AW"&amp;IF(SUMPRODUCT(LARGE(($C$8:$C149=$C149)*$A$8:$A149,LEFT($BA$7,FIND(" ",$BA$7)-1)))=0,8,SUMPRODUCT(LARGE(($C$8:$C149=$C149)*$A$8:$A149,LEFT($BA$7,FIND(" ",$BA$7)-1)))+7)&amp;":$AW"&amp;ROW()),INDIRECT("$C"&amp;IF(SUMPRODUCT(LARGE(($C$8:$C149=$C149)*$A$8:$A149,LEFT($BA$7,FIND(" ",$BA$7)-1)))=0,8,SUMPRODUCT(LARGE(($C$8:$C149=$C149)*$A$8:$A149,LEFT($BA$7,FIND(" ",$BA$7)-1)))+7)&amp;":$C"&amp;ROW()),$C149)</f>
        <v>0</v>
      </c>
      <c r="BB149" s="46" t="str">
        <f ca="1">VLOOKUP(MAX(BG149,$AX149),'RC Lookup'!$G$14:$J$20,2,TRUE)</f>
        <v>T1</v>
      </c>
      <c r="BC149" s="46">
        <f ca="1">_xlfn.IFNA(VLOOKUP(VLOOKUP($C149,'RC Lookup'!$O$3:$P$50,2,FALSE),'RC Lookup'!$H$14:$J$23,2,FALSE),0)*AW149</f>
        <v>0</v>
      </c>
      <c r="BD149" s="6">
        <f ca="1">_xlfn.IFNA(VLOOKUP(SUMPRODUCT(LARGE(($C$8:$C149=Table1[[#This Row],[Climber]])*$A$8:$A149,1)),$A$8:$BC149,55,FALSE),0)/LEFT($AX$7,FIND(" ",$AX$7))+_xlfn.IFNA(VLOOKUP(SUMPRODUCT(LARGE(($C$8:$C149=Table1[[#This Row],[Climber]])*$A$8:$A149,MIN(2,COUNTIFS($C$8:$C149,$C149)))),$A$8:$BC149,55,FALSE),0)/LEFT($AX$7,FIND(" ",$AX$7))+_xlfn.IFNA(VLOOKUP(SUMPRODUCT(LARGE(($C$8:$C149=Table1[[#This Row],[Climber]])*$A$8:$A149,MIN(3,COUNTIFS($C$8:$C149,$C149)))),$A$8:$BC149,55,FALSE),0)/LEFT($AX$7,FIND(" ",$AX$7))</f>
        <v>0</v>
      </c>
      <c r="BE149" s="6">
        <f ca="1">(_xlfn.IFNA(VLOOKUP(SUMPRODUCT(LARGE(($C$8:$C149=Table1[[#This Row],[Climber]])*$A$8:$A149,4)),$A$8:$BD149,55,FALSE),0)+_xlfn.IFNA(VLOOKUP(SUMPRODUCT(LARGE(($C$8:$C149=Table1[[#This Row],[Climber]])*$A$8:$A149,5)),$A$8:$BD149,55,FALSE),0)+_xlfn.IFNA(VLOOKUP(SUMPRODUCT(LARGE(($C$8:$C149=Table1[[#This Row],[Climber]])*$A$8:$A149,6)),$A$8:$BD149,55,FALSE),0))/3</f>
        <v>0</v>
      </c>
      <c r="BF149" s="46">
        <f ca="1">_xlfn.MAXIFS(INDIRECT("$BC"&amp;IF(SUMPRODUCT(LARGE(($C$8:$C149=$C149)*$A$8:$A149,LEFT($BA$7,FIND(" ",$BA$7)-1)))=0,8,SUMPRODUCT(LARGE(($C$8:$C149=$C149)*$A$8:$A149,LEFT($BA$7,FIND(" ",$BA$7)-1)))+7)&amp;":$BC"&amp;ROW()),INDIRECT("$C"&amp;IF(SUMPRODUCT(LARGE(($C$8:$C149=$C149)*$A$8:$A149,LEFT($BA$7,FIND(" ",$BA$7)-1)))=0,8,SUMPRODUCT(LARGE(($C$8:$C149=$C149)*$A$8:$A149,LEFT($BA$7,FIND(" ",$BA$7)-1)))+7)&amp;":$C"&amp;ROW()),$C149)</f>
        <v>0</v>
      </c>
      <c r="BG149" s="46">
        <f t="array" aca="1" ref="BG149" ca="1">IFERROR(SUMPRODUCT(LARGE(($C$8:$C149=Table1[[#This Row],[Climber]])*$AW$8:$AW149,ROW(INDIRECT("1:5")))),AW149)/MIN(COUNTIFS($C$8:$C149,C149),5)</f>
        <v>0</v>
      </c>
    </row>
    <row r="150" spans="1:59" x14ac:dyDescent="0.3">
      <c r="A150" s="125">
        <f t="shared" si="1"/>
        <v>143</v>
      </c>
      <c r="B150" s="25">
        <f>'Rock Climbing Log'!B150</f>
        <v>0</v>
      </c>
      <c r="C150" s="126">
        <f>'Rock Climbing Log'!C150</f>
        <v>0</v>
      </c>
      <c r="D150" s="26">
        <f>_xlfn.IFNA(IF(LEFT('Rock Climbing Log'!D150)="C",_xlfn.IFNA(VLOOKUP('Rock Climbing Log'!D150,'RC Lookup'!$A$3:$B$9,2,FALSE),0.5),VLOOKUP('Rock Climbing Log'!D150,'RC Lookup'!$G$3:$H$5,2,FALSE)),0)*VLOOKUP(D$7,'RC Lookup'!$D$3:$E$18,2,FALSE)</f>
        <v>0</v>
      </c>
      <c r="E150" s="26">
        <f>_xlfn.IFNA(IF(LEFT('Rock Climbing Log'!E150)="C",_xlfn.IFNA(VLOOKUP('Rock Climbing Log'!E150,'RC Lookup'!$A$3:$B$9,2,FALSE),0.5),VLOOKUP('Rock Climbing Log'!E150,'RC Lookup'!$G$3:$H$5,2,FALSE)),0)*VLOOKUP(D$7,'RC Lookup'!$D$3:$E$18,2,FALSE)</f>
        <v>0</v>
      </c>
      <c r="F150" s="26">
        <f>_xlfn.IFNA(IF(LEFT('Rock Climbing Log'!F150)="C",_xlfn.IFNA(VLOOKUP('Rock Climbing Log'!F150,'RC Lookup'!$A$3:$B$9,2,FALSE),0.5),VLOOKUP('Rock Climbing Log'!F150,'RC Lookup'!$G$3:$H$5,2,FALSE)),0)*VLOOKUP(D$7,'RC Lookup'!$D$3:$E$18,2,FALSE)</f>
        <v>0</v>
      </c>
      <c r="G150" s="26">
        <f>_xlfn.IFNA(IF(LEFT('Rock Climbing Log'!G150)="C",_xlfn.IFNA(VLOOKUP('Rock Climbing Log'!G150,'RC Lookup'!$A$3:$B$9,2,FALSE),0.5),VLOOKUP('Rock Climbing Log'!G150,'RC Lookup'!$G$3:$H$5,2,FALSE)),0)*VLOOKUP(G$7,'RC Lookup'!$D$3:$E$18,2,FALSE)</f>
        <v>0</v>
      </c>
      <c r="H150" s="26">
        <f>_xlfn.IFNA(IF(LEFT('Rock Climbing Log'!H150)="C",_xlfn.IFNA(VLOOKUP('Rock Climbing Log'!H150,'RC Lookup'!$A$3:$B$9,2,FALSE),0.5),VLOOKUP('Rock Climbing Log'!H150,'RC Lookup'!$G$3:$H$5,2,FALSE)),0)*VLOOKUP(G$7,'RC Lookup'!$D$3:$E$18,2,FALSE)</f>
        <v>0</v>
      </c>
      <c r="I150" s="26">
        <f>_xlfn.IFNA(IF(LEFT('Rock Climbing Log'!I150)="C",_xlfn.IFNA(VLOOKUP('Rock Climbing Log'!I150,'RC Lookup'!$A$3:$B$9,2,FALSE),0.5),VLOOKUP('Rock Climbing Log'!I150,'RC Lookup'!$G$3:$H$5,2,FALSE)),0)*VLOOKUP(G$7,'RC Lookup'!$D$3:$E$18,2,FALSE)</f>
        <v>0</v>
      </c>
      <c r="J150" s="26">
        <f>_xlfn.IFNA(IF(LEFT('Rock Climbing Log'!J150)="C",_xlfn.IFNA(VLOOKUP('Rock Climbing Log'!J150,'RC Lookup'!$A$3:$B$9,2,FALSE),0.5),VLOOKUP('Rock Climbing Log'!J150,'RC Lookup'!$G$3:$H$5,2,FALSE)),0)*VLOOKUP(J$7,'RC Lookup'!$D$3:$E$18,2,FALSE)</f>
        <v>0</v>
      </c>
      <c r="K150" s="26">
        <f>_xlfn.IFNA(IF(LEFT('Rock Climbing Log'!K150)="C",_xlfn.IFNA(VLOOKUP('Rock Climbing Log'!K150,'RC Lookup'!$A$3:$B$9,2,FALSE),0.5),VLOOKUP('Rock Climbing Log'!K150,'RC Lookup'!$G$3:$H$5,2,FALSE)),0)*VLOOKUP(J$7,'RC Lookup'!$D$3:$E$18,2,FALSE)</f>
        <v>0</v>
      </c>
      <c r="L150" s="26">
        <f>_xlfn.IFNA(IF(LEFT('Rock Climbing Log'!L150)="C",_xlfn.IFNA(VLOOKUP('Rock Climbing Log'!L150,'RC Lookup'!$A$3:$B$9,2,FALSE),0.5),VLOOKUP('Rock Climbing Log'!L150,'RC Lookup'!$G$3:$H$5,2,FALSE)),0)*VLOOKUP(J$7,'RC Lookup'!$D$3:$E$18,2,FALSE)</f>
        <v>0</v>
      </c>
      <c r="M150" s="26">
        <f>_xlfn.IFNA(IF(LEFT('Rock Climbing Log'!M150)="C",_xlfn.IFNA(VLOOKUP('Rock Climbing Log'!M150,'RC Lookup'!$A$3:$B$9,2,FALSE),0.5),VLOOKUP('Rock Climbing Log'!M150,'RC Lookup'!$G$3:$H$5,2,FALSE)),0)*VLOOKUP(M$7,'RC Lookup'!$D$3:$E$18,2,FALSE)</f>
        <v>0</v>
      </c>
      <c r="N150" s="26">
        <f>_xlfn.IFNA(IF(LEFT('Rock Climbing Log'!N150)="C",_xlfn.IFNA(VLOOKUP('Rock Climbing Log'!N150,'RC Lookup'!$A$3:$B$9,2,FALSE),0.5),VLOOKUP('Rock Climbing Log'!N150,'RC Lookup'!$G$3:$H$5,2,FALSE)),0)*VLOOKUP(M$7,'RC Lookup'!$D$3:$E$18,2,FALSE)</f>
        <v>0</v>
      </c>
      <c r="O150" s="26">
        <f>_xlfn.IFNA(IF(LEFT('Rock Climbing Log'!O150)="C",_xlfn.IFNA(VLOOKUP('Rock Climbing Log'!O150,'RC Lookup'!$A$3:$B$9,2,FALSE),0.5),VLOOKUP('Rock Climbing Log'!O150,'RC Lookup'!$G$3:$H$5,2,FALSE)),0)*VLOOKUP(M$7,'RC Lookup'!$D$3:$E$18,2,FALSE)</f>
        <v>0</v>
      </c>
      <c r="P150" s="26">
        <f>_xlfn.IFNA(IF(LEFT('Rock Climbing Log'!P150)="C",_xlfn.IFNA(VLOOKUP('Rock Climbing Log'!P150,'RC Lookup'!$A$3:$B$9,2,FALSE),0.5),VLOOKUP('Rock Climbing Log'!P150,'RC Lookup'!$G$3:$H$5,2,FALSE)),0)*VLOOKUP(P$7,'RC Lookup'!$D$3:$E$18,2,FALSE)</f>
        <v>0</v>
      </c>
      <c r="Q150" s="26">
        <f>_xlfn.IFNA(IF(LEFT('Rock Climbing Log'!Q150)="C",_xlfn.IFNA(VLOOKUP('Rock Climbing Log'!Q150,'RC Lookup'!$A$3:$B$9,2,FALSE),0.5),VLOOKUP('Rock Climbing Log'!Q150,'RC Lookup'!$G$3:$H$5,2,FALSE)),0)*VLOOKUP(P$7,'RC Lookup'!$D$3:$E$18,2,FALSE)</f>
        <v>0</v>
      </c>
      <c r="R150" s="26">
        <f>_xlfn.IFNA(IF(LEFT('Rock Climbing Log'!R150)="C",_xlfn.IFNA(VLOOKUP('Rock Climbing Log'!R150,'RC Lookup'!$A$3:$B$9,2,FALSE),0.5),VLOOKUP('Rock Climbing Log'!R150,'RC Lookup'!$G$3:$H$5,2,FALSE)),0)*VLOOKUP(P$7,'RC Lookup'!$D$3:$E$18,2,FALSE)</f>
        <v>0</v>
      </c>
      <c r="S150" s="26">
        <f>_xlfn.IFNA(IF(LEFT('Rock Climbing Log'!S150)="C",_xlfn.IFNA(VLOOKUP('Rock Climbing Log'!S150,'RC Lookup'!$A$3:$B$9,2,FALSE),0.5),VLOOKUP('Rock Climbing Log'!S150,'RC Lookup'!$G$3:$H$5,2,FALSE)),0)*VLOOKUP(S$7,'RC Lookup'!$D$3:$E$18,2,FALSE)</f>
        <v>0</v>
      </c>
      <c r="T150" s="26">
        <f>_xlfn.IFNA(IF(LEFT('Rock Climbing Log'!T150)="C",_xlfn.IFNA(VLOOKUP('Rock Climbing Log'!T150,'RC Lookup'!$A$3:$B$9,2,FALSE),0.5),VLOOKUP('Rock Climbing Log'!T150,'RC Lookup'!$G$3:$H$5,2,FALSE)),0)*VLOOKUP(S$7,'RC Lookup'!$D$3:$E$18,2,FALSE)</f>
        <v>0</v>
      </c>
      <c r="U150" s="26">
        <f>_xlfn.IFNA(IF(LEFT('Rock Climbing Log'!U150)="C",_xlfn.IFNA(VLOOKUP('Rock Climbing Log'!U150,'RC Lookup'!$A$3:$B$9,2,FALSE),0.5),VLOOKUP('Rock Climbing Log'!U150,'RC Lookup'!$G$3:$H$5,2,FALSE)),0)*VLOOKUP(S$7,'RC Lookup'!$D$3:$E$18,2,FALSE)</f>
        <v>0</v>
      </c>
      <c r="V150" s="26">
        <f>_xlfn.IFNA(IF(LEFT('Rock Climbing Log'!V150)="C",_xlfn.IFNA(VLOOKUP('Rock Climbing Log'!V150,'RC Lookup'!$A$3:$B$9,2,FALSE),0.5),VLOOKUP('Rock Climbing Log'!V150,'RC Lookup'!$G$3:$H$5,2,FALSE)),0)*VLOOKUP(V$7,'RC Lookup'!$D$3:$E$18,2,FALSE)</f>
        <v>0</v>
      </c>
      <c r="W150" s="26">
        <f>_xlfn.IFNA(IF(LEFT('Rock Climbing Log'!W150)="C",_xlfn.IFNA(VLOOKUP('Rock Climbing Log'!W150,'RC Lookup'!$A$3:$B$9,2,FALSE),0.5),VLOOKUP('Rock Climbing Log'!W150,'RC Lookup'!$G$3:$H$5,2,FALSE)),0)*VLOOKUP(V$7,'RC Lookup'!$D$3:$E$18,2,FALSE)</f>
        <v>0</v>
      </c>
      <c r="X150" s="26">
        <f>_xlfn.IFNA(IF(LEFT('Rock Climbing Log'!X150)="C",_xlfn.IFNA(VLOOKUP('Rock Climbing Log'!X150,'RC Lookup'!$A$3:$B$9,2,FALSE),0.5),VLOOKUP('Rock Climbing Log'!X150,'RC Lookup'!$G$3:$H$5,2,FALSE)),0)*VLOOKUP(V$7,'RC Lookup'!$D$3:$E$18,2,FALSE)</f>
        <v>0</v>
      </c>
      <c r="Y150" s="26">
        <f>_xlfn.IFNA(IF(LEFT('Rock Climbing Log'!Y150)="C",_xlfn.IFNA(VLOOKUP('Rock Climbing Log'!Y150,'RC Lookup'!$A$3:$B$9,2,FALSE),0.5),VLOOKUP('Rock Climbing Log'!Y150,'RC Lookup'!$G$3:$H$5,2,FALSE)),0)*VLOOKUP(Y$7,'RC Lookup'!$D$3:$E$18,2,FALSE)</f>
        <v>0</v>
      </c>
      <c r="Z150" s="26">
        <f>_xlfn.IFNA(IF(LEFT('Rock Climbing Log'!Z150)="C",_xlfn.IFNA(VLOOKUP('Rock Climbing Log'!Z150,'RC Lookup'!$A$3:$B$9,2,FALSE),0.5),VLOOKUP('Rock Climbing Log'!Z150,'RC Lookup'!$G$3:$H$5,2,FALSE)),0)*VLOOKUP(Y$7,'RC Lookup'!$D$3:$E$18,2,FALSE)</f>
        <v>0</v>
      </c>
      <c r="AA150" s="26">
        <f>_xlfn.IFNA(IF(LEFT('Rock Climbing Log'!AA150)="C",_xlfn.IFNA(VLOOKUP('Rock Climbing Log'!AA150,'RC Lookup'!$A$3:$B$9,2,FALSE),0.5),VLOOKUP('Rock Climbing Log'!AA150,'RC Lookup'!$G$3:$H$5,2,FALSE)),0)*VLOOKUP(Y$7,'RC Lookup'!$D$3:$E$18,2,FALSE)</f>
        <v>0</v>
      </c>
      <c r="AB150" s="26">
        <f>_xlfn.IFNA(IF(LEFT('Rock Climbing Log'!AB150)="C",_xlfn.IFNA(VLOOKUP('Rock Climbing Log'!AB150,'RC Lookup'!$A$3:$B$9,2,FALSE),0.5),VLOOKUP('Rock Climbing Log'!AB150,'RC Lookup'!$G$3:$H$5,2,FALSE)),0)*VLOOKUP(AB$7,'RC Lookup'!$D$3:$E$18,2,FALSE)</f>
        <v>0</v>
      </c>
      <c r="AC150" s="26">
        <f>_xlfn.IFNA(IF(LEFT('Rock Climbing Log'!AC150)="C",_xlfn.IFNA(VLOOKUP('Rock Climbing Log'!AC150,'RC Lookup'!$A$3:$B$9,2,FALSE),0.5),VLOOKUP('Rock Climbing Log'!AC150,'RC Lookup'!$G$3:$H$5,2,FALSE)),0)*VLOOKUP(AB$7,'RC Lookup'!$D$3:$E$18,2,FALSE)</f>
        <v>0</v>
      </c>
      <c r="AD150" s="26">
        <f>_xlfn.IFNA(IF(LEFT('Rock Climbing Log'!AD150)="C",_xlfn.IFNA(VLOOKUP('Rock Climbing Log'!AD150,'RC Lookup'!$A$3:$B$9,2,FALSE),0.5),VLOOKUP('Rock Climbing Log'!AD150,'RC Lookup'!$G$3:$H$5,2,FALSE)),0)*VLOOKUP(AB$7,'RC Lookup'!$D$3:$E$18,2,FALSE)</f>
        <v>0</v>
      </c>
      <c r="AE150" s="26">
        <f>_xlfn.IFNA(IF(LEFT('Rock Climbing Log'!AE150)="C",_xlfn.IFNA(VLOOKUP('Rock Climbing Log'!AE150,'RC Lookup'!$A$3:$B$9,2,FALSE),0.5),VLOOKUP('Rock Climbing Log'!AE150,'RC Lookup'!$G$3:$H$5,2,FALSE)),0)*VLOOKUP(AE$7,'RC Lookup'!$D$3:$E$18,2,FALSE)</f>
        <v>0</v>
      </c>
      <c r="AF150" s="26">
        <f>_xlfn.IFNA(IF(LEFT('Rock Climbing Log'!AF150)="C",_xlfn.IFNA(VLOOKUP('Rock Climbing Log'!AF150,'RC Lookup'!$A$3:$B$9,2,FALSE),0.5),VLOOKUP('Rock Climbing Log'!AF150,'RC Lookup'!$G$3:$H$5,2,FALSE)),0)*VLOOKUP(AE$7,'RC Lookup'!$D$3:$E$18,2,FALSE)</f>
        <v>0</v>
      </c>
      <c r="AG150" s="26">
        <f>_xlfn.IFNA(IF(LEFT('Rock Climbing Log'!AG150)="C",_xlfn.IFNA(VLOOKUP('Rock Climbing Log'!AG150,'RC Lookup'!$A$3:$B$9,2,FALSE),0.5),VLOOKUP('Rock Climbing Log'!AG150,'RC Lookup'!$G$3:$H$5,2,FALSE)),0)*VLOOKUP(AE$7,'RC Lookup'!$D$3:$E$18,2,FALSE)</f>
        <v>0</v>
      </c>
      <c r="AH150" s="26">
        <f>_xlfn.IFNA(IF(LEFT('Rock Climbing Log'!AH150)="C",_xlfn.IFNA(VLOOKUP('Rock Climbing Log'!AH150,'RC Lookup'!$A$3:$B$9,2,FALSE),0.5),VLOOKUP('Rock Climbing Log'!AH150,'RC Lookup'!$G$3:$H$5,2,FALSE)),0)*VLOOKUP(AH$7,'RC Lookup'!$D$3:$E$18,2,FALSE)</f>
        <v>0</v>
      </c>
      <c r="AI150" s="26">
        <f>_xlfn.IFNA(IF(LEFT('Rock Climbing Log'!AI150)="C",_xlfn.IFNA(VLOOKUP('Rock Climbing Log'!AI150,'RC Lookup'!$A$3:$B$9,2,FALSE),0.5),VLOOKUP('Rock Climbing Log'!AI150,'RC Lookup'!$G$3:$H$5,2,FALSE)),0)*VLOOKUP(AH$7,'RC Lookup'!$D$3:$E$18,2,FALSE)</f>
        <v>0</v>
      </c>
      <c r="AJ150" s="26">
        <f>_xlfn.IFNA(IF(LEFT('Rock Climbing Log'!AJ150)="C",_xlfn.IFNA(VLOOKUP('Rock Climbing Log'!AJ150,'RC Lookup'!$A$3:$B$9,2,FALSE),0.5),VLOOKUP('Rock Climbing Log'!AJ150,'RC Lookup'!$G$3:$H$5,2,FALSE)),0)*VLOOKUP(AH$7,'RC Lookup'!$D$3:$E$18,2,FALSE)</f>
        <v>0</v>
      </c>
      <c r="AK150" s="26">
        <f>_xlfn.IFNA(IF(LEFT('Rock Climbing Log'!AK150)="C",_xlfn.IFNA(VLOOKUP('Rock Climbing Log'!AK150,'RC Lookup'!$A$3:$B$9,2,FALSE),0.5),VLOOKUP('Rock Climbing Log'!AK150,'RC Lookup'!$G$3:$H$5,2,FALSE)),0)*VLOOKUP(AK$7,'RC Lookup'!$D$3:$E$18,2,FALSE)</f>
        <v>0</v>
      </c>
      <c r="AL150" s="26">
        <f>_xlfn.IFNA(IF(LEFT('Rock Climbing Log'!AL150)="C",_xlfn.IFNA(VLOOKUP('Rock Climbing Log'!AL150,'RC Lookup'!$A$3:$B$9,2,FALSE),0.5),VLOOKUP('Rock Climbing Log'!AL150,'RC Lookup'!$G$3:$H$5,2,FALSE)),0)*VLOOKUP(AK$7,'RC Lookup'!$D$3:$E$18,2,FALSE)</f>
        <v>0</v>
      </c>
      <c r="AM150" s="26">
        <f>_xlfn.IFNA(IF(LEFT('Rock Climbing Log'!AM150)="C",_xlfn.IFNA(VLOOKUP('Rock Climbing Log'!AM150,'RC Lookup'!$A$3:$B$9,2,FALSE),0.5),VLOOKUP('Rock Climbing Log'!AM150,'RC Lookup'!$G$3:$H$5,2,FALSE)),0)*VLOOKUP(AK$7,'RC Lookup'!$D$3:$E$18,2,FALSE)</f>
        <v>0</v>
      </c>
      <c r="AN150" s="26">
        <f>_xlfn.IFNA(IF(LEFT('Rock Climbing Log'!AN150)="C",_xlfn.IFNA(VLOOKUP('Rock Climbing Log'!AN150,'RC Lookup'!$A$3:$B$9,2,FALSE),0.5),VLOOKUP('Rock Climbing Log'!AN150,'RC Lookup'!$G$3:$H$5,2,FALSE)),0)*VLOOKUP(AN$7,'RC Lookup'!$D$3:$E$18,2,FALSE)</f>
        <v>0</v>
      </c>
      <c r="AO150" s="26">
        <f>_xlfn.IFNA(IF(LEFT('Rock Climbing Log'!AO150)="C",_xlfn.IFNA(VLOOKUP('Rock Climbing Log'!AO150,'RC Lookup'!$A$3:$B$9,2,FALSE),0.5),VLOOKUP('Rock Climbing Log'!AO150,'RC Lookup'!$G$3:$H$5,2,FALSE)),0)*VLOOKUP(AN$7,'RC Lookup'!$D$3:$E$18,2,FALSE)</f>
        <v>0</v>
      </c>
      <c r="AP150" s="26">
        <f>_xlfn.IFNA(IF(LEFT('Rock Climbing Log'!AP150)="C",_xlfn.IFNA(VLOOKUP('Rock Climbing Log'!AP150,'RC Lookup'!$A$3:$B$9,2,FALSE),0.5),VLOOKUP('Rock Climbing Log'!AP150,'RC Lookup'!$G$3:$H$5,2,FALSE)),0)*VLOOKUP(AN$7,'RC Lookup'!$D$3:$E$18,2,FALSE)</f>
        <v>0</v>
      </c>
      <c r="AQ150" s="26">
        <f>_xlfn.IFNA(IF(LEFT('Rock Climbing Log'!AQ150)="C",_xlfn.IFNA(VLOOKUP('Rock Climbing Log'!AQ150,'RC Lookup'!$A$3:$B$9,2,FALSE),0.5),VLOOKUP('Rock Climbing Log'!AQ150,'RC Lookup'!$G$3:$H$5,2,FALSE)),0)*VLOOKUP(AQ$7,'RC Lookup'!$D$3:$E$18,2,FALSE)</f>
        <v>0</v>
      </c>
      <c r="AR150" s="26">
        <f>_xlfn.IFNA(IF(LEFT('Rock Climbing Log'!AR150)="C",_xlfn.IFNA(VLOOKUP('Rock Climbing Log'!AR150,'RC Lookup'!$A$3:$B$9,2,FALSE),0.5),VLOOKUP('Rock Climbing Log'!AR150,'RC Lookup'!$G$3:$H$5,2,FALSE)),0)*VLOOKUP(AQ$7,'RC Lookup'!$D$3:$E$18,2,FALSE)</f>
        <v>0</v>
      </c>
      <c r="AS150" s="26">
        <f>_xlfn.IFNA(IF(LEFT('Rock Climbing Log'!AS150)="C",_xlfn.IFNA(VLOOKUP('Rock Climbing Log'!AS150,'RC Lookup'!$A$3:$B$9,2,FALSE),0.5),VLOOKUP('Rock Climbing Log'!AS150,'RC Lookup'!$G$3:$H$5,2,FALSE)),0)*VLOOKUP(AQ$7,'RC Lookup'!$D$3:$E$18,2,FALSE)</f>
        <v>0</v>
      </c>
      <c r="AT150" s="26">
        <f>_xlfn.IFNA(IF(LEFT('Rock Climbing Log'!AT150)="C",_xlfn.IFNA(VLOOKUP('Rock Climbing Log'!AT150,'RC Lookup'!$A$3:$B$9,2,FALSE),0.5),VLOOKUP('Rock Climbing Log'!AT150,'RC Lookup'!$G$3:$H$5,2,FALSE)),0)*VLOOKUP(AT$7,'RC Lookup'!$D$3:$E$18,2,FALSE)</f>
        <v>0</v>
      </c>
      <c r="AU150" s="26">
        <f>_xlfn.IFNA(IF(LEFT('Rock Climbing Log'!AU150)="C",_xlfn.IFNA(VLOOKUP('Rock Climbing Log'!AU150,'RC Lookup'!$A$3:$B$9,2,FALSE),0.5),VLOOKUP('Rock Climbing Log'!AU150,'RC Lookup'!$G$3:$H$5,2,FALSE)),0)*VLOOKUP(AT$7,'RC Lookup'!$D$3:$E$18,2,FALSE)</f>
        <v>0</v>
      </c>
      <c r="AV150" s="26">
        <f>_xlfn.IFNA(IF(LEFT('Rock Climbing Log'!AV150)="C",_xlfn.IFNA(VLOOKUP('Rock Climbing Log'!AV150,'RC Lookup'!$A$3:$B$9,2,FALSE),0.5),VLOOKUP('Rock Climbing Log'!AV150,'RC Lookup'!$G$3:$H$5,2,FALSE)),0)*VLOOKUP(AT$7,'RC Lookup'!$D$3:$E$18,2,FALSE)</f>
        <v>0</v>
      </c>
      <c r="AW150" s="30">
        <f t="shared" ca="1" si="5"/>
        <v>0</v>
      </c>
      <c r="AX150" s="30">
        <f ca="1">_xlfn.IFNA(VLOOKUP(SUMPRODUCT(LARGE(($C$8:$C150=Table1[[#This Row],[Climber]])*$A$8:$A150,1)),$A$8:$AW150,MATCH($AW$7,$A$7:$AW$7,FALSE),FALSE),0)/LEFT($AX$7,FIND(" ",$AX$7))+_xlfn.IFNA(VLOOKUP(SUMPRODUCT(LARGE(($C$8:$C150=Table1[[#This Row],[Climber]])*$A$8:$A150,MIN(2,COUNTIFS($C$8:$C150,$C150)))),$A$8:$AW150,MATCH($AW$7,$A$7:$AW$7,FALSE),FALSE),0)/LEFT($AX$7,FIND(" ",$AX$7))+_xlfn.IFNA(VLOOKUP(SUMPRODUCT(LARGE(($C$8:$C150=Table1[[#This Row],[Climber]])*$A$8:$A150,MIN(3,COUNTIFS($C$8:$C150,$C150)))),$A$8:$AW150,MATCH($AW$7,$A$7:$AW$7,FALSE),FALSE),0)/LEFT($AX$7,FIND(" ",$AX$7))</f>
        <v>0</v>
      </c>
      <c r="AY150" s="30">
        <f ca="1">_xlfn.IFNA(VLOOKUP(SUMPRODUCT(LARGE(($C$8:$C150=Table1[[#This Row],[Climber]])*$A$8:$A150,1)),$A$8:$AW150,MATCH($AW$7,$A$7:$AW$7,FALSE),FALSE),0)/LEFT($AY$7,FIND(" ",$AY$7))+_xlfn.IFNA(VLOOKUP(SUMPRODUCT(LARGE(($C$8:$C150=Table1[[#This Row],[Climber]])*$A$8:$A150,MIN(2,COUNTIFS($C$8:$C150,$C150)))),$A$8:$AW150,MATCH($AW$7,$A$7:$AW$7,FALSE),FALSE),0)/LEFT($AY$7,FIND(" ",$AY$7))+_xlfn.IFNA(VLOOKUP(SUMPRODUCT(LARGE(($C$8:$C150=Table1[[#This Row],[Climber]])*$A$8:$A150,MIN(3,COUNTIFS($C$8:$C150,$C150)))),$A$8:$AW150,MATCH($AW$7,$A$7:$AW$7,FALSE),FALSE),0)/LEFT($AY$7,FIND(" ",$AY$7))+_xlfn.IFNA(VLOOKUP(SUMPRODUCT(LARGE(($C$8:$C150=Table1[[#This Row],[Climber]])*$A$8:$A150,MIN(4,COUNTIFS($C$8:$C150,$C150)))),$A$8:$AW150,MATCH($AW$7,$A$7:$AW$7,FALSE),FALSE),0)/LEFT($AY$7,FIND(" ",$AY$7))+_xlfn.IFNA(VLOOKUP(SUMPRODUCT(LARGE(($C$8:$C150=Table1[[#This Row],[Climber]])*$A$8:$A150,MIN(5,COUNTIFS($C$8:$C150,$C150)))),$A$8:$AW150,MATCH($AW$7,$A$7:$AW$7,FALSE),FALSE),0)/LEFT($AY$7,FIND(" ",$AY$7))</f>
        <v>0</v>
      </c>
      <c r="AZ150" s="30">
        <f ca="1">(_xlfn.IFNA(VLOOKUP(SUMPRODUCT(LARGE(($C$8:$C150=Table1[[#This Row],[Climber]])*$A$8:$A150,4)),$A$8:$AW150,MATCH($AW$7,$A$7:$AW$7,FALSE),FALSE),0)+_xlfn.IFNA(VLOOKUP(SUMPRODUCT(LARGE(($C$8:$C150=Table1[[#This Row],[Climber]])*$A$8:$A150,5)),$A$8:$AW150,MATCH($AW$7,$A$7:$AW$7,FALSE),FALSE),0)+_xlfn.IFNA(VLOOKUP(SUMPRODUCT(LARGE(($C$8:$C150=Table1[[#This Row],[Climber]])*$A$8:$A150,6)),$A$8:$AW150,MATCH($AW$7,$A$7:$AW$7,FALSE),FALSE),0))/3</f>
        <v>0</v>
      </c>
      <c r="BA150" s="46">
        <f ca="1">_xlfn.MAXIFS(INDIRECT("$AW"&amp;IF(SUMPRODUCT(LARGE(($C$8:$C150=$C150)*$A$8:$A150,LEFT($BA$7,FIND(" ",$BA$7)-1)))=0,8,SUMPRODUCT(LARGE(($C$8:$C150=$C150)*$A$8:$A150,LEFT($BA$7,FIND(" ",$BA$7)-1)))+7)&amp;":$AW"&amp;ROW()),INDIRECT("$C"&amp;IF(SUMPRODUCT(LARGE(($C$8:$C150=$C150)*$A$8:$A150,LEFT($BA$7,FIND(" ",$BA$7)-1)))=0,8,SUMPRODUCT(LARGE(($C$8:$C150=$C150)*$A$8:$A150,LEFT($BA$7,FIND(" ",$BA$7)-1)))+7)&amp;":$C"&amp;ROW()),$C150)</f>
        <v>0</v>
      </c>
      <c r="BB150" s="46" t="str">
        <f ca="1">VLOOKUP(MAX(BG150,$AX150),'RC Lookup'!$G$14:$J$20,2,TRUE)</f>
        <v>T1</v>
      </c>
      <c r="BC150" s="46">
        <f ca="1">_xlfn.IFNA(VLOOKUP(VLOOKUP($C150,'RC Lookup'!$O$3:$P$50,2,FALSE),'RC Lookup'!$H$14:$J$23,2,FALSE),0)*AW150</f>
        <v>0</v>
      </c>
      <c r="BD150" s="6">
        <f ca="1">_xlfn.IFNA(VLOOKUP(SUMPRODUCT(LARGE(($C$8:$C150=Table1[[#This Row],[Climber]])*$A$8:$A150,1)),$A$8:$BC150,55,FALSE),0)/LEFT($AX$7,FIND(" ",$AX$7))+_xlfn.IFNA(VLOOKUP(SUMPRODUCT(LARGE(($C$8:$C150=Table1[[#This Row],[Climber]])*$A$8:$A150,MIN(2,COUNTIFS($C$8:$C150,$C150)))),$A$8:$BC150,55,FALSE),0)/LEFT($AX$7,FIND(" ",$AX$7))+_xlfn.IFNA(VLOOKUP(SUMPRODUCT(LARGE(($C$8:$C150=Table1[[#This Row],[Climber]])*$A$8:$A150,MIN(3,COUNTIFS($C$8:$C150,$C150)))),$A$8:$BC150,55,FALSE),0)/LEFT($AX$7,FIND(" ",$AX$7))</f>
        <v>0</v>
      </c>
      <c r="BE150" s="6">
        <f ca="1">(_xlfn.IFNA(VLOOKUP(SUMPRODUCT(LARGE(($C$8:$C150=Table1[[#This Row],[Climber]])*$A$8:$A150,4)),$A$8:$BD150,55,FALSE),0)+_xlfn.IFNA(VLOOKUP(SUMPRODUCT(LARGE(($C$8:$C150=Table1[[#This Row],[Climber]])*$A$8:$A150,5)),$A$8:$BD150,55,FALSE),0)+_xlfn.IFNA(VLOOKUP(SUMPRODUCT(LARGE(($C$8:$C150=Table1[[#This Row],[Climber]])*$A$8:$A150,6)),$A$8:$BD150,55,FALSE),0))/3</f>
        <v>0</v>
      </c>
      <c r="BF150" s="46">
        <f ca="1">_xlfn.MAXIFS(INDIRECT("$BC"&amp;IF(SUMPRODUCT(LARGE(($C$8:$C150=$C150)*$A$8:$A150,LEFT($BA$7,FIND(" ",$BA$7)-1)))=0,8,SUMPRODUCT(LARGE(($C$8:$C150=$C150)*$A$8:$A150,LEFT($BA$7,FIND(" ",$BA$7)-1)))+7)&amp;":$BC"&amp;ROW()),INDIRECT("$C"&amp;IF(SUMPRODUCT(LARGE(($C$8:$C150=$C150)*$A$8:$A150,LEFT($BA$7,FIND(" ",$BA$7)-1)))=0,8,SUMPRODUCT(LARGE(($C$8:$C150=$C150)*$A$8:$A150,LEFT($BA$7,FIND(" ",$BA$7)-1)))+7)&amp;":$C"&amp;ROW()),$C150)</f>
        <v>0</v>
      </c>
      <c r="BG150" s="46">
        <f t="array" aca="1" ref="BG150" ca="1">IFERROR(SUMPRODUCT(LARGE(($C$8:$C150=Table1[[#This Row],[Climber]])*$AW$8:$AW150,ROW(INDIRECT("1:5")))),AW150)/MIN(COUNTIFS($C$8:$C150,C150),5)</f>
        <v>0</v>
      </c>
    </row>
    <row r="151" spans="1:59" x14ac:dyDescent="0.3">
      <c r="A151" s="125">
        <f t="shared" si="1"/>
        <v>144</v>
      </c>
      <c r="B151" s="25">
        <f>'Rock Climbing Log'!B151</f>
        <v>0</v>
      </c>
      <c r="C151" s="126">
        <f>'Rock Climbing Log'!C151</f>
        <v>0</v>
      </c>
      <c r="D151" s="26">
        <f>_xlfn.IFNA(IF(LEFT('Rock Climbing Log'!D151)="C",_xlfn.IFNA(VLOOKUP('Rock Climbing Log'!D151,'RC Lookup'!$A$3:$B$9,2,FALSE),0.5),VLOOKUP('Rock Climbing Log'!D151,'RC Lookup'!$G$3:$H$5,2,FALSE)),0)*VLOOKUP(D$7,'RC Lookup'!$D$3:$E$18,2,FALSE)</f>
        <v>0</v>
      </c>
      <c r="E151" s="26">
        <f>_xlfn.IFNA(IF(LEFT('Rock Climbing Log'!E151)="C",_xlfn.IFNA(VLOOKUP('Rock Climbing Log'!E151,'RC Lookup'!$A$3:$B$9,2,FALSE),0.5),VLOOKUP('Rock Climbing Log'!E151,'RC Lookup'!$G$3:$H$5,2,FALSE)),0)*VLOOKUP(D$7,'RC Lookup'!$D$3:$E$18,2,FALSE)</f>
        <v>0</v>
      </c>
      <c r="F151" s="26">
        <f>_xlfn.IFNA(IF(LEFT('Rock Climbing Log'!F151)="C",_xlfn.IFNA(VLOOKUP('Rock Climbing Log'!F151,'RC Lookup'!$A$3:$B$9,2,FALSE),0.5),VLOOKUP('Rock Climbing Log'!F151,'RC Lookup'!$G$3:$H$5,2,FALSE)),0)*VLOOKUP(D$7,'RC Lookup'!$D$3:$E$18,2,FALSE)</f>
        <v>0</v>
      </c>
      <c r="G151" s="26">
        <f>_xlfn.IFNA(IF(LEFT('Rock Climbing Log'!G151)="C",_xlfn.IFNA(VLOOKUP('Rock Climbing Log'!G151,'RC Lookup'!$A$3:$B$9,2,FALSE),0.5),VLOOKUP('Rock Climbing Log'!G151,'RC Lookup'!$G$3:$H$5,2,FALSE)),0)*VLOOKUP(G$7,'RC Lookup'!$D$3:$E$18,2,FALSE)</f>
        <v>0</v>
      </c>
      <c r="H151" s="26">
        <f>_xlfn.IFNA(IF(LEFT('Rock Climbing Log'!H151)="C",_xlfn.IFNA(VLOOKUP('Rock Climbing Log'!H151,'RC Lookup'!$A$3:$B$9,2,FALSE),0.5),VLOOKUP('Rock Climbing Log'!H151,'RC Lookup'!$G$3:$H$5,2,FALSE)),0)*VLOOKUP(G$7,'RC Lookup'!$D$3:$E$18,2,FALSE)</f>
        <v>0</v>
      </c>
      <c r="I151" s="26">
        <f>_xlfn.IFNA(IF(LEFT('Rock Climbing Log'!I151)="C",_xlfn.IFNA(VLOOKUP('Rock Climbing Log'!I151,'RC Lookup'!$A$3:$B$9,2,FALSE),0.5),VLOOKUP('Rock Climbing Log'!I151,'RC Lookup'!$G$3:$H$5,2,FALSE)),0)*VLOOKUP(G$7,'RC Lookup'!$D$3:$E$18,2,FALSE)</f>
        <v>0</v>
      </c>
      <c r="J151" s="26">
        <f>_xlfn.IFNA(IF(LEFT('Rock Climbing Log'!J151)="C",_xlfn.IFNA(VLOOKUP('Rock Climbing Log'!J151,'RC Lookup'!$A$3:$B$9,2,FALSE),0.5),VLOOKUP('Rock Climbing Log'!J151,'RC Lookup'!$G$3:$H$5,2,FALSE)),0)*VLOOKUP(J$7,'RC Lookup'!$D$3:$E$18,2,FALSE)</f>
        <v>0</v>
      </c>
      <c r="K151" s="26">
        <f>_xlfn.IFNA(IF(LEFT('Rock Climbing Log'!K151)="C",_xlfn.IFNA(VLOOKUP('Rock Climbing Log'!K151,'RC Lookup'!$A$3:$B$9,2,FALSE),0.5),VLOOKUP('Rock Climbing Log'!K151,'RC Lookup'!$G$3:$H$5,2,FALSE)),0)*VLOOKUP(J$7,'RC Lookup'!$D$3:$E$18,2,FALSE)</f>
        <v>0</v>
      </c>
      <c r="L151" s="26">
        <f>_xlfn.IFNA(IF(LEFT('Rock Climbing Log'!L151)="C",_xlfn.IFNA(VLOOKUP('Rock Climbing Log'!L151,'RC Lookup'!$A$3:$B$9,2,FALSE),0.5),VLOOKUP('Rock Climbing Log'!L151,'RC Lookup'!$G$3:$H$5,2,FALSE)),0)*VLOOKUP(J$7,'RC Lookup'!$D$3:$E$18,2,FALSE)</f>
        <v>0</v>
      </c>
      <c r="M151" s="26">
        <f>_xlfn.IFNA(IF(LEFT('Rock Climbing Log'!M151)="C",_xlfn.IFNA(VLOOKUP('Rock Climbing Log'!M151,'RC Lookup'!$A$3:$B$9,2,FALSE),0.5),VLOOKUP('Rock Climbing Log'!M151,'RC Lookup'!$G$3:$H$5,2,FALSE)),0)*VLOOKUP(M$7,'RC Lookup'!$D$3:$E$18,2,FALSE)</f>
        <v>0</v>
      </c>
      <c r="N151" s="26">
        <f>_xlfn.IFNA(IF(LEFT('Rock Climbing Log'!N151)="C",_xlfn.IFNA(VLOOKUP('Rock Climbing Log'!N151,'RC Lookup'!$A$3:$B$9,2,FALSE),0.5),VLOOKUP('Rock Climbing Log'!N151,'RC Lookup'!$G$3:$H$5,2,FALSE)),0)*VLOOKUP(M$7,'RC Lookup'!$D$3:$E$18,2,FALSE)</f>
        <v>0</v>
      </c>
      <c r="O151" s="26">
        <f>_xlfn.IFNA(IF(LEFT('Rock Climbing Log'!O151)="C",_xlfn.IFNA(VLOOKUP('Rock Climbing Log'!O151,'RC Lookup'!$A$3:$B$9,2,FALSE),0.5),VLOOKUP('Rock Climbing Log'!O151,'RC Lookup'!$G$3:$H$5,2,FALSE)),0)*VLOOKUP(M$7,'RC Lookup'!$D$3:$E$18,2,FALSE)</f>
        <v>0</v>
      </c>
      <c r="P151" s="26">
        <f>_xlfn.IFNA(IF(LEFT('Rock Climbing Log'!P151)="C",_xlfn.IFNA(VLOOKUP('Rock Climbing Log'!P151,'RC Lookup'!$A$3:$B$9,2,FALSE),0.5),VLOOKUP('Rock Climbing Log'!P151,'RC Lookup'!$G$3:$H$5,2,FALSE)),0)*VLOOKUP(P$7,'RC Lookup'!$D$3:$E$18,2,FALSE)</f>
        <v>0</v>
      </c>
      <c r="Q151" s="26">
        <f>_xlfn.IFNA(IF(LEFT('Rock Climbing Log'!Q151)="C",_xlfn.IFNA(VLOOKUP('Rock Climbing Log'!Q151,'RC Lookup'!$A$3:$B$9,2,FALSE),0.5),VLOOKUP('Rock Climbing Log'!Q151,'RC Lookup'!$G$3:$H$5,2,FALSE)),0)*VLOOKUP(P$7,'RC Lookup'!$D$3:$E$18,2,FALSE)</f>
        <v>0</v>
      </c>
      <c r="R151" s="26">
        <f>_xlfn.IFNA(IF(LEFT('Rock Climbing Log'!R151)="C",_xlfn.IFNA(VLOOKUP('Rock Climbing Log'!R151,'RC Lookup'!$A$3:$B$9,2,FALSE),0.5),VLOOKUP('Rock Climbing Log'!R151,'RC Lookup'!$G$3:$H$5,2,FALSE)),0)*VLOOKUP(P$7,'RC Lookup'!$D$3:$E$18,2,FALSE)</f>
        <v>0</v>
      </c>
      <c r="S151" s="26">
        <f>_xlfn.IFNA(IF(LEFT('Rock Climbing Log'!S151)="C",_xlfn.IFNA(VLOOKUP('Rock Climbing Log'!S151,'RC Lookup'!$A$3:$B$9,2,FALSE),0.5),VLOOKUP('Rock Climbing Log'!S151,'RC Lookup'!$G$3:$H$5,2,FALSE)),0)*VLOOKUP(S$7,'RC Lookup'!$D$3:$E$18,2,FALSE)</f>
        <v>0</v>
      </c>
      <c r="T151" s="26">
        <f>_xlfn.IFNA(IF(LEFT('Rock Climbing Log'!T151)="C",_xlfn.IFNA(VLOOKUP('Rock Climbing Log'!T151,'RC Lookup'!$A$3:$B$9,2,FALSE),0.5),VLOOKUP('Rock Climbing Log'!T151,'RC Lookup'!$G$3:$H$5,2,FALSE)),0)*VLOOKUP(S$7,'RC Lookup'!$D$3:$E$18,2,FALSE)</f>
        <v>0</v>
      </c>
      <c r="U151" s="26">
        <f>_xlfn.IFNA(IF(LEFT('Rock Climbing Log'!U151)="C",_xlfn.IFNA(VLOOKUP('Rock Climbing Log'!U151,'RC Lookup'!$A$3:$B$9,2,FALSE),0.5),VLOOKUP('Rock Climbing Log'!U151,'RC Lookup'!$G$3:$H$5,2,FALSE)),0)*VLOOKUP(S$7,'RC Lookup'!$D$3:$E$18,2,FALSE)</f>
        <v>0</v>
      </c>
      <c r="V151" s="26">
        <f>_xlfn.IFNA(IF(LEFT('Rock Climbing Log'!V151)="C",_xlfn.IFNA(VLOOKUP('Rock Climbing Log'!V151,'RC Lookup'!$A$3:$B$9,2,FALSE),0.5),VLOOKUP('Rock Climbing Log'!V151,'RC Lookup'!$G$3:$H$5,2,FALSE)),0)*VLOOKUP(V$7,'RC Lookup'!$D$3:$E$18,2,FALSE)</f>
        <v>0</v>
      </c>
      <c r="W151" s="26">
        <f>_xlfn.IFNA(IF(LEFT('Rock Climbing Log'!W151)="C",_xlfn.IFNA(VLOOKUP('Rock Climbing Log'!W151,'RC Lookup'!$A$3:$B$9,2,FALSE),0.5),VLOOKUP('Rock Climbing Log'!W151,'RC Lookup'!$G$3:$H$5,2,FALSE)),0)*VLOOKUP(V$7,'RC Lookup'!$D$3:$E$18,2,FALSE)</f>
        <v>0</v>
      </c>
      <c r="X151" s="26">
        <f>_xlfn.IFNA(IF(LEFT('Rock Climbing Log'!X151)="C",_xlfn.IFNA(VLOOKUP('Rock Climbing Log'!X151,'RC Lookup'!$A$3:$B$9,2,FALSE),0.5),VLOOKUP('Rock Climbing Log'!X151,'RC Lookup'!$G$3:$H$5,2,FALSE)),0)*VLOOKUP(V$7,'RC Lookup'!$D$3:$E$18,2,FALSE)</f>
        <v>0</v>
      </c>
      <c r="Y151" s="26">
        <f>_xlfn.IFNA(IF(LEFT('Rock Climbing Log'!Y151)="C",_xlfn.IFNA(VLOOKUP('Rock Climbing Log'!Y151,'RC Lookup'!$A$3:$B$9,2,FALSE),0.5),VLOOKUP('Rock Climbing Log'!Y151,'RC Lookup'!$G$3:$H$5,2,FALSE)),0)*VLOOKUP(Y$7,'RC Lookup'!$D$3:$E$18,2,FALSE)</f>
        <v>0</v>
      </c>
      <c r="Z151" s="26">
        <f>_xlfn.IFNA(IF(LEFT('Rock Climbing Log'!Z151)="C",_xlfn.IFNA(VLOOKUP('Rock Climbing Log'!Z151,'RC Lookup'!$A$3:$B$9,2,FALSE),0.5),VLOOKUP('Rock Climbing Log'!Z151,'RC Lookup'!$G$3:$H$5,2,FALSE)),0)*VLOOKUP(Y$7,'RC Lookup'!$D$3:$E$18,2,FALSE)</f>
        <v>0</v>
      </c>
      <c r="AA151" s="26">
        <f>_xlfn.IFNA(IF(LEFT('Rock Climbing Log'!AA151)="C",_xlfn.IFNA(VLOOKUP('Rock Climbing Log'!AA151,'RC Lookup'!$A$3:$B$9,2,FALSE),0.5),VLOOKUP('Rock Climbing Log'!AA151,'RC Lookup'!$G$3:$H$5,2,FALSE)),0)*VLOOKUP(Y$7,'RC Lookup'!$D$3:$E$18,2,FALSE)</f>
        <v>0</v>
      </c>
      <c r="AB151" s="26">
        <f>_xlfn.IFNA(IF(LEFT('Rock Climbing Log'!AB151)="C",_xlfn.IFNA(VLOOKUP('Rock Climbing Log'!AB151,'RC Lookup'!$A$3:$B$9,2,FALSE),0.5),VLOOKUP('Rock Climbing Log'!AB151,'RC Lookup'!$G$3:$H$5,2,FALSE)),0)*VLOOKUP(AB$7,'RC Lookup'!$D$3:$E$18,2,FALSE)</f>
        <v>0</v>
      </c>
      <c r="AC151" s="26">
        <f>_xlfn.IFNA(IF(LEFT('Rock Climbing Log'!AC151)="C",_xlfn.IFNA(VLOOKUP('Rock Climbing Log'!AC151,'RC Lookup'!$A$3:$B$9,2,FALSE),0.5),VLOOKUP('Rock Climbing Log'!AC151,'RC Lookup'!$G$3:$H$5,2,FALSE)),0)*VLOOKUP(AB$7,'RC Lookup'!$D$3:$E$18,2,FALSE)</f>
        <v>0</v>
      </c>
      <c r="AD151" s="26">
        <f>_xlfn.IFNA(IF(LEFT('Rock Climbing Log'!AD151)="C",_xlfn.IFNA(VLOOKUP('Rock Climbing Log'!AD151,'RC Lookup'!$A$3:$B$9,2,FALSE),0.5),VLOOKUP('Rock Climbing Log'!AD151,'RC Lookup'!$G$3:$H$5,2,FALSE)),0)*VLOOKUP(AB$7,'RC Lookup'!$D$3:$E$18,2,FALSE)</f>
        <v>0</v>
      </c>
      <c r="AE151" s="26">
        <f>_xlfn.IFNA(IF(LEFT('Rock Climbing Log'!AE151)="C",_xlfn.IFNA(VLOOKUP('Rock Climbing Log'!AE151,'RC Lookup'!$A$3:$B$9,2,FALSE),0.5),VLOOKUP('Rock Climbing Log'!AE151,'RC Lookup'!$G$3:$H$5,2,FALSE)),0)*VLOOKUP(AE$7,'RC Lookup'!$D$3:$E$18,2,FALSE)</f>
        <v>0</v>
      </c>
      <c r="AF151" s="26">
        <f>_xlfn.IFNA(IF(LEFT('Rock Climbing Log'!AF151)="C",_xlfn.IFNA(VLOOKUP('Rock Climbing Log'!AF151,'RC Lookup'!$A$3:$B$9,2,FALSE),0.5),VLOOKUP('Rock Climbing Log'!AF151,'RC Lookup'!$G$3:$H$5,2,FALSE)),0)*VLOOKUP(AE$7,'RC Lookup'!$D$3:$E$18,2,FALSE)</f>
        <v>0</v>
      </c>
      <c r="AG151" s="26">
        <f>_xlfn.IFNA(IF(LEFT('Rock Climbing Log'!AG151)="C",_xlfn.IFNA(VLOOKUP('Rock Climbing Log'!AG151,'RC Lookup'!$A$3:$B$9,2,FALSE),0.5),VLOOKUP('Rock Climbing Log'!AG151,'RC Lookup'!$G$3:$H$5,2,FALSE)),0)*VLOOKUP(AE$7,'RC Lookup'!$D$3:$E$18,2,FALSE)</f>
        <v>0</v>
      </c>
      <c r="AH151" s="26">
        <f>_xlfn.IFNA(IF(LEFT('Rock Climbing Log'!AH151)="C",_xlfn.IFNA(VLOOKUP('Rock Climbing Log'!AH151,'RC Lookup'!$A$3:$B$9,2,FALSE),0.5),VLOOKUP('Rock Climbing Log'!AH151,'RC Lookup'!$G$3:$H$5,2,FALSE)),0)*VLOOKUP(AH$7,'RC Lookup'!$D$3:$E$18,2,FALSE)</f>
        <v>0</v>
      </c>
      <c r="AI151" s="26">
        <f>_xlfn.IFNA(IF(LEFT('Rock Climbing Log'!AI151)="C",_xlfn.IFNA(VLOOKUP('Rock Climbing Log'!AI151,'RC Lookup'!$A$3:$B$9,2,FALSE),0.5),VLOOKUP('Rock Climbing Log'!AI151,'RC Lookup'!$G$3:$H$5,2,FALSE)),0)*VLOOKUP(AH$7,'RC Lookup'!$D$3:$E$18,2,FALSE)</f>
        <v>0</v>
      </c>
      <c r="AJ151" s="26">
        <f>_xlfn.IFNA(IF(LEFT('Rock Climbing Log'!AJ151)="C",_xlfn.IFNA(VLOOKUP('Rock Climbing Log'!AJ151,'RC Lookup'!$A$3:$B$9,2,FALSE),0.5),VLOOKUP('Rock Climbing Log'!AJ151,'RC Lookup'!$G$3:$H$5,2,FALSE)),0)*VLOOKUP(AH$7,'RC Lookup'!$D$3:$E$18,2,FALSE)</f>
        <v>0</v>
      </c>
      <c r="AK151" s="26">
        <f>_xlfn.IFNA(IF(LEFT('Rock Climbing Log'!AK151)="C",_xlfn.IFNA(VLOOKUP('Rock Climbing Log'!AK151,'RC Lookup'!$A$3:$B$9,2,FALSE),0.5),VLOOKUP('Rock Climbing Log'!AK151,'RC Lookup'!$G$3:$H$5,2,FALSE)),0)*VLOOKUP(AK$7,'RC Lookup'!$D$3:$E$18,2,FALSE)</f>
        <v>0</v>
      </c>
      <c r="AL151" s="26">
        <f>_xlfn.IFNA(IF(LEFT('Rock Climbing Log'!AL151)="C",_xlfn.IFNA(VLOOKUP('Rock Climbing Log'!AL151,'RC Lookup'!$A$3:$B$9,2,FALSE),0.5),VLOOKUP('Rock Climbing Log'!AL151,'RC Lookup'!$G$3:$H$5,2,FALSE)),0)*VLOOKUP(AK$7,'RC Lookup'!$D$3:$E$18,2,FALSE)</f>
        <v>0</v>
      </c>
      <c r="AM151" s="26">
        <f>_xlfn.IFNA(IF(LEFT('Rock Climbing Log'!AM151)="C",_xlfn.IFNA(VLOOKUP('Rock Climbing Log'!AM151,'RC Lookup'!$A$3:$B$9,2,FALSE),0.5),VLOOKUP('Rock Climbing Log'!AM151,'RC Lookup'!$G$3:$H$5,2,FALSE)),0)*VLOOKUP(AK$7,'RC Lookup'!$D$3:$E$18,2,FALSE)</f>
        <v>0</v>
      </c>
      <c r="AN151" s="26">
        <f>_xlfn.IFNA(IF(LEFT('Rock Climbing Log'!AN151)="C",_xlfn.IFNA(VLOOKUP('Rock Climbing Log'!AN151,'RC Lookup'!$A$3:$B$9,2,FALSE),0.5),VLOOKUP('Rock Climbing Log'!AN151,'RC Lookup'!$G$3:$H$5,2,FALSE)),0)*VLOOKUP(AN$7,'RC Lookup'!$D$3:$E$18,2,FALSE)</f>
        <v>0</v>
      </c>
      <c r="AO151" s="26">
        <f>_xlfn.IFNA(IF(LEFT('Rock Climbing Log'!AO151)="C",_xlfn.IFNA(VLOOKUP('Rock Climbing Log'!AO151,'RC Lookup'!$A$3:$B$9,2,FALSE),0.5),VLOOKUP('Rock Climbing Log'!AO151,'RC Lookup'!$G$3:$H$5,2,FALSE)),0)*VLOOKUP(AN$7,'RC Lookup'!$D$3:$E$18,2,FALSE)</f>
        <v>0</v>
      </c>
      <c r="AP151" s="26">
        <f>_xlfn.IFNA(IF(LEFT('Rock Climbing Log'!AP151)="C",_xlfn.IFNA(VLOOKUP('Rock Climbing Log'!AP151,'RC Lookup'!$A$3:$B$9,2,FALSE),0.5),VLOOKUP('Rock Climbing Log'!AP151,'RC Lookup'!$G$3:$H$5,2,FALSE)),0)*VLOOKUP(AN$7,'RC Lookup'!$D$3:$E$18,2,FALSE)</f>
        <v>0</v>
      </c>
      <c r="AQ151" s="26">
        <f>_xlfn.IFNA(IF(LEFT('Rock Climbing Log'!AQ151)="C",_xlfn.IFNA(VLOOKUP('Rock Climbing Log'!AQ151,'RC Lookup'!$A$3:$B$9,2,FALSE),0.5),VLOOKUP('Rock Climbing Log'!AQ151,'RC Lookup'!$G$3:$H$5,2,FALSE)),0)*VLOOKUP(AQ$7,'RC Lookup'!$D$3:$E$18,2,FALSE)</f>
        <v>0</v>
      </c>
      <c r="AR151" s="26">
        <f>_xlfn.IFNA(IF(LEFT('Rock Climbing Log'!AR151)="C",_xlfn.IFNA(VLOOKUP('Rock Climbing Log'!AR151,'RC Lookup'!$A$3:$B$9,2,FALSE),0.5),VLOOKUP('Rock Climbing Log'!AR151,'RC Lookup'!$G$3:$H$5,2,FALSE)),0)*VLOOKUP(AQ$7,'RC Lookup'!$D$3:$E$18,2,FALSE)</f>
        <v>0</v>
      </c>
      <c r="AS151" s="26">
        <f>_xlfn.IFNA(IF(LEFT('Rock Climbing Log'!AS151)="C",_xlfn.IFNA(VLOOKUP('Rock Climbing Log'!AS151,'RC Lookup'!$A$3:$B$9,2,FALSE),0.5),VLOOKUP('Rock Climbing Log'!AS151,'RC Lookup'!$G$3:$H$5,2,FALSE)),0)*VLOOKUP(AQ$7,'RC Lookup'!$D$3:$E$18,2,FALSE)</f>
        <v>0</v>
      </c>
      <c r="AT151" s="26">
        <f>_xlfn.IFNA(IF(LEFT('Rock Climbing Log'!AT151)="C",_xlfn.IFNA(VLOOKUP('Rock Climbing Log'!AT151,'RC Lookup'!$A$3:$B$9,2,FALSE),0.5),VLOOKUP('Rock Climbing Log'!AT151,'RC Lookup'!$G$3:$H$5,2,FALSE)),0)*VLOOKUP(AT$7,'RC Lookup'!$D$3:$E$18,2,FALSE)</f>
        <v>0</v>
      </c>
      <c r="AU151" s="26">
        <f>_xlfn.IFNA(IF(LEFT('Rock Climbing Log'!AU151)="C",_xlfn.IFNA(VLOOKUP('Rock Climbing Log'!AU151,'RC Lookup'!$A$3:$B$9,2,FALSE),0.5),VLOOKUP('Rock Climbing Log'!AU151,'RC Lookup'!$G$3:$H$5,2,FALSE)),0)*VLOOKUP(AT$7,'RC Lookup'!$D$3:$E$18,2,FALSE)</f>
        <v>0</v>
      </c>
      <c r="AV151" s="26">
        <f>_xlfn.IFNA(IF(LEFT('Rock Climbing Log'!AV151)="C",_xlfn.IFNA(VLOOKUP('Rock Climbing Log'!AV151,'RC Lookup'!$A$3:$B$9,2,FALSE),0.5),VLOOKUP('Rock Climbing Log'!AV151,'RC Lookup'!$G$3:$H$5,2,FALSE)),0)*VLOOKUP(AT$7,'RC Lookup'!$D$3:$E$18,2,FALSE)</f>
        <v>0</v>
      </c>
      <c r="AW151" s="30">
        <f t="shared" ca="1" si="5"/>
        <v>0</v>
      </c>
      <c r="AX151" s="30">
        <f ca="1">_xlfn.IFNA(VLOOKUP(SUMPRODUCT(LARGE(($C$8:$C151=Table1[[#This Row],[Climber]])*$A$8:$A151,1)),$A$8:$AW151,MATCH($AW$7,$A$7:$AW$7,FALSE),FALSE),0)/LEFT($AX$7,FIND(" ",$AX$7))+_xlfn.IFNA(VLOOKUP(SUMPRODUCT(LARGE(($C$8:$C151=Table1[[#This Row],[Climber]])*$A$8:$A151,MIN(2,COUNTIFS($C$8:$C151,$C151)))),$A$8:$AW151,MATCH($AW$7,$A$7:$AW$7,FALSE),FALSE),0)/LEFT($AX$7,FIND(" ",$AX$7))+_xlfn.IFNA(VLOOKUP(SUMPRODUCT(LARGE(($C$8:$C151=Table1[[#This Row],[Climber]])*$A$8:$A151,MIN(3,COUNTIFS($C$8:$C151,$C151)))),$A$8:$AW151,MATCH($AW$7,$A$7:$AW$7,FALSE),FALSE),0)/LEFT($AX$7,FIND(" ",$AX$7))</f>
        <v>0</v>
      </c>
      <c r="AY151" s="30">
        <f ca="1">_xlfn.IFNA(VLOOKUP(SUMPRODUCT(LARGE(($C$8:$C151=Table1[[#This Row],[Climber]])*$A$8:$A151,1)),$A$8:$AW151,MATCH($AW$7,$A$7:$AW$7,FALSE),FALSE),0)/LEFT($AY$7,FIND(" ",$AY$7))+_xlfn.IFNA(VLOOKUP(SUMPRODUCT(LARGE(($C$8:$C151=Table1[[#This Row],[Climber]])*$A$8:$A151,MIN(2,COUNTIFS($C$8:$C151,$C151)))),$A$8:$AW151,MATCH($AW$7,$A$7:$AW$7,FALSE),FALSE),0)/LEFT($AY$7,FIND(" ",$AY$7))+_xlfn.IFNA(VLOOKUP(SUMPRODUCT(LARGE(($C$8:$C151=Table1[[#This Row],[Climber]])*$A$8:$A151,MIN(3,COUNTIFS($C$8:$C151,$C151)))),$A$8:$AW151,MATCH($AW$7,$A$7:$AW$7,FALSE),FALSE),0)/LEFT($AY$7,FIND(" ",$AY$7))+_xlfn.IFNA(VLOOKUP(SUMPRODUCT(LARGE(($C$8:$C151=Table1[[#This Row],[Climber]])*$A$8:$A151,MIN(4,COUNTIFS($C$8:$C151,$C151)))),$A$8:$AW151,MATCH($AW$7,$A$7:$AW$7,FALSE),FALSE),0)/LEFT($AY$7,FIND(" ",$AY$7))+_xlfn.IFNA(VLOOKUP(SUMPRODUCT(LARGE(($C$8:$C151=Table1[[#This Row],[Climber]])*$A$8:$A151,MIN(5,COUNTIFS($C$8:$C151,$C151)))),$A$8:$AW151,MATCH($AW$7,$A$7:$AW$7,FALSE),FALSE),0)/LEFT($AY$7,FIND(" ",$AY$7))</f>
        <v>0</v>
      </c>
      <c r="AZ151" s="30">
        <f ca="1">(_xlfn.IFNA(VLOOKUP(SUMPRODUCT(LARGE(($C$8:$C151=Table1[[#This Row],[Climber]])*$A$8:$A151,4)),$A$8:$AW151,MATCH($AW$7,$A$7:$AW$7,FALSE),FALSE),0)+_xlfn.IFNA(VLOOKUP(SUMPRODUCT(LARGE(($C$8:$C151=Table1[[#This Row],[Climber]])*$A$8:$A151,5)),$A$8:$AW151,MATCH($AW$7,$A$7:$AW$7,FALSE),FALSE),0)+_xlfn.IFNA(VLOOKUP(SUMPRODUCT(LARGE(($C$8:$C151=Table1[[#This Row],[Climber]])*$A$8:$A151,6)),$A$8:$AW151,MATCH($AW$7,$A$7:$AW$7,FALSE),FALSE),0))/3</f>
        <v>0</v>
      </c>
      <c r="BA151" s="46">
        <f ca="1">_xlfn.MAXIFS(INDIRECT("$AW"&amp;IF(SUMPRODUCT(LARGE(($C$8:$C151=$C151)*$A$8:$A151,LEFT($BA$7,FIND(" ",$BA$7)-1)))=0,8,SUMPRODUCT(LARGE(($C$8:$C151=$C151)*$A$8:$A151,LEFT($BA$7,FIND(" ",$BA$7)-1)))+7)&amp;":$AW"&amp;ROW()),INDIRECT("$C"&amp;IF(SUMPRODUCT(LARGE(($C$8:$C151=$C151)*$A$8:$A151,LEFT($BA$7,FIND(" ",$BA$7)-1)))=0,8,SUMPRODUCT(LARGE(($C$8:$C151=$C151)*$A$8:$A151,LEFT($BA$7,FIND(" ",$BA$7)-1)))+7)&amp;":$C"&amp;ROW()),$C151)</f>
        <v>0</v>
      </c>
      <c r="BB151" s="46" t="str">
        <f ca="1">VLOOKUP(MAX(BG151,$AX151),'RC Lookup'!$G$14:$J$20,2,TRUE)</f>
        <v>T1</v>
      </c>
      <c r="BC151" s="46">
        <f ca="1">_xlfn.IFNA(VLOOKUP(VLOOKUP($C151,'RC Lookup'!$O$3:$P$50,2,FALSE),'RC Lookup'!$H$14:$J$23,2,FALSE),0)*AW151</f>
        <v>0</v>
      </c>
      <c r="BD151" s="6">
        <f ca="1">_xlfn.IFNA(VLOOKUP(SUMPRODUCT(LARGE(($C$8:$C151=Table1[[#This Row],[Climber]])*$A$8:$A151,1)),$A$8:$BC151,55,FALSE),0)/LEFT($AX$7,FIND(" ",$AX$7))+_xlfn.IFNA(VLOOKUP(SUMPRODUCT(LARGE(($C$8:$C151=Table1[[#This Row],[Climber]])*$A$8:$A151,MIN(2,COUNTIFS($C$8:$C151,$C151)))),$A$8:$BC151,55,FALSE),0)/LEFT($AX$7,FIND(" ",$AX$7))+_xlfn.IFNA(VLOOKUP(SUMPRODUCT(LARGE(($C$8:$C151=Table1[[#This Row],[Climber]])*$A$8:$A151,MIN(3,COUNTIFS($C$8:$C151,$C151)))),$A$8:$BC151,55,FALSE),0)/LEFT($AX$7,FIND(" ",$AX$7))</f>
        <v>0</v>
      </c>
      <c r="BE151" s="6">
        <f ca="1">(_xlfn.IFNA(VLOOKUP(SUMPRODUCT(LARGE(($C$8:$C151=Table1[[#This Row],[Climber]])*$A$8:$A151,4)),$A$8:$BD151,55,FALSE),0)+_xlfn.IFNA(VLOOKUP(SUMPRODUCT(LARGE(($C$8:$C151=Table1[[#This Row],[Climber]])*$A$8:$A151,5)),$A$8:$BD151,55,FALSE),0)+_xlfn.IFNA(VLOOKUP(SUMPRODUCT(LARGE(($C$8:$C151=Table1[[#This Row],[Climber]])*$A$8:$A151,6)),$A$8:$BD151,55,FALSE),0))/3</f>
        <v>0</v>
      </c>
      <c r="BF151" s="46">
        <f ca="1">_xlfn.MAXIFS(INDIRECT("$BC"&amp;IF(SUMPRODUCT(LARGE(($C$8:$C151=$C151)*$A$8:$A151,LEFT($BA$7,FIND(" ",$BA$7)-1)))=0,8,SUMPRODUCT(LARGE(($C$8:$C151=$C151)*$A$8:$A151,LEFT($BA$7,FIND(" ",$BA$7)-1)))+7)&amp;":$BC"&amp;ROW()),INDIRECT("$C"&amp;IF(SUMPRODUCT(LARGE(($C$8:$C151=$C151)*$A$8:$A151,LEFT($BA$7,FIND(" ",$BA$7)-1)))=0,8,SUMPRODUCT(LARGE(($C$8:$C151=$C151)*$A$8:$A151,LEFT($BA$7,FIND(" ",$BA$7)-1)))+7)&amp;":$C"&amp;ROW()),$C151)</f>
        <v>0</v>
      </c>
      <c r="BG151" s="46">
        <f t="array" aca="1" ref="BG151" ca="1">IFERROR(SUMPRODUCT(LARGE(($C$8:$C151=Table1[[#This Row],[Climber]])*$AW$8:$AW151,ROW(INDIRECT("1:5")))),AW151)/MIN(COUNTIFS($C$8:$C151,C151),5)</f>
        <v>0</v>
      </c>
    </row>
    <row r="152" spans="1:59" x14ac:dyDescent="0.3">
      <c r="A152" s="125">
        <f t="shared" si="1"/>
        <v>145</v>
      </c>
      <c r="B152" s="25">
        <f>'Rock Climbing Log'!B152</f>
        <v>0</v>
      </c>
      <c r="C152" s="126">
        <f>'Rock Climbing Log'!C152</f>
        <v>0</v>
      </c>
      <c r="D152" s="26">
        <f>_xlfn.IFNA(IF(LEFT('Rock Climbing Log'!D152)="C",_xlfn.IFNA(VLOOKUP('Rock Climbing Log'!D152,'RC Lookup'!$A$3:$B$9,2,FALSE),0.5),VLOOKUP('Rock Climbing Log'!D152,'RC Lookup'!$G$3:$H$5,2,FALSE)),0)*VLOOKUP(D$7,'RC Lookup'!$D$3:$E$18,2,FALSE)</f>
        <v>0</v>
      </c>
      <c r="E152" s="26">
        <f>_xlfn.IFNA(IF(LEFT('Rock Climbing Log'!E152)="C",_xlfn.IFNA(VLOOKUP('Rock Climbing Log'!E152,'RC Lookup'!$A$3:$B$9,2,FALSE),0.5),VLOOKUP('Rock Climbing Log'!E152,'RC Lookup'!$G$3:$H$5,2,FALSE)),0)*VLOOKUP(D$7,'RC Lookup'!$D$3:$E$18,2,FALSE)</f>
        <v>0</v>
      </c>
      <c r="F152" s="26">
        <f>_xlfn.IFNA(IF(LEFT('Rock Climbing Log'!F152)="C",_xlfn.IFNA(VLOOKUP('Rock Climbing Log'!F152,'RC Lookup'!$A$3:$B$9,2,FALSE),0.5),VLOOKUP('Rock Climbing Log'!F152,'RC Lookup'!$G$3:$H$5,2,FALSE)),0)*VLOOKUP(D$7,'RC Lookup'!$D$3:$E$18,2,FALSE)</f>
        <v>0</v>
      </c>
      <c r="G152" s="26">
        <f>_xlfn.IFNA(IF(LEFT('Rock Climbing Log'!G152)="C",_xlfn.IFNA(VLOOKUP('Rock Climbing Log'!G152,'RC Lookup'!$A$3:$B$9,2,FALSE),0.5),VLOOKUP('Rock Climbing Log'!G152,'RC Lookup'!$G$3:$H$5,2,FALSE)),0)*VLOOKUP(G$7,'RC Lookup'!$D$3:$E$18,2,FALSE)</f>
        <v>0</v>
      </c>
      <c r="H152" s="26">
        <f>_xlfn.IFNA(IF(LEFT('Rock Climbing Log'!H152)="C",_xlfn.IFNA(VLOOKUP('Rock Climbing Log'!H152,'RC Lookup'!$A$3:$B$9,2,FALSE),0.5),VLOOKUP('Rock Climbing Log'!H152,'RC Lookup'!$G$3:$H$5,2,FALSE)),0)*VLOOKUP(G$7,'RC Lookup'!$D$3:$E$18,2,FALSE)</f>
        <v>0</v>
      </c>
      <c r="I152" s="26">
        <f>_xlfn.IFNA(IF(LEFT('Rock Climbing Log'!I152)="C",_xlfn.IFNA(VLOOKUP('Rock Climbing Log'!I152,'RC Lookup'!$A$3:$B$9,2,FALSE),0.5),VLOOKUP('Rock Climbing Log'!I152,'RC Lookup'!$G$3:$H$5,2,FALSE)),0)*VLOOKUP(G$7,'RC Lookup'!$D$3:$E$18,2,FALSE)</f>
        <v>0</v>
      </c>
      <c r="J152" s="26">
        <f>_xlfn.IFNA(IF(LEFT('Rock Climbing Log'!J152)="C",_xlfn.IFNA(VLOOKUP('Rock Climbing Log'!J152,'RC Lookup'!$A$3:$B$9,2,FALSE),0.5),VLOOKUP('Rock Climbing Log'!J152,'RC Lookup'!$G$3:$H$5,2,FALSE)),0)*VLOOKUP(J$7,'RC Lookup'!$D$3:$E$18,2,FALSE)</f>
        <v>0</v>
      </c>
      <c r="K152" s="26">
        <f>_xlfn.IFNA(IF(LEFT('Rock Climbing Log'!K152)="C",_xlfn.IFNA(VLOOKUP('Rock Climbing Log'!K152,'RC Lookup'!$A$3:$B$9,2,FALSE),0.5),VLOOKUP('Rock Climbing Log'!K152,'RC Lookup'!$G$3:$H$5,2,FALSE)),0)*VLOOKUP(J$7,'RC Lookup'!$D$3:$E$18,2,FALSE)</f>
        <v>0</v>
      </c>
      <c r="L152" s="26">
        <f>_xlfn.IFNA(IF(LEFT('Rock Climbing Log'!L152)="C",_xlfn.IFNA(VLOOKUP('Rock Climbing Log'!L152,'RC Lookup'!$A$3:$B$9,2,FALSE),0.5),VLOOKUP('Rock Climbing Log'!L152,'RC Lookup'!$G$3:$H$5,2,FALSE)),0)*VLOOKUP(J$7,'RC Lookup'!$D$3:$E$18,2,FALSE)</f>
        <v>0</v>
      </c>
      <c r="M152" s="26">
        <f>_xlfn.IFNA(IF(LEFT('Rock Climbing Log'!M152)="C",_xlfn.IFNA(VLOOKUP('Rock Climbing Log'!M152,'RC Lookup'!$A$3:$B$9,2,FALSE),0.5),VLOOKUP('Rock Climbing Log'!M152,'RC Lookup'!$G$3:$H$5,2,FALSE)),0)*VLOOKUP(M$7,'RC Lookup'!$D$3:$E$18,2,FALSE)</f>
        <v>0</v>
      </c>
      <c r="N152" s="26">
        <f>_xlfn.IFNA(IF(LEFT('Rock Climbing Log'!N152)="C",_xlfn.IFNA(VLOOKUP('Rock Climbing Log'!N152,'RC Lookup'!$A$3:$B$9,2,FALSE),0.5),VLOOKUP('Rock Climbing Log'!N152,'RC Lookup'!$G$3:$H$5,2,FALSE)),0)*VLOOKUP(M$7,'RC Lookup'!$D$3:$E$18,2,FALSE)</f>
        <v>0</v>
      </c>
      <c r="O152" s="26">
        <f>_xlfn.IFNA(IF(LEFT('Rock Climbing Log'!O152)="C",_xlfn.IFNA(VLOOKUP('Rock Climbing Log'!O152,'RC Lookup'!$A$3:$B$9,2,FALSE),0.5),VLOOKUP('Rock Climbing Log'!O152,'RC Lookup'!$G$3:$H$5,2,FALSE)),0)*VLOOKUP(M$7,'RC Lookup'!$D$3:$E$18,2,FALSE)</f>
        <v>0</v>
      </c>
      <c r="P152" s="26">
        <f>_xlfn.IFNA(IF(LEFT('Rock Climbing Log'!P152)="C",_xlfn.IFNA(VLOOKUP('Rock Climbing Log'!P152,'RC Lookup'!$A$3:$B$9,2,FALSE),0.5),VLOOKUP('Rock Climbing Log'!P152,'RC Lookup'!$G$3:$H$5,2,FALSE)),0)*VLOOKUP(P$7,'RC Lookup'!$D$3:$E$18,2,FALSE)</f>
        <v>0</v>
      </c>
      <c r="Q152" s="26">
        <f>_xlfn.IFNA(IF(LEFT('Rock Climbing Log'!Q152)="C",_xlfn.IFNA(VLOOKUP('Rock Climbing Log'!Q152,'RC Lookup'!$A$3:$B$9,2,FALSE),0.5),VLOOKUP('Rock Climbing Log'!Q152,'RC Lookup'!$G$3:$H$5,2,FALSE)),0)*VLOOKUP(P$7,'RC Lookup'!$D$3:$E$18,2,FALSE)</f>
        <v>0</v>
      </c>
      <c r="R152" s="26">
        <f>_xlfn.IFNA(IF(LEFT('Rock Climbing Log'!R152)="C",_xlfn.IFNA(VLOOKUP('Rock Climbing Log'!R152,'RC Lookup'!$A$3:$B$9,2,FALSE),0.5),VLOOKUP('Rock Climbing Log'!R152,'RC Lookup'!$G$3:$H$5,2,FALSE)),0)*VLOOKUP(P$7,'RC Lookup'!$D$3:$E$18,2,FALSE)</f>
        <v>0</v>
      </c>
      <c r="S152" s="26">
        <f>_xlfn.IFNA(IF(LEFT('Rock Climbing Log'!S152)="C",_xlfn.IFNA(VLOOKUP('Rock Climbing Log'!S152,'RC Lookup'!$A$3:$B$9,2,FALSE),0.5),VLOOKUP('Rock Climbing Log'!S152,'RC Lookup'!$G$3:$H$5,2,FALSE)),0)*VLOOKUP(S$7,'RC Lookup'!$D$3:$E$18,2,FALSE)</f>
        <v>0</v>
      </c>
      <c r="T152" s="26">
        <f>_xlfn.IFNA(IF(LEFT('Rock Climbing Log'!T152)="C",_xlfn.IFNA(VLOOKUP('Rock Climbing Log'!T152,'RC Lookup'!$A$3:$B$9,2,FALSE),0.5),VLOOKUP('Rock Climbing Log'!T152,'RC Lookup'!$G$3:$H$5,2,FALSE)),0)*VLOOKUP(S$7,'RC Lookup'!$D$3:$E$18,2,FALSE)</f>
        <v>0</v>
      </c>
      <c r="U152" s="26">
        <f>_xlfn.IFNA(IF(LEFT('Rock Climbing Log'!U152)="C",_xlfn.IFNA(VLOOKUP('Rock Climbing Log'!U152,'RC Lookup'!$A$3:$B$9,2,FALSE),0.5),VLOOKUP('Rock Climbing Log'!U152,'RC Lookup'!$G$3:$H$5,2,FALSE)),0)*VLOOKUP(S$7,'RC Lookup'!$D$3:$E$18,2,FALSE)</f>
        <v>0</v>
      </c>
      <c r="V152" s="26">
        <f>_xlfn.IFNA(IF(LEFT('Rock Climbing Log'!V152)="C",_xlfn.IFNA(VLOOKUP('Rock Climbing Log'!V152,'RC Lookup'!$A$3:$B$9,2,FALSE),0.5),VLOOKUP('Rock Climbing Log'!V152,'RC Lookup'!$G$3:$H$5,2,FALSE)),0)*VLOOKUP(V$7,'RC Lookup'!$D$3:$E$18,2,FALSE)</f>
        <v>0</v>
      </c>
      <c r="W152" s="26">
        <f>_xlfn.IFNA(IF(LEFT('Rock Climbing Log'!W152)="C",_xlfn.IFNA(VLOOKUP('Rock Climbing Log'!W152,'RC Lookup'!$A$3:$B$9,2,FALSE),0.5),VLOOKUP('Rock Climbing Log'!W152,'RC Lookup'!$G$3:$H$5,2,FALSE)),0)*VLOOKUP(V$7,'RC Lookup'!$D$3:$E$18,2,FALSE)</f>
        <v>0</v>
      </c>
      <c r="X152" s="26">
        <f>_xlfn.IFNA(IF(LEFT('Rock Climbing Log'!X152)="C",_xlfn.IFNA(VLOOKUP('Rock Climbing Log'!X152,'RC Lookup'!$A$3:$B$9,2,FALSE),0.5),VLOOKUP('Rock Climbing Log'!X152,'RC Lookup'!$G$3:$H$5,2,FALSE)),0)*VLOOKUP(V$7,'RC Lookup'!$D$3:$E$18,2,FALSE)</f>
        <v>0</v>
      </c>
      <c r="Y152" s="26">
        <f>_xlfn.IFNA(IF(LEFT('Rock Climbing Log'!Y152)="C",_xlfn.IFNA(VLOOKUP('Rock Climbing Log'!Y152,'RC Lookup'!$A$3:$B$9,2,FALSE),0.5),VLOOKUP('Rock Climbing Log'!Y152,'RC Lookup'!$G$3:$H$5,2,FALSE)),0)*VLOOKUP(Y$7,'RC Lookup'!$D$3:$E$18,2,FALSE)</f>
        <v>0</v>
      </c>
      <c r="Z152" s="26">
        <f>_xlfn.IFNA(IF(LEFT('Rock Climbing Log'!Z152)="C",_xlfn.IFNA(VLOOKUP('Rock Climbing Log'!Z152,'RC Lookup'!$A$3:$B$9,2,FALSE),0.5),VLOOKUP('Rock Climbing Log'!Z152,'RC Lookup'!$G$3:$H$5,2,FALSE)),0)*VLOOKUP(Y$7,'RC Lookup'!$D$3:$E$18,2,FALSE)</f>
        <v>0</v>
      </c>
      <c r="AA152" s="26">
        <f>_xlfn.IFNA(IF(LEFT('Rock Climbing Log'!AA152)="C",_xlfn.IFNA(VLOOKUP('Rock Climbing Log'!AA152,'RC Lookup'!$A$3:$B$9,2,FALSE),0.5),VLOOKUP('Rock Climbing Log'!AA152,'RC Lookup'!$G$3:$H$5,2,FALSE)),0)*VLOOKUP(Y$7,'RC Lookup'!$D$3:$E$18,2,FALSE)</f>
        <v>0</v>
      </c>
      <c r="AB152" s="26">
        <f>_xlfn.IFNA(IF(LEFT('Rock Climbing Log'!AB152)="C",_xlfn.IFNA(VLOOKUP('Rock Climbing Log'!AB152,'RC Lookup'!$A$3:$B$9,2,FALSE),0.5),VLOOKUP('Rock Climbing Log'!AB152,'RC Lookup'!$G$3:$H$5,2,FALSE)),0)*VLOOKUP(AB$7,'RC Lookup'!$D$3:$E$18,2,FALSE)</f>
        <v>0</v>
      </c>
      <c r="AC152" s="26">
        <f>_xlfn.IFNA(IF(LEFT('Rock Climbing Log'!AC152)="C",_xlfn.IFNA(VLOOKUP('Rock Climbing Log'!AC152,'RC Lookup'!$A$3:$B$9,2,FALSE),0.5),VLOOKUP('Rock Climbing Log'!AC152,'RC Lookup'!$G$3:$H$5,2,FALSE)),0)*VLOOKUP(AB$7,'RC Lookup'!$D$3:$E$18,2,FALSE)</f>
        <v>0</v>
      </c>
      <c r="AD152" s="26">
        <f>_xlfn.IFNA(IF(LEFT('Rock Climbing Log'!AD152)="C",_xlfn.IFNA(VLOOKUP('Rock Climbing Log'!AD152,'RC Lookup'!$A$3:$B$9,2,FALSE),0.5),VLOOKUP('Rock Climbing Log'!AD152,'RC Lookup'!$G$3:$H$5,2,FALSE)),0)*VLOOKUP(AB$7,'RC Lookup'!$D$3:$E$18,2,FALSE)</f>
        <v>0</v>
      </c>
      <c r="AE152" s="26">
        <f>_xlfn.IFNA(IF(LEFT('Rock Climbing Log'!AE152)="C",_xlfn.IFNA(VLOOKUP('Rock Climbing Log'!AE152,'RC Lookup'!$A$3:$B$9,2,FALSE),0.5),VLOOKUP('Rock Climbing Log'!AE152,'RC Lookup'!$G$3:$H$5,2,FALSE)),0)*VLOOKUP(AE$7,'RC Lookup'!$D$3:$E$18,2,FALSE)</f>
        <v>0</v>
      </c>
      <c r="AF152" s="26">
        <f>_xlfn.IFNA(IF(LEFT('Rock Climbing Log'!AF152)="C",_xlfn.IFNA(VLOOKUP('Rock Climbing Log'!AF152,'RC Lookup'!$A$3:$B$9,2,FALSE),0.5),VLOOKUP('Rock Climbing Log'!AF152,'RC Lookup'!$G$3:$H$5,2,FALSE)),0)*VLOOKUP(AE$7,'RC Lookup'!$D$3:$E$18,2,FALSE)</f>
        <v>0</v>
      </c>
      <c r="AG152" s="26">
        <f>_xlfn.IFNA(IF(LEFT('Rock Climbing Log'!AG152)="C",_xlfn.IFNA(VLOOKUP('Rock Climbing Log'!AG152,'RC Lookup'!$A$3:$B$9,2,FALSE),0.5),VLOOKUP('Rock Climbing Log'!AG152,'RC Lookup'!$G$3:$H$5,2,FALSE)),0)*VLOOKUP(AE$7,'RC Lookup'!$D$3:$E$18,2,FALSE)</f>
        <v>0</v>
      </c>
      <c r="AH152" s="26">
        <f>_xlfn.IFNA(IF(LEFT('Rock Climbing Log'!AH152)="C",_xlfn.IFNA(VLOOKUP('Rock Climbing Log'!AH152,'RC Lookup'!$A$3:$B$9,2,FALSE),0.5),VLOOKUP('Rock Climbing Log'!AH152,'RC Lookup'!$G$3:$H$5,2,FALSE)),0)*VLOOKUP(AH$7,'RC Lookup'!$D$3:$E$18,2,FALSE)</f>
        <v>0</v>
      </c>
      <c r="AI152" s="26">
        <f>_xlfn.IFNA(IF(LEFT('Rock Climbing Log'!AI152)="C",_xlfn.IFNA(VLOOKUP('Rock Climbing Log'!AI152,'RC Lookup'!$A$3:$B$9,2,FALSE),0.5),VLOOKUP('Rock Climbing Log'!AI152,'RC Lookup'!$G$3:$H$5,2,FALSE)),0)*VLOOKUP(AH$7,'RC Lookup'!$D$3:$E$18,2,FALSE)</f>
        <v>0</v>
      </c>
      <c r="AJ152" s="26">
        <f>_xlfn.IFNA(IF(LEFT('Rock Climbing Log'!AJ152)="C",_xlfn.IFNA(VLOOKUP('Rock Climbing Log'!AJ152,'RC Lookup'!$A$3:$B$9,2,FALSE),0.5),VLOOKUP('Rock Climbing Log'!AJ152,'RC Lookup'!$G$3:$H$5,2,FALSE)),0)*VLOOKUP(AH$7,'RC Lookup'!$D$3:$E$18,2,FALSE)</f>
        <v>0</v>
      </c>
      <c r="AK152" s="26">
        <f>_xlfn.IFNA(IF(LEFT('Rock Climbing Log'!AK152)="C",_xlfn.IFNA(VLOOKUP('Rock Climbing Log'!AK152,'RC Lookup'!$A$3:$B$9,2,FALSE),0.5),VLOOKUP('Rock Climbing Log'!AK152,'RC Lookup'!$G$3:$H$5,2,FALSE)),0)*VLOOKUP(AK$7,'RC Lookup'!$D$3:$E$18,2,FALSE)</f>
        <v>0</v>
      </c>
      <c r="AL152" s="26">
        <f>_xlfn.IFNA(IF(LEFT('Rock Climbing Log'!AL152)="C",_xlfn.IFNA(VLOOKUP('Rock Climbing Log'!AL152,'RC Lookup'!$A$3:$B$9,2,FALSE),0.5),VLOOKUP('Rock Climbing Log'!AL152,'RC Lookup'!$G$3:$H$5,2,FALSE)),0)*VLOOKUP(AK$7,'RC Lookup'!$D$3:$E$18,2,FALSE)</f>
        <v>0</v>
      </c>
      <c r="AM152" s="26">
        <f>_xlfn.IFNA(IF(LEFT('Rock Climbing Log'!AM152)="C",_xlfn.IFNA(VLOOKUP('Rock Climbing Log'!AM152,'RC Lookup'!$A$3:$B$9,2,FALSE),0.5),VLOOKUP('Rock Climbing Log'!AM152,'RC Lookup'!$G$3:$H$5,2,FALSE)),0)*VLOOKUP(AK$7,'RC Lookup'!$D$3:$E$18,2,FALSE)</f>
        <v>0</v>
      </c>
      <c r="AN152" s="26">
        <f>_xlfn.IFNA(IF(LEFT('Rock Climbing Log'!AN152)="C",_xlfn.IFNA(VLOOKUP('Rock Climbing Log'!AN152,'RC Lookup'!$A$3:$B$9,2,FALSE),0.5),VLOOKUP('Rock Climbing Log'!AN152,'RC Lookup'!$G$3:$H$5,2,FALSE)),0)*VLOOKUP(AN$7,'RC Lookup'!$D$3:$E$18,2,FALSE)</f>
        <v>0</v>
      </c>
      <c r="AO152" s="26">
        <f>_xlfn.IFNA(IF(LEFT('Rock Climbing Log'!AO152)="C",_xlfn.IFNA(VLOOKUP('Rock Climbing Log'!AO152,'RC Lookup'!$A$3:$B$9,2,FALSE),0.5),VLOOKUP('Rock Climbing Log'!AO152,'RC Lookup'!$G$3:$H$5,2,FALSE)),0)*VLOOKUP(AN$7,'RC Lookup'!$D$3:$E$18,2,FALSE)</f>
        <v>0</v>
      </c>
      <c r="AP152" s="26">
        <f>_xlfn.IFNA(IF(LEFT('Rock Climbing Log'!AP152)="C",_xlfn.IFNA(VLOOKUP('Rock Climbing Log'!AP152,'RC Lookup'!$A$3:$B$9,2,FALSE),0.5),VLOOKUP('Rock Climbing Log'!AP152,'RC Lookup'!$G$3:$H$5,2,FALSE)),0)*VLOOKUP(AN$7,'RC Lookup'!$D$3:$E$18,2,FALSE)</f>
        <v>0</v>
      </c>
      <c r="AQ152" s="26">
        <f>_xlfn.IFNA(IF(LEFT('Rock Climbing Log'!AQ152)="C",_xlfn.IFNA(VLOOKUP('Rock Climbing Log'!AQ152,'RC Lookup'!$A$3:$B$9,2,FALSE),0.5),VLOOKUP('Rock Climbing Log'!AQ152,'RC Lookup'!$G$3:$H$5,2,FALSE)),0)*VLOOKUP(AQ$7,'RC Lookup'!$D$3:$E$18,2,FALSE)</f>
        <v>0</v>
      </c>
      <c r="AR152" s="26">
        <f>_xlfn.IFNA(IF(LEFT('Rock Climbing Log'!AR152)="C",_xlfn.IFNA(VLOOKUP('Rock Climbing Log'!AR152,'RC Lookup'!$A$3:$B$9,2,FALSE),0.5),VLOOKUP('Rock Climbing Log'!AR152,'RC Lookup'!$G$3:$H$5,2,FALSE)),0)*VLOOKUP(AQ$7,'RC Lookup'!$D$3:$E$18,2,FALSE)</f>
        <v>0</v>
      </c>
      <c r="AS152" s="26">
        <f>_xlfn.IFNA(IF(LEFT('Rock Climbing Log'!AS152)="C",_xlfn.IFNA(VLOOKUP('Rock Climbing Log'!AS152,'RC Lookup'!$A$3:$B$9,2,FALSE),0.5),VLOOKUP('Rock Climbing Log'!AS152,'RC Lookup'!$G$3:$H$5,2,FALSE)),0)*VLOOKUP(AQ$7,'RC Lookup'!$D$3:$E$18,2,FALSE)</f>
        <v>0</v>
      </c>
      <c r="AT152" s="26">
        <f>_xlfn.IFNA(IF(LEFT('Rock Climbing Log'!AT152)="C",_xlfn.IFNA(VLOOKUP('Rock Climbing Log'!AT152,'RC Lookup'!$A$3:$B$9,2,FALSE),0.5),VLOOKUP('Rock Climbing Log'!AT152,'RC Lookup'!$G$3:$H$5,2,FALSE)),0)*VLOOKUP(AT$7,'RC Lookup'!$D$3:$E$18,2,FALSE)</f>
        <v>0</v>
      </c>
      <c r="AU152" s="26">
        <f>_xlfn.IFNA(IF(LEFT('Rock Climbing Log'!AU152)="C",_xlfn.IFNA(VLOOKUP('Rock Climbing Log'!AU152,'RC Lookup'!$A$3:$B$9,2,FALSE),0.5),VLOOKUP('Rock Climbing Log'!AU152,'RC Lookup'!$G$3:$H$5,2,FALSE)),0)*VLOOKUP(AT$7,'RC Lookup'!$D$3:$E$18,2,FALSE)</f>
        <v>0</v>
      </c>
      <c r="AV152" s="26">
        <f>_xlfn.IFNA(IF(LEFT('Rock Climbing Log'!AV152)="C",_xlfn.IFNA(VLOOKUP('Rock Climbing Log'!AV152,'RC Lookup'!$A$3:$B$9,2,FALSE),0.5),VLOOKUP('Rock Climbing Log'!AV152,'RC Lookup'!$G$3:$H$5,2,FALSE)),0)*VLOOKUP(AT$7,'RC Lookup'!$D$3:$E$18,2,FALSE)</f>
        <v>0</v>
      </c>
      <c r="AW152" s="30">
        <f t="shared" ca="1" si="5"/>
        <v>0</v>
      </c>
      <c r="AX152" s="30">
        <f ca="1">_xlfn.IFNA(VLOOKUP(SUMPRODUCT(LARGE(($C$8:$C152=Table1[[#This Row],[Climber]])*$A$8:$A152,1)),$A$8:$AW152,MATCH($AW$7,$A$7:$AW$7,FALSE),FALSE),0)/LEFT($AX$7,FIND(" ",$AX$7))+_xlfn.IFNA(VLOOKUP(SUMPRODUCT(LARGE(($C$8:$C152=Table1[[#This Row],[Climber]])*$A$8:$A152,MIN(2,COUNTIFS($C$8:$C152,$C152)))),$A$8:$AW152,MATCH($AW$7,$A$7:$AW$7,FALSE),FALSE),0)/LEFT($AX$7,FIND(" ",$AX$7))+_xlfn.IFNA(VLOOKUP(SUMPRODUCT(LARGE(($C$8:$C152=Table1[[#This Row],[Climber]])*$A$8:$A152,MIN(3,COUNTIFS($C$8:$C152,$C152)))),$A$8:$AW152,MATCH($AW$7,$A$7:$AW$7,FALSE),FALSE),0)/LEFT($AX$7,FIND(" ",$AX$7))</f>
        <v>0</v>
      </c>
      <c r="AY152" s="30">
        <f ca="1">_xlfn.IFNA(VLOOKUP(SUMPRODUCT(LARGE(($C$8:$C152=Table1[[#This Row],[Climber]])*$A$8:$A152,1)),$A$8:$AW152,MATCH($AW$7,$A$7:$AW$7,FALSE),FALSE),0)/LEFT($AY$7,FIND(" ",$AY$7))+_xlfn.IFNA(VLOOKUP(SUMPRODUCT(LARGE(($C$8:$C152=Table1[[#This Row],[Climber]])*$A$8:$A152,MIN(2,COUNTIFS($C$8:$C152,$C152)))),$A$8:$AW152,MATCH($AW$7,$A$7:$AW$7,FALSE),FALSE),0)/LEFT($AY$7,FIND(" ",$AY$7))+_xlfn.IFNA(VLOOKUP(SUMPRODUCT(LARGE(($C$8:$C152=Table1[[#This Row],[Climber]])*$A$8:$A152,MIN(3,COUNTIFS($C$8:$C152,$C152)))),$A$8:$AW152,MATCH($AW$7,$A$7:$AW$7,FALSE),FALSE),0)/LEFT($AY$7,FIND(" ",$AY$7))+_xlfn.IFNA(VLOOKUP(SUMPRODUCT(LARGE(($C$8:$C152=Table1[[#This Row],[Climber]])*$A$8:$A152,MIN(4,COUNTIFS($C$8:$C152,$C152)))),$A$8:$AW152,MATCH($AW$7,$A$7:$AW$7,FALSE),FALSE),0)/LEFT($AY$7,FIND(" ",$AY$7))+_xlfn.IFNA(VLOOKUP(SUMPRODUCT(LARGE(($C$8:$C152=Table1[[#This Row],[Climber]])*$A$8:$A152,MIN(5,COUNTIFS($C$8:$C152,$C152)))),$A$8:$AW152,MATCH($AW$7,$A$7:$AW$7,FALSE),FALSE),0)/LEFT($AY$7,FIND(" ",$AY$7))</f>
        <v>0</v>
      </c>
      <c r="AZ152" s="30">
        <f ca="1">(_xlfn.IFNA(VLOOKUP(SUMPRODUCT(LARGE(($C$8:$C152=Table1[[#This Row],[Climber]])*$A$8:$A152,4)),$A$8:$AW152,MATCH($AW$7,$A$7:$AW$7,FALSE),FALSE),0)+_xlfn.IFNA(VLOOKUP(SUMPRODUCT(LARGE(($C$8:$C152=Table1[[#This Row],[Climber]])*$A$8:$A152,5)),$A$8:$AW152,MATCH($AW$7,$A$7:$AW$7,FALSE),FALSE),0)+_xlfn.IFNA(VLOOKUP(SUMPRODUCT(LARGE(($C$8:$C152=Table1[[#This Row],[Climber]])*$A$8:$A152,6)),$A$8:$AW152,MATCH($AW$7,$A$7:$AW$7,FALSE),FALSE),0))/3</f>
        <v>0</v>
      </c>
      <c r="BA152" s="46">
        <f ca="1">_xlfn.MAXIFS(INDIRECT("$AW"&amp;IF(SUMPRODUCT(LARGE(($C$8:$C152=$C152)*$A$8:$A152,LEFT($BA$7,FIND(" ",$BA$7)-1)))=0,8,SUMPRODUCT(LARGE(($C$8:$C152=$C152)*$A$8:$A152,LEFT($BA$7,FIND(" ",$BA$7)-1)))+7)&amp;":$AW"&amp;ROW()),INDIRECT("$C"&amp;IF(SUMPRODUCT(LARGE(($C$8:$C152=$C152)*$A$8:$A152,LEFT($BA$7,FIND(" ",$BA$7)-1)))=0,8,SUMPRODUCT(LARGE(($C$8:$C152=$C152)*$A$8:$A152,LEFT($BA$7,FIND(" ",$BA$7)-1)))+7)&amp;":$C"&amp;ROW()),$C152)</f>
        <v>0</v>
      </c>
      <c r="BB152" s="46" t="str">
        <f ca="1">VLOOKUP(MAX(BG152,$AX152),'RC Lookup'!$G$14:$J$20,2,TRUE)</f>
        <v>T1</v>
      </c>
      <c r="BC152" s="46">
        <f ca="1">_xlfn.IFNA(VLOOKUP(VLOOKUP($C152,'RC Lookup'!$O$3:$P$50,2,FALSE),'RC Lookup'!$H$14:$J$23,2,FALSE),0)*AW152</f>
        <v>0</v>
      </c>
      <c r="BD152" s="6">
        <f ca="1">_xlfn.IFNA(VLOOKUP(SUMPRODUCT(LARGE(($C$8:$C152=Table1[[#This Row],[Climber]])*$A$8:$A152,1)),$A$8:$BC152,55,FALSE),0)/LEFT($AX$7,FIND(" ",$AX$7))+_xlfn.IFNA(VLOOKUP(SUMPRODUCT(LARGE(($C$8:$C152=Table1[[#This Row],[Climber]])*$A$8:$A152,MIN(2,COUNTIFS($C$8:$C152,$C152)))),$A$8:$BC152,55,FALSE),0)/LEFT($AX$7,FIND(" ",$AX$7))+_xlfn.IFNA(VLOOKUP(SUMPRODUCT(LARGE(($C$8:$C152=Table1[[#This Row],[Climber]])*$A$8:$A152,MIN(3,COUNTIFS($C$8:$C152,$C152)))),$A$8:$BC152,55,FALSE),0)/LEFT($AX$7,FIND(" ",$AX$7))</f>
        <v>0</v>
      </c>
      <c r="BE152" s="6">
        <f ca="1">(_xlfn.IFNA(VLOOKUP(SUMPRODUCT(LARGE(($C$8:$C152=Table1[[#This Row],[Climber]])*$A$8:$A152,4)),$A$8:$BD152,55,FALSE),0)+_xlfn.IFNA(VLOOKUP(SUMPRODUCT(LARGE(($C$8:$C152=Table1[[#This Row],[Climber]])*$A$8:$A152,5)),$A$8:$BD152,55,FALSE),0)+_xlfn.IFNA(VLOOKUP(SUMPRODUCT(LARGE(($C$8:$C152=Table1[[#This Row],[Climber]])*$A$8:$A152,6)),$A$8:$BD152,55,FALSE),0))/3</f>
        <v>0</v>
      </c>
      <c r="BF152" s="46">
        <f ca="1">_xlfn.MAXIFS(INDIRECT("$BC"&amp;IF(SUMPRODUCT(LARGE(($C$8:$C152=$C152)*$A$8:$A152,LEFT($BA$7,FIND(" ",$BA$7)-1)))=0,8,SUMPRODUCT(LARGE(($C$8:$C152=$C152)*$A$8:$A152,LEFT($BA$7,FIND(" ",$BA$7)-1)))+7)&amp;":$BC"&amp;ROW()),INDIRECT("$C"&amp;IF(SUMPRODUCT(LARGE(($C$8:$C152=$C152)*$A$8:$A152,LEFT($BA$7,FIND(" ",$BA$7)-1)))=0,8,SUMPRODUCT(LARGE(($C$8:$C152=$C152)*$A$8:$A152,LEFT($BA$7,FIND(" ",$BA$7)-1)))+7)&amp;":$C"&amp;ROW()),$C152)</f>
        <v>0</v>
      </c>
      <c r="BG152" s="46">
        <f t="array" aca="1" ref="BG152" ca="1">IFERROR(SUMPRODUCT(LARGE(($C$8:$C152=Table1[[#This Row],[Climber]])*$AW$8:$AW152,ROW(INDIRECT("1:5")))),AW152)/MIN(COUNTIFS($C$8:$C152,C152),5)</f>
        <v>0</v>
      </c>
    </row>
    <row r="153" spans="1:59" x14ac:dyDescent="0.3">
      <c r="A153" s="125">
        <f t="shared" si="1"/>
        <v>146</v>
      </c>
      <c r="B153" s="25">
        <f>'Rock Climbing Log'!B153</f>
        <v>0</v>
      </c>
      <c r="C153" s="126">
        <f>'Rock Climbing Log'!C153</f>
        <v>0</v>
      </c>
      <c r="D153" s="26">
        <f>_xlfn.IFNA(IF(LEFT('Rock Climbing Log'!D153)="C",_xlfn.IFNA(VLOOKUP('Rock Climbing Log'!D153,'RC Lookup'!$A$3:$B$9,2,FALSE),0.5),VLOOKUP('Rock Climbing Log'!D153,'RC Lookup'!$G$3:$H$5,2,FALSE)),0)*VLOOKUP(D$7,'RC Lookup'!$D$3:$E$18,2,FALSE)</f>
        <v>0</v>
      </c>
      <c r="E153" s="26">
        <f>_xlfn.IFNA(IF(LEFT('Rock Climbing Log'!E153)="C",_xlfn.IFNA(VLOOKUP('Rock Climbing Log'!E153,'RC Lookup'!$A$3:$B$9,2,FALSE),0.5),VLOOKUP('Rock Climbing Log'!E153,'RC Lookup'!$G$3:$H$5,2,FALSE)),0)*VLOOKUP(D$7,'RC Lookup'!$D$3:$E$18,2,FALSE)</f>
        <v>0</v>
      </c>
      <c r="F153" s="26">
        <f>_xlfn.IFNA(IF(LEFT('Rock Climbing Log'!F153)="C",_xlfn.IFNA(VLOOKUP('Rock Climbing Log'!F153,'RC Lookup'!$A$3:$B$9,2,FALSE),0.5),VLOOKUP('Rock Climbing Log'!F153,'RC Lookup'!$G$3:$H$5,2,FALSE)),0)*VLOOKUP(D$7,'RC Lookup'!$D$3:$E$18,2,FALSE)</f>
        <v>0</v>
      </c>
      <c r="G153" s="26">
        <f>_xlfn.IFNA(IF(LEFT('Rock Climbing Log'!G153)="C",_xlfn.IFNA(VLOOKUP('Rock Climbing Log'!G153,'RC Lookup'!$A$3:$B$9,2,FALSE),0.5),VLOOKUP('Rock Climbing Log'!G153,'RC Lookup'!$G$3:$H$5,2,FALSE)),0)*VLOOKUP(G$7,'RC Lookup'!$D$3:$E$18,2,FALSE)</f>
        <v>0</v>
      </c>
      <c r="H153" s="26">
        <f>_xlfn.IFNA(IF(LEFT('Rock Climbing Log'!H153)="C",_xlfn.IFNA(VLOOKUP('Rock Climbing Log'!H153,'RC Lookup'!$A$3:$B$9,2,FALSE),0.5),VLOOKUP('Rock Climbing Log'!H153,'RC Lookup'!$G$3:$H$5,2,FALSE)),0)*VLOOKUP(G$7,'RC Lookup'!$D$3:$E$18,2,FALSE)</f>
        <v>0</v>
      </c>
      <c r="I153" s="26">
        <f>_xlfn.IFNA(IF(LEFT('Rock Climbing Log'!I153)="C",_xlfn.IFNA(VLOOKUP('Rock Climbing Log'!I153,'RC Lookup'!$A$3:$B$9,2,FALSE),0.5),VLOOKUP('Rock Climbing Log'!I153,'RC Lookup'!$G$3:$H$5,2,FALSE)),0)*VLOOKUP(G$7,'RC Lookup'!$D$3:$E$18,2,FALSE)</f>
        <v>0</v>
      </c>
      <c r="J153" s="26">
        <f>_xlfn.IFNA(IF(LEFT('Rock Climbing Log'!J153)="C",_xlfn.IFNA(VLOOKUP('Rock Climbing Log'!J153,'RC Lookup'!$A$3:$B$9,2,FALSE),0.5),VLOOKUP('Rock Climbing Log'!J153,'RC Lookup'!$G$3:$H$5,2,FALSE)),0)*VLOOKUP(J$7,'RC Lookup'!$D$3:$E$18,2,FALSE)</f>
        <v>0</v>
      </c>
      <c r="K153" s="26">
        <f>_xlfn.IFNA(IF(LEFT('Rock Climbing Log'!K153)="C",_xlfn.IFNA(VLOOKUP('Rock Climbing Log'!K153,'RC Lookup'!$A$3:$B$9,2,FALSE),0.5),VLOOKUP('Rock Climbing Log'!K153,'RC Lookup'!$G$3:$H$5,2,FALSE)),0)*VLOOKUP(J$7,'RC Lookup'!$D$3:$E$18,2,FALSE)</f>
        <v>0</v>
      </c>
      <c r="L153" s="26">
        <f>_xlfn.IFNA(IF(LEFT('Rock Climbing Log'!L153)="C",_xlfn.IFNA(VLOOKUP('Rock Climbing Log'!L153,'RC Lookup'!$A$3:$B$9,2,FALSE),0.5),VLOOKUP('Rock Climbing Log'!L153,'RC Lookup'!$G$3:$H$5,2,FALSE)),0)*VLOOKUP(J$7,'RC Lookup'!$D$3:$E$18,2,FALSE)</f>
        <v>0</v>
      </c>
      <c r="M153" s="26">
        <f>_xlfn.IFNA(IF(LEFT('Rock Climbing Log'!M153)="C",_xlfn.IFNA(VLOOKUP('Rock Climbing Log'!M153,'RC Lookup'!$A$3:$B$9,2,FALSE),0.5),VLOOKUP('Rock Climbing Log'!M153,'RC Lookup'!$G$3:$H$5,2,FALSE)),0)*VLOOKUP(M$7,'RC Lookup'!$D$3:$E$18,2,FALSE)</f>
        <v>0</v>
      </c>
      <c r="N153" s="26">
        <f>_xlfn.IFNA(IF(LEFT('Rock Climbing Log'!N153)="C",_xlfn.IFNA(VLOOKUP('Rock Climbing Log'!N153,'RC Lookup'!$A$3:$B$9,2,FALSE),0.5),VLOOKUP('Rock Climbing Log'!N153,'RC Lookup'!$G$3:$H$5,2,FALSE)),0)*VLOOKUP(M$7,'RC Lookup'!$D$3:$E$18,2,FALSE)</f>
        <v>0</v>
      </c>
      <c r="O153" s="26">
        <f>_xlfn.IFNA(IF(LEFT('Rock Climbing Log'!O153)="C",_xlfn.IFNA(VLOOKUP('Rock Climbing Log'!O153,'RC Lookup'!$A$3:$B$9,2,FALSE),0.5),VLOOKUP('Rock Climbing Log'!O153,'RC Lookup'!$G$3:$H$5,2,FALSE)),0)*VLOOKUP(M$7,'RC Lookup'!$D$3:$E$18,2,FALSE)</f>
        <v>0</v>
      </c>
      <c r="P153" s="26">
        <f>_xlfn.IFNA(IF(LEFT('Rock Climbing Log'!P153)="C",_xlfn.IFNA(VLOOKUP('Rock Climbing Log'!P153,'RC Lookup'!$A$3:$B$9,2,FALSE),0.5),VLOOKUP('Rock Climbing Log'!P153,'RC Lookup'!$G$3:$H$5,2,FALSE)),0)*VLOOKUP(P$7,'RC Lookup'!$D$3:$E$18,2,FALSE)</f>
        <v>0</v>
      </c>
      <c r="Q153" s="26">
        <f>_xlfn.IFNA(IF(LEFT('Rock Climbing Log'!Q153)="C",_xlfn.IFNA(VLOOKUP('Rock Climbing Log'!Q153,'RC Lookup'!$A$3:$B$9,2,FALSE),0.5),VLOOKUP('Rock Climbing Log'!Q153,'RC Lookup'!$G$3:$H$5,2,FALSE)),0)*VLOOKUP(P$7,'RC Lookup'!$D$3:$E$18,2,FALSE)</f>
        <v>0</v>
      </c>
      <c r="R153" s="26">
        <f>_xlfn.IFNA(IF(LEFT('Rock Climbing Log'!R153)="C",_xlfn.IFNA(VLOOKUP('Rock Climbing Log'!R153,'RC Lookup'!$A$3:$B$9,2,FALSE),0.5),VLOOKUP('Rock Climbing Log'!R153,'RC Lookup'!$G$3:$H$5,2,FALSE)),0)*VLOOKUP(P$7,'RC Lookup'!$D$3:$E$18,2,FALSE)</f>
        <v>0</v>
      </c>
      <c r="S153" s="26">
        <f>_xlfn.IFNA(IF(LEFT('Rock Climbing Log'!S153)="C",_xlfn.IFNA(VLOOKUP('Rock Climbing Log'!S153,'RC Lookup'!$A$3:$B$9,2,FALSE),0.5),VLOOKUP('Rock Climbing Log'!S153,'RC Lookup'!$G$3:$H$5,2,FALSE)),0)*VLOOKUP(S$7,'RC Lookup'!$D$3:$E$18,2,FALSE)</f>
        <v>0</v>
      </c>
      <c r="T153" s="26">
        <f>_xlfn.IFNA(IF(LEFT('Rock Climbing Log'!T153)="C",_xlfn.IFNA(VLOOKUP('Rock Climbing Log'!T153,'RC Lookup'!$A$3:$B$9,2,FALSE),0.5),VLOOKUP('Rock Climbing Log'!T153,'RC Lookup'!$G$3:$H$5,2,FALSE)),0)*VLOOKUP(S$7,'RC Lookup'!$D$3:$E$18,2,FALSE)</f>
        <v>0</v>
      </c>
      <c r="U153" s="26">
        <f>_xlfn.IFNA(IF(LEFT('Rock Climbing Log'!U153)="C",_xlfn.IFNA(VLOOKUP('Rock Climbing Log'!U153,'RC Lookup'!$A$3:$B$9,2,FALSE),0.5),VLOOKUP('Rock Climbing Log'!U153,'RC Lookup'!$G$3:$H$5,2,FALSE)),0)*VLOOKUP(S$7,'RC Lookup'!$D$3:$E$18,2,FALSE)</f>
        <v>0</v>
      </c>
      <c r="V153" s="26">
        <f>_xlfn.IFNA(IF(LEFT('Rock Climbing Log'!V153)="C",_xlfn.IFNA(VLOOKUP('Rock Climbing Log'!V153,'RC Lookup'!$A$3:$B$9,2,FALSE),0.5),VLOOKUP('Rock Climbing Log'!V153,'RC Lookup'!$G$3:$H$5,2,FALSE)),0)*VLOOKUP(V$7,'RC Lookup'!$D$3:$E$18,2,FALSE)</f>
        <v>0</v>
      </c>
      <c r="W153" s="26">
        <f>_xlfn.IFNA(IF(LEFT('Rock Climbing Log'!W153)="C",_xlfn.IFNA(VLOOKUP('Rock Climbing Log'!W153,'RC Lookup'!$A$3:$B$9,2,FALSE),0.5),VLOOKUP('Rock Climbing Log'!W153,'RC Lookup'!$G$3:$H$5,2,FALSE)),0)*VLOOKUP(V$7,'RC Lookup'!$D$3:$E$18,2,FALSE)</f>
        <v>0</v>
      </c>
      <c r="X153" s="26">
        <f>_xlfn.IFNA(IF(LEFT('Rock Climbing Log'!X153)="C",_xlfn.IFNA(VLOOKUP('Rock Climbing Log'!X153,'RC Lookup'!$A$3:$B$9,2,FALSE),0.5),VLOOKUP('Rock Climbing Log'!X153,'RC Lookup'!$G$3:$H$5,2,FALSE)),0)*VLOOKUP(V$7,'RC Lookup'!$D$3:$E$18,2,FALSE)</f>
        <v>0</v>
      </c>
      <c r="Y153" s="26">
        <f>_xlfn.IFNA(IF(LEFT('Rock Climbing Log'!Y153)="C",_xlfn.IFNA(VLOOKUP('Rock Climbing Log'!Y153,'RC Lookup'!$A$3:$B$9,2,FALSE),0.5),VLOOKUP('Rock Climbing Log'!Y153,'RC Lookup'!$G$3:$H$5,2,FALSE)),0)*VLOOKUP(Y$7,'RC Lookup'!$D$3:$E$18,2,FALSE)</f>
        <v>0</v>
      </c>
      <c r="Z153" s="26">
        <f>_xlfn.IFNA(IF(LEFT('Rock Climbing Log'!Z153)="C",_xlfn.IFNA(VLOOKUP('Rock Climbing Log'!Z153,'RC Lookup'!$A$3:$B$9,2,FALSE),0.5),VLOOKUP('Rock Climbing Log'!Z153,'RC Lookup'!$G$3:$H$5,2,FALSE)),0)*VLOOKUP(Y$7,'RC Lookup'!$D$3:$E$18,2,FALSE)</f>
        <v>0</v>
      </c>
      <c r="AA153" s="26">
        <f>_xlfn.IFNA(IF(LEFT('Rock Climbing Log'!AA153)="C",_xlfn.IFNA(VLOOKUP('Rock Climbing Log'!AA153,'RC Lookup'!$A$3:$B$9,2,FALSE),0.5),VLOOKUP('Rock Climbing Log'!AA153,'RC Lookup'!$G$3:$H$5,2,FALSE)),0)*VLOOKUP(Y$7,'RC Lookup'!$D$3:$E$18,2,FALSE)</f>
        <v>0</v>
      </c>
      <c r="AB153" s="26">
        <f>_xlfn.IFNA(IF(LEFT('Rock Climbing Log'!AB153)="C",_xlfn.IFNA(VLOOKUP('Rock Climbing Log'!AB153,'RC Lookup'!$A$3:$B$9,2,FALSE),0.5),VLOOKUP('Rock Climbing Log'!AB153,'RC Lookup'!$G$3:$H$5,2,FALSE)),0)*VLOOKUP(AB$7,'RC Lookup'!$D$3:$E$18,2,FALSE)</f>
        <v>0</v>
      </c>
      <c r="AC153" s="26">
        <f>_xlfn.IFNA(IF(LEFT('Rock Climbing Log'!AC153)="C",_xlfn.IFNA(VLOOKUP('Rock Climbing Log'!AC153,'RC Lookup'!$A$3:$B$9,2,FALSE),0.5),VLOOKUP('Rock Climbing Log'!AC153,'RC Lookup'!$G$3:$H$5,2,FALSE)),0)*VLOOKUP(AB$7,'RC Lookup'!$D$3:$E$18,2,FALSE)</f>
        <v>0</v>
      </c>
      <c r="AD153" s="26">
        <f>_xlfn.IFNA(IF(LEFT('Rock Climbing Log'!AD153)="C",_xlfn.IFNA(VLOOKUP('Rock Climbing Log'!AD153,'RC Lookup'!$A$3:$B$9,2,FALSE),0.5),VLOOKUP('Rock Climbing Log'!AD153,'RC Lookup'!$G$3:$H$5,2,FALSE)),0)*VLOOKUP(AB$7,'RC Lookup'!$D$3:$E$18,2,FALSE)</f>
        <v>0</v>
      </c>
      <c r="AE153" s="26">
        <f>_xlfn.IFNA(IF(LEFT('Rock Climbing Log'!AE153)="C",_xlfn.IFNA(VLOOKUP('Rock Climbing Log'!AE153,'RC Lookup'!$A$3:$B$9,2,FALSE),0.5),VLOOKUP('Rock Climbing Log'!AE153,'RC Lookup'!$G$3:$H$5,2,FALSE)),0)*VLOOKUP(AE$7,'RC Lookup'!$D$3:$E$18,2,FALSE)</f>
        <v>0</v>
      </c>
      <c r="AF153" s="26">
        <f>_xlfn.IFNA(IF(LEFT('Rock Climbing Log'!AF153)="C",_xlfn.IFNA(VLOOKUP('Rock Climbing Log'!AF153,'RC Lookup'!$A$3:$B$9,2,FALSE),0.5),VLOOKUP('Rock Climbing Log'!AF153,'RC Lookup'!$G$3:$H$5,2,FALSE)),0)*VLOOKUP(AE$7,'RC Lookup'!$D$3:$E$18,2,FALSE)</f>
        <v>0</v>
      </c>
      <c r="AG153" s="26">
        <f>_xlfn.IFNA(IF(LEFT('Rock Climbing Log'!AG153)="C",_xlfn.IFNA(VLOOKUP('Rock Climbing Log'!AG153,'RC Lookup'!$A$3:$B$9,2,FALSE),0.5),VLOOKUP('Rock Climbing Log'!AG153,'RC Lookup'!$G$3:$H$5,2,FALSE)),0)*VLOOKUP(AE$7,'RC Lookup'!$D$3:$E$18,2,FALSE)</f>
        <v>0</v>
      </c>
      <c r="AH153" s="26">
        <f>_xlfn.IFNA(IF(LEFT('Rock Climbing Log'!AH153)="C",_xlfn.IFNA(VLOOKUP('Rock Climbing Log'!AH153,'RC Lookup'!$A$3:$B$9,2,FALSE),0.5),VLOOKUP('Rock Climbing Log'!AH153,'RC Lookup'!$G$3:$H$5,2,FALSE)),0)*VLOOKUP(AH$7,'RC Lookup'!$D$3:$E$18,2,FALSE)</f>
        <v>0</v>
      </c>
      <c r="AI153" s="26">
        <f>_xlfn.IFNA(IF(LEFT('Rock Climbing Log'!AI153)="C",_xlfn.IFNA(VLOOKUP('Rock Climbing Log'!AI153,'RC Lookup'!$A$3:$B$9,2,FALSE),0.5),VLOOKUP('Rock Climbing Log'!AI153,'RC Lookup'!$G$3:$H$5,2,FALSE)),0)*VLOOKUP(AH$7,'RC Lookup'!$D$3:$E$18,2,FALSE)</f>
        <v>0</v>
      </c>
      <c r="AJ153" s="26">
        <f>_xlfn.IFNA(IF(LEFT('Rock Climbing Log'!AJ153)="C",_xlfn.IFNA(VLOOKUP('Rock Climbing Log'!AJ153,'RC Lookup'!$A$3:$B$9,2,FALSE),0.5),VLOOKUP('Rock Climbing Log'!AJ153,'RC Lookup'!$G$3:$H$5,2,FALSE)),0)*VLOOKUP(AH$7,'RC Lookup'!$D$3:$E$18,2,FALSE)</f>
        <v>0</v>
      </c>
      <c r="AK153" s="26">
        <f>_xlfn.IFNA(IF(LEFT('Rock Climbing Log'!AK153)="C",_xlfn.IFNA(VLOOKUP('Rock Climbing Log'!AK153,'RC Lookup'!$A$3:$B$9,2,FALSE),0.5),VLOOKUP('Rock Climbing Log'!AK153,'RC Lookup'!$G$3:$H$5,2,FALSE)),0)*VLOOKUP(AK$7,'RC Lookup'!$D$3:$E$18,2,FALSE)</f>
        <v>0</v>
      </c>
      <c r="AL153" s="26">
        <f>_xlfn.IFNA(IF(LEFT('Rock Climbing Log'!AL153)="C",_xlfn.IFNA(VLOOKUP('Rock Climbing Log'!AL153,'RC Lookup'!$A$3:$B$9,2,FALSE),0.5),VLOOKUP('Rock Climbing Log'!AL153,'RC Lookup'!$G$3:$H$5,2,FALSE)),0)*VLOOKUP(AK$7,'RC Lookup'!$D$3:$E$18,2,FALSE)</f>
        <v>0</v>
      </c>
      <c r="AM153" s="26">
        <f>_xlfn.IFNA(IF(LEFT('Rock Climbing Log'!AM153)="C",_xlfn.IFNA(VLOOKUP('Rock Climbing Log'!AM153,'RC Lookup'!$A$3:$B$9,2,FALSE),0.5),VLOOKUP('Rock Climbing Log'!AM153,'RC Lookup'!$G$3:$H$5,2,FALSE)),0)*VLOOKUP(AK$7,'RC Lookup'!$D$3:$E$18,2,FALSE)</f>
        <v>0</v>
      </c>
      <c r="AN153" s="26">
        <f>_xlfn.IFNA(IF(LEFT('Rock Climbing Log'!AN153)="C",_xlfn.IFNA(VLOOKUP('Rock Climbing Log'!AN153,'RC Lookup'!$A$3:$B$9,2,FALSE),0.5),VLOOKUP('Rock Climbing Log'!AN153,'RC Lookup'!$G$3:$H$5,2,FALSE)),0)*VLOOKUP(AN$7,'RC Lookup'!$D$3:$E$18,2,FALSE)</f>
        <v>0</v>
      </c>
      <c r="AO153" s="26">
        <f>_xlfn.IFNA(IF(LEFT('Rock Climbing Log'!AO153)="C",_xlfn.IFNA(VLOOKUP('Rock Climbing Log'!AO153,'RC Lookup'!$A$3:$B$9,2,FALSE),0.5),VLOOKUP('Rock Climbing Log'!AO153,'RC Lookup'!$G$3:$H$5,2,FALSE)),0)*VLOOKUP(AN$7,'RC Lookup'!$D$3:$E$18,2,FALSE)</f>
        <v>0</v>
      </c>
      <c r="AP153" s="26">
        <f>_xlfn.IFNA(IF(LEFT('Rock Climbing Log'!AP153)="C",_xlfn.IFNA(VLOOKUP('Rock Climbing Log'!AP153,'RC Lookup'!$A$3:$B$9,2,FALSE),0.5),VLOOKUP('Rock Climbing Log'!AP153,'RC Lookup'!$G$3:$H$5,2,FALSE)),0)*VLOOKUP(AN$7,'RC Lookup'!$D$3:$E$18,2,FALSE)</f>
        <v>0</v>
      </c>
      <c r="AQ153" s="26">
        <f>_xlfn.IFNA(IF(LEFT('Rock Climbing Log'!AQ153)="C",_xlfn.IFNA(VLOOKUP('Rock Climbing Log'!AQ153,'RC Lookup'!$A$3:$B$9,2,FALSE),0.5),VLOOKUP('Rock Climbing Log'!AQ153,'RC Lookup'!$G$3:$H$5,2,FALSE)),0)*VLOOKUP(AQ$7,'RC Lookup'!$D$3:$E$18,2,FALSE)</f>
        <v>0</v>
      </c>
      <c r="AR153" s="26">
        <f>_xlfn.IFNA(IF(LEFT('Rock Climbing Log'!AR153)="C",_xlfn.IFNA(VLOOKUP('Rock Climbing Log'!AR153,'RC Lookup'!$A$3:$B$9,2,FALSE),0.5),VLOOKUP('Rock Climbing Log'!AR153,'RC Lookup'!$G$3:$H$5,2,FALSE)),0)*VLOOKUP(AQ$7,'RC Lookup'!$D$3:$E$18,2,FALSE)</f>
        <v>0</v>
      </c>
      <c r="AS153" s="26">
        <f>_xlfn.IFNA(IF(LEFT('Rock Climbing Log'!AS153)="C",_xlfn.IFNA(VLOOKUP('Rock Climbing Log'!AS153,'RC Lookup'!$A$3:$B$9,2,FALSE),0.5),VLOOKUP('Rock Climbing Log'!AS153,'RC Lookup'!$G$3:$H$5,2,FALSE)),0)*VLOOKUP(AQ$7,'RC Lookup'!$D$3:$E$18,2,FALSE)</f>
        <v>0</v>
      </c>
      <c r="AT153" s="26">
        <f>_xlfn.IFNA(IF(LEFT('Rock Climbing Log'!AT153)="C",_xlfn.IFNA(VLOOKUP('Rock Climbing Log'!AT153,'RC Lookup'!$A$3:$B$9,2,FALSE),0.5),VLOOKUP('Rock Climbing Log'!AT153,'RC Lookup'!$G$3:$H$5,2,FALSE)),0)*VLOOKUP(AT$7,'RC Lookup'!$D$3:$E$18,2,FALSE)</f>
        <v>0</v>
      </c>
      <c r="AU153" s="26">
        <f>_xlfn.IFNA(IF(LEFT('Rock Climbing Log'!AU153)="C",_xlfn.IFNA(VLOOKUP('Rock Climbing Log'!AU153,'RC Lookup'!$A$3:$B$9,2,FALSE),0.5),VLOOKUP('Rock Climbing Log'!AU153,'RC Lookup'!$G$3:$H$5,2,FALSE)),0)*VLOOKUP(AT$7,'RC Lookup'!$D$3:$E$18,2,FALSE)</f>
        <v>0</v>
      </c>
      <c r="AV153" s="26">
        <f>_xlfn.IFNA(IF(LEFT('Rock Climbing Log'!AV153)="C",_xlfn.IFNA(VLOOKUP('Rock Climbing Log'!AV153,'RC Lookup'!$A$3:$B$9,2,FALSE),0.5),VLOOKUP('Rock Climbing Log'!AV153,'RC Lookup'!$G$3:$H$5,2,FALSE)),0)*VLOOKUP(AT$7,'RC Lookup'!$D$3:$E$18,2,FALSE)</f>
        <v>0</v>
      </c>
      <c r="AW153" s="30">
        <f t="shared" ca="1" si="5"/>
        <v>0</v>
      </c>
      <c r="AX153" s="30">
        <f ca="1">_xlfn.IFNA(VLOOKUP(SUMPRODUCT(LARGE(($C$8:$C153=Table1[[#This Row],[Climber]])*$A$8:$A153,1)),$A$8:$AW153,MATCH($AW$7,$A$7:$AW$7,FALSE),FALSE),0)/LEFT($AX$7,FIND(" ",$AX$7))+_xlfn.IFNA(VLOOKUP(SUMPRODUCT(LARGE(($C$8:$C153=Table1[[#This Row],[Climber]])*$A$8:$A153,MIN(2,COUNTIFS($C$8:$C153,$C153)))),$A$8:$AW153,MATCH($AW$7,$A$7:$AW$7,FALSE),FALSE),0)/LEFT($AX$7,FIND(" ",$AX$7))+_xlfn.IFNA(VLOOKUP(SUMPRODUCT(LARGE(($C$8:$C153=Table1[[#This Row],[Climber]])*$A$8:$A153,MIN(3,COUNTIFS($C$8:$C153,$C153)))),$A$8:$AW153,MATCH($AW$7,$A$7:$AW$7,FALSE),FALSE),0)/LEFT($AX$7,FIND(" ",$AX$7))</f>
        <v>0</v>
      </c>
      <c r="AY153" s="30">
        <f ca="1">_xlfn.IFNA(VLOOKUP(SUMPRODUCT(LARGE(($C$8:$C153=Table1[[#This Row],[Climber]])*$A$8:$A153,1)),$A$8:$AW153,MATCH($AW$7,$A$7:$AW$7,FALSE),FALSE),0)/LEFT($AY$7,FIND(" ",$AY$7))+_xlfn.IFNA(VLOOKUP(SUMPRODUCT(LARGE(($C$8:$C153=Table1[[#This Row],[Climber]])*$A$8:$A153,MIN(2,COUNTIFS($C$8:$C153,$C153)))),$A$8:$AW153,MATCH($AW$7,$A$7:$AW$7,FALSE),FALSE),0)/LEFT($AY$7,FIND(" ",$AY$7))+_xlfn.IFNA(VLOOKUP(SUMPRODUCT(LARGE(($C$8:$C153=Table1[[#This Row],[Climber]])*$A$8:$A153,MIN(3,COUNTIFS($C$8:$C153,$C153)))),$A$8:$AW153,MATCH($AW$7,$A$7:$AW$7,FALSE),FALSE),0)/LEFT($AY$7,FIND(" ",$AY$7))+_xlfn.IFNA(VLOOKUP(SUMPRODUCT(LARGE(($C$8:$C153=Table1[[#This Row],[Climber]])*$A$8:$A153,MIN(4,COUNTIFS($C$8:$C153,$C153)))),$A$8:$AW153,MATCH($AW$7,$A$7:$AW$7,FALSE),FALSE),0)/LEFT($AY$7,FIND(" ",$AY$7))+_xlfn.IFNA(VLOOKUP(SUMPRODUCT(LARGE(($C$8:$C153=Table1[[#This Row],[Climber]])*$A$8:$A153,MIN(5,COUNTIFS($C$8:$C153,$C153)))),$A$8:$AW153,MATCH($AW$7,$A$7:$AW$7,FALSE),FALSE),0)/LEFT($AY$7,FIND(" ",$AY$7))</f>
        <v>0</v>
      </c>
      <c r="AZ153" s="30">
        <f ca="1">(_xlfn.IFNA(VLOOKUP(SUMPRODUCT(LARGE(($C$8:$C153=Table1[[#This Row],[Climber]])*$A$8:$A153,4)),$A$8:$AW153,MATCH($AW$7,$A$7:$AW$7,FALSE),FALSE),0)+_xlfn.IFNA(VLOOKUP(SUMPRODUCT(LARGE(($C$8:$C153=Table1[[#This Row],[Climber]])*$A$8:$A153,5)),$A$8:$AW153,MATCH($AW$7,$A$7:$AW$7,FALSE),FALSE),0)+_xlfn.IFNA(VLOOKUP(SUMPRODUCT(LARGE(($C$8:$C153=Table1[[#This Row],[Climber]])*$A$8:$A153,6)),$A$8:$AW153,MATCH($AW$7,$A$7:$AW$7,FALSE),FALSE),0))/3</f>
        <v>0</v>
      </c>
      <c r="BA153" s="46">
        <f ca="1">_xlfn.MAXIFS(INDIRECT("$AW"&amp;IF(SUMPRODUCT(LARGE(($C$8:$C153=$C153)*$A$8:$A153,LEFT($BA$7,FIND(" ",$BA$7)-1)))=0,8,SUMPRODUCT(LARGE(($C$8:$C153=$C153)*$A$8:$A153,LEFT($BA$7,FIND(" ",$BA$7)-1)))+7)&amp;":$AW"&amp;ROW()),INDIRECT("$C"&amp;IF(SUMPRODUCT(LARGE(($C$8:$C153=$C153)*$A$8:$A153,LEFT($BA$7,FIND(" ",$BA$7)-1)))=0,8,SUMPRODUCT(LARGE(($C$8:$C153=$C153)*$A$8:$A153,LEFT($BA$7,FIND(" ",$BA$7)-1)))+7)&amp;":$C"&amp;ROW()),$C153)</f>
        <v>0</v>
      </c>
      <c r="BB153" s="46" t="str">
        <f ca="1">VLOOKUP(MAX(BG153,$AX153),'RC Lookup'!$G$14:$J$20,2,TRUE)</f>
        <v>T1</v>
      </c>
      <c r="BC153" s="46">
        <f ca="1">_xlfn.IFNA(VLOOKUP(VLOOKUP($C153,'RC Lookup'!$O$3:$P$50,2,FALSE),'RC Lookup'!$H$14:$J$23,2,FALSE),0)*AW153</f>
        <v>0</v>
      </c>
      <c r="BD153" s="6">
        <f ca="1">_xlfn.IFNA(VLOOKUP(SUMPRODUCT(LARGE(($C$8:$C153=Table1[[#This Row],[Climber]])*$A$8:$A153,1)),$A$8:$BC153,55,FALSE),0)/LEFT($AX$7,FIND(" ",$AX$7))+_xlfn.IFNA(VLOOKUP(SUMPRODUCT(LARGE(($C$8:$C153=Table1[[#This Row],[Climber]])*$A$8:$A153,MIN(2,COUNTIFS($C$8:$C153,$C153)))),$A$8:$BC153,55,FALSE),0)/LEFT($AX$7,FIND(" ",$AX$7))+_xlfn.IFNA(VLOOKUP(SUMPRODUCT(LARGE(($C$8:$C153=Table1[[#This Row],[Climber]])*$A$8:$A153,MIN(3,COUNTIFS($C$8:$C153,$C153)))),$A$8:$BC153,55,FALSE),0)/LEFT($AX$7,FIND(" ",$AX$7))</f>
        <v>0</v>
      </c>
      <c r="BE153" s="6">
        <f ca="1">(_xlfn.IFNA(VLOOKUP(SUMPRODUCT(LARGE(($C$8:$C153=Table1[[#This Row],[Climber]])*$A$8:$A153,4)),$A$8:$BD153,55,FALSE),0)+_xlfn.IFNA(VLOOKUP(SUMPRODUCT(LARGE(($C$8:$C153=Table1[[#This Row],[Climber]])*$A$8:$A153,5)),$A$8:$BD153,55,FALSE),0)+_xlfn.IFNA(VLOOKUP(SUMPRODUCT(LARGE(($C$8:$C153=Table1[[#This Row],[Climber]])*$A$8:$A153,6)),$A$8:$BD153,55,FALSE),0))/3</f>
        <v>0</v>
      </c>
      <c r="BF153" s="46">
        <f ca="1">_xlfn.MAXIFS(INDIRECT("$BC"&amp;IF(SUMPRODUCT(LARGE(($C$8:$C153=$C153)*$A$8:$A153,LEFT($BA$7,FIND(" ",$BA$7)-1)))=0,8,SUMPRODUCT(LARGE(($C$8:$C153=$C153)*$A$8:$A153,LEFT($BA$7,FIND(" ",$BA$7)-1)))+7)&amp;":$BC"&amp;ROW()),INDIRECT("$C"&amp;IF(SUMPRODUCT(LARGE(($C$8:$C153=$C153)*$A$8:$A153,LEFT($BA$7,FIND(" ",$BA$7)-1)))=0,8,SUMPRODUCT(LARGE(($C$8:$C153=$C153)*$A$8:$A153,LEFT($BA$7,FIND(" ",$BA$7)-1)))+7)&amp;":$C"&amp;ROW()),$C153)</f>
        <v>0</v>
      </c>
      <c r="BG153" s="46">
        <f t="array" aca="1" ref="BG153" ca="1">IFERROR(SUMPRODUCT(LARGE(($C$8:$C153=Table1[[#This Row],[Climber]])*$AW$8:$AW153,ROW(INDIRECT("1:5")))),AW153)/MIN(COUNTIFS($C$8:$C153,C153),5)</f>
        <v>0</v>
      </c>
    </row>
    <row r="154" spans="1:59" x14ac:dyDescent="0.3">
      <c r="A154" s="125">
        <f t="shared" si="1"/>
        <v>147</v>
      </c>
      <c r="B154" s="25">
        <f>'Rock Climbing Log'!B154</f>
        <v>0</v>
      </c>
      <c r="C154" s="126">
        <f>'Rock Climbing Log'!C154</f>
        <v>0</v>
      </c>
      <c r="D154" s="26">
        <f>_xlfn.IFNA(IF(LEFT('Rock Climbing Log'!D154)="C",_xlfn.IFNA(VLOOKUP('Rock Climbing Log'!D154,'RC Lookup'!$A$3:$B$9,2,FALSE),0.5),VLOOKUP('Rock Climbing Log'!D154,'RC Lookup'!$G$3:$H$5,2,FALSE)),0)*VLOOKUP(D$7,'RC Lookup'!$D$3:$E$18,2,FALSE)</f>
        <v>0</v>
      </c>
      <c r="E154" s="26">
        <f>_xlfn.IFNA(IF(LEFT('Rock Climbing Log'!E154)="C",_xlfn.IFNA(VLOOKUP('Rock Climbing Log'!E154,'RC Lookup'!$A$3:$B$9,2,FALSE),0.5),VLOOKUP('Rock Climbing Log'!E154,'RC Lookup'!$G$3:$H$5,2,FALSE)),0)*VLOOKUP(D$7,'RC Lookup'!$D$3:$E$18,2,FALSE)</f>
        <v>0</v>
      </c>
      <c r="F154" s="26">
        <f>_xlfn.IFNA(IF(LEFT('Rock Climbing Log'!F154)="C",_xlfn.IFNA(VLOOKUP('Rock Climbing Log'!F154,'RC Lookup'!$A$3:$B$9,2,FALSE),0.5),VLOOKUP('Rock Climbing Log'!F154,'RC Lookup'!$G$3:$H$5,2,FALSE)),0)*VLOOKUP(D$7,'RC Lookup'!$D$3:$E$18,2,FALSE)</f>
        <v>0</v>
      </c>
      <c r="G154" s="26">
        <f>_xlfn.IFNA(IF(LEFT('Rock Climbing Log'!G154)="C",_xlfn.IFNA(VLOOKUP('Rock Climbing Log'!G154,'RC Lookup'!$A$3:$B$9,2,FALSE),0.5),VLOOKUP('Rock Climbing Log'!G154,'RC Lookup'!$G$3:$H$5,2,FALSE)),0)*VLOOKUP(G$7,'RC Lookup'!$D$3:$E$18,2,FALSE)</f>
        <v>0</v>
      </c>
      <c r="H154" s="26">
        <f>_xlfn.IFNA(IF(LEFT('Rock Climbing Log'!H154)="C",_xlfn.IFNA(VLOOKUP('Rock Climbing Log'!H154,'RC Lookup'!$A$3:$B$9,2,FALSE),0.5),VLOOKUP('Rock Climbing Log'!H154,'RC Lookup'!$G$3:$H$5,2,FALSE)),0)*VLOOKUP(G$7,'RC Lookup'!$D$3:$E$18,2,FALSE)</f>
        <v>0</v>
      </c>
      <c r="I154" s="26">
        <f>_xlfn.IFNA(IF(LEFT('Rock Climbing Log'!I154)="C",_xlfn.IFNA(VLOOKUP('Rock Climbing Log'!I154,'RC Lookup'!$A$3:$B$9,2,FALSE),0.5),VLOOKUP('Rock Climbing Log'!I154,'RC Lookup'!$G$3:$H$5,2,FALSE)),0)*VLOOKUP(G$7,'RC Lookup'!$D$3:$E$18,2,FALSE)</f>
        <v>0</v>
      </c>
      <c r="J154" s="26">
        <f>_xlfn.IFNA(IF(LEFT('Rock Climbing Log'!J154)="C",_xlfn.IFNA(VLOOKUP('Rock Climbing Log'!J154,'RC Lookup'!$A$3:$B$9,2,FALSE),0.5),VLOOKUP('Rock Climbing Log'!J154,'RC Lookup'!$G$3:$H$5,2,FALSE)),0)*VLOOKUP(J$7,'RC Lookup'!$D$3:$E$18,2,FALSE)</f>
        <v>0</v>
      </c>
      <c r="K154" s="26">
        <f>_xlfn.IFNA(IF(LEFT('Rock Climbing Log'!K154)="C",_xlfn.IFNA(VLOOKUP('Rock Climbing Log'!K154,'RC Lookup'!$A$3:$B$9,2,FALSE),0.5),VLOOKUP('Rock Climbing Log'!K154,'RC Lookup'!$G$3:$H$5,2,FALSE)),0)*VLOOKUP(J$7,'RC Lookup'!$D$3:$E$18,2,FALSE)</f>
        <v>0</v>
      </c>
      <c r="L154" s="26">
        <f>_xlfn.IFNA(IF(LEFT('Rock Climbing Log'!L154)="C",_xlfn.IFNA(VLOOKUP('Rock Climbing Log'!L154,'RC Lookup'!$A$3:$B$9,2,FALSE),0.5),VLOOKUP('Rock Climbing Log'!L154,'RC Lookup'!$G$3:$H$5,2,FALSE)),0)*VLOOKUP(J$7,'RC Lookup'!$D$3:$E$18,2,FALSE)</f>
        <v>0</v>
      </c>
      <c r="M154" s="26">
        <f>_xlfn.IFNA(IF(LEFT('Rock Climbing Log'!M154)="C",_xlfn.IFNA(VLOOKUP('Rock Climbing Log'!M154,'RC Lookup'!$A$3:$B$9,2,FALSE),0.5),VLOOKUP('Rock Climbing Log'!M154,'RC Lookup'!$G$3:$H$5,2,FALSE)),0)*VLOOKUP(M$7,'RC Lookup'!$D$3:$E$18,2,FALSE)</f>
        <v>0</v>
      </c>
      <c r="N154" s="26">
        <f>_xlfn.IFNA(IF(LEFT('Rock Climbing Log'!N154)="C",_xlfn.IFNA(VLOOKUP('Rock Climbing Log'!N154,'RC Lookup'!$A$3:$B$9,2,FALSE),0.5),VLOOKUP('Rock Climbing Log'!N154,'RC Lookup'!$G$3:$H$5,2,FALSE)),0)*VLOOKUP(M$7,'RC Lookup'!$D$3:$E$18,2,FALSE)</f>
        <v>0</v>
      </c>
      <c r="O154" s="26">
        <f>_xlfn.IFNA(IF(LEFT('Rock Climbing Log'!O154)="C",_xlfn.IFNA(VLOOKUP('Rock Climbing Log'!O154,'RC Lookup'!$A$3:$B$9,2,FALSE),0.5),VLOOKUP('Rock Climbing Log'!O154,'RC Lookup'!$G$3:$H$5,2,FALSE)),0)*VLOOKUP(M$7,'RC Lookup'!$D$3:$E$18,2,FALSE)</f>
        <v>0</v>
      </c>
      <c r="P154" s="26">
        <f>_xlfn.IFNA(IF(LEFT('Rock Climbing Log'!P154)="C",_xlfn.IFNA(VLOOKUP('Rock Climbing Log'!P154,'RC Lookup'!$A$3:$B$9,2,FALSE),0.5),VLOOKUP('Rock Climbing Log'!P154,'RC Lookup'!$G$3:$H$5,2,FALSE)),0)*VLOOKUP(P$7,'RC Lookup'!$D$3:$E$18,2,FALSE)</f>
        <v>0</v>
      </c>
      <c r="Q154" s="26">
        <f>_xlfn.IFNA(IF(LEFT('Rock Climbing Log'!Q154)="C",_xlfn.IFNA(VLOOKUP('Rock Climbing Log'!Q154,'RC Lookup'!$A$3:$B$9,2,FALSE),0.5),VLOOKUP('Rock Climbing Log'!Q154,'RC Lookup'!$G$3:$H$5,2,FALSE)),0)*VLOOKUP(P$7,'RC Lookup'!$D$3:$E$18,2,FALSE)</f>
        <v>0</v>
      </c>
      <c r="R154" s="26">
        <f>_xlfn.IFNA(IF(LEFT('Rock Climbing Log'!R154)="C",_xlfn.IFNA(VLOOKUP('Rock Climbing Log'!R154,'RC Lookup'!$A$3:$B$9,2,FALSE),0.5),VLOOKUP('Rock Climbing Log'!R154,'RC Lookup'!$G$3:$H$5,2,FALSE)),0)*VLOOKUP(P$7,'RC Lookup'!$D$3:$E$18,2,FALSE)</f>
        <v>0</v>
      </c>
      <c r="S154" s="26">
        <f>_xlfn.IFNA(IF(LEFT('Rock Climbing Log'!S154)="C",_xlfn.IFNA(VLOOKUP('Rock Climbing Log'!S154,'RC Lookup'!$A$3:$B$9,2,FALSE),0.5),VLOOKUP('Rock Climbing Log'!S154,'RC Lookup'!$G$3:$H$5,2,FALSE)),0)*VLOOKUP(S$7,'RC Lookup'!$D$3:$E$18,2,FALSE)</f>
        <v>0</v>
      </c>
      <c r="T154" s="26">
        <f>_xlfn.IFNA(IF(LEFT('Rock Climbing Log'!T154)="C",_xlfn.IFNA(VLOOKUP('Rock Climbing Log'!T154,'RC Lookup'!$A$3:$B$9,2,FALSE),0.5),VLOOKUP('Rock Climbing Log'!T154,'RC Lookup'!$G$3:$H$5,2,FALSE)),0)*VLOOKUP(S$7,'RC Lookup'!$D$3:$E$18,2,FALSE)</f>
        <v>0</v>
      </c>
      <c r="U154" s="26">
        <f>_xlfn.IFNA(IF(LEFT('Rock Climbing Log'!U154)="C",_xlfn.IFNA(VLOOKUP('Rock Climbing Log'!U154,'RC Lookup'!$A$3:$B$9,2,FALSE),0.5),VLOOKUP('Rock Climbing Log'!U154,'RC Lookup'!$G$3:$H$5,2,FALSE)),0)*VLOOKUP(S$7,'RC Lookup'!$D$3:$E$18,2,FALSE)</f>
        <v>0</v>
      </c>
      <c r="V154" s="26">
        <f>_xlfn.IFNA(IF(LEFT('Rock Climbing Log'!V154)="C",_xlfn.IFNA(VLOOKUP('Rock Climbing Log'!V154,'RC Lookup'!$A$3:$B$9,2,FALSE),0.5),VLOOKUP('Rock Climbing Log'!V154,'RC Lookup'!$G$3:$H$5,2,FALSE)),0)*VLOOKUP(V$7,'RC Lookup'!$D$3:$E$18,2,FALSE)</f>
        <v>0</v>
      </c>
      <c r="W154" s="26">
        <f>_xlfn.IFNA(IF(LEFT('Rock Climbing Log'!W154)="C",_xlfn.IFNA(VLOOKUP('Rock Climbing Log'!W154,'RC Lookup'!$A$3:$B$9,2,FALSE),0.5),VLOOKUP('Rock Climbing Log'!W154,'RC Lookup'!$G$3:$H$5,2,FALSE)),0)*VLOOKUP(V$7,'RC Lookup'!$D$3:$E$18,2,FALSE)</f>
        <v>0</v>
      </c>
      <c r="X154" s="26">
        <f>_xlfn.IFNA(IF(LEFT('Rock Climbing Log'!X154)="C",_xlfn.IFNA(VLOOKUP('Rock Climbing Log'!X154,'RC Lookup'!$A$3:$B$9,2,FALSE),0.5),VLOOKUP('Rock Climbing Log'!X154,'RC Lookup'!$G$3:$H$5,2,FALSE)),0)*VLOOKUP(V$7,'RC Lookup'!$D$3:$E$18,2,FALSE)</f>
        <v>0</v>
      </c>
      <c r="Y154" s="26">
        <f>_xlfn.IFNA(IF(LEFT('Rock Climbing Log'!Y154)="C",_xlfn.IFNA(VLOOKUP('Rock Climbing Log'!Y154,'RC Lookup'!$A$3:$B$9,2,FALSE),0.5),VLOOKUP('Rock Climbing Log'!Y154,'RC Lookup'!$G$3:$H$5,2,FALSE)),0)*VLOOKUP(Y$7,'RC Lookup'!$D$3:$E$18,2,FALSE)</f>
        <v>0</v>
      </c>
      <c r="Z154" s="26">
        <f>_xlfn.IFNA(IF(LEFT('Rock Climbing Log'!Z154)="C",_xlfn.IFNA(VLOOKUP('Rock Climbing Log'!Z154,'RC Lookup'!$A$3:$B$9,2,FALSE),0.5),VLOOKUP('Rock Climbing Log'!Z154,'RC Lookup'!$G$3:$H$5,2,FALSE)),0)*VLOOKUP(Y$7,'RC Lookup'!$D$3:$E$18,2,FALSE)</f>
        <v>0</v>
      </c>
      <c r="AA154" s="26">
        <f>_xlfn.IFNA(IF(LEFT('Rock Climbing Log'!AA154)="C",_xlfn.IFNA(VLOOKUP('Rock Climbing Log'!AA154,'RC Lookup'!$A$3:$B$9,2,FALSE),0.5),VLOOKUP('Rock Climbing Log'!AA154,'RC Lookup'!$G$3:$H$5,2,FALSE)),0)*VLOOKUP(Y$7,'RC Lookup'!$D$3:$E$18,2,FALSE)</f>
        <v>0</v>
      </c>
      <c r="AB154" s="26">
        <f>_xlfn.IFNA(IF(LEFT('Rock Climbing Log'!AB154)="C",_xlfn.IFNA(VLOOKUP('Rock Climbing Log'!AB154,'RC Lookup'!$A$3:$B$9,2,FALSE),0.5),VLOOKUP('Rock Climbing Log'!AB154,'RC Lookup'!$G$3:$H$5,2,FALSE)),0)*VLOOKUP(AB$7,'RC Lookup'!$D$3:$E$18,2,FALSE)</f>
        <v>0</v>
      </c>
      <c r="AC154" s="26">
        <f>_xlfn.IFNA(IF(LEFT('Rock Climbing Log'!AC154)="C",_xlfn.IFNA(VLOOKUP('Rock Climbing Log'!AC154,'RC Lookup'!$A$3:$B$9,2,FALSE),0.5),VLOOKUP('Rock Climbing Log'!AC154,'RC Lookup'!$G$3:$H$5,2,FALSE)),0)*VLOOKUP(AB$7,'RC Lookup'!$D$3:$E$18,2,FALSE)</f>
        <v>0</v>
      </c>
      <c r="AD154" s="26">
        <f>_xlfn.IFNA(IF(LEFT('Rock Climbing Log'!AD154)="C",_xlfn.IFNA(VLOOKUP('Rock Climbing Log'!AD154,'RC Lookup'!$A$3:$B$9,2,FALSE),0.5),VLOOKUP('Rock Climbing Log'!AD154,'RC Lookup'!$G$3:$H$5,2,FALSE)),0)*VLOOKUP(AB$7,'RC Lookup'!$D$3:$E$18,2,FALSE)</f>
        <v>0</v>
      </c>
      <c r="AE154" s="26">
        <f>_xlfn.IFNA(IF(LEFT('Rock Climbing Log'!AE154)="C",_xlfn.IFNA(VLOOKUP('Rock Climbing Log'!AE154,'RC Lookup'!$A$3:$B$9,2,FALSE),0.5),VLOOKUP('Rock Climbing Log'!AE154,'RC Lookup'!$G$3:$H$5,2,FALSE)),0)*VLOOKUP(AE$7,'RC Lookup'!$D$3:$E$18,2,FALSE)</f>
        <v>0</v>
      </c>
      <c r="AF154" s="26">
        <f>_xlfn.IFNA(IF(LEFT('Rock Climbing Log'!AF154)="C",_xlfn.IFNA(VLOOKUP('Rock Climbing Log'!AF154,'RC Lookup'!$A$3:$B$9,2,FALSE),0.5),VLOOKUP('Rock Climbing Log'!AF154,'RC Lookup'!$G$3:$H$5,2,FALSE)),0)*VLOOKUP(AE$7,'RC Lookup'!$D$3:$E$18,2,FALSE)</f>
        <v>0</v>
      </c>
      <c r="AG154" s="26">
        <f>_xlfn.IFNA(IF(LEFT('Rock Climbing Log'!AG154)="C",_xlfn.IFNA(VLOOKUP('Rock Climbing Log'!AG154,'RC Lookup'!$A$3:$B$9,2,FALSE),0.5),VLOOKUP('Rock Climbing Log'!AG154,'RC Lookup'!$G$3:$H$5,2,FALSE)),0)*VLOOKUP(AE$7,'RC Lookup'!$D$3:$E$18,2,FALSE)</f>
        <v>0</v>
      </c>
      <c r="AH154" s="26">
        <f>_xlfn.IFNA(IF(LEFT('Rock Climbing Log'!AH154)="C",_xlfn.IFNA(VLOOKUP('Rock Climbing Log'!AH154,'RC Lookup'!$A$3:$B$9,2,FALSE),0.5),VLOOKUP('Rock Climbing Log'!AH154,'RC Lookup'!$G$3:$H$5,2,FALSE)),0)*VLOOKUP(AH$7,'RC Lookup'!$D$3:$E$18,2,FALSE)</f>
        <v>0</v>
      </c>
      <c r="AI154" s="26">
        <f>_xlfn.IFNA(IF(LEFT('Rock Climbing Log'!AI154)="C",_xlfn.IFNA(VLOOKUP('Rock Climbing Log'!AI154,'RC Lookup'!$A$3:$B$9,2,FALSE),0.5),VLOOKUP('Rock Climbing Log'!AI154,'RC Lookup'!$G$3:$H$5,2,FALSE)),0)*VLOOKUP(AH$7,'RC Lookup'!$D$3:$E$18,2,FALSE)</f>
        <v>0</v>
      </c>
      <c r="AJ154" s="26">
        <f>_xlfn.IFNA(IF(LEFT('Rock Climbing Log'!AJ154)="C",_xlfn.IFNA(VLOOKUP('Rock Climbing Log'!AJ154,'RC Lookup'!$A$3:$B$9,2,FALSE),0.5),VLOOKUP('Rock Climbing Log'!AJ154,'RC Lookup'!$G$3:$H$5,2,FALSE)),0)*VLOOKUP(AH$7,'RC Lookup'!$D$3:$E$18,2,FALSE)</f>
        <v>0</v>
      </c>
      <c r="AK154" s="26">
        <f>_xlfn.IFNA(IF(LEFT('Rock Climbing Log'!AK154)="C",_xlfn.IFNA(VLOOKUP('Rock Climbing Log'!AK154,'RC Lookup'!$A$3:$B$9,2,FALSE),0.5),VLOOKUP('Rock Climbing Log'!AK154,'RC Lookup'!$G$3:$H$5,2,FALSE)),0)*VLOOKUP(AK$7,'RC Lookup'!$D$3:$E$18,2,FALSE)</f>
        <v>0</v>
      </c>
      <c r="AL154" s="26">
        <f>_xlfn.IFNA(IF(LEFT('Rock Climbing Log'!AL154)="C",_xlfn.IFNA(VLOOKUP('Rock Climbing Log'!AL154,'RC Lookup'!$A$3:$B$9,2,FALSE),0.5),VLOOKUP('Rock Climbing Log'!AL154,'RC Lookup'!$G$3:$H$5,2,FALSE)),0)*VLOOKUP(AK$7,'RC Lookup'!$D$3:$E$18,2,FALSE)</f>
        <v>0</v>
      </c>
      <c r="AM154" s="26">
        <f>_xlfn.IFNA(IF(LEFT('Rock Climbing Log'!AM154)="C",_xlfn.IFNA(VLOOKUP('Rock Climbing Log'!AM154,'RC Lookup'!$A$3:$B$9,2,FALSE),0.5),VLOOKUP('Rock Climbing Log'!AM154,'RC Lookup'!$G$3:$H$5,2,FALSE)),0)*VLOOKUP(AK$7,'RC Lookup'!$D$3:$E$18,2,FALSE)</f>
        <v>0</v>
      </c>
      <c r="AN154" s="26">
        <f>_xlfn.IFNA(IF(LEFT('Rock Climbing Log'!AN154)="C",_xlfn.IFNA(VLOOKUP('Rock Climbing Log'!AN154,'RC Lookup'!$A$3:$B$9,2,FALSE),0.5),VLOOKUP('Rock Climbing Log'!AN154,'RC Lookup'!$G$3:$H$5,2,FALSE)),0)*VLOOKUP(AN$7,'RC Lookup'!$D$3:$E$18,2,FALSE)</f>
        <v>0</v>
      </c>
      <c r="AO154" s="26">
        <f>_xlfn.IFNA(IF(LEFT('Rock Climbing Log'!AO154)="C",_xlfn.IFNA(VLOOKUP('Rock Climbing Log'!AO154,'RC Lookup'!$A$3:$B$9,2,FALSE),0.5),VLOOKUP('Rock Climbing Log'!AO154,'RC Lookup'!$G$3:$H$5,2,FALSE)),0)*VLOOKUP(AN$7,'RC Lookup'!$D$3:$E$18,2,FALSE)</f>
        <v>0</v>
      </c>
      <c r="AP154" s="26">
        <f>_xlfn.IFNA(IF(LEFT('Rock Climbing Log'!AP154)="C",_xlfn.IFNA(VLOOKUP('Rock Climbing Log'!AP154,'RC Lookup'!$A$3:$B$9,2,FALSE),0.5),VLOOKUP('Rock Climbing Log'!AP154,'RC Lookup'!$G$3:$H$5,2,FALSE)),0)*VLOOKUP(AN$7,'RC Lookup'!$D$3:$E$18,2,FALSE)</f>
        <v>0</v>
      </c>
      <c r="AQ154" s="26">
        <f>_xlfn.IFNA(IF(LEFT('Rock Climbing Log'!AQ154)="C",_xlfn.IFNA(VLOOKUP('Rock Climbing Log'!AQ154,'RC Lookup'!$A$3:$B$9,2,FALSE),0.5),VLOOKUP('Rock Climbing Log'!AQ154,'RC Lookup'!$G$3:$H$5,2,FALSE)),0)*VLOOKUP(AQ$7,'RC Lookup'!$D$3:$E$18,2,FALSE)</f>
        <v>0</v>
      </c>
      <c r="AR154" s="26">
        <f>_xlfn.IFNA(IF(LEFT('Rock Climbing Log'!AR154)="C",_xlfn.IFNA(VLOOKUP('Rock Climbing Log'!AR154,'RC Lookup'!$A$3:$B$9,2,FALSE),0.5),VLOOKUP('Rock Climbing Log'!AR154,'RC Lookup'!$G$3:$H$5,2,FALSE)),0)*VLOOKUP(AQ$7,'RC Lookup'!$D$3:$E$18,2,FALSE)</f>
        <v>0</v>
      </c>
      <c r="AS154" s="26">
        <f>_xlfn.IFNA(IF(LEFT('Rock Climbing Log'!AS154)="C",_xlfn.IFNA(VLOOKUP('Rock Climbing Log'!AS154,'RC Lookup'!$A$3:$B$9,2,FALSE),0.5),VLOOKUP('Rock Climbing Log'!AS154,'RC Lookup'!$G$3:$H$5,2,FALSE)),0)*VLOOKUP(AQ$7,'RC Lookup'!$D$3:$E$18,2,FALSE)</f>
        <v>0</v>
      </c>
      <c r="AT154" s="26">
        <f>_xlfn.IFNA(IF(LEFT('Rock Climbing Log'!AT154)="C",_xlfn.IFNA(VLOOKUP('Rock Climbing Log'!AT154,'RC Lookup'!$A$3:$B$9,2,FALSE),0.5),VLOOKUP('Rock Climbing Log'!AT154,'RC Lookup'!$G$3:$H$5,2,FALSE)),0)*VLOOKUP(AT$7,'RC Lookup'!$D$3:$E$18,2,FALSE)</f>
        <v>0</v>
      </c>
      <c r="AU154" s="26">
        <f>_xlfn.IFNA(IF(LEFT('Rock Climbing Log'!AU154)="C",_xlfn.IFNA(VLOOKUP('Rock Climbing Log'!AU154,'RC Lookup'!$A$3:$B$9,2,FALSE),0.5),VLOOKUP('Rock Climbing Log'!AU154,'RC Lookup'!$G$3:$H$5,2,FALSE)),0)*VLOOKUP(AT$7,'RC Lookup'!$D$3:$E$18,2,FALSE)</f>
        <v>0</v>
      </c>
      <c r="AV154" s="26">
        <f>_xlfn.IFNA(IF(LEFT('Rock Climbing Log'!AV154)="C",_xlfn.IFNA(VLOOKUP('Rock Climbing Log'!AV154,'RC Lookup'!$A$3:$B$9,2,FALSE),0.5),VLOOKUP('Rock Climbing Log'!AV154,'RC Lookup'!$G$3:$H$5,2,FALSE)),0)*VLOOKUP(AT$7,'RC Lookup'!$D$3:$E$18,2,FALSE)</f>
        <v>0</v>
      </c>
      <c r="AW154" s="30">
        <f t="shared" ca="1" si="5"/>
        <v>0</v>
      </c>
      <c r="AX154" s="30">
        <f ca="1">_xlfn.IFNA(VLOOKUP(SUMPRODUCT(LARGE(($C$8:$C154=Table1[[#This Row],[Climber]])*$A$8:$A154,1)),$A$8:$AW154,MATCH($AW$7,$A$7:$AW$7,FALSE),FALSE),0)/LEFT($AX$7,FIND(" ",$AX$7))+_xlfn.IFNA(VLOOKUP(SUMPRODUCT(LARGE(($C$8:$C154=Table1[[#This Row],[Climber]])*$A$8:$A154,MIN(2,COUNTIFS($C$8:$C154,$C154)))),$A$8:$AW154,MATCH($AW$7,$A$7:$AW$7,FALSE),FALSE),0)/LEFT($AX$7,FIND(" ",$AX$7))+_xlfn.IFNA(VLOOKUP(SUMPRODUCT(LARGE(($C$8:$C154=Table1[[#This Row],[Climber]])*$A$8:$A154,MIN(3,COUNTIFS($C$8:$C154,$C154)))),$A$8:$AW154,MATCH($AW$7,$A$7:$AW$7,FALSE),FALSE),0)/LEFT($AX$7,FIND(" ",$AX$7))</f>
        <v>0</v>
      </c>
      <c r="AY154" s="30">
        <f ca="1">_xlfn.IFNA(VLOOKUP(SUMPRODUCT(LARGE(($C$8:$C154=Table1[[#This Row],[Climber]])*$A$8:$A154,1)),$A$8:$AW154,MATCH($AW$7,$A$7:$AW$7,FALSE),FALSE),0)/LEFT($AY$7,FIND(" ",$AY$7))+_xlfn.IFNA(VLOOKUP(SUMPRODUCT(LARGE(($C$8:$C154=Table1[[#This Row],[Climber]])*$A$8:$A154,MIN(2,COUNTIFS($C$8:$C154,$C154)))),$A$8:$AW154,MATCH($AW$7,$A$7:$AW$7,FALSE),FALSE),0)/LEFT($AY$7,FIND(" ",$AY$7))+_xlfn.IFNA(VLOOKUP(SUMPRODUCT(LARGE(($C$8:$C154=Table1[[#This Row],[Climber]])*$A$8:$A154,MIN(3,COUNTIFS($C$8:$C154,$C154)))),$A$8:$AW154,MATCH($AW$7,$A$7:$AW$7,FALSE),FALSE),0)/LEFT($AY$7,FIND(" ",$AY$7))+_xlfn.IFNA(VLOOKUP(SUMPRODUCT(LARGE(($C$8:$C154=Table1[[#This Row],[Climber]])*$A$8:$A154,MIN(4,COUNTIFS($C$8:$C154,$C154)))),$A$8:$AW154,MATCH($AW$7,$A$7:$AW$7,FALSE),FALSE),0)/LEFT($AY$7,FIND(" ",$AY$7))+_xlfn.IFNA(VLOOKUP(SUMPRODUCT(LARGE(($C$8:$C154=Table1[[#This Row],[Climber]])*$A$8:$A154,MIN(5,COUNTIFS($C$8:$C154,$C154)))),$A$8:$AW154,MATCH($AW$7,$A$7:$AW$7,FALSE),FALSE),0)/LEFT($AY$7,FIND(" ",$AY$7))</f>
        <v>0</v>
      </c>
      <c r="AZ154" s="30">
        <f ca="1">(_xlfn.IFNA(VLOOKUP(SUMPRODUCT(LARGE(($C$8:$C154=Table1[[#This Row],[Climber]])*$A$8:$A154,4)),$A$8:$AW154,MATCH($AW$7,$A$7:$AW$7,FALSE),FALSE),0)+_xlfn.IFNA(VLOOKUP(SUMPRODUCT(LARGE(($C$8:$C154=Table1[[#This Row],[Climber]])*$A$8:$A154,5)),$A$8:$AW154,MATCH($AW$7,$A$7:$AW$7,FALSE),FALSE),0)+_xlfn.IFNA(VLOOKUP(SUMPRODUCT(LARGE(($C$8:$C154=Table1[[#This Row],[Climber]])*$A$8:$A154,6)),$A$8:$AW154,MATCH($AW$7,$A$7:$AW$7,FALSE),FALSE),0))/3</f>
        <v>0</v>
      </c>
      <c r="BA154" s="46">
        <f ca="1">_xlfn.MAXIFS(INDIRECT("$AW"&amp;IF(SUMPRODUCT(LARGE(($C$8:$C154=$C154)*$A$8:$A154,LEFT($BA$7,FIND(" ",$BA$7)-1)))=0,8,SUMPRODUCT(LARGE(($C$8:$C154=$C154)*$A$8:$A154,LEFT($BA$7,FIND(" ",$BA$7)-1)))+7)&amp;":$AW"&amp;ROW()),INDIRECT("$C"&amp;IF(SUMPRODUCT(LARGE(($C$8:$C154=$C154)*$A$8:$A154,LEFT($BA$7,FIND(" ",$BA$7)-1)))=0,8,SUMPRODUCT(LARGE(($C$8:$C154=$C154)*$A$8:$A154,LEFT($BA$7,FIND(" ",$BA$7)-1)))+7)&amp;":$C"&amp;ROW()),$C154)</f>
        <v>0</v>
      </c>
      <c r="BB154" s="46" t="str">
        <f ca="1">VLOOKUP(MAX(BG154,$AX154),'RC Lookup'!$G$14:$J$20,2,TRUE)</f>
        <v>T1</v>
      </c>
      <c r="BC154" s="46">
        <f ca="1">_xlfn.IFNA(VLOOKUP(VLOOKUP($C154,'RC Lookup'!$O$3:$P$50,2,FALSE),'RC Lookup'!$H$14:$J$23,2,FALSE),0)*AW154</f>
        <v>0</v>
      </c>
      <c r="BD154" s="6">
        <f ca="1">_xlfn.IFNA(VLOOKUP(SUMPRODUCT(LARGE(($C$8:$C154=Table1[[#This Row],[Climber]])*$A$8:$A154,1)),$A$8:$BC154,55,FALSE),0)/LEFT($AX$7,FIND(" ",$AX$7))+_xlfn.IFNA(VLOOKUP(SUMPRODUCT(LARGE(($C$8:$C154=Table1[[#This Row],[Climber]])*$A$8:$A154,MIN(2,COUNTIFS($C$8:$C154,$C154)))),$A$8:$BC154,55,FALSE),0)/LEFT($AX$7,FIND(" ",$AX$7))+_xlfn.IFNA(VLOOKUP(SUMPRODUCT(LARGE(($C$8:$C154=Table1[[#This Row],[Climber]])*$A$8:$A154,MIN(3,COUNTIFS($C$8:$C154,$C154)))),$A$8:$BC154,55,FALSE),0)/LEFT($AX$7,FIND(" ",$AX$7))</f>
        <v>0</v>
      </c>
      <c r="BE154" s="6">
        <f ca="1">(_xlfn.IFNA(VLOOKUP(SUMPRODUCT(LARGE(($C$8:$C154=Table1[[#This Row],[Climber]])*$A$8:$A154,4)),$A$8:$BD154,55,FALSE),0)+_xlfn.IFNA(VLOOKUP(SUMPRODUCT(LARGE(($C$8:$C154=Table1[[#This Row],[Climber]])*$A$8:$A154,5)),$A$8:$BD154,55,FALSE),0)+_xlfn.IFNA(VLOOKUP(SUMPRODUCT(LARGE(($C$8:$C154=Table1[[#This Row],[Climber]])*$A$8:$A154,6)),$A$8:$BD154,55,FALSE),0))/3</f>
        <v>0</v>
      </c>
      <c r="BF154" s="46">
        <f ca="1">_xlfn.MAXIFS(INDIRECT("$BC"&amp;IF(SUMPRODUCT(LARGE(($C$8:$C154=$C154)*$A$8:$A154,LEFT($BA$7,FIND(" ",$BA$7)-1)))=0,8,SUMPRODUCT(LARGE(($C$8:$C154=$C154)*$A$8:$A154,LEFT($BA$7,FIND(" ",$BA$7)-1)))+7)&amp;":$BC"&amp;ROW()),INDIRECT("$C"&amp;IF(SUMPRODUCT(LARGE(($C$8:$C154=$C154)*$A$8:$A154,LEFT($BA$7,FIND(" ",$BA$7)-1)))=0,8,SUMPRODUCT(LARGE(($C$8:$C154=$C154)*$A$8:$A154,LEFT($BA$7,FIND(" ",$BA$7)-1)))+7)&amp;":$C"&amp;ROW()),$C154)</f>
        <v>0</v>
      </c>
      <c r="BG154" s="46">
        <f t="array" aca="1" ref="BG154" ca="1">IFERROR(SUMPRODUCT(LARGE(($C$8:$C154=Table1[[#This Row],[Climber]])*$AW$8:$AW154,ROW(INDIRECT("1:5")))),AW154)/MIN(COUNTIFS($C$8:$C154,C154),5)</f>
        <v>0</v>
      </c>
    </row>
    <row r="155" spans="1:59" x14ac:dyDescent="0.3">
      <c r="A155" s="125">
        <f t="shared" si="1"/>
        <v>148</v>
      </c>
      <c r="B155" s="25">
        <f>'Rock Climbing Log'!B155</f>
        <v>0</v>
      </c>
      <c r="C155" s="126">
        <f>'Rock Climbing Log'!C155</f>
        <v>0</v>
      </c>
      <c r="D155" s="26">
        <f>_xlfn.IFNA(IF(LEFT('Rock Climbing Log'!D155)="C",_xlfn.IFNA(VLOOKUP('Rock Climbing Log'!D155,'RC Lookup'!$A$3:$B$9,2,FALSE),0.5),VLOOKUP('Rock Climbing Log'!D155,'RC Lookup'!$G$3:$H$5,2,FALSE)),0)*VLOOKUP(D$7,'RC Lookup'!$D$3:$E$18,2,FALSE)</f>
        <v>0</v>
      </c>
      <c r="E155" s="26">
        <f>_xlfn.IFNA(IF(LEFT('Rock Climbing Log'!E155)="C",_xlfn.IFNA(VLOOKUP('Rock Climbing Log'!E155,'RC Lookup'!$A$3:$B$9,2,FALSE),0.5),VLOOKUP('Rock Climbing Log'!E155,'RC Lookup'!$G$3:$H$5,2,FALSE)),0)*VLOOKUP(D$7,'RC Lookup'!$D$3:$E$18,2,FALSE)</f>
        <v>0</v>
      </c>
      <c r="F155" s="26">
        <f>_xlfn.IFNA(IF(LEFT('Rock Climbing Log'!F155)="C",_xlfn.IFNA(VLOOKUP('Rock Climbing Log'!F155,'RC Lookup'!$A$3:$B$9,2,FALSE),0.5),VLOOKUP('Rock Climbing Log'!F155,'RC Lookup'!$G$3:$H$5,2,FALSE)),0)*VLOOKUP(D$7,'RC Lookup'!$D$3:$E$18,2,FALSE)</f>
        <v>0</v>
      </c>
      <c r="G155" s="26">
        <f>_xlfn.IFNA(IF(LEFT('Rock Climbing Log'!G155)="C",_xlfn.IFNA(VLOOKUP('Rock Climbing Log'!G155,'RC Lookup'!$A$3:$B$9,2,FALSE),0.5),VLOOKUP('Rock Climbing Log'!G155,'RC Lookup'!$G$3:$H$5,2,FALSE)),0)*VLOOKUP(G$7,'RC Lookup'!$D$3:$E$18,2,FALSE)</f>
        <v>0</v>
      </c>
      <c r="H155" s="26">
        <f>_xlfn.IFNA(IF(LEFT('Rock Climbing Log'!H155)="C",_xlfn.IFNA(VLOOKUP('Rock Climbing Log'!H155,'RC Lookup'!$A$3:$B$9,2,FALSE),0.5),VLOOKUP('Rock Climbing Log'!H155,'RC Lookup'!$G$3:$H$5,2,FALSE)),0)*VLOOKUP(G$7,'RC Lookup'!$D$3:$E$18,2,FALSE)</f>
        <v>0</v>
      </c>
      <c r="I155" s="26">
        <f>_xlfn.IFNA(IF(LEFT('Rock Climbing Log'!I155)="C",_xlfn.IFNA(VLOOKUP('Rock Climbing Log'!I155,'RC Lookup'!$A$3:$B$9,2,FALSE),0.5),VLOOKUP('Rock Climbing Log'!I155,'RC Lookup'!$G$3:$H$5,2,FALSE)),0)*VLOOKUP(G$7,'RC Lookup'!$D$3:$E$18,2,FALSE)</f>
        <v>0</v>
      </c>
      <c r="J155" s="26">
        <f>_xlfn.IFNA(IF(LEFT('Rock Climbing Log'!J155)="C",_xlfn.IFNA(VLOOKUP('Rock Climbing Log'!J155,'RC Lookup'!$A$3:$B$9,2,FALSE),0.5),VLOOKUP('Rock Climbing Log'!J155,'RC Lookup'!$G$3:$H$5,2,FALSE)),0)*VLOOKUP(J$7,'RC Lookup'!$D$3:$E$18,2,FALSE)</f>
        <v>0</v>
      </c>
      <c r="K155" s="26">
        <f>_xlfn.IFNA(IF(LEFT('Rock Climbing Log'!K155)="C",_xlfn.IFNA(VLOOKUP('Rock Climbing Log'!K155,'RC Lookup'!$A$3:$B$9,2,FALSE),0.5),VLOOKUP('Rock Climbing Log'!K155,'RC Lookup'!$G$3:$H$5,2,FALSE)),0)*VLOOKUP(J$7,'RC Lookup'!$D$3:$E$18,2,FALSE)</f>
        <v>0</v>
      </c>
      <c r="L155" s="26">
        <f>_xlfn.IFNA(IF(LEFT('Rock Climbing Log'!L155)="C",_xlfn.IFNA(VLOOKUP('Rock Climbing Log'!L155,'RC Lookup'!$A$3:$B$9,2,FALSE),0.5),VLOOKUP('Rock Climbing Log'!L155,'RC Lookup'!$G$3:$H$5,2,FALSE)),0)*VLOOKUP(J$7,'RC Lookup'!$D$3:$E$18,2,FALSE)</f>
        <v>0</v>
      </c>
      <c r="M155" s="26">
        <f>_xlfn.IFNA(IF(LEFT('Rock Climbing Log'!M155)="C",_xlfn.IFNA(VLOOKUP('Rock Climbing Log'!M155,'RC Lookup'!$A$3:$B$9,2,FALSE),0.5),VLOOKUP('Rock Climbing Log'!M155,'RC Lookup'!$G$3:$H$5,2,FALSE)),0)*VLOOKUP(M$7,'RC Lookup'!$D$3:$E$18,2,FALSE)</f>
        <v>0</v>
      </c>
      <c r="N155" s="26">
        <f>_xlfn.IFNA(IF(LEFT('Rock Climbing Log'!N155)="C",_xlfn.IFNA(VLOOKUP('Rock Climbing Log'!N155,'RC Lookup'!$A$3:$B$9,2,FALSE),0.5),VLOOKUP('Rock Climbing Log'!N155,'RC Lookup'!$G$3:$H$5,2,FALSE)),0)*VLOOKUP(M$7,'RC Lookup'!$D$3:$E$18,2,FALSE)</f>
        <v>0</v>
      </c>
      <c r="O155" s="26">
        <f>_xlfn.IFNA(IF(LEFT('Rock Climbing Log'!O155)="C",_xlfn.IFNA(VLOOKUP('Rock Climbing Log'!O155,'RC Lookup'!$A$3:$B$9,2,FALSE),0.5),VLOOKUP('Rock Climbing Log'!O155,'RC Lookup'!$G$3:$H$5,2,FALSE)),0)*VLOOKUP(M$7,'RC Lookup'!$D$3:$E$18,2,FALSE)</f>
        <v>0</v>
      </c>
      <c r="P155" s="26">
        <f>_xlfn.IFNA(IF(LEFT('Rock Climbing Log'!P155)="C",_xlfn.IFNA(VLOOKUP('Rock Climbing Log'!P155,'RC Lookup'!$A$3:$B$9,2,FALSE),0.5),VLOOKUP('Rock Climbing Log'!P155,'RC Lookup'!$G$3:$H$5,2,FALSE)),0)*VLOOKUP(P$7,'RC Lookup'!$D$3:$E$18,2,FALSE)</f>
        <v>0</v>
      </c>
      <c r="Q155" s="26">
        <f>_xlfn.IFNA(IF(LEFT('Rock Climbing Log'!Q155)="C",_xlfn.IFNA(VLOOKUP('Rock Climbing Log'!Q155,'RC Lookup'!$A$3:$B$9,2,FALSE),0.5),VLOOKUP('Rock Climbing Log'!Q155,'RC Lookup'!$G$3:$H$5,2,FALSE)),0)*VLOOKUP(P$7,'RC Lookup'!$D$3:$E$18,2,FALSE)</f>
        <v>0</v>
      </c>
      <c r="R155" s="26">
        <f>_xlfn.IFNA(IF(LEFT('Rock Climbing Log'!R155)="C",_xlfn.IFNA(VLOOKUP('Rock Climbing Log'!R155,'RC Lookup'!$A$3:$B$9,2,FALSE),0.5),VLOOKUP('Rock Climbing Log'!R155,'RC Lookup'!$G$3:$H$5,2,FALSE)),0)*VLOOKUP(P$7,'RC Lookup'!$D$3:$E$18,2,FALSE)</f>
        <v>0</v>
      </c>
      <c r="S155" s="26">
        <f>_xlfn.IFNA(IF(LEFT('Rock Climbing Log'!S155)="C",_xlfn.IFNA(VLOOKUP('Rock Climbing Log'!S155,'RC Lookup'!$A$3:$B$9,2,FALSE),0.5),VLOOKUP('Rock Climbing Log'!S155,'RC Lookup'!$G$3:$H$5,2,FALSE)),0)*VLOOKUP(S$7,'RC Lookup'!$D$3:$E$18,2,FALSE)</f>
        <v>0</v>
      </c>
      <c r="T155" s="26">
        <f>_xlfn.IFNA(IF(LEFT('Rock Climbing Log'!T155)="C",_xlfn.IFNA(VLOOKUP('Rock Climbing Log'!T155,'RC Lookup'!$A$3:$B$9,2,FALSE),0.5),VLOOKUP('Rock Climbing Log'!T155,'RC Lookup'!$G$3:$H$5,2,FALSE)),0)*VLOOKUP(S$7,'RC Lookup'!$D$3:$E$18,2,FALSE)</f>
        <v>0</v>
      </c>
      <c r="U155" s="26">
        <f>_xlfn.IFNA(IF(LEFT('Rock Climbing Log'!U155)="C",_xlfn.IFNA(VLOOKUP('Rock Climbing Log'!U155,'RC Lookup'!$A$3:$B$9,2,FALSE),0.5),VLOOKUP('Rock Climbing Log'!U155,'RC Lookup'!$G$3:$H$5,2,FALSE)),0)*VLOOKUP(S$7,'RC Lookup'!$D$3:$E$18,2,FALSE)</f>
        <v>0</v>
      </c>
      <c r="V155" s="26">
        <f>_xlfn.IFNA(IF(LEFT('Rock Climbing Log'!V155)="C",_xlfn.IFNA(VLOOKUP('Rock Climbing Log'!V155,'RC Lookup'!$A$3:$B$9,2,FALSE),0.5),VLOOKUP('Rock Climbing Log'!V155,'RC Lookup'!$G$3:$H$5,2,FALSE)),0)*VLOOKUP(V$7,'RC Lookup'!$D$3:$E$18,2,FALSE)</f>
        <v>0</v>
      </c>
      <c r="W155" s="26">
        <f>_xlfn.IFNA(IF(LEFT('Rock Climbing Log'!W155)="C",_xlfn.IFNA(VLOOKUP('Rock Climbing Log'!W155,'RC Lookup'!$A$3:$B$9,2,FALSE),0.5),VLOOKUP('Rock Climbing Log'!W155,'RC Lookup'!$G$3:$H$5,2,FALSE)),0)*VLOOKUP(V$7,'RC Lookup'!$D$3:$E$18,2,FALSE)</f>
        <v>0</v>
      </c>
      <c r="X155" s="26">
        <f>_xlfn.IFNA(IF(LEFT('Rock Climbing Log'!X155)="C",_xlfn.IFNA(VLOOKUP('Rock Climbing Log'!X155,'RC Lookup'!$A$3:$B$9,2,FALSE),0.5),VLOOKUP('Rock Climbing Log'!X155,'RC Lookup'!$G$3:$H$5,2,FALSE)),0)*VLOOKUP(V$7,'RC Lookup'!$D$3:$E$18,2,FALSE)</f>
        <v>0</v>
      </c>
      <c r="Y155" s="26">
        <f>_xlfn.IFNA(IF(LEFT('Rock Climbing Log'!Y155)="C",_xlfn.IFNA(VLOOKUP('Rock Climbing Log'!Y155,'RC Lookup'!$A$3:$B$9,2,FALSE),0.5),VLOOKUP('Rock Climbing Log'!Y155,'RC Lookup'!$G$3:$H$5,2,FALSE)),0)*VLOOKUP(Y$7,'RC Lookup'!$D$3:$E$18,2,FALSE)</f>
        <v>0</v>
      </c>
      <c r="Z155" s="26">
        <f>_xlfn.IFNA(IF(LEFT('Rock Climbing Log'!Z155)="C",_xlfn.IFNA(VLOOKUP('Rock Climbing Log'!Z155,'RC Lookup'!$A$3:$B$9,2,FALSE),0.5),VLOOKUP('Rock Climbing Log'!Z155,'RC Lookup'!$G$3:$H$5,2,FALSE)),0)*VLOOKUP(Y$7,'RC Lookup'!$D$3:$E$18,2,FALSE)</f>
        <v>0</v>
      </c>
      <c r="AA155" s="26">
        <f>_xlfn.IFNA(IF(LEFT('Rock Climbing Log'!AA155)="C",_xlfn.IFNA(VLOOKUP('Rock Climbing Log'!AA155,'RC Lookup'!$A$3:$B$9,2,FALSE),0.5),VLOOKUP('Rock Climbing Log'!AA155,'RC Lookup'!$G$3:$H$5,2,FALSE)),0)*VLOOKUP(Y$7,'RC Lookup'!$D$3:$E$18,2,FALSE)</f>
        <v>0</v>
      </c>
      <c r="AB155" s="26">
        <f>_xlfn.IFNA(IF(LEFT('Rock Climbing Log'!AB155)="C",_xlfn.IFNA(VLOOKUP('Rock Climbing Log'!AB155,'RC Lookup'!$A$3:$B$9,2,FALSE),0.5),VLOOKUP('Rock Climbing Log'!AB155,'RC Lookup'!$G$3:$H$5,2,FALSE)),0)*VLOOKUP(AB$7,'RC Lookup'!$D$3:$E$18,2,FALSE)</f>
        <v>0</v>
      </c>
      <c r="AC155" s="26">
        <f>_xlfn.IFNA(IF(LEFT('Rock Climbing Log'!AC155)="C",_xlfn.IFNA(VLOOKUP('Rock Climbing Log'!AC155,'RC Lookup'!$A$3:$B$9,2,FALSE),0.5),VLOOKUP('Rock Climbing Log'!AC155,'RC Lookup'!$G$3:$H$5,2,FALSE)),0)*VLOOKUP(AB$7,'RC Lookup'!$D$3:$E$18,2,FALSE)</f>
        <v>0</v>
      </c>
      <c r="AD155" s="26">
        <f>_xlfn.IFNA(IF(LEFT('Rock Climbing Log'!AD155)="C",_xlfn.IFNA(VLOOKUP('Rock Climbing Log'!AD155,'RC Lookup'!$A$3:$B$9,2,FALSE),0.5),VLOOKUP('Rock Climbing Log'!AD155,'RC Lookup'!$G$3:$H$5,2,FALSE)),0)*VLOOKUP(AB$7,'RC Lookup'!$D$3:$E$18,2,FALSE)</f>
        <v>0</v>
      </c>
      <c r="AE155" s="26">
        <f>_xlfn.IFNA(IF(LEFT('Rock Climbing Log'!AE155)="C",_xlfn.IFNA(VLOOKUP('Rock Climbing Log'!AE155,'RC Lookup'!$A$3:$B$9,2,FALSE),0.5),VLOOKUP('Rock Climbing Log'!AE155,'RC Lookup'!$G$3:$H$5,2,FALSE)),0)*VLOOKUP(AE$7,'RC Lookup'!$D$3:$E$18,2,FALSE)</f>
        <v>0</v>
      </c>
      <c r="AF155" s="26">
        <f>_xlfn.IFNA(IF(LEFT('Rock Climbing Log'!AF155)="C",_xlfn.IFNA(VLOOKUP('Rock Climbing Log'!AF155,'RC Lookup'!$A$3:$B$9,2,FALSE),0.5),VLOOKUP('Rock Climbing Log'!AF155,'RC Lookup'!$G$3:$H$5,2,FALSE)),0)*VLOOKUP(AE$7,'RC Lookup'!$D$3:$E$18,2,FALSE)</f>
        <v>0</v>
      </c>
      <c r="AG155" s="26">
        <f>_xlfn.IFNA(IF(LEFT('Rock Climbing Log'!AG155)="C",_xlfn.IFNA(VLOOKUP('Rock Climbing Log'!AG155,'RC Lookup'!$A$3:$B$9,2,FALSE),0.5),VLOOKUP('Rock Climbing Log'!AG155,'RC Lookup'!$G$3:$H$5,2,FALSE)),0)*VLOOKUP(AE$7,'RC Lookup'!$D$3:$E$18,2,FALSE)</f>
        <v>0</v>
      </c>
      <c r="AH155" s="26">
        <f>_xlfn.IFNA(IF(LEFT('Rock Climbing Log'!AH155)="C",_xlfn.IFNA(VLOOKUP('Rock Climbing Log'!AH155,'RC Lookup'!$A$3:$B$9,2,FALSE),0.5),VLOOKUP('Rock Climbing Log'!AH155,'RC Lookup'!$G$3:$H$5,2,FALSE)),0)*VLOOKUP(AH$7,'RC Lookup'!$D$3:$E$18,2,FALSE)</f>
        <v>0</v>
      </c>
      <c r="AI155" s="26">
        <f>_xlfn.IFNA(IF(LEFT('Rock Climbing Log'!AI155)="C",_xlfn.IFNA(VLOOKUP('Rock Climbing Log'!AI155,'RC Lookup'!$A$3:$B$9,2,FALSE),0.5),VLOOKUP('Rock Climbing Log'!AI155,'RC Lookup'!$G$3:$H$5,2,FALSE)),0)*VLOOKUP(AH$7,'RC Lookup'!$D$3:$E$18,2,FALSE)</f>
        <v>0</v>
      </c>
      <c r="AJ155" s="26">
        <f>_xlfn.IFNA(IF(LEFT('Rock Climbing Log'!AJ155)="C",_xlfn.IFNA(VLOOKUP('Rock Climbing Log'!AJ155,'RC Lookup'!$A$3:$B$9,2,FALSE),0.5),VLOOKUP('Rock Climbing Log'!AJ155,'RC Lookup'!$G$3:$H$5,2,FALSE)),0)*VLOOKUP(AH$7,'RC Lookup'!$D$3:$E$18,2,FALSE)</f>
        <v>0</v>
      </c>
      <c r="AK155" s="26">
        <f>_xlfn.IFNA(IF(LEFT('Rock Climbing Log'!AK155)="C",_xlfn.IFNA(VLOOKUP('Rock Climbing Log'!AK155,'RC Lookup'!$A$3:$B$9,2,FALSE),0.5),VLOOKUP('Rock Climbing Log'!AK155,'RC Lookup'!$G$3:$H$5,2,FALSE)),0)*VLOOKUP(AK$7,'RC Lookup'!$D$3:$E$18,2,FALSE)</f>
        <v>0</v>
      </c>
      <c r="AL155" s="26">
        <f>_xlfn.IFNA(IF(LEFT('Rock Climbing Log'!AL155)="C",_xlfn.IFNA(VLOOKUP('Rock Climbing Log'!AL155,'RC Lookup'!$A$3:$B$9,2,FALSE),0.5),VLOOKUP('Rock Climbing Log'!AL155,'RC Lookup'!$G$3:$H$5,2,FALSE)),0)*VLOOKUP(AK$7,'RC Lookup'!$D$3:$E$18,2,FALSE)</f>
        <v>0</v>
      </c>
      <c r="AM155" s="26">
        <f>_xlfn.IFNA(IF(LEFT('Rock Climbing Log'!AM155)="C",_xlfn.IFNA(VLOOKUP('Rock Climbing Log'!AM155,'RC Lookup'!$A$3:$B$9,2,FALSE),0.5),VLOOKUP('Rock Climbing Log'!AM155,'RC Lookup'!$G$3:$H$5,2,FALSE)),0)*VLOOKUP(AK$7,'RC Lookup'!$D$3:$E$18,2,FALSE)</f>
        <v>0</v>
      </c>
      <c r="AN155" s="26">
        <f>_xlfn.IFNA(IF(LEFT('Rock Climbing Log'!AN155)="C",_xlfn.IFNA(VLOOKUP('Rock Climbing Log'!AN155,'RC Lookup'!$A$3:$B$9,2,FALSE),0.5),VLOOKUP('Rock Climbing Log'!AN155,'RC Lookup'!$G$3:$H$5,2,FALSE)),0)*VLOOKUP(AN$7,'RC Lookup'!$D$3:$E$18,2,FALSE)</f>
        <v>0</v>
      </c>
      <c r="AO155" s="26">
        <f>_xlfn.IFNA(IF(LEFT('Rock Climbing Log'!AO155)="C",_xlfn.IFNA(VLOOKUP('Rock Climbing Log'!AO155,'RC Lookup'!$A$3:$B$9,2,FALSE),0.5),VLOOKUP('Rock Climbing Log'!AO155,'RC Lookup'!$G$3:$H$5,2,FALSE)),0)*VLOOKUP(AN$7,'RC Lookup'!$D$3:$E$18,2,FALSE)</f>
        <v>0</v>
      </c>
      <c r="AP155" s="26">
        <f>_xlfn.IFNA(IF(LEFT('Rock Climbing Log'!AP155)="C",_xlfn.IFNA(VLOOKUP('Rock Climbing Log'!AP155,'RC Lookup'!$A$3:$B$9,2,FALSE),0.5),VLOOKUP('Rock Climbing Log'!AP155,'RC Lookup'!$G$3:$H$5,2,FALSE)),0)*VLOOKUP(AN$7,'RC Lookup'!$D$3:$E$18,2,FALSE)</f>
        <v>0</v>
      </c>
      <c r="AQ155" s="26">
        <f>_xlfn.IFNA(IF(LEFT('Rock Climbing Log'!AQ155)="C",_xlfn.IFNA(VLOOKUP('Rock Climbing Log'!AQ155,'RC Lookup'!$A$3:$B$9,2,FALSE),0.5),VLOOKUP('Rock Climbing Log'!AQ155,'RC Lookup'!$G$3:$H$5,2,FALSE)),0)*VLOOKUP(AQ$7,'RC Lookup'!$D$3:$E$18,2,FALSE)</f>
        <v>0</v>
      </c>
      <c r="AR155" s="26">
        <f>_xlfn.IFNA(IF(LEFT('Rock Climbing Log'!AR155)="C",_xlfn.IFNA(VLOOKUP('Rock Climbing Log'!AR155,'RC Lookup'!$A$3:$B$9,2,FALSE),0.5),VLOOKUP('Rock Climbing Log'!AR155,'RC Lookup'!$G$3:$H$5,2,FALSE)),0)*VLOOKUP(AQ$7,'RC Lookup'!$D$3:$E$18,2,FALSE)</f>
        <v>0</v>
      </c>
      <c r="AS155" s="26">
        <f>_xlfn.IFNA(IF(LEFT('Rock Climbing Log'!AS155)="C",_xlfn.IFNA(VLOOKUP('Rock Climbing Log'!AS155,'RC Lookup'!$A$3:$B$9,2,FALSE),0.5),VLOOKUP('Rock Climbing Log'!AS155,'RC Lookup'!$G$3:$H$5,2,FALSE)),0)*VLOOKUP(AQ$7,'RC Lookup'!$D$3:$E$18,2,FALSE)</f>
        <v>0</v>
      </c>
      <c r="AT155" s="26">
        <f>_xlfn.IFNA(IF(LEFT('Rock Climbing Log'!AT155)="C",_xlfn.IFNA(VLOOKUP('Rock Climbing Log'!AT155,'RC Lookup'!$A$3:$B$9,2,FALSE),0.5),VLOOKUP('Rock Climbing Log'!AT155,'RC Lookup'!$G$3:$H$5,2,FALSE)),0)*VLOOKUP(AT$7,'RC Lookup'!$D$3:$E$18,2,FALSE)</f>
        <v>0</v>
      </c>
      <c r="AU155" s="26">
        <f>_xlfn.IFNA(IF(LEFT('Rock Climbing Log'!AU155)="C",_xlfn.IFNA(VLOOKUP('Rock Climbing Log'!AU155,'RC Lookup'!$A$3:$B$9,2,FALSE),0.5),VLOOKUP('Rock Climbing Log'!AU155,'RC Lookup'!$G$3:$H$5,2,FALSE)),0)*VLOOKUP(AT$7,'RC Lookup'!$D$3:$E$18,2,FALSE)</f>
        <v>0</v>
      </c>
      <c r="AV155" s="26">
        <f>_xlfn.IFNA(IF(LEFT('Rock Climbing Log'!AV155)="C",_xlfn.IFNA(VLOOKUP('Rock Climbing Log'!AV155,'RC Lookup'!$A$3:$B$9,2,FALSE),0.5),VLOOKUP('Rock Climbing Log'!AV155,'RC Lookup'!$G$3:$H$5,2,FALSE)),0)*VLOOKUP(AT$7,'RC Lookup'!$D$3:$E$18,2,FALSE)</f>
        <v>0</v>
      </c>
      <c r="AW155" s="30">
        <f t="shared" ca="1" si="5"/>
        <v>0</v>
      </c>
      <c r="AX155" s="30">
        <f ca="1">_xlfn.IFNA(VLOOKUP(SUMPRODUCT(LARGE(($C$8:$C155=Table1[[#This Row],[Climber]])*$A$8:$A155,1)),$A$8:$AW155,MATCH($AW$7,$A$7:$AW$7,FALSE),FALSE),0)/LEFT($AX$7,FIND(" ",$AX$7))+_xlfn.IFNA(VLOOKUP(SUMPRODUCT(LARGE(($C$8:$C155=Table1[[#This Row],[Climber]])*$A$8:$A155,MIN(2,COUNTIFS($C$8:$C155,$C155)))),$A$8:$AW155,MATCH($AW$7,$A$7:$AW$7,FALSE),FALSE),0)/LEFT($AX$7,FIND(" ",$AX$7))+_xlfn.IFNA(VLOOKUP(SUMPRODUCT(LARGE(($C$8:$C155=Table1[[#This Row],[Climber]])*$A$8:$A155,MIN(3,COUNTIFS($C$8:$C155,$C155)))),$A$8:$AW155,MATCH($AW$7,$A$7:$AW$7,FALSE),FALSE),0)/LEFT($AX$7,FIND(" ",$AX$7))</f>
        <v>0</v>
      </c>
      <c r="AY155" s="30">
        <f ca="1">_xlfn.IFNA(VLOOKUP(SUMPRODUCT(LARGE(($C$8:$C155=Table1[[#This Row],[Climber]])*$A$8:$A155,1)),$A$8:$AW155,MATCH($AW$7,$A$7:$AW$7,FALSE),FALSE),0)/LEFT($AY$7,FIND(" ",$AY$7))+_xlfn.IFNA(VLOOKUP(SUMPRODUCT(LARGE(($C$8:$C155=Table1[[#This Row],[Climber]])*$A$8:$A155,MIN(2,COUNTIFS($C$8:$C155,$C155)))),$A$8:$AW155,MATCH($AW$7,$A$7:$AW$7,FALSE),FALSE),0)/LEFT($AY$7,FIND(" ",$AY$7))+_xlfn.IFNA(VLOOKUP(SUMPRODUCT(LARGE(($C$8:$C155=Table1[[#This Row],[Climber]])*$A$8:$A155,MIN(3,COUNTIFS($C$8:$C155,$C155)))),$A$8:$AW155,MATCH($AW$7,$A$7:$AW$7,FALSE),FALSE),0)/LEFT($AY$7,FIND(" ",$AY$7))+_xlfn.IFNA(VLOOKUP(SUMPRODUCT(LARGE(($C$8:$C155=Table1[[#This Row],[Climber]])*$A$8:$A155,MIN(4,COUNTIFS($C$8:$C155,$C155)))),$A$8:$AW155,MATCH($AW$7,$A$7:$AW$7,FALSE),FALSE),0)/LEFT($AY$7,FIND(" ",$AY$7))+_xlfn.IFNA(VLOOKUP(SUMPRODUCT(LARGE(($C$8:$C155=Table1[[#This Row],[Climber]])*$A$8:$A155,MIN(5,COUNTIFS($C$8:$C155,$C155)))),$A$8:$AW155,MATCH($AW$7,$A$7:$AW$7,FALSE),FALSE),0)/LEFT($AY$7,FIND(" ",$AY$7))</f>
        <v>0</v>
      </c>
      <c r="AZ155" s="30">
        <f ca="1">(_xlfn.IFNA(VLOOKUP(SUMPRODUCT(LARGE(($C$8:$C155=Table1[[#This Row],[Climber]])*$A$8:$A155,4)),$A$8:$AW155,MATCH($AW$7,$A$7:$AW$7,FALSE),FALSE),0)+_xlfn.IFNA(VLOOKUP(SUMPRODUCT(LARGE(($C$8:$C155=Table1[[#This Row],[Climber]])*$A$8:$A155,5)),$A$8:$AW155,MATCH($AW$7,$A$7:$AW$7,FALSE),FALSE),0)+_xlfn.IFNA(VLOOKUP(SUMPRODUCT(LARGE(($C$8:$C155=Table1[[#This Row],[Climber]])*$A$8:$A155,6)),$A$8:$AW155,MATCH($AW$7,$A$7:$AW$7,FALSE),FALSE),0))/3</f>
        <v>0</v>
      </c>
      <c r="BA155" s="46">
        <f ca="1">_xlfn.MAXIFS(INDIRECT("$AW"&amp;IF(SUMPRODUCT(LARGE(($C$8:$C155=$C155)*$A$8:$A155,LEFT($BA$7,FIND(" ",$BA$7)-1)))=0,8,SUMPRODUCT(LARGE(($C$8:$C155=$C155)*$A$8:$A155,LEFT($BA$7,FIND(" ",$BA$7)-1)))+7)&amp;":$AW"&amp;ROW()),INDIRECT("$C"&amp;IF(SUMPRODUCT(LARGE(($C$8:$C155=$C155)*$A$8:$A155,LEFT($BA$7,FIND(" ",$BA$7)-1)))=0,8,SUMPRODUCT(LARGE(($C$8:$C155=$C155)*$A$8:$A155,LEFT($BA$7,FIND(" ",$BA$7)-1)))+7)&amp;":$C"&amp;ROW()),$C155)</f>
        <v>0</v>
      </c>
      <c r="BB155" s="46" t="str">
        <f ca="1">VLOOKUP(MAX(BG155,$AX155),'RC Lookup'!$G$14:$J$20,2,TRUE)</f>
        <v>T1</v>
      </c>
      <c r="BC155" s="46">
        <f ca="1">_xlfn.IFNA(VLOOKUP(VLOOKUP($C155,'RC Lookup'!$O$3:$P$50,2,FALSE),'RC Lookup'!$H$14:$J$23,2,FALSE),0)*AW155</f>
        <v>0</v>
      </c>
      <c r="BD155" s="6">
        <f ca="1">_xlfn.IFNA(VLOOKUP(SUMPRODUCT(LARGE(($C$8:$C155=Table1[[#This Row],[Climber]])*$A$8:$A155,1)),$A$8:$BC155,55,FALSE),0)/LEFT($AX$7,FIND(" ",$AX$7))+_xlfn.IFNA(VLOOKUP(SUMPRODUCT(LARGE(($C$8:$C155=Table1[[#This Row],[Climber]])*$A$8:$A155,MIN(2,COUNTIFS($C$8:$C155,$C155)))),$A$8:$BC155,55,FALSE),0)/LEFT($AX$7,FIND(" ",$AX$7))+_xlfn.IFNA(VLOOKUP(SUMPRODUCT(LARGE(($C$8:$C155=Table1[[#This Row],[Climber]])*$A$8:$A155,MIN(3,COUNTIFS($C$8:$C155,$C155)))),$A$8:$BC155,55,FALSE),0)/LEFT($AX$7,FIND(" ",$AX$7))</f>
        <v>0</v>
      </c>
      <c r="BE155" s="6">
        <f ca="1">(_xlfn.IFNA(VLOOKUP(SUMPRODUCT(LARGE(($C$8:$C155=Table1[[#This Row],[Climber]])*$A$8:$A155,4)),$A$8:$BD155,55,FALSE),0)+_xlfn.IFNA(VLOOKUP(SUMPRODUCT(LARGE(($C$8:$C155=Table1[[#This Row],[Climber]])*$A$8:$A155,5)),$A$8:$BD155,55,FALSE),0)+_xlfn.IFNA(VLOOKUP(SUMPRODUCT(LARGE(($C$8:$C155=Table1[[#This Row],[Climber]])*$A$8:$A155,6)),$A$8:$BD155,55,FALSE),0))/3</f>
        <v>0</v>
      </c>
      <c r="BF155" s="46">
        <f ca="1">_xlfn.MAXIFS(INDIRECT("$BC"&amp;IF(SUMPRODUCT(LARGE(($C$8:$C155=$C155)*$A$8:$A155,LEFT($BA$7,FIND(" ",$BA$7)-1)))=0,8,SUMPRODUCT(LARGE(($C$8:$C155=$C155)*$A$8:$A155,LEFT($BA$7,FIND(" ",$BA$7)-1)))+7)&amp;":$BC"&amp;ROW()),INDIRECT("$C"&amp;IF(SUMPRODUCT(LARGE(($C$8:$C155=$C155)*$A$8:$A155,LEFT($BA$7,FIND(" ",$BA$7)-1)))=0,8,SUMPRODUCT(LARGE(($C$8:$C155=$C155)*$A$8:$A155,LEFT($BA$7,FIND(" ",$BA$7)-1)))+7)&amp;":$C"&amp;ROW()),$C155)</f>
        <v>0</v>
      </c>
      <c r="BG155" s="46">
        <f t="array" aca="1" ref="BG155" ca="1">IFERROR(SUMPRODUCT(LARGE(($C$8:$C155=Table1[[#This Row],[Climber]])*$AW$8:$AW155,ROW(INDIRECT("1:5")))),AW155)/MIN(COUNTIFS($C$8:$C155,C155),5)</f>
        <v>0</v>
      </c>
    </row>
    <row r="156" spans="1:59" x14ac:dyDescent="0.3">
      <c r="A156" s="125">
        <f t="shared" si="1"/>
        <v>149</v>
      </c>
      <c r="B156" s="25">
        <f>'Rock Climbing Log'!B156</f>
        <v>0</v>
      </c>
      <c r="C156" s="126">
        <f>'Rock Climbing Log'!C156</f>
        <v>0</v>
      </c>
      <c r="D156" s="26">
        <f>_xlfn.IFNA(IF(LEFT('Rock Climbing Log'!D156)="C",_xlfn.IFNA(VLOOKUP('Rock Climbing Log'!D156,'RC Lookup'!$A$3:$B$9,2,FALSE),0.5),VLOOKUP('Rock Climbing Log'!D156,'RC Lookup'!$G$3:$H$5,2,FALSE)),0)*VLOOKUP(D$7,'RC Lookup'!$D$3:$E$18,2,FALSE)</f>
        <v>0</v>
      </c>
      <c r="E156" s="26">
        <f>_xlfn.IFNA(IF(LEFT('Rock Climbing Log'!E156)="C",_xlfn.IFNA(VLOOKUP('Rock Climbing Log'!E156,'RC Lookup'!$A$3:$B$9,2,FALSE),0.5),VLOOKUP('Rock Climbing Log'!E156,'RC Lookup'!$G$3:$H$5,2,FALSE)),0)*VLOOKUP(D$7,'RC Lookup'!$D$3:$E$18,2,FALSE)</f>
        <v>0</v>
      </c>
      <c r="F156" s="26">
        <f>_xlfn.IFNA(IF(LEFT('Rock Climbing Log'!F156)="C",_xlfn.IFNA(VLOOKUP('Rock Climbing Log'!F156,'RC Lookup'!$A$3:$B$9,2,FALSE),0.5),VLOOKUP('Rock Climbing Log'!F156,'RC Lookup'!$G$3:$H$5,2,FALSE)),0)*VLOOKUP(D$7,'RC Lookup'!$D$3:$E$18,2,FALSE)</f>
        <v>0</v>
      </c>
      <c r="G156" s="26">
        <f>_xlfn.IFNA(IF(LEFT('Rock Climbing Log'!G156)="C",_xlfn.IFNA(VLOOKUP('Rock Climbing Log'!G156,'RC Lookup'!$A$3:$B$9,2,FALSE),0.5),VLOOKUP('Rock Climbing Log'!G156,'RC Lookup'!$G$3:$H$5,2,FALSE)),0)*VLOOKUP(G$7,'RC Lookup'!$D$3:$E$18,2,FALSE)</f>
        <v>0</v>
      </c>
      <c r="H156" s="26">
        <f>_xlfn.IFNA(IF(LEFT('Rock Climbing Log'!H156)="C",_xlfn.IFNA(VLOOKUP('Rock Climbing Log'!H156,'RC Lookup'!$A$3:$B$9,2,FALSE),0.5),VLOOKUP('Rock Climbing Log'!H156,'RC Lookup'!$G$3:$H$5,2,FALSE)),0)*VLOOKUP(G$7,'RC Lookup'!$D$3:$E$18,2,FALSE)</f>
        <v>0</v>
      </c>
      <c r="I156" s="26">
        <f>_xlfn.IFNA(IF(LEFT('Rock Climbing Log'!I156)="C",_xlfn.IFNA(VLOOKUP('Rock Climbing Log'!I156,'RC Lookup'!$A$3:$B$9,2,FALSE),0.5),VLOOKUP('Rock Climbing Log'!I156,'RC Lookup'!$G$3:$H$5,2,FALSE)),0)*VLOOKUP(G$7,'RC Lookup'!$D$3:$E$18,2,FALSE)</f>
        <v>0</v>
      </c>
      <c r="J156" s="26">
        <f>_xlfn.IFNA(IF(LEFT('Rock Climbing Log'!J156)="C",_xlfn.IFNA(VLOOKUP('Rock Climbing Log'!J156,'RC Lookup'!$A$3:$B$9,2,FALSE),0.5),VLOOKUP('Rock Climbing Log'!J156,'RC Lookup'!$G$3:$H$5,2,FALSE)),0)*VLOOKUP(J$7,'RC Lookup'!$D$3:$E$18,2,FALSE)</f>
        <v>0</v>
      </c>
      <c r="K156" s="26">
        <f>_xlfn.IFNA(IF(LEFT('Rock Climbing Log'!K156)="C",_xlfn.IFNA(VLOOKUP('Rock Climbing Log'!K156,'RC Lookup'!$A$3:$B$9,2,FALSE),0.5),VLOOKUP('Rock Climbing Log'!K156,'RC Lookup'!$G$3:$H$5,2,FALSE)),0)*VLOOKUP(J$7,'RC Lookup'!$D$3:$E$18,2,FALSE)</f>
        <v>0</v>
      </c>
      <c r="L156" s="26">
        <f>_xlfn.IFNA(IF(LEFT('Rock Climbing Log'!L156)="C",_xlfn.IFNA(VLOOKUP('Rock Climbing Log'!L156,'RC Lookup'!$A$3:$B$9,2,FALSE),0.5),VLOOKUP('Rock Climbing Log'!L156,'RC Lookup'!$G$3:$H$5,2,FALSE)),0)*VLOOKUP(J$7,'RC Lookup'!$D$3:$E$18,2,FALSE)</f>
        <v>0</v>
      </c>
      <c r="M156" s="26">
        <f>_xlfn.IFNA(IF(LEFT('Rock Climbing Log'!M156)="C",_xlfn.IFNA(VLOOKUP('Rock Climbing Log'!M156,'RC Lookup'!$A$3:$B$9,2,FALSE),0.5),VLOOKUP('Rock Climbing Log'!M156,'RC Lookup'!$G$3:$H$5,2,FALSE)),0)*VLOOKUP(M$7,'RC Lookup'!$D$3:$E$18,2,FALSE)</f>
        <v>0</v>
      </c>
      <c r="N156" s="26">
        <f>_xlfn.IFNA(IF(LEFT('Rock Climbing Log'!N156)="C",_xlfn.IFNA(VLOOKUP('Rock Climbing Log'!N156,'RC Lookup'!$A$3:$B$9,2,FALSE),0.5),VLOOKUP('Rock Climbing Log'!N156,'RC Lookup'!$G$3:$H$5,2,FALSE)),0)*VLOOKUP(M$7,'RC Lookup'!$D$3:$E$18,2,FALSE)</f>
        <v>0</v>
      </c>
      <c r="O156" s="26">
        <f>_xlfn.IFNA(IF(LEFT('Rock Climbing Log'!O156)="C",_xlfn.IFNA(VLOOKUP('Rock Climbing Log'!O156,'RC Lookup'!$A$3:$B$9,2,FALSE),0.5),VLOOKUP('Rock Climbing Log'!O156,'RC Lookup'!$G$3:$H$5,2,FALSE)),0)*VLOOKUP(M$7,'RC Lookup'!$D$3:$E$18,2,FALSE)</f>
        <v>0</v>
      </c>
      <c r="P156" s="26">
        <f>_xlfn.IFNA(IF(LEFT('Rock Climbing Log'!P156)="C",_xlfn.IFNA(VLOOKUP('Rock Climbing Log'!P156,'RC Lookup'!$A$3:$B$9,2,FALSE),0.5),VLOOKUP('Rock Climbing Log'!P156,'RC Lookup'!$G$3:$H$5,2,FALSE)),0)*VLOOKUP(P$7,'RC Lookup'!$D$3:$E$18,2,FALSE)</f>
        <v>0</v>
      </c>
      <c r="Q156" s="26">
        <f>_xlfn.IFNA(IF(LEFT('Rock Climbing Log'!Q156)="C",_xlfn.IFNA(VLOOKUP('Rock Climbing Log'!Q156,'RC Lookup'!$A$3:$B$9,2,FALSE),0.5),VLOOKUP('Rock Climbing Log'!Q156,'RC Lookup'!$G$3:$H$5,2,FALSE)),0)*VLOOKUP(P$7,'RC Lookup'!$D$3:$E$18,2,FALSE)</f>
        <v>0</v>
      </c>
      <c r="R156" s="26">
        <f>_xlfn.IFNA(IF(LEFT('Rock Climbing Log'!R156)="C",_xlfn.IFNA(VLOOKUP('Rock Climbing Log'!R156,'RC Lookup'!$A$3:$B$9,2,FALSE),0.5),VLOOKUP('Rock Climbing Log'!R156,'RC Lookup'!$G$3:$H$5,2,FALSE)),0)*VLOOKUP(P$7,'RC Lookup'!$D$3:$E$18,2,FALSE)</f>
        <v>0</v>
      </c>
      <c r="S156" s="26">
        <f>_xlfn.IFNA(IF(LEFT('Rock Climbing Log'!S156)="C",_xlfn.IFNA(VLOOKUP('Rock Climbing Log'!S156,'RC Lookup'!$A$3:$B$9,2,FALSE),0.5),VLOOKUP('Rock Climbing Log'!S156,'RC Lookup'!$G$3:$H$5,2,FALSE)),0)*VLOOKUP(S$7,'RC Lookup'!$D$3:$E$18,2,FALSE)</f>
        <v>0</v>
      </c>
      <c r="T156" s="26">
        <f>_xlfn.IFNA(IF(LEFT('Rock Climbing Log'!T156)="C",_xlfn.IFNA(VLOOKUP('Rock Climbing Log'!T156,'RC Lookup'!$A$3:$B$9,2,FALSE),0.5),VLOOKUP('Rock Climbing Log'!T156,'RC Lookup'!$G$3:$H$5,2,FALSE)),0)*VLOOKUP(S$7,'RC Lookup'!$D$3:$E$18,2,FALSE)</f>
        <v>0</v>
      </c>
      <c r="U156" s="26">
        <f>_xlfn.IFNA(IF(LEFT('Rock Climbing Log'!U156)="C",_xlfn.IFNA(VLOOKUP('Rock Climbing Log'!U156,'RC Lookup'!$A$3:$B$9,2,FALSE),0.5),VLOOKUP('Rock Climbing Log'!U156,'RC Lookup'!$G$3:$H$5,2,FALSE)),0)*VLOOKUP(S$7,'RC Lookup'!$D$3:$E$18,2,FALSE)</f>
        <v>0</v>
      </c>
      <c r="V156" s="26">
        <f>_xlfn.IFNA(IF(LEFT('Rock Climbing Log'!V156)="C",_xlfn.IFNA(VLOOKUP('Rock Climbing Log'!V156,'RC Lookup'!$A$3:$B$9,2,FALSE),0.5),VLOOKUP('Rock Climbing Log'!V156,'RC Lookup'!$G$3:$H$5,2,FALSE)),0)*VLOOKUP(V$7,'RC Lookup'!$D$3:$E$18,2,FALSE)</f>
        <v>0</v>
      </c>
      <c r="W156" s="26">
        <f>_xlfn.IFNA(IF(LEFT('Rock Climbing Log'!W156)="C",_xlfn.IFNA(VLOOKUP('Rock Climbing Log'!W156,'RC Lookup'!$A$3:$B$9,2,FALSE),0.5),VLOOKUP('Rock Climbing Log'!W156,'RC Lookup'!$G$3:$H$5,2,FALSE)),0)*VLOOKUP(V$7,'RC Lookup'!$D$3:$E$18,2,FALSE)</f>
        <v>0</v>
      </c>
      <c r="X156" s="26">
        <f>_xlfn.IFNA(IF(LEFT('Rock Climbing Log'!X156)="C",_xlfn.IFNA(VLOOKUP('Rock Climbing Log'!X156,'RC Lookup'!$A$3:$B$9,2,FALSE),0.5),VLOOKUP('Rock Climbing Log'!X156,'RC Lookup'!$G$3:$H$5,2,FALSE)),0)*VLOOKUP(V$7,'RC Lookup'!$D$3:$E$18,2,FALSE)</f>
        <v>0</v>
      </c>
      <c r="Y156" s="26">
        <f>_xlfn.IFNA(IF(LEFT('Rock Climbing Log'!Y156)="C",_xlfn.IFNA(VLOOKUP('Rock Climbing Log'!Y156,'RC Lookup'!$A$3:$B$9,2,FALSE),0.5),VLOOKUP('Rock Climbing Log'!Y156,'RC Lookup'!$G$3:$H$5,2,FALSE)),0)*VLOOKUP(Y$7,'RC Lookup'!$D$3:$E$18,2,FALSE)</f>
        <v>0</v>
      </c>
      <c r="Z156" s="26">
        <f>_xlfn.IFNA(IF(LEFT('Rock Climbing Log'!Z156)="C",_xlfn.IFNA(VLOOKUP('Rock Climbing Log'!Z156,'RC Lookup'!$A$3:$B$9,2,FALSE),0.5),VLOOKUP('Rock Climbing Log'!Z156,'RC Lookup'!$G$3:$H$5,2,FALSE)),0)*VLOOKUP(Y$7,'RC Lookup'!$D$3:$E$18,2,FALSE)</f>
        <v>0</v>
      </c>
      <c r="AA156" s="26">
        <f>_xlfn.IFNA(IF(LEFT('Rock Climbing Log'!AA156)="C",_xlfn.IFNA(VLOOKUP('Rock Climbing Log'!AA156,'RC Lookup'!$A$3:$B$9,2,FALSE),0.5),VLOOKUP('Rock Climbing Log'!AA156,'RC Lookup'!$G$3:$H$5,2,FALSE)),0)*VLOOKUP(Y$7,'RC Lookup'!$D$3:$E$18,2,FALSE)</f>
        <v>0</v>
      </c>
      <c r="AB156" s="26">
        <f>_xlfn.IFNA(IF(LEFT('Rock Climbing Log'!AB156)="C",_xlfn.IFNA(VLOOKUP('Rock Climbing Log'!AB156,'RC Lookup'!$A$3:$B$9,2,FALSE),0.5),VLOOKUP('Rock Climbing Log'!AB156,'RC Lookup'!$G$3:$H$5,2,FALSE)),0)*VLOOKUP(AB$7,'RC Lookup'!$D$3:$E$18,2,FALSE)</f>
        <v>0</v>
      </c>
      <c r="AC156" s="26">
        <f>_xlfn.IFNA(IF(LEFT('Rock Climbing Log'!AC156)="C",_xlfn.IFNA(VLOOKUP('Rock Climbing Log'!AC156,'RC Lookup'!$A$3:$B$9,2,FALSE),0.5),VLOOKUP('Rock Climbing Log'!AC156,'RC Lookup'!$G$3:$H$5,2,FALSE)),0)*VLOOKUP(AB$7,'RC Lookup'!$D$3:$E$18,2,FALSE)</f>
        <v>0</v>
      </c>
      <c r="AD156" s="26">
        <f>_xlfn.IFNA(IF(LEFT('Rock Climbing Log'!AD156)="C",_xlfn.IFNA(VLOOKUP('Rock Climbing Log'!AD156,'RC Lookup'!$A$3:$B$9,2,FALSE),0.5),VLOOKUP('Rock Climbing Log'!AD156,'RC Lookup'!$G$3:$H$5,2,FALSE)),0)*VLOOKUP(AB$7,'RC Lookup'!$D$3:$E$18,2,FALSE)</f>
        <v>0</v>
      </c>
      <c r="AE156" s="26">
        <f>_xlfn.IFNA(IF(LEFT('Rock Climbing Log'!AE156)="C",_xlfn.IFNA(VLOOKUP('Rock Climbing Log'!AE156,'RC Lookup'!$A$3:$B$9,2,FALSE),0.5),VLOOKUP('Rock Climbing Log'!AE156,'RC Lookup'!$G$3:$H$5,2,FALSE)),0)*VLOOKUP(AE$7,'RC Lookup'!$D$3:$E$18,2,FALSE)</f>
        <v>0</v>
      </c>
      <c r="AF156" s="26">
        <f>_xlfn.IFNA(IF(LEFT('Rock Climbing Log'!AF156)="C",_xlfn.IFNA(VLOOKUP('Rock Climbing Log'!AF156,'RC Lookup'!$A$3:$B$9,2,FALSE),0.5),VLOOKUP('Rock Climbing Log'!AF156,'RC Lookup'!$G$3:$H$5,2,FALSE)),0)*VLOOKUP(AE$7,'RC Lookup'!$D$3:$E$18,2,FALSE)</f>
        <v>0</v>
      </c>
      <c r="AG156" s="26">
        <f>_xlfn.IFNA(IF(LEFT('Rock Climbing Log'!AG156)="C",_xlfn.IFNA(VLOOKUP('Rock Climbing Log'!AG156,'RC Lookup'!$A$3:$B$9,2,FALSE),0.5),VLOOKUP('Rock Climbing Log'!AG156,'RC Lookup'!$G$3:$H$5,2,FALSE)),0)*VLOOKUP(AE$7,'RC Lookup'!$D$3:$E$18,2,FALSE)</f>
        <v>0</v>
      </c>
      <c r="AH156" s="26">
        <f>_xlfn.IFNA(IF(LEFT('Rock Climbing Log'!AH156)="C",_xlfn.IFNA(VLOOKUP('Rock Climbing Log'!AH156,'RC Lookup'!$A$3:$B$9,2,FALSE),0.5),VLOOKUP('Rock Climbing Log'!AH156,'RC Lookup'!$G$3:$H$5,2,FALSE)),0)*VLOOKUP(AH$7,'RC Lookup'!$D$3:$E$18,2,FALSE)</f>
        <v>0</v>
      </c>
      <c r="AI156" s="26">
        <f>_xlfn.IFNA(IF(LEFT('Rock Climbing Log'!AI156)="C",_xlfn.IFNA(VLOOKUP('Rock Climbing Log'!AI156,'RC Lookup'!$A$3:$B$9,2,FALSE),0.5),VLOOKUP('Rock Climbing Log'!AI156,'RC Lookup'!$G$3:$H$5,2,FALSE)),0)*VLOOKUP(AH$7,'RC Lookup'!$D$3:$E$18,2,FALSE)</f>
        <v>0</v>
      </c>
      <c r="AJ156" s="26">
        <f>_xlfn.IFNA(IF(LEFT('Rock Climbing Log'!AJ156)="C",_xlfn.IFNA(VLOOKUP('Rock Climbing Log'!AJ156,'RC Lookup'!$A$3:$B$9,2,FALSE),0.5),VLOOKUP('Rock Climbing Log'!AJ156,'RC Lookup'!$G$3:$H$5,2,FALSE)),0)*VLOOKUP(AH$7,'RC Lookup'!$D$3:$E$18,2,FALSE)</f>
        <v>0</v>
      </c>
      <c r="AK156" s="26">
        <f>_xlfn.IFNA(IF(LEFT('Rock Climbing Log'!AK156)="C",_xlfn.IFNA(VLOOKUP('Rock Climbing Log'!AK156,'RC Lookup'!$A$3:$B$9,2,FALSE),0.5),VLOOKUP('Rock Climbing Log'!AK156,'RC Lookup'!$G$3:$H$5,2,FALSE)),0)*VLOOKUP(AK$7,'RC Lookup'!$D$3:$E$18,2,FALSE)</f>
        <v>0</v>
      </c>
      <c r="AL156" s="26">
        <f>_xlfn.IFNA(IF(LEFT('Rock Climbing Log'!AL156)="C",_xlfn.IFNA(VLOOKUP('Rock Climbing Log'!AL156,'RC Lookup'!$A$3:$B$9,2,FALSE),0.5),VLOOKUP('Rock Climbing Log'!AL156,'RC Lookup'!$G$3:$H$5,2,FALSE)),0)*VLOOKUP(AK$7,'RC Lookup'!$D$3:$E$18,2,FALSE)</f>
        <v>0</v>
      </c>
      <c r="AM156" s="26">
        <f>_xlfn.IFNA(IF(LEFT('Rock Climbing Log'!AM156)="C",_xlfn.IFNA(VLOOKUP('Rock Climbing Log'!AM156,'RC Lookup'!$A$3:$B$9,2,FALSE),0.5),VLOOKUP('Rock Climbing Log'!AM156,'RC Lookup'!$G$3:$H$5,2,FALSE)),0)*VLOOKUP(AK$7,'RC Lookup'!$D$3:$E$18,2,FALSE)</f>
        <v>0</v>
      </c>
      <c r="AN156" s="26">
        <f>_xlfn.IFNA(IF(LEFT('Rock Climbing Log'!AN156)="C",_xlfn.IFNA(VLOOKUP('Rock Climbing Log'!AN156,'RC Lookup'!$A$3:$B$9,2,FALSE),0.5),VLOOKUP('Rock Climbing Log'!AN156,'RC Lookup'!$G$3:$H$5,2,FALSE)),0)*VLOOKUP(AN$7,'RC Lookup'!$D$3:$E$18,2,FALSE)</f>
        <v>0</v>
      </c>
      <c r="AO156" s="26">
        <f>_xlfn.IFNA(IF(LEFT('Rock Climbing Log'!AO156)="C",_xlfn.IFNA(VLOOKUP('Rock Climbing Log'!AO156,'RC Lookup'!$A$3:$B$9,2,FALSE),0.5),VLOOKUP('Rock Climbing Log'!AO156,'RC Lookup'!$G$3:$H$5,2,FALSE)),0)*VLOOKUP(AN$7,'RC Lookup'!$D$3:$E$18,2,FALSE)</f>
        <v>0</v>
      </c>
      <c r="AP156" s="26">
        <f>_xlfn.IFNA(IF(LEFT('Rock Climbing Log'!AP156)="C",_xlfn.IFNA(VLOOKUP('Rock Climbing Log'!AP156,'RC Lookup'!$A$3:$B$9,2,FALSE),0.5),VLOOKUP('Rock Climbing Log'!AP156,'RC Lookup'!$G$3:$H$5,2,FALSE)),0)*VLOOKUP(AN$7,'RC Lookup'!$D$3:$E$18,2,FALSE)</f>
        <v>0</v>
      </c>
      <c r="AQ156" s="26">
        <f>_xlfn.IFNA(IF(LEFT('Rock Climbing Log'!AQ156)="C",_xlfn.IFNA(VLOOKUP('Rock Climbing Log'!AQ156,'RC Lookup'!$A$3:$B$9,2,FALSE),0.5),VLOOKUP('Rock Climbing Log'!AQ156,'RC Lookup'!$G$3:$H$5,2,FALSE)),0)*VLOOKUP(AQ$7,'RC Lookup'!$D$3:$E$18,2,FALSE)</f>
        <v>0</v>
      </c>
      <c r="AR156" s="26">
        <f>_xlfn.IFNA(IF(LEFT('Rock Climbing Log'!AR156)="C",_xlfn.IFNA(VLOOKUP('Rock Climbing Log'!AR156,'RC Lookup'!$A$3:$B$9,2,FALSE),0.5),VLOOKUP('Rock Climbing Log'!AR156,'RC Lookup'!$G$3:$H$5,2,FALSE)),0)*VLOOKUP(AQ$7,'RC Lookup'!$D$3:$E$18,2,FALSE)</f>
        <v>0</v>
      </c>
      <c r="AS156" s="26">
        <f>_xlfn.IFNA(IF(LEFT('Rock Climbing Log'!AS156)="C",_xlfn.IFNA(VLOOKUP('Rock Climbing Log'!AS156,'RC Lookup'!$A$3:$B$9,2,FALSE),0.5),VLOOKUP('Rock Climbing Log'!AS156,'RC Lookup'!$G$3:$H$5,2,FALSE)),0)*VLOOKUP(AQ$7,'RC Lookup'!$D$3:$E$18,2,FALSE)</f>
        <v>0</v>
      </c>
      <c r="AT156" s="26">
        <f>_xlfn.IFNA(IF(LEFT('Rock Climbing Log'!AT156)="C",_xlfn.IFNA(VLOOKUP('Rock Climbing Log'!AT156,'RC Lookup'!$A$3:$B$9,2,FALSE),0.5),VLOOKUP('Rock Climbing Log'!AT156,'RC Lookup'!$G$3:$H$5,2,FALSE)),0)*VLOOKUP(AT$7,'RC Lookup'!$D$3:$E$18,2,FALSE)</f>
        <v>0</v>
      </c>
      <c r="AU156" s="26">
        <f>_xlfn.IFNA(IF(LEFT('Rock Climbing Log'!AU156)="C",_xlfn.IFNA(VLOOKUP('Rock Climbing Log'!AU156,'RC Lookup'!$A$3:$B$9,2,FALSE),0.5),VLOOKUP('Rock Climbing Log'!AU156,'RC Lookup'!$G$3:$H$5,2,FALSE)),0)*VLOOKUP(AT$7,'RC Lookup'!$D$3:$E$18,2,FALSE)</f>
        <v>0</v>
      </c>
      <c r="AV156" s="26">
        <f>_xlfn.IFNA(IF(LEFT('Rock Climbing Log'!AV156)="C",_xlfn.IFNA(VLOOKUP('Rock Climbing Log'!AV156,'RC Lookup'!$A$3:$B$9,2,FALSE),0.5),VLOOKUP('Rock Climbing Log'!AV156,'RC Lookup'!$G$3:$H$5,2,FALSE)),0)*VLOOKUP(AT$7,'RC Lookup'!$D$3:$E$18,2,FALSE)</f>
        <v>0</v>
      </c>
      <c r="AW156" s="30">
        <f t="shared" ca="1" si="5"/>
        <v>0</v>
      </c>
      <c r="AX156" s="30">
        <f ca="1">_xlfn.IFNA(VLOOKUP(SUMPRODUCT(LARGE(($C$8:$C156=Table1[[#This Row],[Climber]])*$A$8:$A156,1)),$A$8:$AW156,MATCH($AW$7,$A$7:$AW$7,FALSE),FALSE),0)/LEFT($AX$7,FIND(" ",$AX$7))+_xlfn.IFNA(VLOOKUP(SUMPRODUCT(LARGE(($C$8:$C156=Table1[[#This Row],[Climber]])*$A$8:$A156,MIN(2,COUNTIFS($C$8:$C156,$C156)))),$A$8:$AW156,MATCH($AW$7,$A$7:$AW$7,FALSE),FALSE),0)/LEFT($AX$7,FIND(" ",$AX$7))+_xlfn.IFNA(VLOOKUP(SUMPRODUCT(LARGE(($C$8:$C156=Table1[[#This Row],[Climber]])*$A$8:$A156,MIN(3,COUNTIFS($C$8:$C156,$C156)))),$A$8:$AW156,MATCH($AW$7,$A$7:$AW$7,FALSE),FALSE),0)/LEFT($AX$7,FIND(" ",$AX$7))</f>
        <v>0</v>
      </c>
      <c r="AY156" s="30">
        <f ca="1">_xlfn.IFNA(VLOOKUP(SUMPRODUCT(LARGE(($C$8:$C156=Table1[[#This Row],[Climber]])*$A$8:$A156,1)),$A$8:$AW156,MATCH($AW$7,$A$7:$AW$7,FALSE),FALSE),0)/LEFT($AY$7,FIND(" ",$AY$7))+_xlfn.IFNA(VLOOKUP(SUMPRODUCT(LARGE(($C$8:$C156=Table1[[#This Row],[Climber]])*$A$8:$A156,MIN(2,COUNTIFS($C$8:$C156,$C156)))),$A$8:$AW156,MATCH($AW$7,$A$7:$AW$7,FALSE),FALSE),0)/LEFT($AY$7,FIND(" ",$AY$7))+_xlfn.IFNA(VLOOKUP(SUMPRODUCT(LARGE(($C$8:$C156=Table1[[#This Row],[Climber]])*$A$8:$A156,MIN(3,COUNTIFS($C$8:$C156,$C156)))),$A$8:$AW156,MATCH($AW$7,$A$7:$AW$7,FALSE),FALSE),0)/LEFT($AY$7,FIND(" ",$AY$7))+_xlfn.IFNA(VLOOKUP(SUMPRODUCT(LARGE(($C$8:$C156=Table1[[#This Row],[Climber]])*$A$8:$A156,MIN(4,COUNTIFS($C$8:$C156,$C156)))),$A$8:$AW156,MATCH($AW$7,$A$7:$AW$7,FALSE),FALSE),0)/LEFT($AY$7,FIND(" ",$AY$7))+_xlfn.IFNA(VLOOKUP(SUMPRODUCT(LARGE(($C$8:$C156=Table1[[#This Row],[Climber]])*$A$8:$A156,MIN(5,COUNTIFS($C$8:$C156,$C156)))),$A$8:$AW156,MATCH($AW$7,$A$7:$AW$7,FALSE),FALSE),0)/LEFT($AY$7,FIND(" ",$AY$7))</f>
        <v>0</v>
      </c>
      <c r="AZ156" s="30">
        <f ca="1">(_xlfn.IFNA(VLOOKUP(SUMPRODUCT(LARGE(($C$8:$C156=Table1[[#This Row],[Climber]])*$A$8:$A156,4)),$A$8:$AW156,MATCH($AW$7,$A$7:$AW$7,FALSE),FALSE),0)+_xlfn.IFNA(VLOOKUP(SUMPRODUCT(LARGE(($C$8:$C156=Table1[[#This Row],[Climber]])*$A$8:$A156,5)),$A$8:$AW156,MATCH($AW$7,$A$7:$AW$7,FALSE),FALSE),0)+_xlfn.IFNA(VLOOKUP(SUMPRODUCT(LARGE(($C$8:$C156=Table1[[#This Row],[Climber]])*$A$8:$A156,6)),$A$8:$AW156,MATCH($AW$7,$A$7:$AW$7,FALSE),FALSE),0))/3</f>
        <v>0</v>
      </c>
      <c r="BA156" s="46">
        <f ca="1">_xlfn.MAXIFS(INDIRECT("$AW"&amp;IF(SUMPRODUCT(LARGE(($C$8:$C156=$C156)*$A$8:$A156,LEFT($BA$7,FIND(" ",$BA$7)-1)))=0,8,SUMPRODUCT(LARGE(($C$8:$C156=$C156)*$A$8:$A156,LEFT($BA$7,FIND(" ",$BA$7)-1)))+7)&amp;":$AW"&amp;ROW()),INDIRECT("$C"&amp;IF(SUMPRODUCT(LARGE(($C$8:$C156=$C156)*$A$8:$A156,LEFT($BA$7,FIND(" ",$BA$7)-1)))=0,8,SUMPRODUCT(LARGE(($C$8:$C156=$C156)*$A$8:$A156,LEFT($BA$7,FIND(" ",$BA$7)-1)))+7)&amp;":$C"&amp;ROW()),$C156)</f>
        <v>0</v>
      </c>
      <c r="BB156" s="46" t="str">
        <f ca="1">VLOOKUP(MAX(BG156,$AX156),'RC Lookup'!$G$14:$J$20,2,TRUE)</f>
        <v>T1</v>
      </c>
      <c r="BC156" s="46">
        <f ca="1">_xlfn.IFNA(VLOOKUP(VLOOKUP($C156,'RC Lookup'!$O$3:$P$50,2,FALSE),'RC Lookup'!$H$14:$J$23,2,FALSE),0)*AW156</f>
        <v>0</v>
      </c>
      <c r="BD156" s="6">
        <f ca="1">_xlfn.IFNA(VLOOKUP(SUMPRODUCT(LARGE(($C$8:$C156=Table1[[#This Row],[Climber]])*$A$8:$A156,1)),$A$8:$BC156,55,FALSE),0)/LEFT($AX$7,FIND(" ",$AX$7))+_xlfn.IFNA(VLOOKUP(SUMPRODUCT(LARGE(($C$8:$C156=Table1[[#This Row],[Climber]])*$A$8:$A156,MIN(2,COUNTIFS($C$8:$C156,$C156)))),$A$8:$BC156,55,FALSE),0)/LEFT($AX$7,FIND(" ",$AX$7))+_xlfn.IFNA(VLOOKUP(SUMPRODUCT(LARGE(($C$8:$C156=Table1[[#This Row],[Climber]])*$A$8:$A156,MIN(3,COUNTIFS($C$8:$C156,$C156)))),$A$8:$BC156,55,FALSE),0)/LEFT($AX$7,FIND(" ",$AX$7))</f>
        <v>0</v>
      </c>
      <c r="BE156" s="6">
        <f ca="1">(_xlfn.IFNA(VLOOKUP(SUMPRODUCT(LARGE(($C$8:$C156=Table1[[#This Row],[Climber]])*$A$8:$A156,4)),$A$8:$BD156,55,FALSE),0)+_xlfn.IFNA(VLOOKUP(SUMPRODUCT(LARGE(($C$8:$C156=Table1[[#This Row],[Climber]])*$A$8:$A156,5)),$A$8:$BD156,55,FALSE),0)+_xlfn.IFNA(VLOOKUP(SUMPRODUCT(LARGE(($C$8:$C156=Table1[[#This Row],[Climber]])*$A$8:$A156,6)),$A$8:$BD156,55,FALSE),0))/3</f>
        <v>0</v>
      </c>
      <c r="BF156" s="46">
        <f ca="1">_xlfn.MAXIFS(INDIRECT("$BC"&amp;IF(SUMPRODUCT(LARGE(($C$8:$C156=$C156)*$A$8:$A156,LEFT($BA$7,FIND(" ",$BA$7)-1)))=0,8,SUMPRODUCT(LARGE(($C$8:$C156=$C156)*$A$8:$A156,LEFT($BA$7,FIND(" ",$BA$7)-1)))+7)&amp;":$BC"&amp;ROW()),INDIRECT("$C"&amp;IF(SUMPRODUCT(LARGE(($C$8:$C156=$C156)*$A$8:$A156,LEFT($BA$7,FIND(" ",$BA$7)-1)))=0,8,SUMPRODUCT(LARGE(($C$8:$C156=$C156)*$A$8:$A156,LEFT($BA$7,FIND(" ",$BA$7)-1)))+7)&amp;":$C"&amp;ROW()),$C156)</f>
        <v>0</v>
      </c>
      <c r="BG156" s="46">
        <f t="array" aca="1" ref="BG156" ca="1">IFERROR(SUMPRODUCT(LARGE(($C$8:$C156=Table1[[#This Row],[Climber]])*$AW$8:$AW156,ROW(INDIRECT("1:5")))),AW156)/MIN(COUNTIFS($C$8:$C156,C156),5)</f>
        <v>0</v>
      </c>
    </row>
    <row r="157" spans="1:59" x14ac:dyDescent="0.3">
      <c r="A157" s="125">
        <f t="shared" si="1"/>
        <v>150</v>
      </c>
      <c r="B157" s="25">
        <f>'Rock Climbing Log'!B157</f>
        <v>0</v>
      </c>
      <c r="C157" s="126">
        <f>'Rock Climbing Log'!C157</f>
        <v>0</v>
      </c>
      <c r="D157" s="26">
        <f>_xlfn.IFNA(IF(LEFT('Rock Climbing Log'!D157)="C",_xlfn.IFNA(VLOOKUP('Rock Climbing Log'!D157,'RC Lookup'!$A$3:$B$9,2,FALSE),0.5),VLOOKUP('Rock Climbing Log'!D157,'RC Lookup'!$G$3:$H$5,2,FALSE)),0)*VLOOKUP(D$7,'RC Lookup'!$D$3:$E$18,2,FALSE)</f>
        <v>0</v>
      </c>
      <c r="E157" s="26">
        <f>_xlfn.IFNA(IF(LEFT('Rock Climbing Log'!E157)="C",_xlfn.IFNA(VLOOKUP('Rock Climbing Log'!E157,'RC Lookup'!$A$3:$B$9,2,FALSE),0.5),VLOOKUP('Rock Climbing Log'!E157,'RC Lookup'!$G$3:$H$5,2,FALSE)),0)*VLOOKUP(D$7,'RC Lookup'!$D$3:$E$18,2,FALSE)</f>
        <v>0</v>
      </c>
      <c r="F157" s="26">
        <f>_xlfn.IFNA(IF(LEFT('Rock Climbing Log'!F157)="C",_xlfn.IFNA(VLOOKUP('Rock Climbing Log'!F157,'RC Lookup'!$A$3:$B$9,2,FALSE),0.5),VLOOKUP('Rock Climbing Log'!F157,'RC Lookup'!$G$3:$H$5,2,FALSE)),0)*VLOOKUP(D$7,'RC Lookup'!$D$3:$E$18,2,FALSE)</f>
        <v>0</v>
      </c>
      <c r="G157" s="26">
        <f>_xlfn.IFNA(IF(LEFT('Rock Climbing Log'!G157)="C",_xlfn.IFNA(VLOOKUP('Rock Climbing Log'!G157,'RC Lookup'!$A$3:$B$9,2,FALSE),0.5),VLOOKUP('Rock Climbing Log'!G157,'RC Lookup'!$G$3:$H$5,2,FALSE)),0)*VLOOKUP(G$7,'RC Lookup'!$D$3:$E$18,2,FALSE)</f>
        <v>0</v>
      </c>
      <c r="H157" s="26">
        <f>_xlfn.IFNA(IF(LEFT('Rock Climbing Log'!H157)="C",_xlfn.IFNA(VLOOKUP('Rock Climbing Log'!H157,'RC Lookup'!$A$3:$B$9,2,FALSE),0.5),VLOOKUP('Rock Climbing Log'!H157,'RC Lookup'!$G$3:$H$5,2,FALSE)),0)*VLOOKUP(G$7,'RC Lookup'!$D$3:$E$18,2,FALSE)</f>
        <v>0</v>
      </c>
      <c r="I157" s="26">
        <f>_xlfn.IFNA(IF(LEFT('Rock Climbing Log'!I157)="C",_xlfn.IFNA(VLOOKUP('Rock Climbing Log'!I157,'RC Lookup'!$A$3:$B$9,2,FALSE),0.5),VLOOKUP('Rock Climbing Log'!I157,'RC Lookup'!$G$3:$H$5,2,FALSE)),0)*VLOOKUP(G$7,'RC Lookup'!$D$3:$E$18,2,FALSE)</f>
        <v>0</v>
      </c>
      <c r="J157" s="26">
        <f>_xlfn.IFNA(IF(LEFT('Rock Climbing Log'!J157)="C",_xlfn.IFNA(VLOOKUP('Rock Climbing Log'!J157,'RC Lookup'!$A$3:$B$9,2,FALSE),0.5),VLOOKUP('Rock Climbing Log'!J157,'RC Lookup'!$G$3:$H$5,2,FALSE)),0)*VLOOKUP(J$7,'RC Lookup'!$D$3:$E$18,2,FALSE)</f>
        <v>0</v>
      </c>
      <c r="K157" s="26">
        <f>_xlfn.IFNA(IF(LEFT('Rock Climbing Log'!K157)="C",_xlfn.IFNA(VLOOKUP('Rock Climbing Log'!K157,'RC Lookup'!$A$3:$B$9,2,FALSE),0.5),VLOOKUP('Rock Climbing Log'!K157,'RC Lookup'!$G$3:$H$5,2,FALSE)),0)*VLOOKUP(J$7,'RC Lookup'!$D$3:$E$18,2,FALSE)</f>
        <v>0</v>
      </c>
      <c r="L157" s="26">
        <f>_xlfn.IFNA(IF(LEFT('Rock Climbing Log'!L157)="C",_xlfn.IFNA(VLOOKUP('Rock Climbing Log'!L157,'RC Lookup'!$A$3:$B$9,2,FALSE),0.5),VLOOKUP('Rock Climbing Log'!L157,'RC Lookup'!$G$3:$H$5,2,FALSE)),0)*VLOOKUP(J$7,'RC Lookup'!$D$3:$E$18,2,FALSE)</f>
        <v>0</v>
      </c>
      <c r="M157" s="26">
        <f>_xlfn.IFNA(IF(LEFT('Rock Climbing Log'!M157)="C",_xlfn.IFNA(VLOOKUP('Rock Climbing Log'!M157,'RC Lookup'!$A$3:$B$9,2,FALSE),0.5),VLOOKUP('Rock Climbing Log'!M157,'RC Lookup'!$G$3:$H$5,2,FALSE)),0)*VLOOKUP(M$7,'RC Lookup'!$D$3:$E$18,2,FALSE)</f>
        <v>0</v>
      </c>
      <c r="N157" s="26">
        <f>_xlfn.IFNA(IF(LEFT('Rock Climbing Log'!N157)="C",_xlfn.IFNA(VLOOKUP('Rock Climbing Log'!N157,'RC Lookup'!$A$3:$B$9,2,FALSE),0.5),VLOOKUP('Rock Climbing Log'!N157,'RC Lookup'!$G$3:$H$5,2,FALSE)),0)*VLOOKUP(M$7,'RC Lookup'!$D$3:$E$18,2,FALSE)</f>
        <v>0</v>
      </c>
      <c r="O157" s="26">
        <f>_xlfn.IFNA(IF(LEFT('Rock Climbing Log'!O157)="C",_xlfn.IFNA(VLOOKUP('Rock Climbing Log'!O157,'RC Lookup'!$A$3:$B$9,2,FALSE),0.5),VLOOKUP('Rock Climbing Log'!O157,'RC Lookup'!$G$3:$H$5,2,FALSE)),0)*VLOOKUP(M$7,'RC Lookup'!$D$3:$E$18,2,FALSE)</f>
        <v>0</v>
      </c>
      <c r="P157" s="26">
        <f>_xlfn.IFNA(IF(LEFT('Rock Climbing Log'!P157)="C",_xlfn.IFNA(VLOOKUP('Rock Climbing Log'!P157,'RC Lookup'!$A$3:$B$9,2,FALSE),0.5),VLOOKUP('Rock Climbing Log'!P157,'RC Lookup'!$G$3:$H$5,2,FALSE)),0)*VLOOKUP(P$7,'RC Lookup'!$D$3:$E$18,2,FALSE)</f>
        <v>0</v>
      </c>
      <c r="Q157" s="26">
        <f>_xlfn.IFNA(IF(LEFT('Rock Climbing Log'!Q157)="C",_xlfn.IFNA(VLOOKUP('Rock Climbing Log'!Q157,'RC Lookup'!$A$3:$B$9,2,FALSE),0.5),VLOOKUP('Rock Climbing Log'!Q157,'RC Lookup'!$G$3:$H$5,2,FALSE)),0)*VLOOKUP(P$7,'RC Lookup'!$D$3:$E$18,2,FALSE)</f>
        <v>0</v>
      </c>
      <c r="R157" s="26">
        <f>_xlfn.IFNA(IF(LEFT('Rock Climbing Log'!R157)="C",_xlfn.IFNA(VLOOKUP('Rock Climbing Log'!R157,'RC Lookup'!$A$3:$B$9,2,FALSE),0.5),VLOOKUP('Rock Climbing Log'!R157,'RC Lookup'!$G$3:$H$5,2,FALSE)),0)*VLOOKUP(P$7,'RC Lookup'!$D$3:$E$18,2,FALSE)</f>
        <v>0</v>
      </c>
      <c r="S157" s="26">
        <f>_xlfn.IFNA(IF(LEFT('Rock Climbing Log'!S157)="C",_xlfn.IFNA(VLOOKUP('Rock Climbing Log'!S157,'RC Lookup'!$A$3:$B$9,2,FALSE),0.5),VLOOKUP('Rock Climbing Log'!S157,'RC Lookup'!$G$3:$H$5,2,FALSE)),0)*VLOOKUP(S$7,'RC Lookup'!$D$3:$E$18,2,FALSE)</f>
        <v>0</v>
      </c>
      <c r="T157" s="26">
        <f>_xlfn.IFNA(IF(LEFT('Rock Climbing Log'!T157)="C",_xlfn.IFNA(VLOOKUP('Rock Climbing Log'!T157,'RC Lookup'!$A$3:$B$9,2,FALSE),0.5),VLOOKUP('Rock Climbing Log'!T157,'RC Lookup'!$G$3:$H$5,2,FALSE)),0)*VLOOKUP(S$7,'RC Lookup'!$D$3:$E$18,2,FALSE)</f>
        <v>0</v>
      </c>
      <c r="U157" s="26">
        <f>_xlfn.IFNA(IF(LEFT('Rock Climbing Log'!U157)="C",_xlfn.IFNA(VLOOKUP('Rock Climbing Log'!U157,'RC Lookup'!$A$3:$B$9,2,FALSE),0.5),VLOOKUP('Rock Climbing Log'!U157,'RC Lookup'!$G$3:$H$5,2,FALSE)),0)*VLOOKUP(S$7,'RC Lookup'!$D$3:$E$18,2,FALSE)</f>
        <v>0</v>
      </c>
      <c r="V157" s="26">
        <f>_xlfn.IFNA(IF(LEFT('Rock Climbing Log'!V157)="C",_xlfn.IFNA(VLOOKUP('Rock Climbing Log'!V157,'RC Lookup'!$A$3:$B$9,2,FALSE),0.5),VLOOKUP('Rock Climbing Log'!V157,'RC Lookup'!$G$3:$H$5,2,FALSE)),0)*VLOOKUP(V$7,'RC Lookup'!$D$3:$E$18,2,FALSE)</f>
        <v>0</v>
      </c>
      <c r="W157" s="26">
        <f>_xlfn.IFNA(IF(LEFT('Rock Climbing Log'!W157)="C",_xlfn.IFNA(VLOOKUP('Rock Climbing Log'!W157,'RC Lookup'!$A$3:$B$9,2,FALSE),0.5),VLOOKUP('Rock Climbing Log'!W157,'RC Lookup'!$G$3:$H$5,2,FALSE)),0)*VLOOKUP(V$7,'RC Lookup'!$D$3:$E$18,2,FALSE)</f>
        <v>0</v>
      </c>
      <c r="X157" s="26">
        <f>_xlfn.IFNA(IF(LEFT('Rock Climbing Log'!X157)="C",_xlfn.IFNA(VLOOKUP('Rock Climbing Log'!X157,'RC Lookup'!$A$3:$B$9,2,FALSE),0.5),VLOOKUP('Rock Climbing Log'!X157,'RC Lookup'!$G$3:$H$5,2,FALSE)),0)*VLOOKUP(V$7,'RC Lookup'!$D$3:$E$18,2,FALSE)</f>
        <v>0</v>
      </c>
      <c r="Y157" s="26">
        <f>_xlfn.IFNA(IF(LEFT('Rock Climbing Log'!Y157)="C",_xlfn.IFNA(VLOOKUP('Rock Climbing Log'!Y157,'RC Lookup'!$A$3:$B$9,2,FALSE),0.5),VLOOKUP('Rock Climbing Log'!Y157,'RC Lookup'!$G$3:$H$5,2,FALSE)),0)*VLOOKUP(Y$7,'RC Lookup'!$D$3:$E$18,2,FALSE)</f>
        <v>0</v>
      </c>
      <c r="Z157" s="26">
        <f>_xlfn.IFNA(IF(LEFT('Rock Climbing Log'!Z157)="C",_xlfn.IFNA(VLOOKUP('Rock Climbing Log'!Z157,'RC Lookup'!$A$3:$B$9,2,FALSE),0.5),VLOOKUP('Rock Climbing Log'!Z157,'RC Lookup'!$G$3:$H$5,2,FALSE)),0)*VLOOKUP(Y$7,'RC Lookup'!$D$3:$E$18,2,FALSE)</f>
        <v>0</v>
      </c>
      <c r="AA157" s="26">
        <f>_xlfn.IFNA(IF(LEFT('Rock Climbing Log'!AA157)="C",_xlfn.IFNA(VLOOKUP('Rock Climbing Log'!AA157,'RC Lookup'!$A$3:$B$9,2,FALSE),0.5),VLOOKUP('Rock Climbing Log'!AA157,'RC Lookup'!$G$3:$H$5,2,FALSE)),0)*VLOOKUP(Y$7,'RC Lookup'!$D$3:$E$18,2,FALSE)</f>
        <v>0</v>
      </c>
      <c r="AB157" s="26">
        <f>_xlfn.IFNA(IF(LEFT('Rock Climbing Log'!AB157)="C",_xlfn.IFNA(VLOOKUP('Rock Climbing Log'!AB157,'RC Lookup'!$A$3:$B$9,2,FALSE),0.5),VLOOKUP('Rock Climbing Log'!AB157,'RC Lookup'!$G$3:$H$5,2,FALSE)),0)*VLOOKUP(AB$7,'RC Lookup'!$D$3:$E$18,2,FALSE)</f>
        <v>0</v>
      </c>
      <c r="AC157" s="26">
        <f>_xlfn.IFNA(IF(LEFT('Rock Climbing Log'!AC157)="C",_xlfn.IFNA(VLOOKUP('Rock Climbing Log'!AC157,'RC Lookup'!$A$3:$B$9,2,FALSE),0.5),VLOOKUP('Rock Climbing Log'!AC157,'RC Lookup'!$G$3:$H$5,2,FALSE)),0)*VLOOKUP(AB$7,'RC Lookup'!$D$3:$E$18,2,FALSE)</f>
        <v>0</v>
      </c>
      <c r="AD157" s="26">
        <f>_xlfn.IFNA(IF(LEFT('Rock Climbing Log'!AD157)="C",_xlfn.IFNA(VLOOKUP('Rock Climbing Log'!AD157,'RC Lookup'!$A$3:$B$9,2,FALSE),0.5),VLOOKUP('Rock Climbing Log'!AD157,'RC Lookup'!$G$3:$H$5,2,FALSE)),0)*VLOOKUP(AB$7,'RC Lookup'!$D$3:$E$18,2,FALSE)</f>
        <v>0</v>
      </c>
      <c r="AE157" s="26">
        <f>_xlfn.IFNA(IF(LEFT('Rock Climbing Log'!AE157)="C",_xlfn.IFNA(VLOOKUP('Rock Climbing Log'!AE157,'RC Lookup'!$A$3:$B$9,2,FALSE),0.5),VLOOKUP('Rock Climbing Log'!AE157,'RC Lookup'!$G$3:$H$5,2,FALSE)),0)*VLOOKUP(AE$7,'RC Lookup'!$D$3:$E$18,2,FALSE)</f>
        <v>0</v>
      </c>
      <c r="AF157" s="26">
        <f>_xlfn.IFNA(IF(LEFT('Rock Climbing Log'!AF157)="C",_xlfn.IFNA(VLOOKUP('Rock Climbing Log'!AF157,'RC Lookup'!$A$3:$B$9,2,FALSE),0.5),VLOOKUP('Rock Climbing Log'!AF157,'RC Lookup'!$G$3:$H$5,2,FALSE)),0)*VLOOKUP(AE$7,'RC Lookup'!$D$3:$E$18,2,FALSE)</f>
        <v>0</v>
      </c>
      <c r="AG157" s="26">
        <f>_xlfn.IFNA(IF(LEFT('Rock Climbing Log'!AG157)="C",_xlfn.IFNA(VLOOKUP('Rock Climbing Log'!AG157,'RC Lookup'!$A$3:$B$9,2,FALSE),0.5),VLOOKUP('Rock Climbing Log'!AG157,'RC Lookup'!$G$3:$H$5,2,FALSE)),0)*VLOOKUP(AE$7,'RC Lookup'!$D$3:$E$18,2,FALSE)</f>
        <v>0</v>
      </c>
      <c r="AH157" s="26">
        <f>_xlfn.IFNA(IF(LEFT('Rock Climbing Log'!AH157)="C",_xlfn.IFNA(VLOOKUP('Rock Climbing Log'!AH157,'RC Lookup'!$A$3:$B$9,2,FALSE),0.5),VLOOKUP('Rock Climbing Log'!AH157,'RC Lookup'!$G$3:$H$5,2,FALSE)),0)*VLOOKUP(AH$7,'RC Lookup'!$D$3:$E$18,2,FALSE)</f>
        <v>0</v>
      </c>
      <c r="AI157" s="26">
        <f>_xlfn.IFNA(IF(LEFT('Rock Climbing Log'!AI157)="C",_xlfn.IFNA(VLOOKUP('Rock Climbing Log'!AI157,'RC Lookup'!$A$3:$B$9,2,FALSE),0.5),VLOOKUP('Rock Climbing Log'!AI157,'RC Lookup'!$G$3:$H$5,2,FALSE)),0)*VLOOKUP(AH$7,'RC Lookup'!$D$3:$E$18,2,FALSE)</f>
        <v>0</v>
      </c>
      <c r="AJ157" s="26">
        <f>_xlfn.IFNA(IF(LEFT('Rock Climbing Log'!AJ157)="C",_xlfn.IFNA(VLOOKUP('Rock Climbing Log'!AJ157,'RC Lookup'!$A$3:$B$9,2,FALSE),0.5),VLOOKUP('Rock Climbing Log'!AJ157,'RC Lookup'!$G$3:$H$5,2,FALSE)),0)*VLOOKUP(AH$7,'RC Lookup'!$D$3:$E$18,2,FALSE)</f>
        <v>0</v>
      </c>
      <c r="AK157" s="26">
        <f>_xlfn.IFNA(IF(LEFT('Rock Climbing Log'!AK157)="C",_xlfn.IFNA(VLOOKUP('Rock Climbing Log'!AK157,'RC Lookup'!$A$3:$B$9,2,FALSE),0.5),VLOOKUP('Rock Climbing Log'!AK157,'RC Lookup'!$G$3:$H$5,2,FALSE)),0)*VLOOKUP(AK$7,'RC Lookup'!$D$3:$E$18,2,FALSE)</f>
        <v>0</v>
      </c>
      <c r="AL157" s="26">
        <f>_xlfn.IFNA(IF(LEFT('Rock Climbing Log'!AL157)="C",_xlfn.IFNA(VLOOKUP('Rock Climbing Log'!AL157,'RC Lookup'!$A$3:$B$9,2,FALSE),0.5),VLOOKUP('Rock Climbing Log'!AL157,'RC Lookup'!$G$3:$H$5,2,FALSE)),0)*VLOOKUP(AK$7,'RC Lookup'!$D$3:$E$18,2,FALSE)</f>
        <v>0</v>
      </c>
      <c r="AM157" s="26">
        <f>_xlfn.IFNA(IF(LEFT('Rock Climbing Log'!AM157)="C",_xlfn.IFNA(VLOOKUP('Rock Climbing Log'!AM157,'RC Lookup'!$A$3:$B$9,2,FALSE),0.5),VLOOKUP('Rock Climbing Log'!AM157,'RC Lookup'!$G$3:$H$5,2,FALSE)),0)*VLOOKUP(AK$7,'RC Lookup'!$D$3:$E$18,2,FALSE)</f>
        <v>0</v>
      </c>
      <c r="AN157" s="26">
        <f>_xlfn.IFNA(IF(LEFT('Rock Climbing Log'!AN157)="C",_xlfn.IFNA(VLOOKUP('Rock Climbing Log'!AN157,'RC Lookup'!$A$3:$B$9,2,FALSE),0.5),VLOOKUP('Rock Climbing Log'!AN157,'RC Lookup'!$G$3:$H$5,2,FALSE)),0)*VLOOKUP(AN$7,'RC Lookup'!$D$3:$E$18,2,FALSE)</f>
        <v>0</v>
      </c>
      <c r="AO157" s="26">
        <f>_xlfn.IFNA(IF(LEFT('Rock Climbing Log'!AO157)="C",_xlfn.IFNA(VLOOKUP('Rock Climbing Log'!AO157,'RC Lookup'!$A$3:$B$9,2,FALSE),0.5),VLOOKUP('Rock Climbing Log'!AO157,'RC Lookup'!$G$3:$H$5,2,FALSE)),0)*VLOOKUP(AN$7,'RC Lookup'!$D$3:$E$18,2,FALSE)</f>
        <v>0</v>
      </c>
      <c r="AP157" s="26">
        <f>_xlfn.IFNA(IF(LEFT('Rock Climbing Log'!AP157)="C",_xlfn.IFNA(VLOOKUP('Rock Climbing Log'!AP157,'RC Lookup'!$A$3:$B$9,2,FALSE),0.5),VLOOKUP('Rock Climbing Log'!AP157,'RC Lookup'!$G$3:$H$5,2,FALSE)),0)*VLOOKUP(AN$7,'RC Lookup'!$D$3:$E$18,2,FALSE)</f>
        <v>0</v>
      </c>
      <c r="AQ157" s="26">
        <f>_xlfn.IFNA(IF(LEFT('Rock Climbing Log'!AQ157)="C",_xlfn.IFNA(VLOOKUP('Rock Climbing Log'!AQ157,'RC Lookup'!$A$3:$B$9,2,FALSE),0.5),VLOOKUP('Rock Climbing Log'!AQ157,'RC Lookup'!$G$3:$H$5,2,FALSE)),0)*VLOOKUP(AQ$7,'RC Lookup'!$D$3:$E$18,2,FALSE)</f>
        <v>0</v>
      </c>
      <c r="AR157" s="26">
        <f>_xlfn.IFNA(IF(LEFT('Rock Climbing Log'!AR157)="C",_xlfn.IFNA(VLOOKUP('Rock Climbing Log'!AR157,'RC Lookup'!$A$3:$B$9,2,FALSE),0.5),VLOOKUP('Rock Climbing Log'!AR157,'RC Lookup'!$G$3:$H$5,2,FALSE)),0)*VLOOKUP(AQ$7,'RC Lookup'!$D$3:$E$18,2,FALSE)</f>
        <v>0</v>
      </c>
      <c r="AS157" s="26">
        <f>_xlfn.IFNA(IF(LEFT('Rock Climbing Log'!AS157)="C",_xlfn.IFNA(VLOOKUP('Rock Climbing Log'!AS157,'RC Lookup'!$A$3:$B$9,2,FALSE),0.5),VLOOKUP('Rock Climbing Log'!AS157,'RC Lookup'!$G$3:$H$5,2,FALSE)),0)*VLOOKUP(AQ$7,'RC Lookup'!$D$3:$E$18,2,FALSE)</f>
        <v>0</v>
      </c>
      <c r="AT157" s="26">
        <f>_xlfn.IFNA(IF(LEFT('Rock Climbing Log'!AT157)="C",_xlfn.IFNA(VLOOKUP('Rock Climbing Log'!AT157,'RC Lookup'!$A$3:$B$9,2,FALSE),0.5),VLOOKUP('Rock Climbing Log'!AT157,'RC Lookup'!$G$3:$H$5,2,FALSE)),0)*VLOOKUP(AT$7,'RC Lookup'!$D$3:$E$18,2,FALSE)</f>
        <v>0</v>
      </c>
      <c r="AU157" s="26">
        <f>_xlfn.IFNA(IF(LEFT('Rock Climbing Log'!AU157)="C",_xlfn.IFNA(VLOOKUP('Rock Climbing Log'!AU157,'RC Lookup'!$A$3:$B$9,2,FALSE),0.5),VLOOKUP('Rock Climbing Log'!AU157,'RC Lookup'!$G$3:$H$5,2,FALSE)),0)*VLOOKUP(AT$7,'RC Lookup'!$D$3:$E$18,2,FALSE)</f>
        <v>0</v>
      </c>
      <c r="AV157" s="26">
        <f>_xlfn.IFNA(IF(LEFT('Rock Climbing Log'!AV157)="C",_xlfn.IFNA(VLOOKUP('Rock Climbing Log'!AV157,'RC Lookup'!$A$3:$B$9,2,FALSE),0.5),VLOOKUP('Rock Climbing Log'!AV157,'RC Lookup'!$G$3:$H$5,2,FALSE)),0)*VLOOKUP(AT$7,'RC Lookup'!$D$3:$E$18,2,FALSE)</f>
        <v>0</v>
      </c>
      <c r="AW157" s="30">
        <f t="shared" ca="1" si="5"/>
        <v>0</v>
      </c>
      <c r="AX157" s="30">
        <f ca="1">_xlfn.IFNA(VLOOKUP(SUMPRODUCT(LARGE(($C$8:$C157=Table1[[#This Row],[Climber]])*$A$8:$A157,1)),$A$8:$AW157,MATCH($AW$7,$A$7:$AW$7,FALSE),FALSE),0)/LEFT($AX$7,FIND(" ",$AX$7))+_xlfn.IFNA(VLOOKUP(SUMPRODUCT(LARGE(($C$8:$C157=Table1[[#This Row],[Climber]])*$A$8:$A157,MIN(2,COUNTIFS($C$8:$C157,$C157)))),$A$8:$AW157,MATCH($AW$7,$A$7:$AW$7,FALSE),FALSE),0)/LEFT($AX$7,FIND(" ",$AX$7))+_xlfn.IFNA(VLOOKUP(SUMPRODUCT(LARGE(($C$8:$C157=Table1[[#This Row],[Climber]])*$A$8:$A157,MIN(3,COUNTIFS($C$8:$C157,$C157)))),$A$8:$AW157,MATCH($AW$7,$A$7:$AW$7,FALSE),FALSE),0)/LEFT($AX$7,FIND(" ",$AX$7))</f>
        <v>0</v>
      </c>
      <c r="AY157" s="30">
        <f ca="1">_xlfn.IFNA(VLOOKUP(SUMPRODUCT(LARGE(($C$8:$C157=Table1[[#This Row],[Climber]])*$A$8:$A157,1)),$A$8:$AW157,MATCH($AW$7,$A$7:$AW$7,FALSE),FALSE),0)/LEFT($AY$7,FIND(" ",$AY$7))+_xlfn.IFNA(VLOOKUP(SUMPRODUCT(LARGE(($C$8:$C157=Table1[[#This Row],[Climber]])*$A$8:$A157,MIN(2,COUNTIFS($C$8:$C157,$C157)))),$A$8:$AW157,MATCH($AW$7,$A$7:$AW$7,FALSE),FALSE),0)/LEFT($AY$7,FIND(" ",$AY$7))+_xlfn.IFNA(VLOOKUP(SUMPRODUCT(LARGE(($C$8:$C157=Table1[[#This Row],[Climber]])*$A$8:$A157,MIN(3,COUNTIFS($C$8:$C157,$C157)))),$A$8:$AW157,MATCH($AW$7,$A$7:$AW$7,FALSE),FALSE),0)/LEFT($AY$7,FIND(" ",$AY$7))+_xlfn.IFNA(VLOOKUP(SUMPRODUCT(LARGE(($C$8:$C157=Table1[[#This Row],[Climber]])*$A$8:$A157,MIN(4,COUNTIFS($C$8:$C157,$C157)))),$A$8:$AW157,MATCH($AW$7,$A$7:$AW$7,FALSE),FALSE),0)/LEFT($AY$7,FIND(" ",$AY$7))+_xlfn.IFNA(VLOOKUP(SUMPRODUCT(LARGE(($C$8:$C157=Table1[[#This Row],[Climber]])*$A$8:$A157,MIN(5,COUNTIFS($C$8:$C157,$C157)))),$A$8:$AW157,MATCH($AW$7,$A$7:$AW$7,FALSE),FALSE),0)/LEFT($AY$7,FIND(" ",$AY$7))</f>
        <v>0</v>
      </c>
      <c r="AZ157" s="30">
        <f ca="1">(_xlfn.IFNA(VLOOKUP(SUMPRODUCT(LARGE(($C$8:$C157=Table1[[#This Row],[Climber]])*$A$8:$A157,4)),$A$8:$AW157,MATCH($AW$7,$A$7:$AW$7,FALSE),FALSE),0)+_xlfn.IFNA(VLOOKUP(SUMPRODUCT(LARGE(($C$8:$C157=Table1[[#This Row],[Climber]])*$A$8:$A157,5)),$A$8:$AW157,MATCH($AW$7,$A$7:$AW$7,FALSE),FALSE),0)+_xlfn.IFNA(VLOOKUP(SUMPRODUCT(LARGE(($C$8:$C157=Table1[[#This Row],[Climber]])*$A$8:$A157,6)),$A$8:$AW157,MATCH($AW$7,$A$7:$AW$7,FALSE),FALSE),0))/3</f>
        <v>0</v>
      </c>
      <c r="BA157" s="46">
        <f ca="1">_xlfn.MAXIFS(INDIRECT("$AW"&amp;IF(SUMPRODUCT(LARGE(($C$8:$C157=$C157)*$A$8:$A157,LEFT($BA$7,FIND(" ",$BA$7)-1)))=0,8,SUMPRODUCT(LARGE(($C$8:$C157=$C157)*$A$8:$A157,LEFT($BA$7,FIND(" ",$BA$7)-1)))+7)&amp;":$AW"&amp;ROW()),INDIRECT("$C"&amp;IF(SUMPRODUCT(LARGE(($C$8:$C157=$C157)*$A$8:$A157,LEFT($BA$7,FIND(" ",$BA$7)-1)))=0,8,SUMPRODUCT(LARGE(($C$8:$C157=$C157)*$A$8:$A157,LEFT($BA$7,FIND(" ",$BA$7)-1)))+7)&amp;":$C"&amp;ROW()),$C157)</f>
        <v>0</v>
      </c>
      <c r="BB157" s="46" t="str">
        <f ca="1">VLOOKUP(MAX(BG157,$AX157),'RC Lookup'!$G$14:$J$20,2,TRUE)</f>
        <v>T1</v>
      </c>
      <c r="BC157" s="46">
        <f ca="1">_xlfn.IFNA(VLOOKUP(VLOOKUP($C157,'RC Lookup'!$O$3:$P$50,2,FALSE),'RC Lookup'!$H$14:$J$23,2,FALSE),0)*AW157</f>
        <v>0</v>
      </c>
      <c r="BD157" s="6">
        <f ca="1">_xlfn.IFNA(VLOOKUP(SUMPRODUCT(LARGE(($C$8:$C157=Table1[[#This Row],[Climber]])*$A$8:$A157,1)),$A$8:$BC157,55,FALSE),0)/LEFT($AX$7,FIND(" ",$AX$7))+_xlfn.IFNA(VLOOKUP(SUMPRODUCT(LARGE(($C$8:$C157=Table1[[#This Row],[Climber]])*$A$8:$A157,MIN(2,COUNTIFS($C$8:$C157,$C157)))),$A$8:$BC157,55,FALSE),0)/LEFT($AX$7,FIND(" ",$AX$7))+_xlfn.IFNA(VLOOKUP(SUMPRODUCT(LARGE(($C$8:$C157=Table1[[#This Row],[Climber]])*$A$8:$A157,MIN(3,COUNTIFS($C$8:$C157,$C157)))),$A$8:$BC157,55,FALSE),0)/LEFT($AX$7,FIND(" ",$AX$7))</f>
        <v>0</v>
      </c>
      <c r="BE157" s="6">
        <f ca="1">(_xlfn.IFNA(VLOOKUP(SUMPRODUCT(LARGE(($C$8:$C157=Table1[[#This Row],[Climber]])*$A$8:$A157,4)),$A$8:$BD157,55,FALSE),0)+_xlfn.IFNA(VLOOKUP(SUMPRODUCT(LARGE(($C$8:$C157=Table1[[#This Row],[Climber]])*$A$8:$A157,5)),$A$8:$BD157,55,FALSE),0)+_xlfn.IFNA(VLOOKUP(SUMPRODUCT(LARGE(($C$8:$C157=Table1[[#This Row],[Climber]])*$A$8:$A157,6)),$A$8:$BD157,55,FALSE),0))/3</f>
        <v>0</v>
      </c>
      <c r="BF157" s="46">
        <f ca="1">_xlfn.MAXIFS(INDIRECT("$BC"&amp;IF(SUMPRODUCT(LARGE(($C$8:$C157=$C157)*$A$8:$A157,LEFT($BA$7,FIND(" ",$BA$7)-1)))=0,8,SUMPRODUCT(LARGE(($C$8:$C157=$C157)*$A$8:$A157,LEFT($BA$7,FIND(" ",$BA$7)-1)))+7)&amp;":$BC"&amp;ROW()),INDIRECT("$C"&amp;IF(SUMPRODUCT(LARGE(($C$8:$C157=$C157)*$A$8:$A157,LEFT($BA$7,FIND(" ",$BA$7)-1)))=0,8,SUMPRODUCT(LARGE(($C$8:$C157=$C157)*$A$8:$A157,LEFT($BA$7,FIND(" ",$BA$7)-1)))+7)&amp;":$C"&amp;ROW()),$C157)</f>
        <v>0</v>
      </c>
      <c r="BG157" s="46">
        <f t="array" aca="1" ref="BG157" ca="1">IFERROR(SUMPRODUCT(LARGE(($C$8:$C157=Table1[[#This Row],[Climber]])*$AW$8:$AW157,ROW(INDIRECT("1:5")))),AW157)/MIN(COUNTIFS($C$8:$C157,C157),5)</f>
        <v>0</v>
      </c>
    </row>
  </sheetData>
  <mergeCells count="1">
    <mergeCell ref="B1:C1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698AC5-02FE-427A-A887-AC1DFB7A5254}">
  <sheetPr codeName="Sheet6">
    <tabColor theme="5" tint="-0.249977111117893"/>
  </sheetPr>
  <dimension ref="A1:AD176"/>
  <sheetViews>
    <sheetView zoomScale="63" workbookViewId="0">
      <pane xSplit="1" ySplit="6" topLeftCell="F137" activePane="bottomRight" state="frozen"/>
      <selection activeCell="AR95" sqref="AR95"/>
      <selection pane="topRight" activeCell="AR95" sqref="AR95"/>
      <selection pane="bottomLeft" activeCell="AR95" sqref="AR95"/>
      <selection pane="bottomRight" activeCell="V142" sqref="V142"/>
    </sheetView>
  </sheetViews>
  <sheetFormatPr defaultRowHeight="14.4" x14ac:dyDescent="0.3"/>
  <cols>
    <col min="1" max="1" width="9.5546875" bestFit="1" customWidth="1"/>
    <col min="2" max="2" width="12.21875" customWidth="1"/>
    <col min="3" max="5" width="11.33203125" customWidth="1"/>
    <col min="6" max="6" width="12.5546875" customWidth="1"/>
    <col min="7" max="8" width="11.33203125" customWidth="1"/>
    <col min="9" max="9" width="17.21875" customWidth="1"/>
    <col min="10" max="16" width="11.33203125" customWidth="1"/>
  </cols>
  <sheetData>
    <row r="1" spans="1:30" x14ac:dyDescent="0.3">
      <c r="A1" s="166" t="s">
        <v>179</v>
      </c>
      <c r="B1" s="166"/>
      <c r="C1" s="166"/>
      <c r="D1" s="166"/>
      <c r="E1" s="166"/>
      <c r="F1" s="166"/>
    </row>
    <row r="2" spans="1:30" x14ac:dyDescent="0.3">
      <c r="A2" s="163" t="s">
        <v>204</v>
      </c>
      <c r="B2" s="163"/>
      <c r="C2" s="163"/>
      <c r="D2" s="163"/>
      <c r="E2" s="165"/>
      <c r="F2" s="165"/>
    </row>
    <row r="3" spans="1:30" x14ac:dyDescent="0.3">
      <c r="A3" s="163" t="s">
        <v>180</v>
      </c>
      <c r="B3" s="163"/>
      <c r="C3" s="163"/>
      <c r="D3" s="163"/>
      <c r="E3" s="164">
        <v>0.97499999999999998</v>
      </c>
      <c r="F3" s="164"/>
    </row>
    <row r="4" spans="1:30" x14ac:dyDescent="0.3">
      <c r="Q4" s="115" t="e">
        <f ca="1">SUM($C$7:$C8)</f>
        <v>#N/A</v>
      </c>
    </row>
    <row r="5" spans="1:30" s="114" customFormat="1" x14ac:dyDescent="0.3">
      <c r="C5" s="114" t="s">
        <v>22</v>
      </c>
      <c r="D5" s="114" t="s">
        <v>192</v>
      </c>
      <c r="E5" s="114" t="s">
        <v>193</v>
      </c>
      <c r="F5" s="114" t="s">
        <v>18</v>
      </c>
      <c r="G5" s="114" t="s">
        <v>194</v>
      </c>
      <c r="H5" s="114" t="s">
        <v>195</v>
      </c>
      <c r="I5" s="114" t="s">
        <v>196</v>
      </c>
      <c r="J5" s="114" t="s">
        <v>197</v>
      </c>
      <c r="K5" s="114" t="s">
        <v>198</v>
      </c>
      <c r="L5" s="114" t="s">
        <v>199</v>
      </c>
      <c r="M5" s="114" t="s">
        <v>200</v>
      </c>
      <c r="N5" s="114" t="s">
        <v>201</v>
      </c>
      <c r="O5" s="114" t="s">
        <v>202</v>
      </c>
      <c r="P5" s="114" t="s">
        <v>203</v>
      </c>
    </row>
    <row r="6" spans="1:30" x14ac:dyDescent="0.3">
      <c r="A6" t="s">
        <v>14</v>
      </c>
      <c r="B6" t="s">
        <v>181</v>
      </c>
      <c r="C6" s="1" t="s">
        <v>16</v>
      </c>
      <c r="D6" s="1" t="s">
        <v>24</v>
      </c>
      <c r="E6" s="1" t="s">
        <v>43</v>
      </c>
      <c r="F6" s="1" t="s">
        <v>44</v>
      </c>
      <c r="G6" s="1" t="s">
        <v>25</v>
      </c>
      <c r="H6" s="1" t="s">
        <v>106</v>
      </c>
      <c r="I6" s="1" t="s">
        <v>160</v>
      </c>
      <c r="J6" s="1" t="s">
        <v>174</v>
      </c>
      <c r="K6" s="1" t="s">
        <v>175</v>
      </c>
      <c r="L6" s="1" t="s">
        <v>210</v>
      </c>
      <c r="M6" s="131" t="s">
        <v>182</v>
      </c>
      <c r="N6" s="131" t="s">
        <v>211</v>
      </c>
      <c r="O6" s="131" t="s">
        <v>212</v>
      </c>
      <c r="P6" s="131" t="s">
        <v>213</v>
      </c>
      <c r="Q6" s="1" t="str">
        <f ca="1">INDIRECT("'RC Lookup'!O"&amp;COLUMN()-13)</f>
        <v>Lester</v>
      </c>
      <c r="R6" s="1" t="str">
        <f t="shared" ref="R6:AD6" ca="1" si="0">INDIRECT("'RC Lookup'!O"&amp;COLUMN()-13)</f>
        <v>Jan</v>
      </c>
      <c r="S6" s="1" t="str">
        <f t="shared" ca="1" si="0"/>
        <v>Sameena</v>
      </c>
      <c r="T6" s="1" t="str">
        <f t="shared" ca="1" si="0"/>
        <v>Mark Guste</v>
      </c>
      <c r="U6" s="1" t="str">
        <f t="shared" ca="1" si="0"/>
        <v>Edwin</v>
      </c>
      <c r="V6" s="1" t="str">
        <f t="shared" ca="1" si="0"/>
        <v>Michelle</v>
      </c>
      <c r="W6" s="1" t="str">
        <f t="shared" ca="1" si="0"/>
        <v>Kenneth Bautista</v>
      </c>
      <c r="X6" s="1" t="str">
        <f t="shared" ca="1" si="0"/>
        <v>Angel</v>
      </c>
      <c r="Y6" s="1" t="str">
        <f t="shared" ca="1" si="0"/>
        <v>Oz</v>
      </c>
      <c r="Z6" s="1" t="str">
        <f t="shared" ca="1" si="0"/>
        <v>Benjie</v>
      </c>
      <c r="AA6" s="1" t="str">
        <f t="shared" ca="1" si="0"/>
        <v xml:space="preserve"> </v>
      </c>
      <c r="AB6" s="1" t="str">
        <f t="shared" ca="1" si="0"/>
        <v xml:space="preserve"> </v>
      </c>
      <c r="AC6" s="1" t="str">
        <f t="shared" ca="1" si="0"/>
        <v xml:space="preserve"> </v>
      </c>
      <c r="AD6" s="1" t="str">
        <f t="shared" ca="1" si="0"/>
        <v xml:space="preserve"> </v>
      </c>
    </row>
    <row r="7" spans="1:30" x14ac:dyDescent="0.3">
      <c r="A7" s="1">
        <v>43106</v>
      </c>
      <c r="B7" s="115">
        <f t="shared" ref="B7:B38" ca="1" si="1">SUM(Q7:AD7)</f>
        <v>265.64832845517321</v>
      </c>
      <c r="C7" s="115">
        <f ca="1">IF(SUMIFS('RC Template'!$AW:$AW,'RC Template'!$B:$B,$A7,'RC Template'!$C:$C,C$6)=0,#N/A,SUMIFS('RC Template'!$AW:$AW,'RC Template'!$B:$B,$A7,'RC Template'!$C:$C,C$6))</f>
        <v>79.182235742400024</v>
      </c>
      <c r="D7" s="115">
        <f ca="1">IF(SUMIFS('RC Template'!$AW:$AW,'RC Template'!$B:$B,$A7,'RC Template'!$C:$C,D$6)=0,#N/A,SUMIFS('RC Template'!$AW:$AW,'RC Template'!$B:$B,$A7,'RC Template'!$C:$C,D$6))</f>
        <v>35.2575</v>
      </c>
      <c r="E7" s="115">
        <f ca="1">IF(SUMIFS('RC Template'!$AW:$AW,'RC Template'!$B:$B,$A7,'RC Template'!$C:$C,E$6)=0,#N/A,SUMIFS('RC Template'!$AW:$AW,'RC Template'!$B:$B,$A7,'RC Template'!$C:$C,E$6))</f>
        <v>103.24839734157318</v>
      </c>
      <c r="F7" s="115">
        <f ca="1">IF(SUMIFS('RC Template'!$AW:$AW,'RC Template'!$B:$B,$A7,'RC Template'!$C:$C,F$6)=0,#N/A,SUMIFS('RC Template'!$AW:$AW,'RC Template'!$B:$B,$A7,'RC Template'!$C:$C,F$6))</f>
        <v>47.960195371200015</v>
      </c>
      <c r="G7" s="115" t="e">
        <f>IF(SUMIFS('RC Template'!$AW:$AW,'RC Template'!$B:$B,$A7,'RC Template'!$C:$C,G$6)=0,#N/A,SUMIFS('RC Template'!$AW:$AW,'RC Template'!$B:$B,$A7,'RC Template'!$C:$C,G$6))</f>
        <v>#N/A</v>
      </c>
      <c r="H7" s="115" t="e">
        <f>IF(SUMIFS('RC Template'!$AW:$AW,'RC Template'!$B:$B,$A7,'RC Template'!$C:$C,H$6)=0,#N/A,SUMIFS('RC Template'!$AW:$AW,'RC Template'!$B:$B,$A7,'RC Template'!$C:$C,H$6))</f>
        <v>#N/A</v>
      </c>
      <c r="I7" s="115" t="e">
        <f>IF(SUMIFS('RC Template'!$AW:$AW,'RC Template'!$B:$B,$A7,'RC Template'!$C:$C,I$6)=0,#N/A,SUMIFS('RC Template'!$AW:$AW,'RC Template'!$B:$B,$A7,'RC Template'!$C:$C,I$6))</f>
        <v>#N/A</v>
      </c>
      <c r="J7" s="115" t="e">
        <f>IF(SUMIFS('RC Template'!$AW:$AW,'RC Template'!$B:$B,$A7,'RC Template'!$C:$C,J$6)=0,#N/A,SUMIFS('RC Template'!$AW:$AW,'RC Template'!$B:$B,$A7,'RC Template'!$C:$C,J$6))</f>
        <v>#N/A</v>
      </c>
      <c r="K7" s="115" t="e">
        <f>IF(SUMIFS('RC Template'!$AW:$AW,'RC Template'!$B:$B,$A7,'RC Template'!$C:$C,K$6)=0,#N/A,SUMIFS('RC Template'!$AW:$AW,'RC Template'!$B:$B,$A7,'RC Template'!$C:$C,K$6))</f>
        <v>#N/A</v>
      </c>
      <c r="L7" s="115" t="e">
        <f>IF(SUMIFS('RC Template'!$AW:$AW,'RC Template'!$B:$B,$A7,'RC Template'!$C:$C,L$6)=0,#N/A,SUMIFS('RC Template'!$AW:$AW,'RC Template'!$B:$B,$A7,'RC Template'!$C:$C,L$6))</f>
        <v>#N/A</v>
      </c>
      <c r="M7" s="115" t="e">
        <f>IF(SUMIFS('RC Template'!$AW:$AW,'RC Template'!$B:$B,$A7,'RC Template'!$C:$C,M$6)=0,#N/A,SUMIFS('RC Template'!$AW:$AW,'RC Template'!$B:$B,$A7,'RC Template'!$C:$C,M$6))</f>
        <v>#N/A</v>
      </c>
      <c r="N7" s="115" t="e">
        <f>IF(SUMIFS('RC Template'!$AW:$AW,'RC Template'!$B:$B,$A7,'RC Template'!$C:$C,N$6)=0,#N/A,SUMIFS('RC Template'!$AW:$AW,'RC Template'!$B:$B,$A7,'RC Template'!$C:$C,N$6))</f>
        <v>#N/A</v>
      </c>
      <c r="O7" s="115" t="e">
        <f>IF(SUMIFS('RC Template'!$AW:$AW,'RC Template'!$B:$B,$A7,'RC Template'!$C:$C,O$6)=0,#N/A,SUMIFS('RC Template'!$AW:$AW,'RC Template'!$B:$B,$A7,'RC Template'!$C:$C,O$6))</f>
        <v>#N/A</v>
      </c>
      <c r="P7" s="115" t="e">
        <f>IF(SUMIFS('RC Template'!$AW:$AW,'RC Template'!$B:$B,$A7,'RC Template'!$C:$C,P$6)=0,#N/A,SUMIFS('RC Template'!$AW:$AW,'RC Template'!$B:$B,$A7,'RC Template'!$C:$C,P$6))</f>
        <v>#N/A</v>
      </c>
      <c r="Q7" s="115">
        <f ca="1">SUMIFS('RC Template'!$AW:$AW,'RC Template'!$B:$B,$A7,'RC Template'!$C:$C,Q$6)</f>
        <v>79.182235742400024</v>
      </c>
      <c r="R7" s="115">
        <f ca="1">SUMIFS('RC Template'!$AW:$AW,'RC Template'!$B:$B,$A7,'RC Template'!$C:$C,R$6)</f>
        <v>35.2575</v>
      </c>
      <c r="S7" s="115">
        <f ca="1">SUMIFS('RC Template'!$AW:$AW,'RC Template'!$B:$B,$A7,'RC Template'!$C:$C,S$6)</f>
        <v>103.24839734157318</v>
      </c>
      <c r="T7" s="115">
        <f ca="1">SUMIFS('RC Template'!$AW:$AW,'RC Template'!$B:$B,$A7,'RC Template'!$C:$C,T$6)</f>
        <v>47.960195371200015</v>
      </c>
      <c r="U7" s="115">
        <f ca="1">SUMIFS('RC Template'!$AW:$AW,'RC Template'!$B:$B,$A7,'RC Template'!$C:$C,U$6)</f>
        <v>0</v>
      </c>
      <c r="V7" s="115">
        <f ca="1">SUMIFS('RC Template'!$AW:$AW,'RC Template'!$B:$B,$A7,'RC Template'!$C:$C,V$6)</f>
        <v>0</v>
      </c>
      <c r="W7" s="115">
        <f ca="1">SUMIFS('RC Template'!$AW:$AW,'RC Template'!$B:$B,$A7,'RC Template'!$C:$C,W$6)</f>
        <v>0</v>
      </c>
      <c r="X7" s="115">
        <f ca="1">SUMIFS('RC Template'!$AW:$AW,'RC Template'!$B:$B,$A7,'RC Template'!$C:$C,X$6)</f>
        <v>0</v>
      </c>
      <c r="Y7" s="115">
        <f ca="1">SUMIFS('RC Template'!$AW:$AW,'RC Template'!$B:$B,$A7,'RC Template'!$C:$C,Y$6)</f>
        <v>0</v>
      </c>
      <c r="Z7" s="115">
        <f ca="1">SUMIFS('RC Template'!$AW:$AW,'RC Template'!$B:$B,$A7,'RC Template'!$C:$C,Z$6)</f>
        <v>0</v>
      </c>
      <c r="AA7" s="115">
        <f ca="1">SUMIFS('RC Template'!$AW:$AW,'RC Template'!$B:$B,$A7,'RC Template'!$C:$C,AA$6)</f>
        <v>0</v>
      </c>
      <c r="AB7" s="115">
        <f ca="1">SUMIFS('RC Template'!$AW:$AW,'RC Template'!$B:$B,$A7,'RC Template'!$C:$C,AB$6)</f>
        <v>0</v>
      </c>
      <c r="AC7" s="115">
        <f ca="1">SUMIFS('RC Template'!$AW:$AW,'RC Template'!$B:$B,$A7,'RC Template'!$C:$C,AC$6)</f>
        <v>0</v>
      </c>
      <c r="AD7" s="115">
        <f ca="1">SUMIFS('RC Template'!$AW:$AW,'RC Template'!$B:$B,$A7,'RC Template'!$C:$C,AD$6)</f>
        <v>0</v>
      </c>
    </row>
    <row r="8" spans="1:30" x14ac:dyDescent="0.3">
      <c r="A8" s="1">
        <v>43107</v>
      </c>
      <c r="B8" s="115">
        <f t="shared" ca="1" si="1"/>
        <v>259.00712024379391</v>
      </c>
      <c r="C8" s="115" t="e">
        <f>IF(SUMIFS('RC Template'!$AW:$AW,'RC Template'!$B:$B,$A8,'RC Template'!$C:$C,C$6)=0,#N/A,SUMIFS('RC Template'!$AW:$AW,'RC Template'!$B:$B,$A8,'RC Template'!$C:$C,C$6))</f>
        <v>#N/A</v>
      </c>
      <c r="D8" s="115" t="e">
        <f>IF(SUMIFS('RC Template'!$AW:$AW,'RC Template'!$B:$B,$A8,'RC Template'!$C:$C,D$6)=0,#N/A,SUMIFS('RC Template'!$AW:$AW,'RC Template'!$B:$B,$A8,'RC Template'!$C:$C,D$6))</f>
        <v>#N/A</v>
      </c>
      <c r="E8" s="115" t="e">
        <f>IF(SUMIFS('RC Template'!$AW:$AW,'RC Template'!$B:$B,$A8,'RC Template'!$C:$C,E$6)=0,#N/A,SUMIFS('RC Template'!$AW:$AW,'RC Template'!$B:$B,$A8,'RC Template'!$C:$C,E$6))</f>
        <v>#N/A</v>
      </c>
      <c r="F8" s="115" t="e">
        <f>IF(SUMIFS('RC Template'!$AW:$AW,'RC Template'!$B:$B,$A8,'RC Template'!$C:$C,F$6)=0,#N/A,SUMIFS('RC Template'!$AW:$AW,'RC Template'!$B:$B,$A8,'RC Template'!$C:$C,F$6))</f>
        <v>#N/A</v>
      </c>
      <c r="G8" s="115" t="e">
        <f>IF(SUMIFS('RC Template'!$AW:$AW,'RC Template'!$B:$B,$A8,'RC Template'!$C:$C,G$6)=0,#N/A,SUMIFS('RC Template'!$AW:$AW,'RC Template'!$B:$B,$A8,'RC Template'!$C:$C,G$6))</f>
        <v>#N/A</v>
      </c>
      <c r="H8" s="115" t="e">
        <f>IF(SUMIFS('RC Template'!$AW:$AW,'RC Template'!$B:$B,$A8,'RC Template'!$C:$C,H$6)=0,#N/A,SUMIFS('RC Template'!$AW:$AW,'RC Template'!$B:$B,$A8,'RC Template'!$C:$C,H$6))</f>
        <v>#N/A</v>
      </c>
      <c r="I8" s="115" t="e">
        <f>IF(SUMIFS('RC Template'!$AW:$AW,'RC Template'!$B:$B,$A8,'RC Template'!$C:$C,I$6)=0,#N/A,SUMIFS('RC Template'!$AW:$AW,'RC Template'!$B:$B,$A8,'RC Template'!$C:$C,I$6))</f>
        <v>#N/A</v>
      </c>
      <c r="J8" s="115" t="e">
        <f>IF(SUMIFS('RC Template'!$AW:$AW,'RC Template'!$B:$B,$A8,'RC Template'!$C:$C,J$6)=0,#N/A,SUMIFS('RC Template'!$AW:$AW,'RC Template'!$B:$B,$A8,'RC Template'!$C:$C,J$6))</f>
        <v>#N/A</v>
      </c>
      <c r="K8" s="115" t="e">
        <f>IF(SUMIFS('RC Template'!$AW:$AW,'RC Template'!$B:$B,$A8,'RC Template'!$C:$C,K$6)=0,#N/A,SUMIFS('RC Template'!$AW:$AW,'RC Template'!$B:$B,$A8,'RC Template'!$C:$C,K$6))</f>
        <v>#N/A</v>
      </c>
      <c r="L8" s="115" t="e">
        <f>IF(SUMIFS('RC Template'!$AW:$AW,'RC Template'!$B:$B,$A8,'RC Template'!$C:$C,L$6)=0,#N/A,SUMIFS('RC Template'!$AW:$AW,'RC Template'!$B:$B,$A8,'RC Template'!$C:$C,L$6))</f>
        <v>#N/A</v>
      </c>
      <c r="M8" s="115" t="e">
        <f>IF(SUMIFS('RC Template'!$AW:$AW,'RC Template'!$B:$B,$A8,'RC Template'!$C:$C,M$6)=0,#N/A,SUMIFS('RC Template'!$AW:$AW,'RC Template'!$B:$B,$A8,'RC Template'!$C:$C,M$6))</f>
        <v>#N/A</v>
      </c>
      <c r="N8" s="115" t="e">
        <f>IF(SUMIFS('RC Template'!$AW:$AW,'RC Template'!$B:$B,$A8,'RC Template'!$C:$C,N$6)=0,#N/A,SUMIFS('RC Template'!$AW:$AW,'RC Template'!$B:$B,$A8,'RC Template'!$C:$C,N$6))</f>
        <v>#N/A</v>
      </c>
      <c r="O8" s="115" t="e">
        <f>IF(SUMIFS('RC Template'!$AW:$AW,'RC Template'!$B:$B,$A8,'RC Template'!$C:$C,O$6)=0,#N/A,SUMIFS('RC Template'!$AW:$AW,'RC Template'!$B:$B,$A8,'RC Template'!$C:$C,O$6))</f>
        <v>#N/A</v>
      </c>
      <c r="P8" s="115" t="e">
        <f>IF(SUMIFS('RC Template'!$AW:$AW,'RC Template'!$B:$B,$A8,'RC Template'!$C:$C,P$6)=0,#N/A,SUMIFS('RC Template'!$AW:$AW,'RC Template'!$B:$B,$A8,'RC Template'!$C:$C,P$6))</f>
        <v>#N/A</v>
      </c>
      <c r="Q8" s="115">
        <f ca="1">MAX(SUMIFS('RC Template'!$AW:$AW,'RC Template'!$B:$B,$A8,'RC Template'!$C:$C,Q$6),Q7*$E$3)</f>
        <v>77.20267984884002</v>
      </c>
      <c r="R8" s="115">
        <f ca="1">MAX(SUMIFS('RC Template'!$AW:$AW,'RC Template'!$B:$B,$A8,'RC Template'!$C:$C,R$6),R7*$E$3)</f>
        <v>34.376062499999996</v>
      </c>
      <c r="S8" s="115">
        <f ca="1">MAX(SUMIFS('RC Template'!$AW:$AW,'RC Template'!$B:$B,$A8,'RC Template'!$C:$C,S$6),S7*$E$3)</f>
        <v>100.66718740803385</v>
      </c>
      <c r="T8" s="115">
        <f ca="1">MAX(SUMIFS('RC Template'!$AW:$AW,'RC Template'!$B:$B,$A8,'RC Template'!$C:$C,T$6),T7*$E$3)</f>
        <v>46.761190486920015</v>
      </c>
      <c r="U8" s="115">
        <f ca="1">MAX(SUMIFS('RC Template'!$AW:$AW,'RC Template'!$B:$B,$A8,'RC Template'!$C:$C,U$6),U7*$E$3)</f>
        <v>0</v>
      </c>
      <c r="V8" s="115">
        <f ca="1">MAX(SUMIFS('RC Template'!$AW:$AW,'RC Template'!$B:$B,$A8,'RC Template'!$C:$C,V$6),V7*$E$3)</f>
        <v>0</v>
      </c>
      <c r="W8" s="115">
        <f ca="1">MAX(SUMIFS('RC Template'!$AW:$AW,'RC Template'!$B:$B,$A8,'RC Template'!$C:$C,W$6),W7*$E$3)</f>
        <v>0</v>
      </c>
      <c r="X8" s="115">
        <f ca="1">MAX(SUMIFS('RC Template'!$AW:$AW,'RC Template'!$B:$B,$A8,'RC Template'!$C:$C,X$6),X7*$E$3)</f>
        <v>0</v>
      </c>
      <c r="Y8" s="115">
        <f ca="1">MAX(SUMIFS('RC Template'!$AW:$AW,'RC Template'!$B:$B,$A8,'RC Template'!$C:$C,Y$6),Y7*$E$3)</f>
        <v>0</v>
      </c>
      <c r="Z8" s="115">
        <f ca="1">MAX(SUMIFS('RC Template'!$AW:$AW,'RC Template'!$B:$B,$A8,'RC Template'!$C:$C,Z$6),Z7*$E$3)</f>
        <v>0</v>
      </c>
      <c r="AA8" s="115">
        <f ca="1">MAX(SUMIFS('RC Template'!$AW:$AW,'RC Template'!$B:$B,$A8,'RC Template'!$C:$C,AA$6),AA7*$E$3)</f>
        <v>0</v>
      </c>
      <c r="AB8" s="115">
        <f ca="1">MAX(SUMIFS('RC Template'!$AW:$AW,'RC Template'!$B:$B,$A8,'RC Template'!$C:$C,AB$6),AB7*$E$3)</f>
        <v>0</v>
      </c>
      <c r="AC8" s="115">
        <f ca="1">MAX(SUMIFS('RC Template'!$AW:$AW,'RC Template'!$B:$B,$A8,'RC Template'!$C:$C,AC$6),AC7*$E$3)</f>
        <v>0</v>
      </c>
      <c r="AD8" s="115">
        <f ca="1">MAX(SUMIFS('RC Template'!$AW:$AW,'RC Template'!$B:$B,$A8,'RC Template'!$C:$C,AD$6),AD7*$E$3)</f>
        <v>0</v>
      </c>
    </row>
    <row r="9" spans="1:30" x14ac:dyDescent="0.3">
      <c r="A9" s="1">
        <v>43108</v>
      </c>
      <c r="B9" s="115">
        <f t="shared" ca="1" si="1"/>
        <v>317.99542799868004</v>
      </c>
      <c r="C9" s="115">
        <f ca="1">IF(SUMIFS('RC Template'!$AW:$AW,'RC Template'!$B:$B,$A9,'RC Template'!$C:$C,C$6)=0,#N/A,SUMIFS('RC Template'!$AW:$AW,'RC Template'!$B:$B,$A9,'RC Template'!$C:$C,C$6))</f>
        <v>79.182235742400024</v>
      </c>
      <c r="D9" s="115" t="e">
        <f>IF(SUMIFS('RC Template'!$AW:$AW,'RC Template'!$B:$B,$A9,'RC Template'!$C:$C,D$6)=0,#N/A,SUMIFS('RC Template'!$AW:$AW,'RC Template'!$B:$B,$A9,'RC Template'!$C:$C,D$6))</f>
        <v>#N/A</v>
      </c>
      <c r="E9" s="115" t="e">
        <f>IF(SUMIFS('RC Template'!$AW:$AW,'RC Template'!$B:$B,$A9,'RC Template'!$C:$C,E$6)=0,#N/A,SUMIFS('RC Template'!$AW:$AW,'RC Template'!$B:$B,$A9,'RC Template'!$C:$C,E$6))</f>
        <v>#N/A</v>
      </c>
      <c r="F9" s="115" t="e">
        <f>IF(SUMIFS('RC Template'!$AW:$AW,'RC Template'!$B:$B,$A9,'RC Template'!$C:$C,F$6)=0,#N/A,SUMIFS('RC Template'!$AW:$AW,'RC Template'!$B:$B,$A9,'RC Template'!$C:$C,F$6))</f>
        <v>#N/A</v>
      </c>
      <c r="G9" s="115">
        <f ca="1">IF(SUMIFS('RC Template'!$AW:$AW,'RC Template'!$B:$B,$A9,'RC Template'!$C:$C,G$6)=0,#N/A,SUMIFS('RC Template'!$AW:$AW,'RC Template'!$B:$B,$A9,'RC Template'!$C:$C,G$6))</f>
        <v>61.553862871200025</v>
      </c>
      <c r="H9" s="115" t="e">
        <f>IF(SUMIFS('RC Template'!$AW:$AW,'RC Template'!$B:$B,$A9,'RC Template'!$C:$C,H$6)=0,#N/A,SUMIFS('RC Template'!$AW:$AW,'RC Template'!$B:$B,$A9,'RC Template'!$C:$C,H$6))</f>
        <v>#N/A</v>
      </c>
      <c r="I9" s="115" t="e">
        <f>IF(SUMIFS('RC Template'!$AW:$AW,'RC Template'!$B:$B,$A9,'RC Template'!$C:$C,I$6)=0,#N/A,SUMIFS('RC Template'!$AW:$AW,'RC Template'!$B:$B,$A9,'RC Template'!$C:$C,I$6))</f>
        <v>#N/A</v>
      </c>
      <c r="J9" s="115" t="e">
        <f>IF(SUMIFS('RC Template'!$AW:$AW,'RC Template'!$B:$B,$A9,'RC Template'!$C:$C,J$6)=0,#N/A,SUMIFS('RC Template'!$AW:$AW,'RC Template'!$B:$B,$A9,'RC Template'!$C:$C,J$6))</f>
        <v>#N/A</v>
      </c>
      <c r="K9" s="115" t="e">
        <f>IF(SUMIFS('RC Template'!$AW:$AW,'RC Template'!$B:$B,$A9,'RC Template'!$C:$C,K$6)=0,#N/A,SUMIFS('RC Template'!$AW:$AW,'RC Template'!$B:$B,$A9,'RC Template'!$C:$C,K$6))</f>
        <v>#N/A</v>
      </c>
      <c r="L9" s="115" t="e">
        <f>IF(SUMIFS('RC Template'!$AW:$AW,'RC Template'!$B:$B,$A9,'RC Template'!$C:$C,L$6)=0,#N/A,SUMIFS('RC Template'!$AW:$AW,'RC Template'!$B:$B,$A9,'RC Template'!$C:$C,L$6))</f>
        <v>#N/A</v>
      </c>
      <c r="M9" s="115" t="e">
        <f>IF(SUMIFS('RC Template'!$AW:$AW,'RC Template'!$B:$B,$A9,'RC Template'!$C:$C,M$6)=0,#N/A,SUMIFS('RC Template'!$AW:$AW,'RC Template'!$B:$B,$A9,'RC Template'!$C:$C,M$6))</f>
        <v>#N/A</v>
      </c>
      <c r="N9" s="115" t="e">
        <f>IF(SUMIFS('RC Template'!$AW:$AW,'RC Template'!$B:$B,$A9,'RC Template'!$C:$C,N$6)=0,#N/A,SUMIFS('RC Template'!$AW:$AW,'RC Template'!$B:$B,$A9,'RC Template'!$C:$C,N$6))</f>
        <v>#N/A</v>
      </c>
      <c r="O9" s="115" t="e">
        <f>IF(SUMIFS('RC Template'!$AW:$AW,'RC Template'!$B:$B,$A9,'RC Template'!$C:$C,O$6)=0,#N/A,SUMIFS('RC Template'!$AW:$AW,'RC Template'!$B:$B,$A9,'RC Template'!$C:$C,O$6))</f>
        <v>#N/A</v>
      </c>
      <c r="P9" s="115" t="e">
        <f>IF(SUMIFS('RC Template'!$AW:$AW,'RC Template'!$B:$B,$A9,'RC Template'!$C:$C,P$6)=0,#N/A,SUMIFS('RC Template'!$AW:$AW,'RC Template'!$B:$B,$A9,'RC Template'!$C:$C,P$6))</f>
        <v>#N/A</v>
      </c>
      <c r="Q9" s="115">
        <f ca="1">MAX(SUMIFS('RC Template'!$AW:$AW,'RC Template'!$B:$B,$A9,'RC Template'!$C:$C,Q$6),Q8*$E$3)</f>
        <v>79.182235742400024</v>
      </c>
      <c r="R9" s="115">
        <f ca="1">MAX(SUMIFS('RC Template'!$AW:$AW,'RC Template'!$B:$B,$A9,'RC Template'!$C:$C,R$6),R8*$E$3)</f>
        <v>33.516660937499992</v>
      </c>
      <c r="S9" s="115">
        <f ca="1">MAX(SUMIFS('RC Template'!$AW:$AW,'RC Template'!$B:$B,$A9,'RC Template'!$C:$C,S$6),S8*$E$3)</f>
        <v>98.150507722833012</v>
      </c>
      <c r="T9" s="115">
        <f ca="1">MAX(SUMIFS('RC Template'!$AW:$AW,'RC Template'!$B:$B,$A9,'RC Template'!$C:$C,T$6),T8*$E$3)</f>
        <v>45.592160724747011</v>
      </c>
      <c r="U9" s="115">
        <f ca="1">MAX(SUMIFS('RC Template'!$AW:$AW,'RC Template'!$B:$B,$A9,'RC Template'!$C:$C,U$6),U8*$E$3)</f>
        <v>61.553862871200025</v>
      </c>
      <c r="V9" s="115">
        <f ca="1">MAX(SUMIFS('RC Template'!$AW:$AW,'RC Template'!$B:$B,$A9,'RC Template'!$C:$C,V$6),V8*$E$3)</f>
        <v>0</v>
      </c>
      <c r="W9" s="115">
        <f ca="1">MAX(SUMIFS('RC Template'!$AW:$AW,'RC Template'!$B:$B,$A9,'RC Template'!$C:$C,W$6),W8*$E$3)</f>
        <v>0</v>
      </c>
      <c r="X9" s="115">
        <f ca="1">MAX(SUMIFS('RC Template'!$AW:$AW,'RC Template'!$B:$B,$A9,'RC Template'!$C:$C,X$6),X8*$E$3)</f>
        <v>0</v>
      </c>
      <c r="Y9" s="115">
        <f ca="1">MAX(SUMIFS('RC Template'!$AW:$AW,'RC Template'!$B:$B,$A9,'RC Template'!$C:$C,Y$6),Y8*$E$3)</f>
        <v>0</v>
      </c>
      <c r="Z9" s="115">
        <f ca="1">MAX(SUMIFS('RC Template'!$AW:$AW,'RC Template'!$B:$B,$A9,'RC Template'!$C:$C,Z$6),Z8*$E$3)</f>
        <v>0</v>
      </c>
      <c r="AA9" s="115">
        <f ca="1">MAX(SUMIFS('RC Template'!$AW:$AW,'RC Template'!$B:$B,$A9,'RC Template'!$C:$C,AA$6),AA8*$E$3)</f>
        <v>0</v>
      </c>
      <c r="AB9" s="115">
        <f ca="1">MAX(SUMIFS('RC Template'!$AW:$AW,'RC Template'!$B:$B,$A9,'RC Template'!$C:$C,AB$6),AB8*$E$3)</f>
        <v>0</v>
      </c>
      <c r="AC9" s="115">
        <f ca="1">MAX(SUMIFS('RC Template'!$AW:$AW,'RC Template'!$B:$B,$A9,'RC Template'!$C:$C,AC$6),AC8*$E$3)</f>
        <v>0</v>
      </c>
      <c r="AD9" s="115">
        <f ca="1">MAX(SUMIFS('RC Template'!$AW:$AW,'RC Template'!$B:$B,$A9,'RC Template'!$C:$C,AD$6),AD8*$E$3)</f>
        <v>0</v>
      </c>
    </row>
    <row r="10" spans="1:30" x14ac:dyDescent="0.3">
      <c r="A10" s="1">
        <v>43109</v>
      </c>
      <c r="B10" s="115">
        <f t="shared" ca="1" si="1"/>
        <v>310.04554229871309</v>
      </c>
      <c r="C10" s="115" t="e">
        <f>IF(SUMIFS('RC Template'!$AW:$AW,'RC Template'!$B:$B,$A10,'RC Template'!$C:$C,C$6)=0,#N/A,SUMIFS('RC Template'!$AW:$AW,'RC Template'!$B:$B,$A10,'RC Template'!$C:$C,C$6))</f>
        <v>#N/A</v>
      </c>
      <c r="D10" s="115" t="e">
        <f>IF(SUMIFS('RC Template'!$AW:$AW,'RC Template'!$B:$B,$A10,'RC Template'!$C:$C,D$6)=0,#N/A,SUMIFS('RC Template'!$AW:$AW,'RC Template'!$B:$B,$A10,'RC Template'!$C:$C,D$6))</f>
        <v>#N/A</v>
      </c>
      <c r="E10" s="115" t="e">
        <f>IF(SUMIFS('RC Template'!$AW:$AW,'RC Template'!$B:$B,$A10,'RC Template'!$C:$C,E$6)=0,#N/A,SUMIFS('RC Template'!$AW:$AW,'RC Template'!$B:$B,$A10,'RC Template'!$C:$C,E$6))</f>
        <v>#N/A</v>
      </c>
      <c r="F10" s="115" t="e">
        <f>IF(SUMIFS('RC Template'!$AW:$AW,'RC Template'!$B:$B,$A10,'RC Template'!$C:$C,F$6)=0,#N/A,SUMIFS('RC Template'!$AW:$AW,'RC Template'!$B:$B,$A10,'RC Template'!$C:$C,F$6))</f>
        <v>#N/A</v>
      </c>
      <c r="G10" s="115" t="e">
        <f>IF(SUMIFS('RC Template'!$AW:$AW,'RC Template'!$B:$B,$A10,'RC Template'!$C:$C,G$6)=0,#N/A,SUMIFS('RC Template'!$AW:$AW,'RC Template'!$B:$B,$A10,'RC Template'!$C:$C,G$6))</f>
        <v>#N/A</v>
      </c>
      <c r="H10" s="115" t="e">
        <f>IF(SUMIFS('RC Template'!$AW:$AW,'RC Template'!$B:$B,$A10,'RC Template'!$C:$C,H$6)=0,#N/A,SUMIFS('RC Template'!$AW:$AW,'RC Template'!$B:$B,$A10,'RC Template'!$C:$C,H$6))</f>
        <v>#N/A</v>
      </c>
      <c r="I10" s="115" t="e">
        <f>IF(SUMIFS('RC Template'!$AW:$AW,'RC Template'!$B:$B,$A10,'RC Template'!$C:$C,I$6)=0,#N/A,SUMIFS('RC Template'!$AW:$AW,'RC Template'!$B:$B,$A10,'RC Template'!$C:$C,I$6))</f>
        <v>#N/A</v>
      </c>
      <c r="J10" s="115" t="e">
        <f>IF(SUMIFS('RC Template'!$AW:$AW,'RC Template'!$B:$B,$A10,'RC Template'!$C:$C,J$6)=0,#N/A,SUMIFS('RC Template'!$AW:$AW,'RC Template'!$B:$B,$A10,'RC Template'!$C:$C,J$6))</f>
        <v>#N/A</v>
      </c>
      <c r="K10" s="115" t="e">
        <f>IF(SUMIFS('RC Template'!$AW:$AW,'RC Template'!$B:$B,$A10,'RC Template'!$C:$C,K$6)=0,#N/A,SUMIFS('RC Template'!$AW:$AW,'RC Template'!$B:$B,$A10,'RC Template'!$C:$C,K$6))</f>
        <v>#N/A</v>
      </c>
      <c r="L10" s="115" t="e">
        <f>IF(SUMIFS('RC Template'!$AW:$AW,'RC Template'!$B:$B,$A10,'RC Template'!$C:$C,L$6)=0,#N/A,SUMIFS('RC Template'!$AW:$AW,'RC Template'!$B:$B,$A10,'RC Template'!$C:$C,L$6))</f>
        <v>#N/A</v>
      </c>
      <c r="M10" s="115" t="e">
        <f>IF(SUMIFS('RC Template'!$AW:$AW,'RC Template'!$B:$B,$A10,'RC Template'!$C:$C,M$6)=0,#N/A,SUMIFS('RC Template'!$AW:$AW,'RC Template'!$B:$B,$A10,'RC Template'!$C:$C,M$6))</f>
        <v>#N/A</v>
      </c>
      <c r="N10" s="115" t="e">
        <f>IF(SUMIFS('RC Template'!$AW:$AW,'RC Template'!$B:$B,$A10,'RC Template'!$C:$C,N$6)=0,#N/A,SUMIFS('RC Template'!$AW:$AW,'RC Template'!$B:$B,$A10,'RC Template'!$C:$C,N$6))</f>
        <v>#N/A</v>
      </c>
      <c r="O10" s="115" t="e">
        <f>IF(SUMIFS('RC Template'!$AW:$AW,'RC Template'!$B:$B,$A10,'RC Template'!$C:$C,O$6)=0,#N/A,SUMIFS('RC Template'!$AW:$AW,'RC Template'!$B:$B,$A10,'RC Template'!$C:$C,O$6))</f>
        <v>#N/A</v>
      </c>
      <c r="P10" s="115" t="e">
        <f>IF(SUMIFS('RC Template'!$AW:$AW,'RC Template'!$B:$B,$A10,'RC Template'!$C:$C,P$6)=0,#N/A,SUMIFS('RC Template'!$AW:$AW,'RC Template'!$B:$B,$A10,'RC Template'!$C:$C,P$6))</f>
        <v>#N/A</v>
      </c>
      <c r="Q10" s="115">
        <f ca="1">MAX(SUMIFS('RC Template'!$AW:$AW,'RC Template'!$B:$B,$A10,'RC Template'!$C:$C,Q$6),Q9*$E$3)</f>
        <v>77.20267984884002</v>
      </c>
      <c r="R10" s="115">
        <f ca="1">MAX(SUMIFS('RC Template'!$AW:$AW,'RC Template'!$B:$B,$A10,'RC Template'!$C:$C,R$6),R9*$E$3)</f>
        <v>32.678744414062493</v>
      </c>
      <c r="S10" s="115">
        <f ca="1">MAX(SUMIFS('RC Template'!$AW:$AW,'RC Template'!$B:$B,$A10,'RC Template'!$C:$C,S$6),S9*$E$3)</f>
        <v>95.696745029762184</v>
      </c>
      <c r="T10" s="115">
        <f ca="1">MAX(SUMIFS('RC Template'!$AW:$AW,'RC Template'!$B:$B,$A10,'RC Template'!$C:$C,T$6),T9*$E$3)</f>
        <v>44.452356706628336</v>
      </c>
      <c r="U10" s="115">
        <f ca="1">MAX(SUMIFS('RC Template'!$AW:$AW,'RC Template'!$B:$B,$A10,'RC Template'!$C:$C,U$6),U9*$E$3)</f>
        <v>60.015016299420026</v>
      </c>
      <c r="V10" s="115">
        <f ca="1">MAX(SUMIFS('RC Template'!$AW:$AW,'RC Template'!$B:$B,$A10,'RC Template'!$C:$C,V$6),V9*$E$3)</f>
        <v>0</v>
      </c>
      <c r="W10" s="115">
        <f ca="1">MAX(SUMIFS('RC Template'!$AW:$AW,'RC Template'!$B:$B,$A10,'RC Template'!$C:$C,W$6),W9*$E$3)</f>
        <v>0</v>
      </c>
      <c r="X10" s="115">
        <f ca="1">MAX(SUMIFS('RC Template'!$AW:$AW,'RC Template'!$B:$B,$A10,'RC Template'!$C:$C,X$6),X9*$E$3)</f>
        <v>0</v>
      </c>
      <c r="Y10" s="115">
        <f ca="1">MAX(SUMIFS('RC Template'!$AW:$AW,'RC Template'!$B:$B,$A10,'RC Template'!$C:$C,Y$6),Y9*$E$3)</f>
        <v>0</v>
      </c>
      <c r="Z10" s="115">
        <f ca="1">MAX(SUMIFS('RC Template'!$AW:$AW,'RC Template'!$B:$B,$A10,'RC Template'!$C:$C,Z$6),Z9*$E$3)</f>
        <v>0</v>
      </c>
      <c r="AA10" s="115">
        <f ca="1">MAX(SUMIFS('RC Template'!$AW:$AW,'RC Template'!$B:$B,$A10,'RC Template'!$C:$C,AA$6),AA9*$E$3)</f>
        <v>0</v>
      </c>
      <c r="AB10" s="115">
        <f ca="1">MAX(SUMIFS('RC Template'!$AW:$AW,'RC Template'!$B:$B,$A10,'RC Template'!$C:$C,AB$6),AB9*$E$3)</f>
        <v>0</v>
      </c>
      <c r="AC10" s="115">
        <f ca="1">MAX(SUMIFS('RC Template'!$AW:$AW,'RC Template'!$B:$B,$A10,'RC Template'!$C:$C,AC$6),AC9*$E$3)</f>
        <v>0</v>
      </c>
      <c r="AD10" s="115">
        <f ca="1">MAX(SUMIFS('RC Template'!$AW:$AW,'RC Template'!$B:$B,$A10,'RC Template'!$C:$C,AD$6),AD9*$E$3)</f>
        <v>0</v>
      </c>
    </row>
    <row r="11" spans="1:30" x14ac:dyDescent="0.3">
      <c r="A11" s="1">
        <v>43110</v>
      </c>
      <c r="B11" s="115">
        <f t="shared" ca="1" si="1"/>
        <v>302.29440374124522</v>
      </c>
      <c r="C11" s="115" t="e">
        <f>IF(SUMIFS('RC Template'!$AW:$AW,'RC Template'!$B:$B,$A11,'RC Template'!$C:$C,C$6)=0,#N/A,SUMIFS('RC Template'!$AW:$AW,'RC Template'!$B:$B,$A11,'RC Template'!$C:$C,C$6))</f>
        <v>#N/A</v>
      </c>
      <c r="D11" s="115" t="e">
        <f>IF(SUMIFS('RC Template'!$AW:$AW,'RC Template'!$B:$B,$A11,'RC Template'!$C:$C,D$6)=0,#N/A,SUMIFS('RC Template'!$AW:$AW,'RC Template'!$B:$B,$A11,'RC Template'!$C:$C,D$6))</f>
        <v>#N/A</v>
      </c>
      <c r="E11" s="115" t="e">
        <f>IF(SUMIFS('RC Template'!$AW:$AW,'RC Template'!$B:$B,$A11,'RC Template'!$C:$C,E$6)=0,#N/A,SUMIFS('RC Template'!$AW:$AW,'RC Template'!$B:$B,$A11,'RC Template'!$C:$C,E$6))</f>
        <v>#N/A</v>
      </c>
      <c r="F11" s="115" t="e">
        <f>IF(SUMIFS('RC Template'!$AW:$AW,'RC Template'!$B:$B,$A11,'RC Template'!$C:$C,F$6)=0,#N/A,SUMIFS('RC Template'!$AW:$AW,'RC Template'!$B:$B,$A11,'RC Template'!$C:$C,F$6))</f>
        <v>#N/A</v>
      </c>
      <c r="G11" s="115" t="e">
        <f>IF(SUMIFS('RC Template'!$AW:$AW,'RC Template'!$B:$B,$A11,'RC Template'!$C:$C,G$6)=0,#N/A,SUMIFS('RC Template'!$AW:$AW,'RC Template'!$B:$B,$A11,'RC Template'!$C:$C,G$6))</f>
        <v>#N/A</v>
      </c>
      <c r="H11" s="115" t="e">
        <f>IF(SUMIFS('RC Template'!$AW:$AW,'RC Template'!$B:$B,$A11,'RC Template'!$C:$C,H$6)=0,#N/A,SUMIFS('RC Template'!$AW:$AW,'RC Template'!$B:$B,$A11,'RC Template'!$C:$C,H$6))</f>
        <v>#N/A</v>
      </c>
      <c r="I11" s="115" t="e">
        <f>IF(SUMIFS('RC Template'!$AW:$AW,'RC Template'!$B:$B,$A11,'RC Template'!$C:$C,I$6)=0,#N/A,SUMIFS('RC Template'!$AW:$AW,'RC Template'!$B:$B,$A11,'RC Template'!$C:$C,I$6))</f>
        <v>#N/A</v>
      </c>
      <c r="J11" s="115" t="e">
        <f>IF(SUMIFS('RC Template'!$AW:$AW,'RC Template'!$B:$B,$A11,'RC Template'!$C:$C,J$6)=0,#N/A,SUMIFS('RC Template'!$AW:$AW,'RC Template'!$B:$B,$A11,'RC Template'!$C:$C,J$6))</f>
        <v>#N/A</v>
      </c>
      <c r="K11" s="115" t="e">
        <f>IF(SUMIFS('RC Template'!$AW:$AW,'RC Template'!$B:$B,$A11,'RC Template'!$C:$C,K$6)=0,#N/A,SUMIFS('RC Template'!$AW:$AW,'RC Template'!$B:$B,$A11,'RC Template'!$C:$C,K$6))</f>
        <v>#N/A</v>
      </c>
      <c r="L11" s="115" t="e">
        <f>IF(SUMIFS('RC Template'!$AW:$AW,'RC Template'!$B:$B,$A11,'RC Template'!$C:$C,L$6)=0,#N/A,SUMIFS('RC Template'!$AW:$AW,'RC Template'!$B:$B,$A11,'RC Template'!$C:$C,L$6))</f>
        <v>#N/A</v>
      </c>
      <c r="M11" s="115" t="e">
        <f>IF(SUMIFS('RC Template'!$AW:$AW,'RC Template'!$B:$B,$A11,'RC Template'!$C:$C,M$6)=0,#N/A,SUMIFS('RC Template'!$AW:$AW,'RC Template'!$B:$B,$A11,'RC Template'!$C:$C,M$6))</f>
        <v>#N/A</v>
      </c>
      <c r="N11" s="115" t="e">
        <f>IF(SUMIFS('RC Template'!$AW:$AW,'RC Template'!$B:$B,$A11,'RC Template'!$C:$C,N$6)=0,#N/A,SUMIFS('RC Template'!$AW:$AW,'RC Template'!$B:$B,$A11,'RC Template'!$C:$C,N$6))</f>
        <v>#N/A</v>
      </c>
      <c r="O11" s="115" t="e">
        <f>IF(SUMIFS('RC Template'!$AW:$AW,'RC Template'!$B:$B,$A11,'RC Template'!$C:$C,O$6)=0,#N/A,SUMIFS('RC Template'!$AW:$AW,'RC Template'!$B:$B,$A11,'RC Template'!$C:$C,O$6))</f>
        <v>#N/A</v>
      </c>
      <c r="P11" s="115" t="e">
        <f>IF(SUMIFS('RC Template'!$AW:$AW,'RC Template'!$B:$B,$A11,'RC Template'!$C:$C,P$6)=0,#N/A,SUMIFS('RC Template'!$AW:$AW,'RC Template'!$B:$B,$A11,'RC Template'!$C:$C,P$6))</f>
        <v>#N/A</v>
      </c>
      <c r="Q11" s="115">
        <f ca="1">MAX(SUMIFS('RC Template'!$AW:$AW,'RC Template'!$B:$B,$A11,'RC Template'!$C:$C,Q$6),Q10*$E$3)</f>
        <v>75.272612852619019</v>
      </c>
      <c r="R11" s="115">
        <f ca="1">MAX(SUMIFS('RC Template'!$AW:$AW,'RC Template'!$B:$B,$A11,'RC Template'!$C:$C,R$6),R10*$E$3)</f>
        <v>31.86177580371093</v>
      </c>
      <c r="S11" s="115">
        <f ca="1">MAX(SUMIFS('RC Template'!$AW:$AW,'RC Template'!$B:$B,$A11,'RC Template'!$C:$C,S$6),S10*$E$3)</f>
        <v>93.304326404018127</v>
      </c>
      <c r="T11" s="115">
        <f ca="1">MAX(SUMIFS('RC Template'!$AW:$AW,'RC Template'!$B:$B,$A11,'RC Template'!$C:$C,T$6),T10*$E$3)</f>
        <v>43.341047788962626</v>
      </c>
      <c r="U11" s="115">
        <f ca="1">MAX(SUMIFS('RC Template'!$AW:$AW,'RC Template'!$B:$B,$A11,'RC Template'!$C:$C,U$6),U10*$E$3)</f>
        <v>58.514640891934526</v>
      </c>
      <c r="V11" s="115">
        <f ca="1">MAX(SUMIFS('RC Template'!$AW:$AW,'RC Template'!$B:$B,$A11,'RC Template'!$C:$C,V$6),V10*$E$3)</f>
        <v>0</v>
      </c>
      <c r="W11" s="115">
        <f ca="1">MAX(SUMIFS('RC Template'!$AW:$AW,'RC Template'!$B:$B,$A11,'RC Template'!$C:$C,W$6),W10*$E$3)</f>
        <v>0</v>
      </c>
      <c r="X11" s="115">
        <f ca="1">MAX(SUMIFS('RC Template'!$AW:$AW,'RC Template'!$B:$B,$A11,'RC Template'!$C:$C,X$6),X10*$E$3)</f>
        <v>0</v>
      </c>
      <c r="Y11" s="115">
        <f ca="1">MAX(SUMIFS('RC Template'!$AW:$AW,'RC Template'!$B:$B,$A11,'RC Template'!$C:$C,Y$6),Y10*$E$3)</f>
        <v>0</v>
      </c>
      <c r="Z11" s="115">
        <f ca="1">MAX(SUMIFS('RC Template'!$AW:$AW,'RC Template'!$B:$B,$A11,'RC Template'!$C:$C,Z$6),Z10*$E$3)</f>
        <v>0</v>
      </c>
      <c r="AA11" s="115">
        <f ca="1">MAX(SUMIFS('RC Template'!$AW:$AW,'RC Template'!$B:$B,$A11,'RC Template'!$C:$C,AA$6),AA10*$E$3)</f>
        <v>0</v>
      </c>
      <c r="AB11" s="115">
        <f ca="1">MAX(SUMIFS('RC Template'!$AW:$AW,'RC Template'!$B:$B,$A11,'RC Template'!$C:$C,AB$6),AB10*$E$3)</f>
        <v>0</v>
      </c>
      <c r="AC11" s="115">
        <f ca="1">MAX(SUMIFS('RC Template'!$AW:$AW,'RC Template'!$B:$B,$A11,'RC Template'!$C:$C,AC$6),AC10*$E$3)</f>
        <v>0</v>
      </c>
      <c r="AD11" s="115">
        <f ca="1">MAX(SUMIFS('RC Template'!$AW:$AW,'RC Template'!$B:$B,$A11,'RC Template'!$C:$C,AD$6),AD10*$E$3)</f>
        <v>0</v>
      </c>
    </row>
    <row r="12" spans="1:30" x14ac:dyDescent="0.3">
      <c r="A12" s="1">
        <v>43111</v>
      </c>
      <c r="B12" s="115">
        <f t="shared" ca="1" si="1"/>
        <v>348.23600576020544</v>
      </c>
      <c r="C12" s="115">
        <f ca="1">IF(SUMIFS('RC Template'!$AW:$AW,'RC Template'!$B:$B,$A12,'RC Template'!$C:$C,C$6)=0,#N/A,SUMIFS('RC Template'!$AW:$AW,'RC Template'!$B:$B,$A12,'RC Template'!$C:$C,C$6))</f>
        <v>116.34015040463962</v>
      </c>
      <c r="D12" s="115">
        <f ca="1">IF(SUMIFS('RC Template'!$AW:$AW,'RC Template'!$B:$B,$A12,'RC Template'!$C:$C,D$6)=0,#N/A,SUMIFS('RC Template'!$AW:$AW,'RC Template'!$B:$B,$A12,'RC Template'!$C:$C,D$6))</f>
        <v>40.46194787120001</v>
      </c>
      <c r="E12" s="115" t="e">
        <f>IF(SUMIFS('RC Template'!$AW:$AW,'RC Template'!$B:$B,$A12,'RC Template'!$C:$C,E$6)=0,#N/A,SUMIFS('RC Template'!$AW:$AW,'RC Template'!$B:$B,$A12,'RC Template'!$C:$C,E$6))</f>
        <v>#N/A</v>
      </c>
      <c r="F12" s="115" t="e">
        <f>IF(SUMIFS('RC Template'!$AW:$AW,'RC Template'!$B:$B,$A12,'RC Template'!$C:$C,F$6)=0,#N/A,SUMIFS('RC Template'!$AW:$AW,'RC Template'!$B:$B,$A12,'RC Template'!$C:$C,F$6))</f>
        <v>#N/A</v>
      </c>
      <c r="G12" s="115">
        <f ca="1">IF(SUMIFS('RC Template'!$AW:$AW,'RC Template'!$B:$B,$A12,'RC Template'!$C:$C,G$6)=0,#N/A,SUMIFS('RC Template'!$AW:$AW,'RC Template'!$B:$B,$A12,'RC Template'!$C:$C,G$6))</f>
        <v>58.204667646209622</v>
      </c>
      <c r="H12" s="115" t="e">
        <f>IF(SUMIFS('RC Template'!$AW:$AW,'RC Template'!$B:$B,$A12,'RC Template'!$C:$C,H$6)=0,#N/A,SUMIFS('RC Template'!$AW:$AW,'RC Template'!$B:$B,$A12,'RC Template'!$C:$C,H$6))</f>
        <v>#N/A</v>
      </c>
      <c r="I12" s="115" t="e">
        <f>IF(SUMIFS('RC Template'!$AW:$AW,'RC Template'!$B:$B,$A12,'RC Template'!$C:$C,I$6)=0,#N/A,SUMIFS('RC Template'!$AW:$AW,'RC Template'!$B:$B,$A12,'RC Template'!$C:$C,I$6))</f>
        <v>#N/A</v>
      </c>
      <c r="J12" s="115" t="e">
        <f>IF(SUMIFS('RC Template'!$AW:$AW,'RC Template'!$B:$B,$A12,'RC Template'!$C:$C,J$6)=0,#N/A,SUMIFS('RC Template'!$AW:$AW,'RC Template'!$B:$B,$A12,'RC Template'!$C:$C,J$6))</f>
        <v>#N/A</v>
      </c>
      <c r="K12" s="115" t="e">
        <f>IF(SUMIFS('RC Template'!$AW:$AW,'RC Template'!$B:$B,$A12,'RC Template'!$C:$C,K$6)=0,#N/A,SUMIFS('RC Template'!$AW:$AW,'RC Template'!$B:$B,$A12,'RC Template'!$C:$C,K$6))</f>
        <v>#N/A</v>
      </c>
      <c r="L12" s="115" t="e">
        <f>IF(SUMIFS('RC Template'!$AW:$AW,'RC Template'!$B:$B,$A12,'RC Template'!$C:$C,L$6)=0,#N/A,SUMIFS('RC Template'!$AW:$AW,'RC Template'!$B:$B,$A12,'RC Template'!$C:$C,L$6))</f>
        <v>#N/A</v>
      </c>
      <c r="M12" s="115" t="e">
        <f>IF(SUMIFS('RC Template'!$AW:$AW,'RC Template'!$B:$B,$A12,'RC Template'!$C:$C,M$6)=0,#N/A,SUMIFS('RC Template'!$AW:$AW,'RC Template'!$B:$B,$A12,'RC Template'!$C:$C,M$6))</f>
        <v>#N/A</v>
      </c>
      <c r="N12" s="115" t="e">
        <f>IF(SUMIFS('RC Template'!$AW:$AW,'RC Template'!$B:$B,$A12,'RC Template'!$C:$C,N$6)=0,#N/A,SUMIFS('RC Template'!$AW:$AW,'RC Template'!$B:$B,$A12,'RC Template'!$C:$C,N$6))</f>
        <v>#N/A</v>
      </c>
      <c r="O12" s="115" t="e">
        <f>IF(SUMIFS('RC Template'!$AW:$AW,'RC Template'!$B:$B,$A12,'RC Template'!$C:$C,O$6)=0,#N/A,SUMIFS('RC Template'!$AW:$AW,'RC Template'!$B:$B,$A12,'RC Template'!$C:$C,O$6))</f>
        <v>#N/A</v>
      </c>
      <c r="P12" s="115" t="e">
        <f>IF(SUMIFS('RC Template'!$AW:$AW,'RC Template'!$B:$B,$A12,'RC Template'!$C:$C,P$6)=0,#N/A,SUMIFS('RC Template'!$AW:$AW,'RC Template'!$B:$B,$A12,'RC Template'!$C:$C,P$6))</f>
        <v>#N/A</v>
      </c>
      <c r="Q12" s="115">
        <f ca="1">MAX(SUMIFS('RC Template'!$AW:$AW,'RC Template'!$B:$B,$A12,'RC Template'!$C:$C,Q$6),Q11*$E$3)</f>
        <v>116.34015040463962</v>
      </c>
      <c r="R12" s="115">
        <f ca="1">MAX(SUMIFS('RC Template'!$AW:$AW,'RC Template'!$B:$B,$A12,'RC Template'!$C:$C,R$6),R11*$E$3)</f>
        <v>40.46194787120001</v>
      </c>
      <c r="S12" s="115">
        <f ca="1">MAX(SUMIFS('RC Template'!$AW:$AW,'RC Template'!$B:$B,$A12,'RC Template'!$C:$C,S$6),S11*$E$3)</f>
        <v>90.971718243917678</v>
      </c>
      <c r="T12" s="115">
        <f ca="1">MAX(SUMIFS('RC Template'!$AW:$AW,'RC Template'!$B:$B,$A12,'RC Template'!$C:$C,T$6),T11*$E$3)</f>
        <v>42.257521594238561</v>
      </c>
      <c r="U12" s="115">
        <f ca="1">MAX(SUMIFS('RC Template'!$AW:$AW,'RC Template'!$B:$B,$A12,'RC Template'!$C:$C,U$6),U11*$E$3)</f>
        <v>58.204667646209622</v>
      </c>
      <c r="V12" s="115">
        <f ca="1">MAX(SUMIFS('RC Template'!$AW:$AW,'RC Template'!$B:$B,$A12,'RC Template'!$C:$C,V$6),V11*$E$3)</f>
        <v>0</v>
      </c>
      <c r="W12" s="115">
        <f ca="1">MAX(SUMIFS('RC Template'!$AW:$AW,'RC Template'!$B:$B,$A12,'RC Template'!$C:$C,W$6),W11*$E$3)</f>
        <v>0</v>
      </c>
      <c r="X12" s="115">
        <f ca="1">MAX(SUMIFS('RC Template'!$AW:$AW,'RC Template'!$B:$B,$A12,'RC Template'!$C:$C,X$6),X11*$E$3)</f>
        <v>0</v>
      </c>
      <c r="Y12" s="115">
        <f ca="1">MAX(SUMIFS('RC Template'!$AW:$AW,'RC Template'!$B:$B,$A12,'RC Template'!$C:$C,Y$6),Y11*$E$3)</f>
        <v>0</v>
      </c>
      <c r="Z12" s="115">
        <f ca="1">MAX(SUMIFS('RC Template'!$AW:$AW,'RC Template'!$B:$B,$A12,'RC Template'!$C:$C,Z$6),Z11*$E$3)</f>
        <v>0</v>
      </c>
      <c r="AA12" s="115">
        <f ca="1">MAX(SUMIFS('RC Template'!$AW:$AW,'RC Template'!$B:$B,$A12,'RC Template'!$C:$C,AA$6),AA11*$E$3)</f>
        <v>0</v>
      </c>
      <c r="AB12" s="115">
        <f ca="1">MAX(SUMIFS('RC Template'!$AW:$AW,'RC Template'!$B:$B,$A12,'RC Template'!$C:$C,AB$6),AB11*$E$3)</f>
        <v>0</v>
      </c>
      <c r="AC12" s="115">
        <f ca="1">MAX(SUMIFS('RC Template'!$AW:$AW,'RC Template'!$B:$B,$A12,'RC Template'!$C:$C,AC$6),AC11*$E$3)</f>
        <v>0</v>
      </c>
      <c r="AD12" s="115">
        <f ca="1">MAX(SUMIFS('RC Template'!$AW:$AW,'RC Template'!$B:$B,$A12,'RC Template'!$C:$C,AD$6),AD11*$E$3)</f>
        <v>0</v>
      </c>
    </row>
    <row r="13" spans="1:30" x14ac:dyDescent="0.3">
      <c r="A13" s="1">
        <v>43112</v>
      </c>
      <c r="B13" s="115">
        <f t="shared" ca="1" si="1"/>
        <v>339.53010561620033</v>
      </c>
      <c r="C13" s="115" t="e">
        <f>IF(SUMIFS('RC Template'!$AW:$AW,'RC Template'!$B:$B,$A13,'RC Template'!$C:$C,C$6)=0,#N/A,SUMIFS('RC Template'!$AW:$AW,'RC Template'!$B:$B,$A13,'RC Template'!$C:$C,C$6))</f>
        <v>#N/A</v>
      </c>
      <c r="D13" s="115" t="e">
        <f>IF(SUMIFS('RC Template'!$AW:$AW,'RC Template'!$B:$B,$A13,'RC Template'!$C:$C,D$6)=0,#N/A,SUMIFS('RC Template'!$AW:$AW,'RC Template'!$B:$B,$A13,'RC Template'!$C:$C,D$6))</f>
        <v>#N/A</v>
      </c>
      <c r="E13" s="115" t="e">
        <f>IF(SUMIFS('RC Template'!$AW:$AW,'RC Template'!$B:$B,$A13,'RC Template'!$C:$C,E$6)=0,#N/A,SUMIFS('RC Template'!$AW:$AW,'RC Template'!$B:$B,$A13,'RC Template'!$C:$C,E$6))</f>
        <v>#N/A</v>
      </c>
      <c r="F13" s="115" t="e">
        <f>IF(SUMIFS('RC Template'!$AW:$AW,'RC Template'!$B:$B,$A13,'RC Template'!$C:$C,F$6)=0,#N/A,SUMIFS('RC Template'!$AW:$AW,'RC Template'!$B:$B,$A13,'RC Template'!$C:$C,F$6))</f>
        <v>#N/A</v>
      </c>
      <c r="G13" s="115" t="e">
        <f>IF(SUMIFS('RC Template'!$AW:$AW,'RC Template'!$B:$B,$A13,'RC Template'!$C:$C,G$6)=0,#N/A,SUMIFS('RC Template'!$AW:$AW,'RC Template'!$B:$B,$A13,'RC Template'!$C:$C,G$6))</f>
        <v>#N/A</v>
      </c>
      <c r="H13" s="115" t="e">
        <f>IF(SUMIFS('RC Template'!$AW:$AW,'RC Template'!$B:$B,$A13,'RC Template'!$C:$C,H$6)=0,#N/A,SUMIFS('RC Template'!$AW:$AW,'RC Template'!$B:$B,$A13,'RC Template'!$C:$C,H$6))</f>
        <v>#N/A</v>
      </c>
      <c r="I13" s="115" t="e">
        <f>IF(SUMIFS('RC Template'!$AW:$AW,'RC Template'!$B:$B,$A13,'RC Template'!$C:$C,I$6)=0,#N/A,SUMIFS('RC Template'!$AW:$AW,'RC Template'!$B:$B,$A13,'RC Template'!$C:$C,I$6))</f>
        <v>#N/A</v>
      </c>
      <c r="J13" s="115" t="e">
        <f>IF(SUMIFS('RC Template'!$AW:$AW,'RC Template'!$B:$B,$A13,'RC Template'!$C:$C,J$6)=0,#N/A,SUMIFS('RC Template'!$AW:$AW,'RC Template'!$B:$B,$A13,'RC Template'!$C:$C,J$6))</f>
        <v>#N/A</v>
      </c>
      <c r="K13" s="115" t="e">
        <f>IF(SUMIFS('RC Template'!$AW:$AW,'RC Template'!$B:$B,$A13,'RC Template'!$C:$C,K$6)=0,#N/A,SUMIFS('RC Template'!$AW:$AW,'RC Template'!$B:$B,$A13,'RC Template'!$C:$C,K$6))</f>
        <v>#N/A</v>
      </c>
      <c r="L13" s="115" t="e">
        <f>IF(SUMIFS('RC Template'!$AW:$AW,'RC Template'!$B:$B,$A13,'RC Template'!$C:$C,L$6)=0,#N/A,SUMIFS('RC Template'!$AW:$AW,'RC Template'!$B:$B,$A13,'RC Template'!$C:$C,L$6))</f>
        <v>#N/A</v>
      </c>
      <c r="M13" s="115" t="e">
        <f>IF(SUMIFS('RC Template'!$AW:$AW,'RC Template'!$B:$B,$A13,'RC Template'!$C:$C,M$6)=0,#N/A,SUMIFS('RC Template'!$AW:$AW,'RC Template'!$B:$B,$A13,'RC Template'!$C:$C,M$6))</f>
        <v>#N/A</v>
      </c>
      <c r="N13" s="115" t="e">
        <f>IF(SUMIFS('RC Template'!$AW:$AW,'RC Template'!$B:$B,$A13,'RC Template'!$C:$C,N$6)=0,#N/A,SUMIFS('RC Template'!$AW:$AW,'RC Template'!$B:$B,$A13,'RC Template'!$C:$C,N$6))</f>
        <v>#N/A</v>
      </c>
      <c r="O13" s="115" t="e">
        <f>IF(SUMIFS('RC Template'!$AW:$AW,'RC Template'!$B:$B,$A13,'RC Template'!$C:$C,O$6)=0,#N/A,SUMIFS('RC Template'!$AW:$AW,'RC Template'!$B:$B,$A13,'RC Template'!$C:$C,O$6))</f>
        <v>#N/A</v>
      </c>
      <c r="P13" s="115" t="e">
        <f>IF(SUMIFS('RC Template'!$AW:$AW,'RC Template'!$B:$B,$A13,'RC Template'!$C:$C,P$6)=0,#N/A,SUMIFS('RC Template'!$AW:$AW,'RC Template'!$B:$B,$A13,'RC Template'!$C:$C,P$6))</f>
        <v>#N/A</v>
      </c>
      <c r="Q13" s="115">
        <f ca="1">MAX(SUMIFS('RC Template'!$AW:$AW,'RC Template'!$B:$B,$A13,'RC Template'!$C:$C,Q$6),Q12*$E$3)</f>
        <v>113.43164664452362</v>
      </c>
      <c r="R13" s="115">
        <f ca="1">MAX(SUMIFS('RC Template'!$AW:$AW,'RC Template'!$B:$B,$A13,'RC Template'!$C:$C,R$6),R12*$E$3)</f>
        <v>39.450399174420006</v>
      </c>
      <c r="S13" s="115">
        <f ca="1">MAX(SUMIFS('RC Template'!$AW:$AW,'RC Template'!$B:$B,$A13,'RC Template'!$C:$C,S$6),S12*$E$3)</f>
        <v>88.69742528781974</v>
      </c>
      <c r="T13" s="115">
        <f ca="1">MAX(SUMIFS('RC Template'!$AW:$AW,'RC Template'!$B:$B,$A13,'RC Template'!$C:$C,T$6),T12*$E$3)</f>
        <v>41.201083554382599</v>
      </c>
      <c r="U13" s="115">
        <f ca="1">MAX(SUMIFS('RC Template'!$AW:$AW,'RC Template'!$B:$B,$A13,'RC Template'!$C:$C,U$6),U12*$E$3)</f>
        <v>56.749550955054382</v>
      </c>
      <c r="V13" s="115">
        <f ca="1">MAX(SUMIFS('RC Template'!$AW:$AW,'RC Template'!$B:$B,$A13,'RC Template'!$C:$C,V$6),V12*$E$3)</f>
        <v>0</v>
      </c>
      <c r="W13" s="115">
        <f ca="1">MAX(SUMIFS('RC Template'!$AW:$AW,'RC Template'!$B:$B,$A13,'RC Template'!$C:$C,W$6),W12*$E$3)</f>
        <v>0</v>
      </c>
      <c r="X13" s="115">
        <f ca="1">MAX(SUMIFS('RC Template'!$AW:$AW,'RC Template'!$B:$B,$A13,'RC Template'!$C:$C,X$6),X12*$E$3)</f>
        <v>0</v>
      </c>
      <c r="Y13" s="115">
        <f ca="1">MAX(SUMIFS('RC Template'!$AW:$AW,'RC Template'!$B:$B,$A13,'RC Template'!$C:$C,Y$6),Y12*$E$3)</f>
        <v>0</v>
      </c>
      <c r="Z13" s="115">
        <f ca="1">MAX(SUMIFS('RC Template'!$AW:$AW,'RC Template'!$B:$B,$A13,'RC Template'!$C:$C,Z$6),Z12*$E$3)</f>
        <v>0</v>
      </c>
      <c r="AA13" s="115">
        <f ca="1">MAX(SUMIFS('RC Template'!$AW:$AW,'RC Template'!$B:$B,$A13,'RC Template'!$C:$C,AA$6),AA12*$E$3)</f>
        <v>0</v>
      </c>
      <c r="AB13" s="115">
        <f ca="1">MAX(SUMIFS('RC Template'!$AW:$AW,'RC Template'!$B:$B,$A13,'RC Template'!$C:$C,AB$6),AB12*$E$3)</f>
        <v>0</v>
      </c>
      <c r="AC13" s="115">
        <f ca="1">MAX(SUMIFS('RC Template'!$AW:$AW,'RC Template'!$B:$B,$A13,'RC Template'!$C:$C,AC$6),AC12*$E$3)</f>
        <v>0</v>
      </c>
      <c r="AD13" s="115">
        <f ca="1">MAX(SUMIFS('RC Template'!$AW:$AW,'RC Template'!$B:$B,$A13,'RC Template'!$C:$C,AD$6),AD12*$E$3)</f>
        <v>0</v>
      </c>
    </row>
    <row r="14" spans="1:30" x14ac:dyDescent="0.3">
      <c r="A14" s="1">
        <v>43113</v>
      </c>
      <c r="B14" s="115">
        <f t="shared" ca="1" si="1"/>
        <v>352.46938700671774</v>
      </c>
      <c r="C14" s="115">
        <f ca="1">IF(SUMIFS('RC Template'!$AW:$AW,'RC Template'!$B:$B,$A14,'RC Template'!$C:$C,C$6)=0,#N/A,SUMIFS('RC Template'!$AW:$AW,'RC Template'!$B:$B,$A14,'RC Template'!$C:$C,C$6))</f>
        <v>132.02338950933293</v>
      </c>
      <c r="D14" s="115" t="e">
        <f>IF(SUMIFS('RC Template'!$AW:$AW,'RC Template'!$B:$B,$A14,'RC Template'!$C:$C,D$6)=0,#N/A,SUMIFS('RC Template'!$AW:$AW,'RC Template'!$B:$B,$A14,'RC Template'!$C:$C,D$6))</f>
        <v>#N/A</v>
      </c>
      <c r="E14" s="115">
        <f ca="1">IF(SUMIFS('RC Template'!$AW:$AW,'RC Template'!$B:$B,$A14,'RC Template'!$C:$C,E$6)=0,#N/A,SUMIFS('RC Template'!$AW:$AW,'RC Template'!$B:$B,$A14,'RC Template'!$C:$C,E$6))</f>
        <v>67.057440881588661</v>
      </c>
      <c r="F14" s="115" t="e">
        <f>IF(SUMIFS('RC Template'!$AW:$AW,'RC Template'!$B:$B,$A14,'RC Template'!$C:$C,F$6)=0,#N/A,SUMIFS('RC Template'!$AW:$AW,'RC Template'!$B:$B,$A14,'RC Template'!$C:$C,F$6))</f>
        <v>#N/A</v>
      </c>
      <c r="G14" s="115" t="e">
        <f>IF(SUMIFS('RC Template'!$AW:$AW,'RC Template'!$B:$B,$A14,'RC Template'!$C:$C,G$6)=0,#N/A,SUMIFS('RC Template'!$AW:$AW,'RC Template'!$B:$B,$A14,'RC Template'!$C:$C,G$6))</f>
        <v>#N/A</v>
      </c>
      <c r="H14" s="115" t="e">
        <f>IF(SUMIFS('RC Template'!$AW:$AW,'RC Template'!$B:$B,$A14,'RC Template'!$C:$C,H$6)=0,#N/A,SUMIFS('RC Template'!$AW:$AW,'RC Template'!$B:$B,$A14,'RC Template'!$C:$C,H$6))</f>
        <v>#N/A</v>
      </c>
      <c r="I14" s="115" t="e">
        <f>IF(SUMIFS('RC Template'!$AW:$AW,'RC Template'!$B:$B,$A14,'RC Template'!$C:$C,I$6)=0,#N/A,SUMIFS('RC Template'!$AW:$AW,'RC Template'!$B:$B,$A14,'RC Template'!$C:$C,I$6))</f>
        <v>#N/A</v>
      </c>
      <c r="J14" s="115" t="e">
        <f>IF(SUMIFS('RC Template'!$AW:$AW,'RC Template'!$B:$B,$A14,'RC Template'!$C:$C,J$6)=0,#N/A,SUMIFS('RC Template'!$AW:$AW,'RC Template'!$B:$B,$A14,'RC Template'!$C:$C,J$6))</f>
        <v>#N/A</v>
      </c>
      <c r="K14" s="115" t="e">
        <f>IF(SUMIFS('RC Template'!$AW:$AW,'RC Template'!$B:$B,$A14,'RC Template'!$C:$C,K$6)=0,#N/A,SUMIFS('RC Template'!$AW:$AW,'RC Template'!$B:$B,$A14,'RC Template'!$C:$C,K$6))</f>
        <v>#N/A</v>
      </c>
      <c r="L14" s="115" t="e">
        <f>IF(SUMIFS('RC Template'!$AW:$AW,'RC Template'!$B:$B,$A14,'RC Template'!$C:$C,L$6)=0,#N/A,SUMIFS('RC Template'!$AW:$AW,'RC Template'!$B:$B,$A14,'RC Template'!$C:$C,L$6))</f>
        <v>#N/A</v>
      </c>
      <c r="M14" s="115" t="e">
        <f>IF(SUMIFS('RC Template'!$AW:$AW,'RC Template'!$B:$B,$A14,'RC Template'!$C:$C,M$6)=0,#N/A,SUMIFS('RC Template'!$AW:$AW,'RC Template'!$B:$B,$A14,'RC Template'!$C:$C,M$6))</f>
        <v>#N/A</v>
      </c>
      <c r="N14" s="115" t="e">
        <f>IF(SUMIFS('RC Template'!$AW:$AW,'RC Template'!$B:$B,$A14,'RC Template'!$C:$C,N$6)=0,#N/A,SUMIFS('RC Template'!$AW:$AW,'RC Template'!$B:$B,$A14,'RC Template'!$C:$C,N$6))</f>
        <v>#N/A</v>
      </c>
      <c r="O14" s="115" t="e">
        <f>IF(SUMIFS('RC Template'!$AW:$AW,'RC Template'!$B:$B,$A14,'RC Template'!$C:$C,O$6)=0,#N/A,SUMIFS('RC Template'!$AW:$AW,'RC Template'!$B:$B,$A14,'RC Template'!$C:$C,O$6))</f>
        <v>#N/A</v>
      </c>
      <c r="P14" s="115" t="e">
        <f>IF(SUMIFS('RC Template'!$AW:$AW,'RC Template'!$B:$B,$A14,'RC Template'!$C:$C,P$6)=0,#N/A,SUMIFS('RC Template'!$AW:$AW,'RC Template'!$B:$B,$A14,'RC Template'!$C:$C,P$6))</f>
        <v>#N/A</v>
      </c>
      <c r="Q14" s="115">
        <f ca="1">MAX(SUMIFS('RC Template'!$AW:$AW,'RC Template'!$B:$B,$A14,'RC Template'!$C:$C,Q$6),Q13*$E$3)</f>
        <v>132.02338950933293</v>
      </c>
      <c r="R14" s="115">
        <f ca="1">MAX(SUMIFS('RC Template'!$AW:$AW,'RC Template'!$B:$B,$A14,'RC Template'!$C:$C,R$6),R13*$E$3)</f>
        <v>38.464139195059502</v>
      </c>
      <c r="S14" s="115">
        <f ca="1">MAX(SUMIFS('RC Template'!$AW:$AW,'RC Template'!$B:$B,$A14,'RC Template'!$C:$C,S$6),S13*$E$3)</f>
        <v>86.479989655624252</v>
      </c>
      <c r="T14" s="115">
        <f ca="1">MAX(SUMIFS('RC Template'!$AW:$AW,'RC Template'!$B:$B,$A14,'RC Template'!$C:$C,T$6),T13*$E$3)</f>
        <v>40.17105646552303</v>
      </c>
      <c r="U14" s="115">
        <f ca="1">MAX(SUMIFS('RC Template'!$AW:$AW,'RC Template'!$B:$B,$A14,'RC Template'!$C:$C,U$6),U13*$E$3)</f>
        <v>55.330812181178018</v>
      </c>
      <c r="V14" s="115">
        <f ca="1">MAX(SUMIFS('RC Template'!$AW:$AW,'RC Template'!$B:$B,$A14,'RC Template'!$C:$C,V$6),V13*$E$3)</f>
        <v>0</v>
      </c>
      <c r="W14" s="115">
        <f ca="1">MAX(SUMIFS('RC Template'!$AW:$AW,'RC Template'!$B:$B,$A14,'RC Template'!$C:$C,W$6),W13*$E$3)</f>
        <v>0</v>
      </c>
      <c r="X14" s="115">
        <f ca="1">MAX(SUMIFS('RC Template'!$AW:$AW,'RC Template'!$B:$B,$A14,'RC Template'!$C:$C,X$6),X13*$E$3)</f>
        <v>0</v>
      </c>
      <c r="Y14" s="115">
        <f ca="1">MAX(SUMIFS('RC Template'!$AW:$AW,'RC Template'!$B:$B,$A14,'RC Template'!$C:$C,Y$6),Y13*$E$3)</f>
        <v>0</v>
      </c>
      <c r="Z14" s="115">
        <f ca="1">MAX(SUMIFS('RC Template'!$AW:$AW,'RC Template'!$B:$B,$A14,'RC Template'!$C:$C,Z$6),Z13*$E$3)</f>
        <v>0</v>
      </c>
      <c r="AA14" s="115">
        <f ca="1">MAX(SUMIFS('RC Template'!$AW:$AW,'RC Template'!$B:$B,$A14,'RC Template'!$C:$C,AA$6),AA13*$E$3)</f>
        <v>0</v>
      </c>
      <c r="AB14" s="115">
        <f ca="1">MAX(SUMIFS('RC Template'!$AW:$AW,'RC Template'!$B:$B,$A14,'RC Template'!$C:$C,AB$6),AB13*$E$3)</f>
        <v>0</v>
      </c>
      <c r="AC14" s="115">
        <f ca="1">MAX(SUMIFS('RC Template'!$AW:$AW,'RC Template'!$B:$B,$A14,'RC Template'!$C:$C,AC$6),AC13*$E$3)</f>
        <v>0</v>
      </c>
      <c r="AD14" s="115">
        <f ca="1">MAX(SUMIFS('RC Template'!$AW:$AW,'RC Template'!$B:$B,$A14,'RC Template'!$C:$C,AD$6),AD13*$E$3)</f>
        <v>0</v>
      </c>
    </row>
    <row r="15" spans="1:30" x14ac:dyDescent="0.3">
      <c r="A15" s="1">
        <v>43114</v>
      </c>
      <c r="B15" s="115">
        <f t="shared" ca="1" si="1"/>
        <v>343.6576523315498</v>
      </c>
      <c r="C15" s="115" t="e">
        <f>IF(SUMIFS('RC Template'!$AW:$AW,'RC Template'!$B:$B,$A15,'RC Template'!$C:$C,C$6)=0,#N/A,SUMIFS('RC Template'!$AW:$AW,'RC Template'!$B:$B,$A15,'RC Template'!$C:$C,C$6))</f>
        <v>#N/A</v>
      </c>
      <c r="D15" s="115" t="e">
        <f>IF(SUMIFS('RC Template'!$AW:$AW,'RC Template'!$B:$B,$A15,'RC Template'!$C:$C,D$6)=0,#N/A,SUMIFS('RC Template'!$AW:$AW,'RC Template'!$B:$B,$A15,'RC Template'!$C:$C,D$6))</f>
        <v>#N/A</v>
      </c>
      <c r="E15" s="115" t="e">
        <f>IF(SUMIFS('RC Template'!$AW:$AW,'RC Template'!$B:$B,$A15,'RC Template'!$C:$C,E$6)=0,#N/A,SUMIFS('RC Template'!$AW:$AW,'RC Template'!$B:$B,$A15,'RC Template'!$C:$C,E$6))</f>
        <v>#N/A</v>
      </c>
      <c r="F15" s="115" t="e">
        <f>IF(SUMIFS('RC Template'!$AW:$AW,'RC Template'!$B:$B,$A15,'RC Template'!$C:$C,F$6)=0,#N/A,SUMIFS('RC Template'!$AW:$AW,'RC Template'!$B:$B,$A15,'RC Template'!$C:$C,F$6))</f>
        <v>#N/A</v>
      </c>
      <c r="G15" s="115" t="e">
        <f>IF(SUMIFS('RC Template'!$AW:$AW,'RC Template'!$B:$B,$A15,'RC Template'!$C:$C,G$6)=0,#N/A,SUMIFS('RC Template'!$AW:$AW,'RC Template'!$B:$B,$A15,'RC Template'!$C:$C,G$6))</f>
        <v>#N/A</v>
      </c>
      <c r="H15" s="115" t="e">
        <f>IF(SUMIFS('RC Template'!$AW:$AW,'RC Template'!$B:$B,$A15,'RC Template'!$C:$C,H$6)=0,#N/A,SUMIFS('RC Template'!$AW:$AW,'RC Template'!$B:$B,$A15,'RC Template'!$C:$C,H$6))</f>
        <v>#N/A</v>
      </c>
      <c r="I15" s="115" t="e">
        <f>IF(SUMIFS('RC Template'!$AW:$AW,'RC Template'!$B:$B,$A15,'RC Template'!$C:$C,I$6)=0,#N/A,SUMIFS('RC Template'!$AW:$AW,'RC Template'!$B:$B,$A15,'RC Template'!$C:$C,I$6))</f>
        <v>#N/A</v>
      </c>
      <c r="J15" s="115" t="e">
        <f>IF(SUMIFS('RC Template'!$AW:$AW,'RC Template'!$B:$B,$A15,'RC Template'!$C:$C,J$6)=0,#N/A,SUMIFS('RC Template'!$AW:$AW,'RC Template'!$B:$B,$A15,'RC Template'!$C:$C,J$6))</f>
        <v>#N/A</v>
      </c>
      <c r="K15" s="115" t="e">
        <f>IF(SUMIFS('RC Template'!$AW:$AW,'RC Template'!$B:$B,$A15,'RC Template'!$C:$C,K$6)=0,#N/A,SUMIFS('RC Template'!$AW:$AW,'RC Template'!$B:$B,$A15,'RC Template'!$C:$C,K$6))</f>
        <v>#N/A</v>
      </c>
      <c r="L15" s="115" t="e">
        <f>IF(SUMIFS('RC Template'!$AW:$AW,'RC Template'!$B:$B,$A15,'RC Template'!$C:$C,L$6)=0,#N/A,SUMIFS('RC Template'!$AW:$AW,'RC Template'!$B:$B,$A15,'RC Template'!$C:$C,L$6))</f>
        <v>#N/A</v>
      </c>
      <c r="M15" s="115" t="e">
        <f>IF(SUMIFS('RC Template'!$AW:$AW,'RC Template'!$B:$B,$A15,'RC Template'!$C:$C,M$6)=0,#N/A,SUMIFS('RC Template'!$AW:$AW,'RC Template'!$B:$B,$A15,'RC Template'!$C:$C,M$6))</f>
        <v>#N/A</v>
      </c>
      <c r="N15" s="115" t="e">
        <f>IF(SUMIFS('RC Template'!$AW:$AW,'RC Template'!$B:$B,$A15,'RC Template'!$C:$C,N$6)=0,#N/A,SUMIFS('RC Template'!$AW:$AW,'RC Template'!$B:$B,$A15,'RC Template'!$C:$C,N$6))</f>
        <v>#N/A</v>
      </c>
      <c r="O15" s="115" t="e">
        <f>IF(SUMIFS('RC Template'!$AW:$AW,'RC Template'!$B:$B,$A15,'RC Template'!$C:$C,O$6)=0,#N/A,SUMIFS('RC Template'!$AW:$AW,'RC Template'!$B:$B,$A15,'RC Template'!$C:$C,O$6))</f>
        <v>#N/A</v>
      </c>
      <c r="P15" s="115" t="e">
        <f>IF(SUMIFS('RC Template'!$AW:$AW,'RC Template'!$B:$B,$A15,'RC Template'!$C:$C,P$6)=0,#N/A,SUMIFS('RC Template'!$AW:$AW,'RC Template'!$B:$B,$A15,'RC Template'!$C:$C,P$6))</f>
        <v>#N/A</v>
      </c>
      <c r="Q15" s="115">
        <f ca="1">MAX(SUMIFS('RC Template'!$AW:$AW,'RC Template'!$B:$B,$A15,'RC Template'!$C:$C,Q$6),Q14*$E$3)</f>
        <v>128.72280477159961</v>
      </c>
      <c r="R15" s="115">
        <f ca="1">MAX(SUMIFS('RC Template'!$AW:$AW,'RC Template'!$B:$B,$A15,'RC Template'!$C:$C,R$6),R14*$E$3)</f>
        <v>37.502535715183015</v>
      </c>
      <c r="S15" s="115">
        <f ca="1">MAX(SUMIFS('RC Template'!$AW:$AW,'RC Template'!$B:$B,$A15,'RC Template'!$C:$C,S$6),S14*$E$3)</f>
        <v>84.31798991423365</v>
      </c>
      <c r="T15" s="115">
        <f ca="1">MAX(SUMIFS('RC Template'!$AW:$AW,'RC Template'!$B:$B,$A15,'RC Template'!$C:$C,T$6),T14*$E$3)</f>
        <v>39.166780053884956</v>
      </c>
      <c r="U15" s="115">
        <f ca="1">MAX(SUMIFS('RC Template'!$AW:$AW,'RC Template'!$B:$B,$A15,'RC Template'!$C:$C,U$6),U14*$E$3)</f>
        <v>53.947541876648565</v>
      </c>
      <c r="V15" s="115">
        <f ca="1">MAX(SUMIFS('RC Template'!$AW:$AW,'RC Template'!$B:$B,$A15,'RC Template'!$C:$C,V$6),V14*$E$3)</f>
        <v>0</v>
      </c>
      <c r="W15" s="115">
        <f ca="1">MAX(SUMIFS('RC Template'!$AW:$AW,'RC Template'!$B:$B,$A15,'RC Template'!$C:$C,W$6),W14*$E$3)</f>
        <v>0</v>
      </c>
      <c r="X15" s="115">
        <f ca="1">MAX(SUMIFS('RC Template'!$AW:$AW,'RC Template'!$B:$B,$A15,'RC Template'!$C:$C,X$6),X14*$E$3)</f>
        <v>0</v>
      </c>
      <c r="Y15" s="115">
        <f ca="1">MAX(SUMIFS('RC Template'!$AW:$AW,'RC Template'!$B:$B,$A15,'RC Template'!$C:$C,Y$6),Y14*$E$3)</f>
        <v>0</v>
      </c>
      <c r="Z15" s="115">
        <f ca="1">MAX(SUMIFS('RC Template'!$AW:$AW,'RC Template'!$B:$B,$A15,'RC Template'!$C:$C,Z$6),Z14*$E$3)</f>
        <v>0</v>
      </c>
      <c r="AA15" s="115">
        <f ca="1">MAX(SUMIFS('RC Template'!$AW:$AW,'RC Template'!$B:$B,$A15,'RC Template'!$C:$C,AA$6),AA14*$E$3)</f>
        <v>0</v>
      </c>
      <c r="AB15" s="115">
        <f ca="1">MAX(SUMIFS('RC Template'!$AW:$AW,'RC Template'!$B:$B,$A15,'RC Template'!$C:$C,AB$6),AB14*$E$3)</f>
        <v>0</v>
      </c>
      <c r="AC15" s="115">
        <f ca="1">MAX(SUMIFS('RC Template'!$AW:$AW,'RC Template'!$B:$B,$A15,'RC Template'!$C:$C,AC$6),AC14*$E$3)</f>
        <v>0</v>
      </c>
      <c r="AD15" s="115">
        <f ca="1">MAX(SUMIFS('RC Template'!$AW:$AW,'RC Template'!$B:$B,$A15,'RC Template'!$C:$C,AD$6),AD14*$E$3)</f>
        <v>0</v>
      </c>
    </row>
    <row r="16" spans="1:30" x14ac:dyDescent="0.3">
      <c r="A16" s="1">
        <v>43115</v>
      </c>
      <c r="B16" s="115">
        <f t="shared" ca="1" si="1"/>
        <v>335.06621102326108</v>
      </c>
      <c r="C16" s="115" t="e">
        <f>IF(SUMIFS('RC Template'!$AW:$AW,'RC Template'!$B:$B,$A16,'RC Template'!$C:$C,C$6)=0,#N/A,SUMIFS('RC Template'!$AW:$AW,'RC Template'!$B:$B,$A16,'RC Template'!$C:$C,C$6))</f>
        <v>#N/A</v>
      </c>
      <c r="D16" s="115" t="e">
        <f>IF(SUMIFS('RC Template'!$AW:$AW,'RC Template'!$B:$B,$A16,'RC Template'!$C:$C,D$6)=0,#N/A,SUMIFS('RC Template'!$AW:$AW,'RC Template'!$B:$B,$A16,'RC Template'!$C:$C,D$6))</f>
        <v>#N/A</v>
      </c>
      <c r="E16" s="115" t="e">
        <f>IF(SUMIFS('RC Template'!$AW:$AW,'RC Template'!$B:$B,$A16,'RC Template'!$C:$C,E$6)=0,#N/A,SUMIFS('RC Template'!$AW:$AW,'RC Template'!$B:$B,$A16,'RC Template'!$C:$C,E$6))</f>
        <v>#N/A</v>
      </c>
      <c r="F16" s="115" t="e">
        <f>IF(SUMIFS('RC Template'!$AW:$AW,'RC Template'!$B:$B,$A16,'RC Template'!$C:$C,F$6)=0,#N/A,SUMIFS('RC Template'!$AW:$AW,'RC Template'!$B:$B,$A16,'RC Template'!$C:$C,F$6))</f>
        <v>#N/A</v>
      </c>
      <c r="G16" s="115" t="e">
        <f>IF(SUMIFS('RC Template'!$AW:$AW,'RC Template'!$B:$B,$A16,'RC Template'!$C:$C,G$6)=0,#N/A,SUMIFS('RC Template'!$AW:$AW,'RC Template'!$B:$B,$A16,'RC Template'!$C:$C,G$6))</f>
        <v>#N/A</v>
      </c>
      <c r="H16" s="115" t="e">
        <f>IF(SUMIFS('RC Template'!$AW:$AW,'RC Template'!$B:$B,$A16,'RC Template'!$C:$C,H$6)=0,#N/A,SUMIFS('RC Template'!$AW:$AW,'RC Template'!$B:$B,$A16,'RC Template'!$C:$C,H$6))</f>
        <v>#N/A</v>
      </c>
      <c r="I16" s="115" t="e">
        <f>IF(SUMIFS('RC Template'!$AW:$AW,'RC Template'!$B:$B,$A16,'RC Template'!$C:$C,I$6)=0,#N/A,SUMIFS('RC Template'!$AW:$AW,'RC Template'!$B:$B,$A16,'RC Template'!$C:$C,I$6))</f>
        <v>#N/A</v>
      </c>
      <c r="J16" s="115" t="e">
        <f>IF(SUMIFS('RC Template'!$AW:$AW,'RC Template'!$B:$B,$A16,'RC Template'!$C:$C,J$6)=0,#N/A,SUMIFS('RC Template'!$AW:$AW,'RC Template'!$B:$B,$A16,'RC Template'!$C:$C,J$6))</f>
        <v>#N/A</v>
      </c>
      <c r="K16" s="115" t="e">
        <f>IF(SUMIFS('RC Template'!$AW:$AW,'RC Template'!$B:$B,$A16,'RC Template'!$C:$C,K$6)=0,#N/A,SUMIFS('RC Template'!$AW:$AW,'RC Template'!$B:$B,$A16,'RC Template'!$C:$C,K$6))</f>
        <v>#N/A</v>
      </c>
      <c r="L16" s="115" t="e">
        <f>IF(SUMIFS('RC Template'!$AW:$AW,'RC Template'!$B:$B,$A16,'RC Template'!$C:$C,L$6)=0,#N/A,SUMIFS('RC Template'!$AW:$AW,'RC Template'!$B:$B,$A16,'RC Template'!$C:$C,L$6))</f>
        <v>#N/A</v>
      </c>
      <c r="M16" s="115" t="e">
        <f>IF(SUMIFS('RC Template'!$AW:$AW,'RC Template'!$B:$B,$A16,'RC Template'!$C:$C,M$6)=0,#N/A,SUMIFS('RC Template'!$AW:$AW,'RC Template'!$B:$B,$A16,'RC Template'!$C:$C,M$6))</f>
        <v>#N/A</v>
      </c>
      <c r="N16" s="115" t="e">
        <f>IF(SUMIFS('RC Template'!$AW:$AW,'RC Template'!$B:$B,$A16,'RC Template'!$C:$C,N$6)=0,#N/A,SUMIFS('RC Template'!$AW:$AW,'RC Template'!$B:$B,$A16,'RC Template'!$C:$C,N$6))</f>
        <v>#N/A</v>
      </c>
      <c r="O16" s="115" t="e">
        <f>IF(SUMIFS('RC Template'!$AW:$AW,'RC Template'!$B:$B,$A16,'RC Template'!$C:$C,O$6)=0,#N/A,SUMIFS('RC Template'!$AW:$AW,'RC Template'!$B:$B,$A16,'RC Template'!$C:$C,O$6))</f>
        <v>#N/A</v>
      </c>
      <c r="P16" s="115" t="e">
        <f>IF(SUMIFS('RC Template'!$AW:$AW,'RC Template'!$B:$B,$A16,'RC Template'!$C:$C,P$6)=0,#N/A,SUMIFS('RC Template'!$AW:$AW,'RC Template'!$B:$B,$A16,'RC Template'!$C:$C,P$6))</f>
        <v>#N/A</v>
      </c>
      <c r="Q16" s="115">
        <f ca="1">MAX(SUMIFS('RC Template'!$AW:$AW,'RC Template'!$B:$B,$A16,'RC Template'!$C:$C,Q$6),Q15*$E$3)</f>
        <v>125.50473465230962</v>
      </c>
      <c r="R16" s="115">
        <f ca="1">MAX(SUMIFS('RC Template'!$AW:$AW,'RC Template'!$B:$B,$A16,'RC Template'!$C:$C,R$6),R15*$E$3)</f>
        <v>36.56497232230344</v>
      </c>
      <c r="S16" s="115">
        <f ca="1">MAX(SUMIFS('RC Template'!$AW:$AW,'RC Template'!$B:$B,$A16,'RC Template'!$C:$C,S$6),S15*$E$3)</f>
        <v>82.210040166377809</v>
      </c>
      <c r="T16" s="115">
        <f ca="1">MAX(SUMIFS('RC Template'!$AW:$AW,'RC Template'!$B:$B,$A16,'RC Template'!$C:$C,T$6),T15*$E$3)</f>
        <v>38.187610552537834</v>
      </c>
      <c r="U16" s="115">
        <f ca="1">MAX(SUMIFS('RC Template'!$AW:$AW,'RC Template'!$B:$B,$A16,'RC Template'!$C:$C,U$6),U15*$E$3)</f>
        <v>52.59885332973235</v>
      </c>
      <c r="V16" s="115">
        <f ca="1">MAX(SUMIFS('RC Template'!$AW:$AW,'RC Template'!$B:$B,$A16,'RC Template'!$C:$C,V$6),V15*$E$3)</f>
        <v>0</v>
      </c>
      <c r="W16" s="115">
        <f ca="1">MAX(SUMIFS('RC Template'!$AW:$AW,'RC Template'!$B:$B,$A16,'RC Template'!$C:$C,W$6),W15*$E$3)</f>
        <v>0</v>
      </c>
      <c r="X16" s="115">
        <f ca="1">MAX(SUMIFS('RC Template'!$AW:$AW,'RC Template'!$B:$B,$A16,'RC Template'!$C:$C,X$6),X15*$E$3)</f>
        <v>0</v>
      </c>
      <c r="Y16" s="115">
        <f ca="1">MAX(SUMIFS('RC Template'!$AW:$AW,'RC Template'!$B:$B,$A16,'RC Template'!$C:$C,Y$6),Y15*$E$3)</f>
        <v>0</v>
      </c>
      <c r="Z16" s="115">
        <f ca="1">MAX(SUMIFS('RC Template'!$AW:$AW,'RC Template'!$B:$B,$A16,'RC Template'!$C:$C,Z$6),Z15*$E$3)</f>
        <v>0</v>
      </c>
      <c r="AA16" s="115">
        <f ca="1">MAX(SUMIFS('RC Template'!$AW:$AW,'RC Template'!$B:$B,$A16,'RC Template'!$C:$C,AA$6),AA15*$E$3)</f>
        <v>0</v>
      </c>
      <c r="AB16" s="115">
        <f ca="1">MAX(SUMIFS('RC Template'!$AW:$AW,'RC Template'!$B:$B,$A16,'RC Template'!$C:$C,AB$6),AB15*$E$3)</f>
        <v>0</v>
      </c>
      <c r="AC16" s="115">
        <f ca="1">MAX(SUMIFS('RC Template'!$AW:$AW,'RC Template'!$B:$B,$A16,'RC Template'!$C:$C,AC$6),AC15*$E$3)</f>
        <v>0</v>
      </c>
      <c r="AD16" s="115">
        <f ca="1">MAX(SUMIFS('RC Template'!$AW:$AW,'RC Template'!$B:$B,$A16,'RC Template'!$C:$C,AD$6),AD15*$E$3)</f>
        <v>0</v>
      </c>
    </row>
    <row r="17" spans="1:30" x14ac:dyDescent="0.3">
      <c r="A17" s="1">
        <v>43116</v>
      </c>
      <c r="B17" s="115">
        <f t="shared" ca="1" si="1"/>
        <v>354.58790949359059</v>
      </c>
      <c r="C17" s="115" t="e">
        <f>IF(SUMIFS('RC Template'!$AW:$AW,'RC Template'!$B:$B,$A17,'RC Template'!$C:$C,C$6)=0,#N/A,SUMIFS('RC Template'!$AW:$AW,'RC Template'!$B:$B,$A17,'RC Template'!$C:$C,C$6))</f>
        <v>#N/A</v>
      </c>
      <c r="D17" s="115">
        <f ca="1">IF(SUMIFS('RC Template'!$AW:$AW,'RC Template'!$B:$B,$A17,'RC Template'!$C:$C,D$6)=0,#N/A,SUMIFS('RC Template'!$AW:$AW,'RC Template'!$B:$B,$A17,'RC Template'!$C:$C,D$6))</f>
        <v>35.2575</v>
      </c>
      <c r="E17" s="115" t="e">
        <f>IF(SUMIFS('RC Template'!$AW:$AW,'RC Template'!$B:$B,$A17,'RC Template'!$C:$C,E$6)=0,#N/A,SUMIFS('RC Template'!$AW:$AW,'RC Template'!$B:$B,$A17,'RC Template'!$C:$C,E$6))</f>
        <v>#N/A</v>
      </c>
      <c r="F17" s="115" t="e">
        <f>IF(SUMIFS('RC Template'!$AW:$AW,'RC Template'!$B:$B,$A17,'RC Template'!$C:$C,F$6)=0,#N/A,SUMIFS('RC Template'!$AW:$AW,'RC Template'!$B:$B,$A17,'RC Template'!$C:$C,F$6))</f>
        <v>#N/A</v>
      </c>
      <c r="G17" s="115">
        <f ca="1">IF(SUMIFS('RC Template'!$AW:$AW,'RC Template'!$B:$B,$A17,'RC Template'!$C:$C,G$6)=0,#N/A,SUMIFS('RC Template'!$AW:$AW,'RC Template'!$B:$B,$A17,'RC Template'!$C:$C,G$6))</f>
        <v>79.182235742400024</v>
      </c>
      <c r="H17" s="115" t="e">
        <f>IF(SUMIFS('RC Template'!$AW:$AW,'RC Template'!$B:$B,$A17,'RC Template'!$C:$C,H$6)=0,#N/A,SUMIFS('RC Template'!$AW:$AW,'RC Template'!$B:$B,$A17,'RC Template'!$C:$C,H$6))</f>
        <v>#N/A</v>
      </c>
      <c r="I17" s="115" t="e">
        <f>IF(SUMIFS('RC Template'!$AW:$AW,'RC Template'!$B:$B,$A17,'RC Template'!$C:$C,I$6)=0,#N/A,SUMIFS('RC Template'!$AW:$AW,'RC Template'!$B:$B,$A17,'RC Template'!$C:$C,I$6))</f>
        <v>#N/A</v>
      </c>
      <c r="J17" s="115" t="e">
        <f>IF(SUMIFS('RC Template'!$AW:$AW,'RC Template'!$B:$B,$A17,'RC Template'!$C:$C,J$6)=0,#N/A,SUMIFS('RC Template'!$AW:$AW,'RC Template'!$B:$B,$A17,'RC Template'!$C:$C,J$6))</f>
        <v>#N/A</v>
      </c>
      <c r="K17" s="115" t="e">
        <f>IF(SUMIFS('RC Template'!$AW:$AW,'RC Template'!$B:$B,$A17,'RC Template'!$C:$C,K$6)=0,#N/A,SUMIFS('RC Template'!$AW:$AW,'RC Template'!$B:$B,$A17,'RC Template'!$C:$C,K$6))</f>
        <v>#N/A</v>
      </c>
      <c r="L17" s="115" t="e">
        <f>IF(SUMIFS('RC Template'!$AW:$AW,'RC Template'!$B:$B,$A17,'RC Template'!$C:$C,L$6)=0,#N/A,SUMIFS('RC Template'!$AW:$AW,'RC Template'!$B:$B,$A17,'RC Template'!$C:$C,L$6))</f>
        <v>#N/A</v>
      </c>
      <c r="M17" s="115" t="e">
        <f>IF(SUMIFS('RC Template'!$AW:$AW,'RC Template'!$B:$B,$A17,'RC Template'!$C:$C,M$6)=0,#N/A,SUMIFS('RC Template'!$AW:$AW,'RC Template'!$B:$B,$A17,'RC Template'!$C:$C,M$6))</f>
        <v>#N/A</v>
      </c>
      <c r="N17" s="115" t="e">
        <f>IF(SUMIFS('RC Template'!$AW:$AW,'RC Template'!$B:$B,$A17,'RC Template'!$C:$C,N$6)=0,#N/A,SUMIFS('RC Template'!$AW:$AW,'RC Template'!$B:$B,$A17,'RC Template'!$C:$C,N$6))</f>
        <v>#N/A</v>
      </c>
      <c r="O17" s="115" t="e">
        <f>IF(SUMIFS('RC Template'!$AW:$AW,'RC Template'!$B:$B,$A17,'RC Template'!$C:$C,O$6)=0,#N/A,SUMIFS('RC Template'!$AW:$AW,'RC Template'!$B:$B,$A17,'RC Template'!$C:$C,O$6))</f>
        <v>#N/A</v>
      </c>
      <c r="P17" s="115" t="e">
        <f>IF(SUMIFS('RC Template'!$AW:$AW,'RC Template'!$B:$B,$A17,'RC Template'!$C:$C,P$6)=0,#N/A,SUMIFS('RC Template'!$AW:$AW,'RC Template'!$B:$B,$A17,'RC Template'!$C:$C,P$6))</f>
        <v>#N/A</v>
      </c>
      <c r="Q17" s="115">
        <f ca="1">MAX(SUMIFS('RC Template'!$AW:$AW,'RC Template'!$B:$B,$A17,'RC Template'!$C:$C,Q$6),Q16*$E$3)</f>
        <v>122.36711628600187</v>
      </c>
      <c r="R17" s="115">
        <f ca="1">MAX(SUMIFS('RC Template'!$AW:$AW,'RC Template'!$B:$B,$A17,'RC Template'!$C:$C,R$6),R16*$E$3)</f>
        <v>35.650848014245852</v>
      </c>
      <c r="S17" s="115">
        <f ca="1">MAX(SUMIFS('RC Template'!$AW:$AW,'RC Template'!$B:$B,$A17,'RC Template'!$C:$C,S$6),S16*$E$3)</f>
        <v>80.154789162218364</v>
      </c>
      <c r="T17" s="115">
        <f ca="1">MAX(SUMIFS('RC Template'!$AW:$AW,'RC Template'!$B:$B,$A17,'RC Template'!$C:$C,T$6),T16*$E$3)</f>
        <v>37.232920288724387</v>
      </c>
      <c r="U17" s="115">
        <f ca="1">MAX(SUMIFS('RC Template'!$AW:$AW,'RC Template'!$B:$B,$A17,'RC Template'!$C:$C,U$6),U16*$E$3)</f>
        <v>79.182235742400024</v>
      </c>
      <c r="V17" s="115">
        <f ca="1">MAX(SUMIFS('RC Template'!$AW:$AW,'RC Template'!$B:$B,$A17,'RC Template'!$C:$C,V$6),V16*$E$3)</f>
        <v>0</v>
      </c>
      <c r="W17" s="115">
        <f ca="1">MAX(SUMIFS('RC Template'!$AW:$AW,'RC Template'!$B:$B,$A17,'RC Template'!$C:$C,W$6),W16*$E$3)</f>
        <v>0</v>
      </c>
      <c r="X17" s="115">
        <f ca="1">MAX(SUMIFS('RC Template'!$AW:$AW,'RC Template'!$B:$B,$A17,'RC Template'!$C:$C,X$6),X16*$E$3)</f>
        <v>0</v>
      </c>
      <c r="Y17" s="115">
        <f ca="1">MAX(SUMIFS('RC Template'!$AW:$AW,'RC Template'!$B:$B,$A17,'RC Template'!$C:$C,Y$6),Y16*$E$3)</f>
        <v>0</v>
      </c>
      <c r="Z17" s="115">
        <f ca="1">MAX(SUMIFS('RC Template'!$AW:$AW,'RC Template'!$B:$B,$A17,'RC Template'!$C:$C,Z$6),Z16*$E$3)</f>
        <v>0</v>
      </c>
      <c r="AA17" s="115">
        <f ca="1">MAX(SUMIFS('RC Template'!$AW:$AW,'RC Template'!$B:$B,$A17,'RC Template'!$C:$C,AA$6),AA16*$E$3)</f>
        <v>0</v>
      </c>
      <c r="AB17" s="115">
        <f ca="1">MAX(SUMIFS('RC Template'!$AW:$AW,'RC Template'!$B:$B,$A17,'RC Template'!$C:$C,AB$6),AB16*$E$3)</f>
        <v>0</v>
      </c>
      <c r="AC17" s="115">
        <f ca="1">MAX(SUMIFS('RC Template'!$AW:$AW,'RC Template'!$B:$B,$A17,'RC Template'!$C:$C,AC$6),AC16*$E$3)</f>
        <v>0</v>
      </c>
      <c r="AD17" s="115">
        <f ca="1">MAX(SUMIFS('RC Template'!$AW:$AW,'RC Template'!$B:$B,$A17,'RC Template'!$C:$C,AD$6),AD16*$E$3)</f>
        <v>0</v>
      </c>
    </row>
    <row r="18" spans="1:30" x14ac:dyDescent="0.3">
      <c r="A18" s="1">
        <v>43117</v>
      </c>
      <c r="B18" s="115">
        <f t="shared" ca="1" si="1"/>
        <v>383.57446154550007</v>
      </c>
      <c r="C18" s="115">
        <f ca="1">IF(SUMIFS('RC Template'!$AW:$AW,'RC Template'!$B:$B,$A18,'RC Template'!$C:$C,C$6)=0,#N/A,SUMIFS('RC Template'!$AW:$AW,'RC Template'!$B:$B,$A18,'RC Template'!$C:$C,C$6))</f>
        <v>157.15918816810114</v>
      </c>
      <c r="D18" s="115" t="e">
        <f>IF(SUMIFS('RC Template'!$AW:$AW,'RC Template'!$B:$B,$A18,'RC Template'!$C:$C,D$6)=0,#N/A,SUMIFS('RC Template'!$AW:$AW,'RC Template'!$B:$B,$A18,'RC Template'!$C:$C,D$6))</f>
        <v>#N/A</v>
      </c>
      <c r="E18" s="115" t="e">
        <f>IF(SUMIFS('RC Template'!$AW:$AW,'RC Template'!$B:$B,$A18,'RC Template'!$C:$C,E$6)=0,#N/A,SUMIFS('RC Template'!$AW:$AW,'RC Template'!$B:$B,$A18,'RC Template'!$C:$C,E$6))</f>
        <v>#N/A</v>
      </c>
      <c r="F18" s="115" t="e">
        <f>IF(SUMIFS('RC Template'!$AW:$AW,'RC Template'!$B:$B,$A18,'RC Template'!$C:$C,F$6)=0,#N/A,SUMIFS('RC Template'!$AW:$AW,'RC Template'!$B:$B,$A18,'RC Template'!$C:$C,F$6))</f>
        <v>#N/A</v>
      </c>
      <c r="G18" s="115" t="e">
        <f>IF(SUMIFS('RC Template'!$AW:$AW,'RC Template'!$B:$B,$A18,'RC Template'!$C:$C,G$6)=0,#N/A,SUMIFS('RC Template'!$AW:$AW,'RC Template'!$B:$B,$A18,'RC Template'!$C:$C,G$6))</f>
        <v>#N/A</v>
      </c>
      <c r="H18" s="115" t="e">
        <f>IF(SUMIFS('RC Template'!$AW:$AW,'RC Template'!$B:$B,$A18,'RC Template'!$C:$C,H$6)=0,#N/A,SUMIFS('RC Template'!$AW:$AW,'RC Template'!$B:$B,$A18,'RC Template'!$C:$C,H$6))</f>
        <v>#N/A</v>
      </c>
      <c r="I18" s="115" t="e">
        <f>IF(SUMIFS('RC Template'!$AW:$AW,'RC Template'!$B:$B,$A18,'RC Template'!$C:$C,I$6)=0,#N/A,SUMIFS('RC Template'!$AW:$AW,'RC Template'!$B:$B,$A18,'RC Template'!$C:$C,I$6))</f>
        <v>#N/A</v>
      </c>
      <c r="J18" s="115" t="e">
        <f>IF(SUMIFS('RC Template'!$AW:$AW,'RC Template'!$B:$B,$A18,'RC Template'!$C:$C,J$6)=0,#N/A,SUMIFS('RC Template'!$AW:$AW,'RC Template'!$B:$B,$A18,'RC Template'!$C:$C,J$6))</f>
        <v>#N/A</v>
      </c>
      <c r="K18" s="115" t="e">
        <f>IF(SUMIFS('RC Template'!$AW:$AW,'RC Template'!$B:$B,$A18,'RC Template'!$C:$C,K$6)=0,#N/A,SUMIFS('RC Template'!$AW:$AW,'RC Template'!$B:$B,$A18,'RC Template'!$C:$C,K$6))</f>
        <v>#N/A</v>
      </c>
      <c r="L18" s="115" t="e">
        <f>IF(SUMIFS('RC Template'!$AW:$AW,'RC Template'!$B:$B,$A18,'RC Template'!$C:$C,L$6)=0,#N/A,SUMIFS('RC Template'!$AW:$AW,'RC Template'!$B:$B,$A18,'RC Template'!$C:$C,L$6))</f>
        <v>#N/A</v>
      </c>
      <c r="M18" s="115" t="e">
        <f>IF(SUMIFS('RC Template'!$AW:$AW,'RC Template'!$B:$B,$A18,'RC Template'!$C:$C,M$6)=0,#N/A,SUMIFS('RC Template'!$AW:$AW,'RC Template'!$B:$B,$A18,'RC Template'!$C:$C,M$6))</f>
        <v>#N/A</v>
      </c>
      <c r="N18" s="115" t="e">
        <f>IF(SUMIFS('RC Template'!$AW:$AW,'RC Template'!$B:$B,$A18,'RC Template'!$C:$C,N$6)=0,#N/A,SUMIFS('RC Template'!$AW:$AW,'RC Template'!$B:$B,$A18,'RC Template'!$C:$C,N$6))</f>
        <v>#N/A</v>
      </c>
      <c r="O18" s="115" t="e">
        <f>IF(SUMIFS('RC Template'!$AW:$AW,'RC Template'!$B:$B,$A18,'RC Template'!$C:$C,O$6)=0,#N/A,SUMIFS('RC Template'!$AW:$AW,'RC Template'!$B:$B,$A18,'RC Template'!$C:$C,O$6))</f>
        <v>#N/A</v>
      </c>
      <c r="P18" s="115" t="e">
        <f>IF(SUMIFS('RC Template'!$AW:$AW,'RC Template'!$B:$B,$A18,'RC Template'!$C:$C,P$6)=0,#N/A,SUMIFS('RC Template'!$AW:$AW,'RC Template'!$B:$B,$A18,'RC Template'!$C:$C,P$6))</f>
        <v>#N/A</v>
      </c>
      <c r="Q18" s="115">
        <f ca="1">MAX(SUMIFS('RC Template'!$AW:$AW,'RC Template'!$B:$B,$A18,'RC Template'!$C:$C,Q$6),Q17*$E$3)</f>
        <v>157.15918816810114</v>
      </c>
      <c r="R18" s="115">
        <f ca="1">MAX(SUMIFS('RC Template'!$AW:$AW,'RC Template'!$B:$B,$A18,'RC Template'!$C:$C,R$6),R17*$E$3)</f>
        <v>34.759576813889709</v>
      </c>
      <c r="S18" s="115">
        <f ca="1">MAX(SUMIFS('RC Template'!$AW:$AW,'RC Template'!$B:$B,$A18,'RC Template'!$C:$C,S$6),S17*$E$3)</f>
        <v>78.150919433162898</v>
      </c>
      <c r="T18" s="115">
        <f ca="1">MAX(SUMIFS('RC Template'!$AW:$AW,'RC Template'!$B:$B,$A18,'RC Template'!$C:$C,T$6),T17*$E$3)</f>
        <v>36.302097281506278</v>
      </c>
      <c r="U18" s="115">
        <f ca="1">MAX(SUMIFS('RC Template'!$AW:$AW,'RC Template'!$B:$B,$A18,'RC Template'!$C:$C,U$6),U17*$E$3)</f>
        <v>77.20267984884002</v>
      </c>
      <c r="V18" s="115">
        <f ca="1">MAX(SUMIFS('RC Template'!$AW:$AW,'RC Template'!$B:$B,$A18,'RC Template'!$C:$C,V$6),V17*$E$3)</f>
        <v>0</v>
      </c>
      <c r="W18" s="115">
        <f ca="1">MAX(SUMIFS('RC Template'!$AW:$AW,'RC Template'!$B:$B,$A18,'RC Template'!$C:$C,W$6),W17*$E$3)</f>
        <v>0</v>
      </c>
      <c r="X18" s="115">
        <f ca="1">MAX(SUMIFS('RC Template'!$AW:$AW,'RC Template'!$B:$B,$A18,'RC Template'!$C:$C,X$6),X17*$E$3)</f>
        <v>0</v>
      </c>
      <c r="Y18" s="115">
        <f ca="1">MAX(SUMIFS('RC Template'!$AW:$AW,'RC Template'!$B:$B,$A18,'RC Template'!$C:$C,Y$6),Y17*$E$3)</f>
        <v>0</v>
      </c>
      <c r="Z18" s="115">
        <f ca="1">MAX(SUMIFS('RC Template'!$AW:$AW,'RC Template'!$B:$B,$A18,'RC Template'!$C:$C,Z$6),Z17*$E$3)</f>
        <v>0</v>
      </c>
      <c r="AA18" s="115">
        <f ca="1">MAX(SUMIFS('RC Template'!$AW:$AW,'RC Template'!$B:$B,$A18,'RC Template'!$C:$C,AA$6),AA17*$E$3)</f>
        <v>0</v>
      </c>
      <c r="AB18" s="115">
        <f ca="1">MAX(SUMIFS('RC Template'!$AW:$AW,'RC Template'!$B:$B,$A18,'RC Template'!$C:$C,AB$6),AB17*$E$3)</f>
        <v>0</v>
      </c>
      <c r="AC18" s="115">
        <f ca="1">MAX(SUMIFS('RC Template'!$AW:$AW,'RC Template'!$B:$B,$A18,'RC Template'!$C:$C,AC$6),AC17*$E$3)</f>
        <v>0</v>
      </c>
      <c r="AD18" s="115">
        <f ca="1">MAX(SUMIFS('RC Template'!$AW:$AW,'RC Template'!$B:$B,$A18,'RC Template'!$C:$C,AD$6),AD17*$E$3)</f>
        <v>0</v>
      </c>
    </row>
    <row r="19" spans="1:30" x14ac:dyDescent="0.3">
      <c r="A19" s="1">
        <v>43118</v>
      </c>
      <c r="B19" s="115">
        <f t="shared" ca="1" si="1"/>
        <v>373.98510000686252</v>
      </c>
      <c r="C19" s="115" t="e">
        <f>IF(SUMIFS('RC Template'!$AW:$AW,'RC Template'!$B:$B,$A19,'RC Template'!$C:$C,C$6)=0,#N/A,SUMIFS('RC Template'!$AW:$AW,'RC Template'!$B:$B,$A19,'RC Template'!$C:$C,C$6))</f>
        <v>#N/A</v>
      </c>
      <c r="D19" s="115" t="e">
        <f>IF(SUMIFS('RC Template'!$AW:$AW,'RC Template'!$B:$B,$A19,'RC Template'!$C:$C,D$6)=0,#N/A,SUMIFS('RC Template'!$AW:$AW,'RC Template'!$B:$B,$A19,'RC Template'!$C:$C,D$6))</f>
        <v>#N/A</v>
      </c>
      <c r="E19" s="115" t="e">
        <f>IF(SUMIFS('RC Template'!$AW:$AW,'RC Template'!$B:$B,$A19,'RC Template'!$C:$C,E$6)=0,#N/A,SUMIFS('RC Template'!$AW:$AW,'RC Template'!$B:$B,$A19,'RC Template'!$C:$C,E$6))</f>
        <v>#N/A</v>
      </c>
      <c r="F19" s="115" t="e">
        <f>IF(SUMIFS('RC Template'!$AW:$AW,'RC Template'!$B:$B,$A19,'RC Template'!$C:$C,F$6)=0,#N/A,SUMIFS('RC Template'!$AW:$AW,'RC Template'!$B:$B,$A19,'RC Template'!$C:$C,F$6))</f>
        <v>#N/A</v>
      </c>
      <c r="G19" s="115" t="e">
        <f>IF(SUMIFS('RC Template'!$AW:$AW,'RC Template'!$B:$B,$A19,'RC Template'!$C:$C,G$6)=0,#N/A,SUMIFS('RC Template'!$AW:$AW,'RC Template'!$B:$B,$A19,'RC Template'!$C:$C,G$6))</f>
        <v>#N/A</v>
      </c>
      <c r="H19" s="115" t="e">
        <f>IF(SUMIFS('RC Template'!$AW:$AW,'RC Template'!$B:$B,$A19,'RC Template'!$C:$C,H$6)=0,#N/A,SUMIFS('RC Template'!$AW:$AW,'RC Template'!$B:$B,$A19,'RC Template'!$C:$C,H$6))</f>
        <v>#N/A</v>
      </c>
      <c r="I19" s="115" t="e">
        <f>IF(SUMIFS('RC Template'!$AW:$AW,'RC Template'!$B:$B,$A19,'RC Template'!$C:$C,I$6)=0,#N/A,SUMIFS('RC Template'!$AW:$AW,'RC Template'!$B:$B,$A19,'RC Template'!$C:$C,I$6))</f>
        <v>#N/A</v>
      </c>
      <c r="J19" s="115" t="e">
        <f>IF(SUMIFS('RC Template'!$AW:$AW,'RC Template'!$B:$B,$A19,'RC Template'!$C:$C,J$6)=0,#N/A,SUMIFS('RC Template'!$AW:$AW,'RC Template'!$B:$B,$A19,'RC Template'!$C:$C,J$6))</f>
        <v>#N/A</v>
      </c>
      <c r="K19" s="115" t="e">
        <f>IF(SUMIFS('RC Template'!$AW:$AW,'RC Template'!$B:$B,$A19,'RC Template'!$C:$C,K$6)=0,#N/A,SUMIFS('RC Template'!$AW:$AW,'RC Template'!$B:$B,$A19,'RC Template'!$C:$C,K$6))</f>
        <v>#N/A</v>
      </c>
      <c r="L19" s="115" t="e">
        <f>IF(SUMIFS('RC Template'!$AW:$AW,'RC Template'!$B:$B,$A19,'RC Template'!$C:$C,L$6)=0,#N/A,SUMIFS('RC Template'!$AW:$AW,'RC Template'!$B:$B,$A19,'RC Template'!$C:$C,L$6))</f>
        <v>#N/A</v>
      </c>
      <c r="M19" s="115" t="e">
        <f>IF(SUMIFS('RC Template'!$AW:$AW,'RC Template'!$B:$B,$A19,'RC Template'!$C:$C,M$6)=0,#N/A,SUMIFS('RC Template'!$AW:$AW,'RC Template'!$B:$B,$A19,'RC Template'!$C:$C,M$6))</f>
        <v>#N/A</v>
      </c>
      <c r="N19" s="115" t="e">
        <f>IF(SUMIFS('RC Template'!$AW:$AW,'RC Template'!$B:$B,$A19,'RC Template'!$C:$C,N$6)=0,#N/A,SUMIFS('RC Template'!$AW:$AW,'RC Template'!$B:$B,$A19,'RC Template'!$C:$C,N$6))</f>
        <v>#N/A</v>
      </c>
      <c r="O19" s="115" t="e">
        <f>IF(SUMIFS('RC Template'!$AW:$AW,'RC Template'!$B:$B,$A19,'RC Template'!$C:$C,O$6)=0,#N/A,SUMIFS('RC Template'!$AW:$AW,'RC Template'!$B:$B,$A19,'RC Template'!$C:$C,O$6))</f>
        <v>#N/A</v>
      </c>
      <c r="P19" s="115" t="e">
        <f>IF(SUMIFS('RC Template'!$AW:$AW,'RC Template'!$B:$B,$A19,'RC Template'!$C:$C,P$6)=0,#N/A,SUMIFS('RC Template'!$AW:$AW,'RC Template'!$B:$B,$A19,'RC Template'!$C:$C,P$6))</f>
        <v>#N/A</v>
      </c>
      <c r="Q19" s="115">
        <f ca="1">MAX(SUMIFS('RC Template'!$AW:$AW,'RC Template'!$B:$B,$A19,'RC Template'!$C:$C,Q$6),Q18*$E$3)</f>
        <v>153.23020846389861</v>
      </c>
      <c r="R19" s="115">
        <f ca="1">MAX(SUMIFS('RC Template'!$AW:$AW,'RC Template'!$B:$B,$A19,'RC Template'!$C:$C,R$6),R18*$E$3)</f>
        <v>33.890587393542468</v>
      </c>
      <c r="S19" s="115">
        <f ca="1">MAX(SUMIFS('RC Template'!$AW:$AW,'RC Template'!$B:$B,$A19,'RC Template'!$C:$C,S$6),S18*$E$3)</f>
        <v>76.197146447333822</v>
      </c>
      <c r="T19" s="115">
        <f ca="1">MAX(SUMIFS('RC Template'!$AW:$AW,'RC Template'!$B:$B,$A19,'RC Template'!$C:$C,T$6),T18*$E$3)</f>
        <v>35.394544849468623</v>
      </c>
      <c r="U19" s="115">
        <f ca="1">MAX(SUMIFS('RC Template'!$AW:$AW,'RC Template'!$B:$B,$A19,'RC Template'!$C:$C,U$6),U18*$E$3)</f>
        <v>75.272612852619019</v>
      </c>
      <c r="V19" s="115">
        <f ca="1">MAX(SUMIFS('RC Template'!$AW:$AW,'RC Template'!$B:$B,$A19,'RC Template'!$C:$C,V$6),V18*$E$3)</f>
        <v>0</v>
      </c>
      <c r="W19" s="115">
        <f ca="1">MAX(SUMIFS('RC Template'!$AW:$AW,'RC Template'!$B:$B,$A19,'RC Template'!$C:$C,W$6),W18*$E$3)</f>
        <v>0</v>
      </c>
      <c r="X19" s="115">
        <f ca="1">MAX(SUMIFS('RC Template'!$AW:$AW,'RC Template'!$B:$B,$A19,'RC Template'!$C:$C,X$6),X18*$E$3)</f>
        <v>0</v>
      </c>
      <c r="Y19" s="115">
        <f ca="1">MAX(SUMIFS('RC Template'!$AW:$AW,'RC Template'!$B:$B,$A19,'RC Template'!$C:$C,Y$6),Y18*$E$3)</f>
        <v>0</v>
      </c>
      <c r="Z19" s="115">
        <f ca="1">MAX(SUMIFS('RC Template'!$AW:$AW,'RC Template'!$B:$B,$A19,'RC Template'!$C:$C,Z$6),Z18*$E$3)</f>
        <v>0</v>
      </c>
      <c r="AA19" s="115">
        <f ca="1">MAX(SUMIFS('RC Template'!$AW:$AW,'RC Template'!$B:$B,$A19,'RC Template'!$C:$C,AA$6),AA18*$E$3)</f>
        <v>0</v>
      </c>
      <c r="AB19" s="115">
        <f ca="1">MAX(SUMIFS('RC Template'!$AW:$AW,'RC Template'!$B:$B,$A19,'RC Template'!$C:$C,AB$6),AB18*$E$3)</f>
        <v>0</v>
      </c>
      <c r="AC19" s="115">
        <f ca="1">MAX(SUMIFS('RC Template'!$AW:$AW,'RC Template'!$B:$B,$A19,'RC Template'!$C:$C,AC$6),AC18*$E$3)</f>
        <v>0</v>
      </c>
      <c r="AD19" s="115">
        <f ca="1">MAX(SUMIFS('RC Template'!$AW:$AW,'RC Template'!$B:$B,$A19,'RC Template'!$C:$C,AD$6),AD18*$E$3)</f>
        <v>0</v>
      </c>
    </row>
    <row r="20" spans="1:30" x14ac:dyDescent="0.3">
      <c r="A20" s="1">
        <v>43119</v>
      </c>
      <c r="B20" s="115">
        <f t="shared" ca="1" si="1"/>
        <v>372.3952074224909</v>
      </c>
      <c r="C20" s="115">
        <f ca="1">IF(SUMIFS('RC Template'!$AW:$AW,'RC Template'!$B:$B,$A20,'RC Template'!$C:$C,C$6)=0,#N/A,SUMIFS('RC Template'!$AW:$AW,'RC Template'!$B:$B,$A20,'RC Template'!$C:$C,C$6))</f>
        <v>157.15918816810114</v>
      </c>
      <c r="D20" s="115" t="e">
        <f>IF(SUMIFS('RC Template'!$AW:$AW,'RC Template'!$B:$B,$A20,'RC Template'!$C:$C,D$6)=0,#N/A,SUMIFS('RC Template'!$AW:$AW,'RC Template'!$B:$B,$A20,'RC Template'!$C:$C,D$6))</f>
        <v>#N/A</v>
      </c>
      <c r="E20" s="115" t="e">
        <f>IF(SUMIFS('RC Template'!$AW:$AW,'RC Template'!$B:$B,$A20,'RC Template'!$C:$C,E$6)=0,#N/A,SUMIFS('RC Template'!$AW:$AW,'RC Template'!$B:$B,$A20,'RC Template'!$C:$C,E$6))</f>
        <v>#N/A</v>
      </c>
      <c r="F20" s="115" t="e">
        <f>IF(SUMIFS('RC Template'!$AW:$AW,'RC Template'!$B:$B,$A20,'RC Template'!$C:$C,F$6)=0,#N/A,SUMIFS('RC Template'!$AW:$AW,'RC Template'!$B:$B,$A20,'RC Template'!$C:$C,F$6))</f>
        <v>#N/A</v>
      </c>
      <c r="G20" s="115" t="e">
        <f>IF(SUMIFS('RC Template'!$AW:$AW,'RC Template'!$B:$B,$A20,'RC Template'!$C:$C,G$6)=0,#N/A,SUMIFS('RC Template'!$AW:$AW,'RC Template'!$B:$B,$A20,'RC Template'!$C:$C,G$6))</f>
        <v>#N/A</v>
      </c>
      <c r="H20" s="115" t="e">
        <f>IF(SUMIFS('RC Template'!$AW:$AW,'RC Template'!$B:$B,$A20,'RC Template'!$C:$C,H$6)=0,#N/A,SUMIFS('RC Template'!$AW:$AW,'RC Template'!$B:$B,$A20,'RC Template'!$C:$C,H$6))</f>
        <v>#N/A</v>
      </c>
      <c r="I20" s="115" t="e">
        <f>IF(SUMIFS('RC Template'!$AW:$AW,'RC Template'!$B:$B,$A20,'RC Template'!$C:$C,I$6)=0,#N/A,SUMIFS('RC Template'!$AW:$AW,'RC Template'!$B:$B,$A20,'RC Template'!$C:$C,I$6))</f>
        <v>#N/A</v>
      </c>
      <c r="J20" s="115" t="e">
        <f>IF(SUMIFS('RC Template'!$AW:$AW,'RC Template'!$B:$B,$A20,'RC Template'!$C:$C,J$6)=0,#N/A,SUMIFS('RC Template'!$AW:$AW,'RC Template'!$B:$B,$A20,'RC Template'!$C:$C,J$6))</f>
        <v>#N/A</v>
      </c>
      <c r="K20" s="115" t="e">
        <f>IF(SUMIFS('RC Template'!$AW:$AW,'RC Template'!$B:$B,$A20,'RC Template'!$C:$C,K$6)=0,#N/A,SUMIFS('RC Template'!$AW:$AW,'RC Template'!$B:$B,$A20,'RC Template'!$C:$C,K$6))</f>
        <v>#N/A</v>
      </c>
      <c r="L20" s="115" t="e">
        <f>IF(SUMIFS('RC Template'!$AW:$AW,'RC Template'!$B:$B,$A20,'RC Template'!$C:$C,L$6)=0,#N/A,SUMIFS('RC Template'!$AW:$AW,'RC Template'!$B:$B,$A20,'RC Template'!$C:$C,L$6))</f>
        <v>#N/A</v>
      </c>
      <c r="M20" s="115" t="e">
        <f>IF(SUMIFS('RC Template'!$AW:$AW,'RC Template'!$B:$B,$A20,'RC Template'!$C:$C,M$6)=0,#N/A,SUMIFS('RC Template'!$AW:$AW,'RC Template'!$B:$B,$A20,'RC Template'!$C:$C,M$6))</f>
        <v>#N/A</v>
      </c>
      <c r="N20" s="115" t="e">
        <f>IF(SUMIFS('RC Template'!$AW:$AW,'RC Template'!$B:$B,$A20,'RC Template'!$C:$C,N$6)=0,#N/A,SUMIFS('RC Template'!$AW:$AW,'RC Template'!$B:$B,$A20,'RC Template'!$C:$C,N$6))</f>
        <v>#N/A</v>
      </c>
      <c r="O20" s="115" t="e">
        <f>IF(SUMIFS('RC Template'!$AW:$AW,'RC Template'!$B:$B,$A20,'RC Template'!$C:$C,O$6)=0,#N/A,SUMIFS('RC Template'!$AW:$AW,'RC Template'!$B:$B,$A20,'RC Template'!$C:$C,O$6))</f>
        <v>#N/A</v>
      </c>
      <c r="P20" s="115" t="e">
        <f>IF(SUMIFS('RC Template'!$AW:$AW,'RC Template'!$B:$B,$A20,'RC Template'!$C:$C,P$6)=0,#N/A,SUMIFS('RC Template'!$AW:$AW,'RC Template'!$B:$B,$A20,'RC Template'!$C:$C,P$6))</f>
        <v>#N/A</v>
      </c>
      <c r="Q20" s="115">
        <f ca="1">MAX(SUMIFS('RC Template'!$AW:$AW,'RC Template'!$B:$B,$A20,'RC Template'!$C:$C,Q$6),Q19*$E$3)</f>
        <v>157.15918816810114</v>
      </c>
      <c r="R20" s="115">
        <f ca="1">MAX(SUMIFS('RC Template'!$AW:$AW,'RC Template'!$B:$B,$A20,'RC Template'!$C:$C,R$6),R19*$E$3)</f>
        <v>33.043322708703904</v>
      </c>
      <c r="S20" s="115">
        <f ca="1">MAX(SUMIFS('RC Template'!$AW:$AW,'RC Template'!$B:$B,$A20,'RC Template'!$C:$C,S$6),S19*$E$3)</f>
        <v>74.292217786150474</v>
      </c>
      <c r="T20" s="115">
        <f ca="1">MAX(SUMIFS('RC Template'!$AW:$AW,'RC Template'!$B:$B,$A20,'RC Template'!$C:$C,T$6),T19*$E$3)</f>
        <v>34.509681228231905</v>
      </c>
      <c r="U20" s="115">
        <f ca="1">MAX(SUMIFS('RC Template'!$AW:$AW,'RC Template'!$B:$B,$A20,'RC Template'!$C:$C,U$6),U19*$E$3)</f>
        <v>73.390797531303548</v>
      </c>
      <c r="V20" s="115">
        <f ca="1">MAX(SUMIFS('RC Template'!$AW:$AW,'RC Template'!$B:$B,$A20,'RC Template'!$C:$C,V$6),V19*$E$3)</f>
        <v>0</v>
      </c>
      <c r="W20" s="115">
        <f ca="1">MAX(SUMIFS('RC Template'!$AW:$AW,'RC Template'!$B:$B,$A20,'RC Template'!$C:$C,W$6),W19*$E$3)</f>
        <v>0</v>
      </c>
      <c r="X20" s="115">
        <f ca="1">MAX(SUMIFS('RC Template'!$AW:$AW,'RC Template'!$B:$B,$A20,'RC Template'!$C:$C,X$6),X19*$E$3)</f>
        <v>0</v>
      </c>
      <c r="Y20" s="115">
        <f ca="1">MAX(SUMIFS('RC Template'!$AW:$AW,'RC Template'!$B:$B,$A20,'RC Template'!$C:$C,Y$6),Y19*$E$3)</f>
        <v>0</v>
      </c>
      <c r="Z20" s="115">
        <f ca="1">MAX(SUMIFS('RC Template'!$AW:$AW,'RC Template'!$B:$B,$A20,'RC Template'!$C:$C,Z$6),Z19*$E$3)</f>
        <v>0</v>
      </c>
      <c r="AA20" s="115">
        <f ca="1">MAX(SUMIFS('RC Template'!$AW:$AW,'RC Template'!$B:$B,$A20,'RC Template'!$C:$C,AA$6),AA19*$E$3)</f>
        <v>0</v>
      </c>
      <c r="AB20" s="115">
        <f ca="1">MAX(SUMIFS('RC Template'!$AW:$AW,'RC Template'!$B:$B,$A20,'RC Template'!$C:$C,AB$6),AB19*$E$3)</f>
        <v>0</v>
      </c>
      <c r="AC20" s="115">
        <f ca="1">MAX(SUMIFS('RC Template'!$AW:$AW,'RC Template'!$B:$B,$A20,'RC Template'!$C:$C,AC$6),AC19*$E$3)</f>
        <v>0</v>
      </c>
      <c r="AD20" s="115">
        <f ca="1">MAX(SUMIFS('RC Template'!$AW:$AW,'RC Template'!$B:$B,$A20,'RC Template'!$C:$C,AD$6),AD19*$E$3)</f>
        <v>0</v>
      </c>
    </row>
    <row r="21" spans="1:30" x14ac:dyDescent="0.3">
      <c r="A21" s="1">
        <v>43120</v>
      </c>
      <c r="B21" s="115">
        <f t="shared" ca="1" si="1"/>
        <v>363.08532723692872</v>
      </c>
      <c r="C21" s="115" t="e">
        <f>IF(SUMIFS('RC Template'!$AW:$AW,'RC Template'!$B:$B,$A21,'RC Template'!$C:$C,C$6)=0,#N/A,SUMIFS('RC Template'!$AW:$AW,'RC Template'!$B:$B,$A21,'RC Template'!$C:$C,C$6))</f>
        <v>#N/A</v>
      </c>
      <c r="D21" s="115" t="e">
        <f>IF(SUMIFS('RC Template'!$AW:$AW,'RC Template'!$B:$B,$A21,'RC Template'!$C:$C,D$6)=0,#N/A,SUMIFS('RC Template'!$AW:$AW,'RC Template'!$B:$B,$A21,'RC Template'!$C:$C,D$6))</f>
        <v>#N/A</v>
      </c>
      <c r="E21" s="115" t="e">
        <f>IF(SUMIFS('RC Template'!$AW:$AW,'RC Template'!$B:$B,$A21,'RC Template'!$C:$C,E$6)=0,#N/A,SUMIFS('RC Template'!$AW:$AW,'RC Template'!$B:$B,$A21,'RC Template'!$C:$C,E$6))</f>
        <v>#N/A</v>
      </c>
      <c r="F21" s="115" t="e">
        <f>IF(SUMIFS('RC Template'!$AW:$AW,'RC Template'!$B:$B,$A21,'RC Template'!$C:$C,F$6)=0,#N/A,SUMIFS('RC Template'!$AW:$AW,'RC Template'!$B:$B,$A21,'RC Template'!$C:$C,F$6))</f>
        <v>#N/A</v>
      </c>
      <c r="G21" s="115" t="e">
        <f>IF(SUMIFS('RC Template'!$AW:$AW,'RC Template'!$B:$B,$A21,'RC Template'!$C:$C,G$6)=0,#N/A,SUMIFS('RC Template'!$AW:$AW,'RC Template'!$B:$B,$A21,'RC Template'!$C:$C,G$6))</f>
        <v>#N/A</v>
      </c>
      <c r="H21" s="115" t="e">
        <f>IF(SUMIFS('RC Template'!$AW:$AW,'RC Template'!$B:$B,$A21,'RC Template'!$C:$C,H$6)=0,#N/A,SUMIFS('RC Template'!$AW:$AW,'RC Template'!$B:$B,$A21,'RC Template'!$C:$C,H$6))</f>
        <v>#N/A</v>
      </c>
      <c r="I21" s="115" t="e">
        <f>IF(SUMIFS('RC Template'!$AW:$AW,'RC Template'!$B:$B,$A21,'RC Template'!$C:$C,I$6)=0,#N/A,SUMIFS('RC Template'!$AW:$AW,'RC Template'!$B:$B,$A21,'RC Template'!$C:$C,I$6))</f>
        <v>#N/A</v>
      </c>
      <c r="J21" s="115" t="e">
        <f>IF(SUMIFS('RC Template'!$AW:$AW,'RC Template'!$B:$B,$A21,'RC Template'!$C:$C,J$6)=0,#N/A,SUMIFS('RC Template'!$AW:$AW,'RC Template'!$B:$B,$A21,'RC Template'!$C:$C,J$6))</f>
        <v>#N/A</v>
      </c>
      <c r="K21" s="115" t="e">
        <f>IF(SUMIFS('RC Template'!$AW:$AW,'RC Template'!$B:$B,$A21,'RC Template'!$C:$C,K$6)=0,#N/A,SUMIFS('RC Template'!$AW:$AW,'RC Template'!$B:$B,$A21,'RC Template'!$C:$C,K$6))</f>
        <v>#N/A</v>
      </c>
      <c r="L21" s="115" t="e">
        <f>IF(SUMIFS('RC Template'!$AW:$AW,'RC Template'!$B:$B,$A21,'RC Template'!$C:$C,L$6)=0,#N/A,SUMIFS('RC Template'!$AW:$AW,'RC Template'!$B:$B,$A21,'RC Template'!$C:$C,L$6))</f>
        <v>#N/A</v>
      </c>
      <c r="M21" s="115" t="e">
        <f>IF(SUMIFS('RC Template'!$AW:$AW,'RC Template'!$B:$B,$A21,'RC Template'!$C:$C,M$6)=0,#N/A,SUMIFS('RC Template'!$AW:$AW,'RC Template'!$B:$B,$A21,'RC Template'!$C:$C,M$6))</f>
        <v>#N/A</v>
      </c>
      <c r="N21" s="115" t="e">
        <f>IF(SUMIFS('RC Template'!$AW:$AW,'RC Template'!$B:$B,$A21,'RC Template'!$C:$C,N$6)=0,#N/A,SUMIFS('RC Template'!$AW:$AW,'RC Template'!$B:$B,$A21,'RC Template'!$C:$C,N$6))</f>
        <v>#N/A</v>
      </c>
      <c r="O21" s="115" t="e">
        <f>IF(SUMIFS('RC Template'!$AW:$AW,'RC Template'!$B:$B,$A21,'RC Template'!$C:$C,O$6)=0,#N/A,SUMIFS('RC Template'!$AW:$AW,'RC Template'!$B:$B,$A21,'RC Template'!$C:$C,O$6))</f>
        <v>#N/A</v>
      </c>
      <c r="P21" s="115" t="e">
        <f>IF(SUMIFS('RC Template'!$AW:$AW,'RC Template'!$B:$B,$A21,'RC Template'!$C:$C,P$6)=0,#N/A,SUMIFS('RC Template'!$AW:$AW,'RC Template'!$B:$B,$A21,'RC Template'!$C:$C,P$6))</f>
        <v>#N/A</v>
      </c>
      <c r="Q21" s="115">
        <f ca="1">MAX(SUMIFS('RC Template'!$AW:$AW,'RC Template'!$B:$B,$A21,'RC Template'!$C:$C,Q$6),Q20*$E$3)</f>
        <v>153.23020846389861</v>
      </c>
      <c r="R21" s="115">
        <f ca="1">MAX(SUMIFS('RC Template'!$AW:$AW,'RC Template'!$B:$B,$A21,'RC Template'!$C:$C,R$6),R20*$E$3)</f>
        <v>32.217239640986307</v>
      </c>
      <c r="S21" s="115">
        <f ca="1">MAX(SUMIFS('RC Template'!$AW:$AW,'RC Template'!$B:$B,$A21,'RC Template'!$C:$C,S$6),S20*$E$3)</f>
        <v>72.434912341496712</v>
      </c>
      <c r="T21" s="115">
        <f ca="1">MAX(SUMIFS('RC Template'!$AW:$AW,'RC Template'!$B:$B,$A21,'RC Template'!$C:$C,T$6),T20*$E$3)</f>
        <v>33.646939197526109</v>
      </c>
      <c r="U21" s="115">
        <f ca="1">MAX(SUMIFS('RC Template'!$AW:$AW,'RC Template'!$B:$B,$A21,'RC Template'!$C:$C,U$6),U20*$E$3)</f>
        <v>71.556027593020957</v>
      </c>
      <c r="V21" s="115">
        <f ca="1">MAX(SUMIFS('RC Template'!$AW:$AW,'RC Template'!$B:$B,$A21,'RC Template'!$C:$C,V$6),V20*$E$3)</f>
        <v>0</v>
      </c>
      <c r="W21" s="115">
        <f ca="1">MAX(SUMIFS('RC Template'!$AW:$AW,'RC Template'!$B:$B,$A21,'RC Template'!$C:$C,W$6),W20*$E$3)</f>
        <v>0</v>
      </c>
      <c r="X21" s="115">
        <f ca="1">MAX(SUMIFS('RC Template'!$AW:$AW,'RC Template'!$B:$B,$A21,'RC Template'!$C:$C,X$6),X20*$E$3)</f>
        <v>0</v>
      </c>
      <c r="Y21" s="115">
        <f ca="1">MAX(SUMIFS('RC Template'!$AW:$AW,'RC Template'!$B:$B,$A21,'RC Template'!$C:$C,Y$6),Y20*$E$3)</f>
        <v>0</v>
      </c>
      <c r="Z21" s="115">
        <f ca="1">MAX(SUMIFS('RC Template'!$AW:$AW,'RC Template'!$B:$B,$A21,'RC Template'!$C:$C,Z$6),Z20*$E$3)</f>
        <v>0</v>
      </c>
      <c r="AA21" s="115">
        <f ca="1">MAX(SUMIFS('RC Template'!$AW:$AW,'RC Template'!$B:$B,$A21,'RC Template'!$C:$C,AA$6),AA20*$E$3)</f>
        <v>0</v>
      </c>
      <c r="AB21" s="115">
        <f ca="1">MAX(SUMIFS('RC Template'!$AW:$AW,'RC Template'!$B:$B,$A21,'RC Template'!$C:$C,AB$6),AB20*$E$3)</f>
        <v>0</v>
      </c>
      <c r="AC21" s="115">
        <f ca="1">MAX(SUMIFS('RC Template'!$AW:$AW,'RC Template'!$B:$B,$A21,'RC Template'!$C:$C,AC$6),AC20*$E$3)</f>
        <v>0</v>
      </c>
      <c r="AD21" s="115">
        <f ca="1">MAX(SUMIFS('RC Template'!$AW:$AW,'RC Template'!$B:$B,$A21,'RC Template'!$C:$C,AD$6),AD20*$E$3)</f>
        <v>0</v>
      </c>
    </row>
    <row r="22" spans="1:30" x14ac:dyDescent="0.3">
      <c r="A22" s="1">
        <v>43121</v>
      </c>
      <c r="B22" s="115">
        <f t="shared" ca="1" si="1"/>
        <v>413.10083023997015</v>
      </c>
      <c r="C22" s="115">
        <f ca="1">IF(SUMIFS('RC Template'!$AW:$AW,'RC Template'!$B:$B,$A22,'RC Template'!$C:$C,C$6)=0,#N/A,SUMIFS('RC Template'!$AW:$AW,'RC Template'!$B:$B,$A22,'RC Template'!$C:$C,C$6))</f>
        <v>170.99208943626581</v>
      </c>
      <c r="D22" s="115" t="e">
        <f>IF(SUMIFS('RC Template'!$AW:$AW,'RC Template'!$B:$B,$A22,'RC Template'!$C:$C,D$6)=0,#N/A,SUMIFS('RC Template'!$AW:$AW,'RC Template'!$B:$B,$A22,'RC Template'!$C:$C,D$6))</f>
        <v>#N/A</v>
      </c>
      <c r="E22" s="115" t="e">
        <f>IF(SUMIFS('RC Template'!$AW:$AW,'RC Template'!$B:$B,$A22,'RC Template'!$C:$C,E$6)=0,#N/A,SUMIFS('RC Template'!$AW:$AW,'RC Template'!$B:$B,$A22,'RC Template'!$C:$C,E$6))</f>
        <v>#N/A</v>
      </c>
      <c r="F22" s="115" t="e">
        <f>IF(SUMIFS('RC Template'!$AW:$AW,'RC Template'!$B:$B,$A22,'RC Template'!$C:$C,F$6)=0,#N/A,SUMIFS('RC Template'!$AW:$AW,'RC Template'!$B:$B,$A22,'RC Template'!$C:$C,F$6))</f>
        <v>#N/A</v>
      </c>
      <c r="G22" s="115" t="e">
        <f>IF(SUMIFS('RC Template'!$AW:$AW,'RC Template'!$B:$B,$A22,'RC Template'!$C:$C,G$6)=0,#N/A,SUMIFS('RC Template'!$AW:$AW,'RC Template'!$B:$B,$A22,'RC Template'!$C:$C,G$6))</f>
        <v>#N/A</v>
      </c>
      <c r="H22" s="115">
        <f ca="1">IF(SUMIFS('RC Template'!$AW:$AW,'RC Template'!$B:$B,$A22,'RC Template'!$C:$C,H$6)=0,#N/A,SUMIFS('RC Template'!$AW:$AW,'RC Template'!$B:$B,$A22,'RC Template'!$C:$C,H$6))</f>
        <v>37.5</v>
      </c>
      <c r="I22" s="115" t="e">
        <f>IF(SUMIFS('RC Template'!$AW:$AW,'RC Template'!$B:$B,$A22,'RC Template'!$C:$C,I$6)=0,#N/A,SUMIFS('RC Template'!$AW:$AW,'RC Template'!$B:$B,$A22,'RC Template'!$C:$C,I$6))</f>
        <v>#N/A</v>
      </c>
      <c r="J22" s="115" t="e">
        <f>IF(SUMIFS('RC Template'!$AW:$AW,'RC Template'!$B:$B,$A22,'RC Template'!$C:$C,J$6)=0,#N/A,SUMIFS('RC Template'!$AW:$AW,'RC Template'!$B:$B,$A22,'RC Template'!$C:$C,J$6))</f>
        <v>#N/A</v>
      </c>
      <c r="K22" s="115" t="e">
        <f>IF(SUMIFS('RC Template'!$AW:$AW,'RC Template'!$B:$B,$A22,'RC Template'!$C:$C,K$6)=0,#N/A,SUMIFS('RC Template'!$AW:$AW,'RC Template'!$B:$B,$A22,'RC Template'!$C:$C,K$6))</f>
        <v>#N/A</v>
      </c>
      <c r="L22" s="115" t="e">
        <f>IF(SUMIFS('RC Template'!$AW:$AW,'RC Template'!$B:$B,$A22,'RC Template'!$C:$C,L$6)=0,#N/A,SUMIFS('RC Template'!$AW:$AW,'RC Template'!$B:$B,$A22,'RC Template'!$C:$C,L$6))</f>
        <v>#N/A</v>
      </c>
      <c r="M22" s="115" t="e">
        <f>IF(SUMIFS('RC Template'!$AW:$AW,'RC Template'!$B:$B,$A22,'RC Template'!$C:$C,M$6)=0,#N/A,SUMIFS('RC Template'!$AW:$AW,'RC Template'!$B:$B,$A22,'RC Template'!$C:$C,M$6))</f>
        <v>#N/A</v>
      </c>
      <c r="N22" s="115" t="e">
        <f>IF(SUMIFS('RC Template'!$AW:$AW,'RC Template'!$B:$B,$A22,'RC Template'!$C:$C,N$6)=0,#N/A,SUMIFS('RC Template'!$AW:$AW,'RC Template'!$B:$B,$A22,'RC Template'!$C:$C,N$6))</f>
        <v>#N/A</v>
      </c>
      <c r="O22" s="115" t="e">
        <f>IF(SUMIFS('RC Template'!$AW:$AW,'RC Template'!$B:$B,$A22,'RC Template'!$C:$C,O$6)=0,#N/A,SUMIFS('RC Template'!$AW:$AW,'RC Template'!$B:$B,$A22,'RC Template'!$C:$C,O$6))</f>
        <v>#N/A</v>
      </c>
      <c r="P22" s="115" t="e">
        <f>IF(SUMIFS('RC Template'!$AW:$AW,'RC Template'!$B:$B,$A22,'RC Template'!$C:$C,P$6)=0,#N/A,SUMIFS('RC Template'!$AW:$AW,'RC Template'!$B:$B,$A22,'RC Template'!$C:$C,P$6))</f>
        <v>#N/A</v>
      </c>
      <c r="Q22" s="115">
        <f ca="1">MAX(SUMIFS('RC Template'!$AW:$AW,'RC Template'!$B:$B,$A22,'RC Template'!$C:$C,Q$6),Q21*$E$3)</f>
        <v>170.99208943626581</v>
      </c>
      <c r="R22" s="115">
        <f ca="1">MAX(SUMIFS('RC Template'!$AW:$AW,'RC Template'!$B:$B,$A22,'RC Template'!$C:$C,R$6),R21*$E$3)</f>
        <v>31.41180864996165</v>
      </c>
      <c r="S22" s="115">
        <f ca="1">MAX(SUMIFS('RC Template'!$AW:$AW,'RC Template'!$B:$B,$A22,'RC Template'!$C:$C,S$6),S21*$E$3)</f>
        <v>70.624039532959287</v>
      </c>
      <c r="T22" s="115">
        <f ca="1">MAX(SUMIFS('RC Template'!$AW:$AW,'RC Template'!$B:$B,$A22,'RC Template'!$C:$C,T$6),T21*$E$3)</f>
        <v>32.805765717587953</v>
      </c>
      <c r="U22" s="115">
        <f ca="1">MAX(SUMIFS('RC Template'!$AW:$AW,'RC Template'!$B:$B,$A22,'RC Template'!$C:$C,U$6),U21*$E$3)</f>
        <v>69.767126903195432</v>
      </c>
      <c r="V22" s="115">
        <f ca="1">MAX(SUMIFS('RC Template'!$AW:$AW,'RC Template'!$B:$B,$A22,'RC Template'!$C:$C,V$6),V21*$E$3)</f>
        <v>37.5</v>
      </c>
      <c r="W22" s="115">
        <f ca="1">MAX(SUMIFS('RC Template'!$AW:$AW,'RC Template'!$B:$B,$A22,'RC Template'!$C:$C,W$6),W21*$E$3)</f>
        <v>0</v>
      </c>
      <c r="X22" s="115">
        <f ca="1">MAX(SUMIFS('RC Template'!$AW:$AW,'RC Template'!$B:$B,$A22,'RC Template'!$C:$C,X$6),X21*$E$3)</f>
        <v>0</v>
      </c>
      <c r="Y22" s="115">
        <f ca="1">MAX(SUMIFS('RC Template'!$AW:$AW,'RC Template'!$B:$B,$A22,'RC Template'!$C:$C,Y$6),Y21*$E$3)</f>
        <v>0</v>
      </c>
      <c r="Z22" s="115">
        <f ca="1">MAX(SUMIFS('RC Template'!$AW:$AW,'RC Template'!$B:$B,$A22,'RC Template'!$C:$C,Z$6),Z21*$E$3)</f>
        <v>0</v>
      </c>
      <c r="AA22" s="115">
        <f ca="1">MAX(SUMIFS('RC Template'!$AW:$AW,'RC Template'!$B:$B,$A22,'RC Template'!$C:$C,AA$6),AA21*$E$3)</f>
        <v>0</v>
      </c>
      <c r="AB22" s="115">
        <f ca="1">MAX(SUMIFS('RC Template'!$AW:$AW,'RC Template'!$B:$B,$A22,'RC Template'!$C:$C,AB$6),AB21*$E$3)</f>
        <v>0</v>
      </c>
      <c r="AC22" s="115">
        <f ca="1">MAX(SUMIFS('RC Template'!$AW:$AW,'RC Template'!$B:$B,$A22,'RC Template'!$C:$C,AC$6),AC21*$E$3)</f>
        <v>0</v>
      </c>
      <c r="AD22" s="115">
        <f ca="1">MAX(SUMIFS('RC Template'!$AW:$AW,'RC Template'!$B:$B,$A22,'RC Template'!$C:$C,AD$6),AD21*$E$3)</f>
        <v>0</v>
      </c>
    </row>
    <row r="23" spans="1:30" x14ac:dyDescent="0.3">
      <c r="A23" s="1">
        <v>43122</v>
      </c>
      <c r="B23" s="115">
        <f t="shared" ca="1" si="1"/>
        <v>402.77330948397082</v>
      </c>
      <c r="C23" s="115" t="e">
        <f>IF(SUMIFS('RC Template'!$AW:$AW,'RC Template'!$B:$B,$A23,'RC Template'!$C:$C,C$6)=0,#N/A,SUMIFS('RC Template'!$AW:$AW,'RC Template'!$B:$B,$A23,'RC Template'!$C:$C,C$6))</f>
        <v>#N/A</v>
      </c>
      <c r="D23" s="115" t="e">
        <f>IF(SUMIFS('RC Template'!$AW:$AW,'RC Template'!$B:$B,$A23,'RC Template'!$C:$C,D$6)=0,#N/A,SUMIFS('RC Template'!$AW:$AW,'RC Template'!$B:$B,$A23,'RC Template'!$C:$C,D$6))</f>
        <v>#N/A</v>
      </c>
      <c r="E23" s="115" t="e">
        <f>IF(SUMIFS('RC Template'!$AW:$AW,'RC Template'!$B:$B,$A23,'RC Template'!$C:$C,E$6)=0,#N/A,SUMIFS('RC Template'!$AW:$AW,'RC Template'!$B:$B,$A23,'RC Template'!$C:$C,E$6))</f>
        <v>#N/A</v>
      </c>
      <c r="F23" s="115" t="e">
        <f>IF(SUMIFS('RC Template'!$AW:$AW,'RC Template'!$B:$B,$A23,'RC Template'!$C:$C,F$6)=0,#N/A,SUMIFS('RC Template'!$AW:$AW,'RC Template'!$B:$B,$A23,'RC Template'!$C:$C,F$6))</f>
        <v>#N/A</v>
      </c>
      <c r="G23" s="115" t="e">
        <f>IF(SUMIFS('RC Template'!$AW:$AW,'RC Template'!$B:$B,$A23,'RC Template'!$C:$C,G$6)=0,#N/A,SUMIFS('RC Template'!$AW:$AW,'RC Template'!$B:$B,$A23,'RC Template'!$C:$C,G$6))</f>
        <v>#N/A</v>
      </c>
      <c r="H23" s="115" t="e">
        <f>IF(SUMIFS('RC Template'!$AW:$AW,'RC Template'!$B:$B,$A23,'RC Template'!$C:$C,H$6)=0,#N/A,SUMIFS('RC Template'!$AW:$AW,'RC Template'!$B:$B,$A23,'RC Template'!$C:$C,H$6))</f>
        <v>#N/A</v>
      </c>
      <c r="I23" s="115" t="e">
        <f>IF(SUMIFS('RC Template'!$AW:$AW,'RC Template'!$B:$B,$A23,'RC Template'!$C:$C,I$6)=0,#N/A,SUMIFS('RC Template'!$AW:$AW,'RC Template'!$B:$B,$A23,'RC Template'!$C:$C,I$6))</f>
        <v>#N/A</v>
      </c>
      <c r="J23" s="115" t="e">
        <f>IF(SUMIFS('RC Template'!$AW:$AW,'RC Template'!$B:$B,$A23,'RC Template'!$C:$C,J$6)=0,#N/A,SUMIFS('RC Template'!$AW:$AW,'RC Template'!$B:$B,$A23,'RC Template'!$C:$C,J$6))</f>
        <v>#N/A</v>
      </c>
      <c r="K23" s="115" t="e">
        <f>IF(SUMIFS('RC Template'!$AW:$AW,'RC Template'!$B:$B,$A23,'RC Template'!$C:$C,K$6)=0,#N/A,SUMIFS('RC Template'!$AW:$AW,'RC Template'!$B:$B,$A23,'RC Template'!$C:$C,K$6))</f>
        <v>#N/A</v>
      </c>
      <c r="L23" s="115" t="e">
        <f>IF(SUMIFS('RC Template'!$AW:$AW,'RC Template'!$B:$B,$A23,'RC Template'!$C:$C,L$6)=0,#N/A,SUMIFS('RC Template'!$AW:$AW,'RC Template'!$B:$B,$A23,'RC Template'!$C:$C,L$6))</f>
        <v>#N/A</v>
      </c>
      <c r="M23" s="115" t="e">
        <f>IF(SUMIFS('RC Template'!$AW:$AW,'RC Template'!$B:$B,$A23,'RC Template'!$C:$C,M$6)=0,#N/A,SUMIFS('RC Template'!$AW:$AW,'RC Template'!$B:$B,$A23,'RC Template'!$C:$C,M$6))</f>
        <v>#N/A</v>
      </c>
      <c r="N23" s="115" t="e">
        <f>IF(SUMIFS('RC Template'!$AW:$AW,'RC Template'!$B:$B,$A23,'RC Template'!$C:$C,N$6)=0,#N/A,SUMIFS('RC Template'!$AW:$AW,'RC Template'!$B:$B,$A23,'RC Template'!$C:$C,N$6))</f>
        <v>#N/A</v>
      </c>
      <c r="O23" s="115" t="e">
        <f>IF(SUMIFS('RC Template'!$AW:$AW,'RC Template'!$B:$B,$A23,'RC Template'!$C:$C,O$6)=0,#N/A,SUMIFS('RC Template'!$AW:$AW,'RC Template'!$B:$B,$A23,'RC Template'!$C:$C,O$6))</f>
        <v>#N/A</v>
      </c>
      <c r="P23" s="115" t="e">
        <f>IF(SUMIFS('RC Template'!$AW:$AW,'RC Template'!$B:$B,$A23,'RC Template'!$C:$C,P$6)=0,#N/A,SUMIFS('RC Template'!$AW:$AW,'RC Template'!$B:$B,$A23,'RC Template'!$C:$C,P$6))</f>
        <v>#N/A</v>
      </c>
      <c r="Q23" s="115">
        <f ca="1">MAX(SUMIFS('RC Template'!$AW:$AW,'RC Template'!$B:$B,$A23,'RC Template'!$C:$C,Q$6),Q22*$E$3)</f>
        <v>166.71728720035915</v>
      </c>
      <c r="R23" s="115">
        <f ca="1">MAX(SUMIFS('RC Template'!$AW:$AW,'RC Template'!$B:$B,$A23,'RC Template'!$C:$C,R$6),R22*$E$3)</f>
        <v>30.626513433712606</v>
      </c>
      <c r="S23" s="115">
        <f ca="1">MAX(SUMIFS('RC Template'!$AW:$AW,'RC Template'!$B:$B,$A23,'RC Template'!$C:$C,S$6),S22*$E$3)</f>
        <v>68.858438544635305</v>
      </c>
      <c r="T23" s="115">
        <f ca="1">MAX(SUMIFS('RC Template'!$AW:$AW,'RC Template'!$B:$B,$A23,'RC Template'!$C:$C,T$6),T22*$E$3)</f>
        <v>31.985621574648253</v>
      </c>
      <c r="U23" s="115">
        <f ca="1">MAX(SUMIFS('RC Template'!$AW:$AW,'RC Template'!$B:$B,$A23,'RC Template'!$C:$C,U$6),U22*$E$3)</f>
        <v>68.022948730615539</v>
      </c>
      <c r="V23" s="115">
        <f ca="1">MAX(SUMIFS('RC Template'!$AW:$AW,'RC Template'!$B:$B,$A23,'RC Template'!$C:$C,V$6),V22*$E$3)</f>
        <v>36.5625</v>
      </c>
      <c r="W23" s="115">
        <f ca="1">MAX(SUMIFS('RC Template'!$AW:$AW,'RC Template'!$B:$B,$A23,'RC Template'!$C:$C,W$6),W22*$E$3)</f>
        <v>0</v>
      </c>
      <c r="X23" s="115">
        <f ca="1">MAX(SUMIFS('RC Template'!$AW:$AW,'RC Template'!$B:$B,$A23,'RC Template'!$C:$C,X$6),X22*$E$3)</f>
        <v>0</v>
      </c>
      <c r="Y23" s="115">
        <f ca="1">MAX(SUMIFS('RC Template'!$AW:$AW,'RC Template'!$B:$B,$A23,'RC Template'!$C:$C,Y$6),Y22*$E$3)</f>
        <v>0</v>
      </c>
      <c r="Z23" s="115">
        <f ca="1">MAX(SUMIFS('RC Template'!$AW:$AW,'RC Template'!$B:$B,$A23,'RC Template'!$C:$C,Z$6),Z22*$E$3)</f>
        <v>0</v>
      </c>
      <c r="AA23" s="115">
        <f ca="1">MAX(SUMIFS('RC Template'!$AW:$AW,'RC Template'!$B:$B,$A23,'RC Template'!$C:$C,AA$6),AA22*$E$3)</f>
        <v>0</v>
      </c>
      <c r="AB23" s="115">
        <f ca="1">MAX(SUMIFS('RC Template'!$AW:$AW,'RC Template'!$B:$B,$A23,'RC Template'!$C:$C,AB$6),AB22*$E$3)</f>
        <v>0</v>
      </c>
      <c r="AC23" s="115">
        <f ca="1">MAX(SUMIFS('RC Template'!$AW:$AW,'RC Template'!$B:$B,$A23,'RC Template'!$C:$C,AC$6),AC22*$E$3)</f>
        <v>0</v>
      </c>
      <c r="AD23" s="115">
        <f ca="1">MAX(SUMIFS('RC Template'!$AW:$AW,'RC Template'!$B:$B,$A23,'RC Template'!$C:$C,AD$6),AD22*$E$3)</f>
        <v>0</v>
      </c>
    </row>
    <row r="24" spans="1:30" x14ac:dyDescent="0.3">
      <c r="A24" s="1">
        <v>43123</v>
      </c>
      <c r="B24" s="115">
        <f t="shared" ca="1" si="1"/>
        <v>392.7039767468716</v>
      </c>
      <c r="C24" s="115" t="e">
        <f>IF(SUMIFS('RC Template'!$AW:$AW,'RC Template'!$B:$B,$A24,'RC Template'!$C:$C,C$6)=0,#N/A,SUMIFS('RC Template'!$AW:$AW,'RC Template'!$B:$B,$A24,'RC Template'!$C:$C,C$6))</f>
        <v>#N/A</v>
      </c>
      <c r="D24" s="115" t="e">
        <f>IF(SUMIFS('RC Template'!$AW:$AW,'RC Template'!$B:$B,$A24,'RC Template'!$C:$C,D$6)=0,#N/A,SUMIFS('RC Template'!$AW:$AW,'RC Template'!$B:$B,$A24,'RC Template'!$C:$C,D$6))</f>
        <v>#N/A</v>
      </c>
      <c r="E24" s="115" t="e">
        <f>IF(SUMIFS('RC Template'!$AW:$AW,'RC Template'!$B:$B,$A24,'RC Template'!$C:$C,E$6)=0,#N/A,SUMIFS('RC Template'!$AW:$AW,'RC Template'!$B:$B,$A24,'RC Template'!$C:$C,E$6))</f>
        <v>#N/A</v>
      </c>
      <c r="F24" s="115" t="e">
        <f>IF(SUMIFS('RC Template'!$AW:$AW,'RC Template'!$B:$B,$A24,'RC Template'!$C:$C,F$6)=0,#N/A,SUMIFS('RC Template'!$AW:$AW,'RC Template'!$B:$B,$A24,'RC Template'!$C:$C,F$6))</f>
        <v>#N/A</v>
      </c>
      <c r="G24" s="115" t="e">
        <f>IF(SUMIFS('RC Template'!$AW:$AW,'RC Template'!$B:$B,$A24,'RC Template'!$C:$C,G$6)=0,#N/A,SUMIFS('RC Template'!$AW:$AW,'RC Template'!$B:$B,$A24,'RC Template'!$C:$C,G$6))</f>
        <v>#N/A</v>
      </c>
      <c r="H24" s="115" t="e">
        <f>IF(SUMIFS('RC Template'!$AW:$AW,'RC Template'!$B:$B,$A24,'RC Template'!$C:$C,H$6)=0,#N/A,SUMIFS('RC Template'!$AW:$AW,'RC Template'!$B:$B,$A24,'RC Template'!$C:$C,H$6))</f>
        <v>#N/A</v>
      </c>
      <c r="I24" s="115" t="e">
        <f>IF(SUMIFS('RC Template'!$AW:$AW,'RC Template'!$B:$B,$A24,'RC Template'!$C:$C,I$6)=0,#N/A,SUMIFS('RC Template'!$AW:$AW,'RC Template'!$B:$B,$A24,'RC Template'!$C:$C,I$6))</f>
        <v>#N/A</v>
      </c>
      <c r="J24" s="115" t="e">
        <f>IF(SUMIFS('RC Template'!$AW:$AW,'RC Template'!$B:$B,$A24,'RC Template'!$C:$C,J$6)=0,#N/A,SUMIFS('RC Template'!$AW:$AW,'RC Template'!$B:$B,$A24,'RC Template'!$C:$C,J$6))</f>
        <v>#N/A</v>
      </c>
      <c r="K24" s="115" t="e">
        <f>IF(SUMIFS('RC Template'!$AW:$AW,'RC Template'!$B:$B,$A24,'RC Template'!$C:$C,K$6)=0,#N/A,SUMIFS('RC Template'!$AW:$AW,'RC Template'!$B:$B,$A24,'RC Template'!$C:$C,K$6))</f>
        <v>#N/A</v>
      </c>
      <c r="L24" s="115" t="e">
        <f>IF(SUMIFS('RC Template'!$AW:$AW,'RC Template'!$B:$B,$A24,'RC Template'!$C:$C,L$6)=0,#N/A,SUMIFS('RC Template'!$AW:$AW,'RC Template'!$B:$B,$A24,'RC Template'!$C:$C,L$6))</f>
        <v>#N/A</v>
      </c>
      <c r="M24" s="115" t="e">
        <f>IF(SUMIFS('RC Template'!$AW:$AW,'RC Template'!$B:$B,$A24,'RC Template'!$C:$C,M$6)=0,#N/A,SUMIFS('RC Template'!$AW:$AW,'RC Template'!$B:$B,$A24,'RC Template'!$C:$C,M$6))</f>
        <v>#N/A</v>
      </c>
      <c r="N24" s="115" t="e">
        <f>IF(SUMIFS('RC Template'!$AW:$AW,'RC Template'!$B:$B,$A24,'RC Template'!$C:$C,N$6)=0,#N/A,SUMIFS('RC Template'!$AW:$AW,'RC Template'!$B:$B,$A24,'RC Template'!$C:$C,N$6))</f>
        <v>#N/A</v>
      </c>
      <c r="O24" s="115" t="e">
        <f>IF(SUMIFS('RC Template'!$AW:$AW,'RC Template'!$B:$B,$A24,'RC Template'!$C:$C,O$6)=0,#N/A,SUMIFS('RC Template'!$AW:$AW,'RC Template'!$B:$B,$A24,'RC Template'!$C:$C,O$6))</f>
        <v>#N/A</v>
      </c>
      <c r="P24" s="115" t="e">
        <f>IF(SUMIFS('RC Template'!$AW:$AW,'RC Template'!$B:$B,$A24,'RC Template'!$C:$C,P$6)=0,#N/A,SUMIFS('RC Template'!$AW:$AW,'RC Template'!$B:$B,$A24,'RC Template'!$C:$C,P$6))</f>
        <v>#N/A</v>
      </c>
      <c r="Q24" s="115">
        <f ca="1">MAX(SUMIFS('RC Template'!$AW:$AW,'RC Template'!$B:$B,$A24,'RC Template'!$C:$C,Q$6),Q23*$E$3)</f>
        <v>162.54935502035016</v>
      </c>
      <c r="R24" s="115">
        <f ca="1">MAX(SUMIFS('RC Template'!$AW:$AW,'RC Template'!$B:$B,$A24,'RC Template'!$C:$C,R$6),R23*$E$3)</f>
        <v>29.860850597869792</v>
      </c>
      <c r="S24" s="115">
        <f ca="1">MAX(SUMIFS('RC Template'!$AW:$AW,'RC Template'!$B:$B,$A24,'RC Template'!$C:$C,S$6),S23*$E$3)</f>
        <v>67.136977581019423</v>
      </c>
      <c r="T24" s="115">
        <f ca="1">MAX(SUMIFS('RC Template'!$AW:$AW,'RC Template'!$B:$B,$A24,'RC Template'!$C:$C,T$6),T23*$E$3)</f>
        <v>31.185981035282044</v>
      </c>
      <c r="U24" s="115">
        <f ca="1">MAX(SUMIFS('RC Template'!$AW:$AW,'RC Template'!$B:$B,$A24,'RC Template'!$C:$C,U$6),U23*$E$3)</f>
        <v>66.32237501235015</v>
      </c>
      <c r="V24" s="115">
        <f ca="1">MAX(SUMIFS('RC Template'!$AW:$AW,'RC Template'!$B:$B,$A24,'RC Template'!$C:$C,V$6),V23*$E$3)</f>
        <v>35.6484375</v>
      </c>
      <c r="W24" s="115">
        <f ca="1">MAX(SUMIFS('RC Template'!$AW:$AW,'RC Template'!$B:$B,$A24,'RC Template'!$C:$C,W$6),W23*$E$3)</f>
        <v>0</v>
      </c>
      <c r="X24" s="115">
        <f ca="1">MAX(SUMIFS('RC Template'!$AW:$AW,'RC Template'!$B:$B,$A24,'RC Template'!$C:$C,X$6),X23*$E$3)</f>
        <v>0</v>
      </c>
      <c r="Y24" s="115">
        <f ca="1">MAX(SUMIFS('RC Template'!$AW:$AW,'RC Template'!$B:$B,$A24,'RC Template'!$C:$C,Y$6),Y23*$E$3)</f>
        <v>0</v>
      </c>
      <c r="Z24" s="115">
        <f ca="1">MAX(SUMIFS('RC Template'!$AW:$AW,'RC Template'!$B:$B,$A24,'RC Template'!$C:$C,Z$6),Z23*$E$3)</f>
        <v>0</v>
      </c>
      <c r="AA24" s="115">
        <f ca="1">MAX(SUMIFS('RC Template'!$AW:$AW,'RC Template'!$B:$B,$A24,'RC Template'!$C:$C,AA$6),AA23*$E$3)</f>
        <v>0</v>
      </c>
      <c r="AB24" s="115">
        <f ca="1">MAX(SUMIFS('RC Template'!$AW:$AW,'RC Template'!$B:$B,$A24,'RC Template'!$C:$C,AB$6),AB23*$E$3)</f>
        <v>0</v>
      </c>
      <c r="AC24" s="115">
        <f ca="1">MAX(SUMIFS('RC Template'!$AW:$AW,'RC Template'!$B:$B,$A24,'RC Template'!$C:$C,AC$6),AC23*$E$3)</f>
        <v>0</v>
      </c>
      <c r="AD24" s="115">
        <f ca="1">MAX(SUMIFS('RC Template'!$AW:$AW,'RC Template'!$B:$B,$A24,'RC Template'!$C:$C,AD$6),AD23*$E$3)</f>
        <v>0</v>
      </c>
    </row>
    <row r="25" spans="1:30" x14ac:dyDescent="0.3">
      <c r="A25" s="1">
        <v>43124</v>
      </c>
      <c r="B25" s="115">
        <f t="shared" ca="1" si="1"/>
        <v>462.99728007838752</v>
      </c>
      <c r="C25" s="115">
        <f ca="1">IF(SUMIFS('RC Template'!$AW:$AW,'RC Template'!$B:$B,$A25,'RC Template'!$C:$C,C$6)=0,#N/A,SUMIFS('RC Template'!$AW:$AW,'RC Template'!$B:$B,$A25,'RC Template'!$C:$C,C$6))</f>
        <v>196.8162483561054</v>
      </c>
      <c r="D25" s="115">
        <f ca="1">IF(SUMIFS('RC Template'!$AW:$AW,'RC Template'!$B:$B,$A25,'RC Template'!$C:$C,D$6)=0,#N/A,SUMIFS('RC Template'!$AW:$AW,'RC Template'!$B:$B,$A25,'RC Template'!$C:$C,D$6))</f>
        <v>56.807964051344015</v>
      </c>
      <c r="E25" s="115" t="e">
        <f>IF(SUMIFS('RC Template'!$AW:$AW,'RC Template'!$B:$B,$A25,'RC Template'!$C:$C,E$6)=0,#N/A,SUMIFS('RC Template'!$AW:$AW,'RC Template'!$B:$B,$A25,'RC Template'!$C:$C,E$6))</f>
        <v>#N/A</v>
      </c>
      <c r="F25" s="115" t="e">
        <f>IF(SUMIFS('RC Template'!$AW:$AW,'RC Template'!$B:$B,$A25,'RC Template'!$C:$C,F$6)=0,#N/A,SUMIFS('RC Template'!$AW:$AW,'RC Template'!$B:$B,$A25,'RC Template'!$C:$C,F$6))</f>
        <v>#N/A</v>
      </c>
      <c r="G25" s="115">
        <f ca="1">IF(SUMIFS('RC Template'!$AW:$AW,'RC Template'!$B:$B,$A25,'RC Template'!$C:$C,G$6)=0,#N/A,SUMIFS('RC Template'!$AW:$AW,'RC Template'!$B:$B,$A25,'RC Template'!$C:$C,G$6))</f>
        <v>78.750956457544135</v>
      </c>
      <c r="H25" s="115" t="e">
        <f>IF(SUMIFS('RC Template'!$AW:$AW,'RC Template'!$B:$B,$A25,'RC Template'!$C:$C,H$6)=0,#N/A,SUMIFS('RC Template'!$AW:$AW,'RC Template'!$B:$B,$A25,'RC Template'!$C:$C,H$6))</f>
        <v>#N/A</v>
      </c>
      <c r="I25" s="115" t="e">
        <f>IF(SUMIFS('RC Template'!$AW:$AW,'RC Template'!$B:$B,$A25,'RC Template'!$C:$C,I$6)=0,#N/A,SUMIFS('RC Template'!$AW:$AW,'RC Template'!$B:$B,$A25,'RC Template'!$C:$C,I$6))</f>
        <v>#N/A</v>
      </c>
      <c r="J25" s="115" t="e">
        <f>IF(SUMIFS('RC Template'!$AW:$AW,'RC Template'!$B:$B,$A25,'RC Template'!$C:$C,J$6)=0,#N/A,SUMIFS('RC Template'!$AW:$AW,'RC Template'!$B:$B,$A25,'RC Template'!$C:$C,J$6))</f>
        <v>#N/A</v>
      </c>
      <c r="K25" s="115" t="e">
        <f>IF(SUMIFS('RC Template'!$AW:$AW,'RC Template'!$B:$B,$A25,'RC Template'!$C:$C,K$6)=0,#N/A,SUMIFS('RC Template'!$AW:$AW,'RC Template'!$B:$B,$A25,'RC Template'!$C:$C,K$6))</f>
        <v>#N/A</v>
      </c>
      <c r="L25" s="115" t="e">
        <f>IF(SUMIFS('RC Template'!$AW:$AW,'RC Template'!$B:$B,$A25,'RC Template'!$C:$C,L$6)=0,#N/A,SUMIFS('RC Template'!$AW:$AW,'RC Template'!$B:$B,$A25,'RC Template'!$C:$C,L$6))</f>
        <v>#N/A</v>
      </c>
      <c r="M25" s="115" t="e">
        <f>IF(SUMIFS('RC Template'!$AW:$AW,'RC Template'!$B:$B,$A25,'RC Template'!$C:$C,M$6)=0,#N/A,SUMIFS('RC Template'!$AW:$AW,'RC Template'!$B:$B,$A25,'RC Template'!$C:$C,M$6))</f>
        <v>#N/A</v>
      </c>
      <c r="N25" s="115" t="e">
        <f>IF(SUMIFS('RC Template'!$AW:$AW,'RC Template'!$B:$B,$A25,'RC Template'!$C:$C,N$6)=0,#N/A,SUMIFS('RC Template'!$AW:$AW,'RC Template'!$B:$B,$A25,'RC Template'!$C:$C,N$6))</f>
        <v>#N/A</v>
      </c>
      <c r="O25" s="115" t="e">
        <f>IF(SUMIFS('RC Template'!$AW:$AW,'RC Template'!$B:$B,$A25,'RC Template'!$C:$C,O$6)=0,#N/A,SUMIFS('RC Template'!$AW:$AW,'RC Template'!$B:$B,$A25,'RC Template'!$C:$C,O$6))</f>
        <v>#N/A</v>
      </c>
      <c r="P25" s="115" t="e">
        <f>IF(SUMIFS('RC Template'!$AW:$AW,'RC Template'!$B:$B,$A25,'RC Template'!$C:$C,P$6)=0,#N/A,SUMIFS('RC Template'!$AW:$AW,'RC Template'!$B:$B,$A25,'RC Template'!$C:$C,P$6))</f>
        <v>#N/A</v>
      </c>
      <c r="Q25" s="115">
        <f ca="1">MAX(SUMIFS('RC Template'!$AW:$AW,'RC Template'!$B:$B,$A25,'RC Template'!$C:$C,Q$6),Q24*$E$3)</f>
        <v>196.8162483561054</v>
      </c>
      <c r="R25" s="115">
        <f ca="1">MAX(SUMIFS('RC Template'!$AW:$AW,'RC Template'!$B:$B,$A25,'RC Template'!$C:$C,R$6),R24*$E$3)</f>
        <v>56.807964051344015</v>
      </c>
      <c r="S25" s="115">
        <f ca="1">MAX(SUMIFS('RC Template'!$AW:$AW,'RC Template'!$B:$B,$A25,'RC Template'!$C:$C,S$6),S24*$E$3)</f>
        <v>65.458553141493937</v>
      </c>
      <c r="T25" s="115">
        <f ca="1">MAX(SUMIFS('RC Template'!$AW:$AW,'RC Template'!$B:$B,$A25,'RC Template'!$C:$C,T$6),T24*$E$3)</f>
        <v>30.40633150939999</v>
      </c>
      <c r="U25" s="115">
        <f ca="1">MAX(SUMIFS('RC Template'!$AW:$AW,'RC Template'!$B:$B,$A25,'RC Template'!$C:$C,U$6),U24*$E$3)</f>
        <v>78.750956457544135</v>
      </c>
      <c r="V25" s="115">
        <f ca="1">MAX(SUMIFS('RC Template'!$AW:$AW,'RC Template'!$B:$B,$A25,'RC Template'!$C:$C,V$6),V24*$E$3)</f>
        <v>34.757226562500001</v>
      </c>
      <c r="W25" s="115">
        <f ca="1">MAX(SUMIFS('RC Template'!$AW:$AW,'RC Template'!$B:$B,$A25,'RC Template'!$C:$C,W$6),W24*$E$3)</f>
        <v>0</v>
      </c>
      <c r="X25" s="115">
        <f ca="1">MAX(SUMIFS('RC Template'!$AW:$AW,'RC Template'!$B:$B,$A25,'RC Template'!$C:$C,X$6),X24*$E$3)</f>
        <v>0</v>
      </c>
      <c r="Y25" s="115">
        <f ca="1">MAX(SUMIFS('RC Template'!$AW:$AW,'RC Template'!$B:$B,$A25,'RC Template'!$C:$C,Y$6),Y24*$E$3)</f>
        <v>0</v>
      </c>
      <c r="Z25" s="115">
        <f ca="1">MAX(SUMIFS('RC Template'!$AW:$AW,'RC Template'!$B:$B,$A25,'RC Template'!$C:$C,Z$6),Z24*$E$3)</f>
        <v>0</v>
      </c>
      <c r="AA25" s="115">
        <f ca="1">MAX(SUMIFS('RC Template'!$AW:$AW,'RC Template'!$B:$B,$A25,'RC Template'!$C:$C,AA$6),AA24*$E$3)</f>
        <v>0</v>
      </c>
      <c r="AB25" s="115">
        <f ca="1">MAX(SUMIFS('RC Template'!$AW:$AW,'RC Template'!$B:$B,$A25,'RC Template'!$C:$C,AB$6),AB24*$E$3)</f>
        <v>0</v>
      </c>
      <c r="AC25" s="115">
        <f ca="1">MAX(SUMIFS('RC Template'!$AW:$AW,'RC Template'!$B:$B,$A25,'RC Template'!$C:$C,AC$6),AC24*$E$3)</f>
        <v>0</v>
      </c>
      <c r="AD25" s="115">
        <f ca="1">MAX(SUMIFS('RC Template'!$AW:$AW,'RC Template'!$B:$B,$A25,'RC Template'!$C:$C,AD$6),AD24*$E$3)</f>
        <v>0</v>
      </c>
    </row>
    <row r="26" spans="1:30" x14ac:dyDescent="0.3">
      <c r="A26" s="1">
        <v>43125</v>
      </c>
      <c r="B26" s="115">
        <f t="shared" ca="1" si="1"/>
        <v>451.42234807642774</v>
      </c>
      <c r="C26" s="115" t="e">
        <f>IF(SUMIFS('RC Template'!$AW:$AW,'RC Template'!$B:$B,$A26,'RC Template'!$C:$C,C$6)=0,#N/A,SUMIFS('RC Template'!$AW:$AW,'RC Template'!$B:$B,$A26,'RC Template'!$C:$C,C$6))</f>
        <v>#N/A</v>
      </c>
      <c r="D26" s="115" t="e">
        <f>IF(SUMIFS('RC Template'!$AW:$AW,'RC Template'!$B:$B,$A26,'RC Template'!$C:$C,D$6)=0,#N/A,SUMIFS('RC Template'!$AW:$AW,'RC Template'!$B:$B,$A26,'RC Template'!$C:$C,D$6))</f>
        <v>#N/A</v>
      </c>
      <c r="E26" s="115" t="e">
        <f>IF(SUMIFS('RC Template'!$AW:$AW,'RC Template'!$B:$B,$A26,'RC Template'!$C:$C,E$6)=0,#N/A,SUMIFS('RC Template'!$AW:$AW,'RC Template'!$B:$B,$A26,'RC Template'!$C:$C,E$6))</f>
        <v>#N/A</v>
      </c>
      <c r="F26" s="115" t="e">
        <f>IF(SUMIFS('RC Template'!$AW:$AW,'RC Template'!$B:$B,$A26,'RC Template'!$C:$C,F$6)=0,#N/A,SUMIFS('RC Template'!$AW:$AW,'RC Template'!$B:$B,$A26,'RC Template'!$C:$C,F$6))</f>
        <v>#N/A</v>
      </c>
      <c r="G26" s="115" t="e">
        <f>IF(SUMIFS('RC Template'!$AW:$AW,'RC Template'!$B:$B,$A26,'RC Template'!$C:$C,G$6)=0,#N/A,SUMIFS('RC Template'!$AW:$AW,'RC Template'!$B:$B,$A26,'RC Template'!$C:$C,G$6))</f>
        <v>#N/A</v>
      </c>
      <c r="H26" s="115" t="e">
        <f>IF(SUMIFS('RC Template'!$AW:$AW,'RC Template'!$B:$B,$A26,'RC Template'!$C:$C,H$6)=0,#N/A,SUMIFS('RC Template'!$AW:$AW,'RC Template'!$B:$B,$A26,'RC Template'!$C:$C,H$6))</f>
        <v>#N/A</v>
      </c>
      <c r="I26" s="115" t="e">
        <f>IF(SUMIFS('RC Template'!$AW:$AW,'RC Template'!$B:$B,$A26,'RC Template'!$C:$C,I$6)=0,#N/A,SUMIFS('RC Template'!$AW:$AW,'RC Template'!$B:$B,$A26,'RC Template'!$C:$C,I$6))</f>
        <v>#N/A</v>
      </c>
      <c r="J26" s="115" t="e">
        <f>IF(SUMIFS('RC Template'!$AW:$AW,'RC Template'!$B:$B,$A26,'RC Template'!$C:$C,J$6)=0,#N/A,SUMIFS('RC Template'!$AW:$AW,'RC Template'!$B:$B,$A26,'RC Template'!$C:$C,J$6))</f>
        <v>#N/A</v>
      </c>
      <c r="K26" s="115" t="e">
        <f>IF(SUMIFS('RC Template'!$AW:$AW,'RC Template'!$B:$B,$A26,'RC Template'!$C:$C,K$6)=0,#N/A,SUMIFS('RC Template'!$AW:$AW,'RC Template'!$B:$B,$A26,'RC Template'!$C:$C,K$6))</f>
        <v>#N/A</v>
      </c>
      <c r="L26" s="115" t="e">
        <f>IF(SUMIFS('RC Template'!$AW:$AW,'RC Template'!$B:$B,$A26,'RC Template'!$C:$C,L$6)=0,#N/A,SUMIFS('RC Template'!$AW:$AW,'RC Template'!$B:$B,$A26,'RC Template'!$C:$C,L$6))</f>
        <v>#N/A</v>
      </c>
      <c r="M26" s="115" t="e">
        <f>IF(SUMIFS('RC Template'!$AW:$AW,'RC Template'!$B:$B,$A26,'RC Template'!$C:$C,M$6)=0,#N/A,SUMIFS('RC Template'!$AW:$AW,'RC Template'!$B:$B,$A26,'RC Template'!$C:$C,M$6))</f>
        <v>#N/A</v>
      </c>
      <c r="N26" s="115" t="e">
        <f>IF(SUMIFS('RC Template'!$AW:$AW,'RC Template'!$B:$B,$A26,'RC Template'!$C:$C,N$6)=0,#N/A,SUMIFS('RC Template'!$AW:$AW,'RC Template'!$B:$B,$A26,'RC Template'!$C:$C,N$6))</f>
        <v>#N/A</v>
      </c>
      <c r="O26" s="115" t="e">
        <f>IF(SUMIFS('RC Template'!$AW:$AW,'RC Template'!$B:$B,$A26,'RC Template'!$C:$C,O$6)=0,#N/A,SUMIFS('RC Template'!$AW:$AW,'RC Template'!$B:$B,$A26,'RC Template'!$C:$C,O$6))</f>
        <v>#N/A</v>
      </c>
      <c r="P26" s="115" t="e">
        <f>IF(SUMIFS('RC Template'!$AW:$AW,'RC Template'!$B:$B,$A26,'RC Template'!$C:$C,P$6)=0,#N/A,SUMIFS('RC Template'!$AW:$AW,'RC Template'!$B:$B,$A26,'RC Template'!$C:$C,P$6))</f>
        <v>#N/A</v>
      </c>
      <c r="Q26" s="115">
        <f ca="1">MAX(SUMIFS('RC Template'!$AW:$AW,'RC Template'!$B:$B,$A26,'RC Template'!$C:$C,Q$6),Q25*$E$3)</f>
        <v>191.89584214720276</v>
      </c>
      <c r="R26" s="115">
        <f ca="1">MAX(SUMIFS('RC Template'!$AW:$AW,'RC Template'!$B:$B,$A26,'RC Template'!$C:$C,R$6),R25*$E$3)</f>
        <v>55.387764950060415</v>
      </c>
      <c r="S26" s="115">
        <f ca="1">MAX(SUMIFS('RC Template'!$AW:$AW,'RC Template'!$B:$B,$A26,'RC Template'!$C:$C,S$6),S25*$E$3)</f>
        <v>63.822089312956585</v>
      </c>
      <c r="T26" s="115">
        <f ca="1">MAX(SUMIFS('RC Template'!$AW:$AW,'RC Template'!$B:$B,$A26,'RC Template'!$C:$C,T$6),T25*$E$3)</f>
        <v>29.646173221664991</v>
      </c>
      <c r="U26" s="115">
        <f ca="1">MAX(SUMIFS('RC Template'!$AW:$AW,'RC Template'!$B:$B,$A26,'RC Template'!$C:$C,U$6),U25*$E$3)</f>
        <v>76.782182546105531</v>
      </c>
      <c r="V26" s="115">
        <f ca="1">MAX(SUMIFS('RC Template'!$AW:$AW,'RC Template'!$B:$B,$A26,'RC Template'!$C:$C,V$6),V25*$E$3)</f>
        <v>33.888295898437498</v>
      </c>
      <c r="W26" s="115">
        <f ca="1">MAX(SUMIFS('RC Template'!$AW:$AW,'RC Template'!$B:$B,$A26,'RC Template'!$C:$C,W$6),W25*$E$3)</f>
        <v>0</v>
      </c>
      <c r="X26" s="115">
        <f ca="1">MAX(SUMIFS('RC Template'!$AW:$AW,'RC Template'!$B:$B,$A26,'RC Template'!$C:$C,X$6),X25*$E$3)</f>
        <v>0</v>
      </c>
      <c r="Y26" s="115">
        <f ca="1">MAX(SUMIFS('RC Template'!$AW:$AW,'RC Template'!$B:$B,$A26,'RC Template'!$C:$C,Y$6),Y25*$E$3)</f>
        <v>0</v>
      </c>
      <c r="Z26" s="115">
        <f ca="1">MAX(SUMIFS('RC Template'!$AW:$AW,'RC Template'!$B:$B,$A26,'RC Template'!$C:$C,Z$6),Z25*$E$3)</f>
        <v>0</v>
      </c>
      <c r="AA26" s="115">
        <f ca="1">MAX(SUMIFS('RC Template'!$AW:$AW,'RC Template'!$B:$B,$A26,'RC Template'!$C:$C,AA$6),AA25*$E$3)</f>
        <v>0</v>
      </c>
      <c r="AB26" s="115">
        <f ca="1">MAX(SUMIFS('RC Template'!$AW:$AW,'RC Template'!$B:$B,$A26,'RC Template'!$C:$C,AB$6),AB25*$E$3)</f>
        <v>0</v>
      </c>
      <c r="AC26" s="115">
        <f ca="1">MAX(SUMIFS('RC Template'!$AW:$AW,'RC Template'!$B:$B,$A26,'RC Template'!$C:$C,AC$6),AC25*$E$3)</f>
        <v>0</v>
      </c>
      <c r="AD26" s="115">
        <f ca="1">MAX(SUMIFS('RC Template'!$AW:$AW,'RC Template'!$B:$B,$A26,'RC Template'!$C:$C,AD$6),AD25*$E$3)</f>
        <v>0</v>
      </c>
    </row>
    <row r="27" spans="1:30" x14ac:dyDescent="0.3">
      <c r="A27" s="1">
        <v>43126</v>
      </c>
      <c r="B27" s="115">
        <f t="shared" ca="1" si="1"/>
        <v>512.02041745952965</v>
      </c>
      <c r="C27" s="115">
        <f ca="1">IF(SUMIFS('RC Template'!$AW:$AW,'RC Template'!$B:$B,$A27,'RC Template'!$C:$C,C$6)=0,#N/A,SUMIFS('RC Template'!$AW:$AW,'RC Template'!$B:$B,$A27,'RC Template'!$C:$C,C$6))</f>
        <v>245.88728980831175</v>
      </c>
      <c r="D27" s="115" t="e">
        <f>IF(SUMIFS('RC Template'!$AW:$AW,'RC Template'!$B:$B,$A27,'RC Template'!$C:$C,D$6)=0,#N/A,SUMIFS('RC Template'!$AW:$AW,'RC Template'!$B:$B,$A27,'RC Template'!$C:$C,D$6))</f>
        <v>#N/A</v>
      </c>
      <c r="E27" s="115" t="e">
        <f>IF(SUMIFS('RC Template'!$AW:$AW,'RC Template'!$B:$B,$A27,'RC Template'!$C:$C,E$6)=0,#N/A,SUMIFS('RC Template'!$AW:$AW,'RC Template'!$B:$B,$A27,'RC Template'!$C:$C,E$6))</f>
        <v>#N/A</v>
      </c>
      <c r="F27" s="115" t="e">
        <f>IF(SUMIFS('RC Template'!$AW:$AW,'RC Template'!$B:$B,$A27,'RC Template'!$C:$C,F$6)=0,#N/A,SUMIFS('RC Template'!$AW:$AW,'RC Template'!$B:$B,$A27,'RC Template'!$C:$C,F$6))</f>
        <v>#N/A</v>
      </c>
      <c r="G27" s="115" t="e">
        <f>IF(SUMIFS('RC Template'!$AW:$AW,'RC Template'!$B:$B,$A27,'RC Template'!$C:$C,G$6)=0,#N/A,SUMIFS('RC Template'!$AW:$AW,'RC Template'!$B:$B,$A27,'RC Template'!$C:$C,G$6))</f>
        <v>#N/A</v>
      </c>
      <c r="H27" s="115">
        <f ca="1">IF(SUMIFS('RC Template'!$AW:$AW,'RC Template'!$B:$B,$A27,'RC Template'!$C:$C,H$6)=0,#N/A,SUMIFS('RC Template'!$AW:$AW,'RC Template'!$B:$B,$A27,'RC Template'!$C:$C,H$6))</f>
        <v>46.135872871200014</v>
      </c>
      <c r="I27" s="115" t="e">
        <f>IF(SUMIFS('RC Template'!$AW:$AW,'RC Template'!$B:$B,$A27,'RC Template'!$C:$C,I$6)=0,#N/A,SUMIFS('RC Template'!$AW:$AW,'RC Template'!$B:$B,$A27,'RC Template'!$C:$C,I$6))</f>
        <v>#N/A</v>
      </c>
      <c r="J27" s="115" t="e">
        <f>IF(SUMIFS('RC Template'!$AW:$AW,'RC Template'!$B:$B,$A27,'RC Template'!$C:$C,J$6)=0,#N/A,SUMIFS('RC Template'!$AW:$AW,'RC Template'!$B:$B,$A27,'RC Template'!$C:$C,J$6))</f>
        <v>#N/A</v>
      </c>
      <c r="K27" s="115" t="e">
        <f>IF(SUMIFS('RC Template'!$AW:$AW,'RC Template'!$B:$B,$A27,'RC Template'!$C:$C,K$6)=0,#N/A,SUMIFS('RC Template'!$AW:$AW,'RC Template'!$B:$B,$A27,'RC Template'!$C:$C,K$6))</f>
        <v>#N/A</v>
      </c>
      <c r="L27" s="115" t="e">
        <f>IF(SUMIFS('RC Template'!$AW:$AW,'RC Template'!$B:$B,$A27,'RC Template'!$C:$C,L$6)=0,#N/A,SUMIFS('RC Template'!$AW:$AW,'RC Template'!$B:$B,$A27,'RC Template'!$C:$C,L$6))</f>
        <v>#N/A</v>
      </c>
      <c r="M27" s="115" t="e">
        <f>IF(SUMIFS('RC Template'!$AW:$AW,'RC Template'!$B:$B,$A27,'RC Template'!$C:$C,M$6)=0,#N/A,SUMIFS('RC Template'!$AW:$AW,'RC Template'!$B:$B,$A27,'RC Template'!$C:$C,M$6))</f>
        <v>#N/A</v>
      </c>
      <c r="N27" s="115" t="e">
        <f>IF(SUMIFS('RC Template'!$AW:$AW,'RC Template'!$B:$B,$A27,'RC Template'!$C:$C,N$6)=0,#N/A,SUMIFS('RC Template'!$AW:$AW,'RC Template'!$B:$B,$A27,'RC Template'!$C:$C,N$6))</f>
        <v>#N/A</v>
      </c>
      <c r="O27" s="115" t="e">
        <f>IF(SUMIFS('RC Template'!$AW:$AW,'RC Template'!$B:$B,$A27,'RC Template'!$C:$C,O$6)=0,#N/A,SUMIFS('RC Template'!$AW:$AW,'RC Template'!$B:$B,$A27,'RC Template'!$C:$C,O$6))</f>
        <v>#N/A</v>
      </c>
      <c r="P27" s="115" t="e">
        <f>IF(SUMIFS('RC Template'!$AW:$AW,'RC Template'!$B:$B,$A27,'RC Template'!$C:$C,P$6)=0,#N/A,SUMIFS('RC Template'!$AW:$AW,'RC Template'!$B:$B,$A27,'RC Template'!$C:$C,P$6))</f>
        <v>#N/A</v>
      </c>
      <c r="Q27" s="115">
        <f ca="1">MAX(SUMIFS('RC Template'!$AW:$AW,'RC Template'!$B:$B,$A27,'RC Template'!$C:$C,Q$6),Q26*$E$3)</f>
        <v>245.88728980831175</v>
      </c>
      <c r="R27" s="115">
        <f ca="1">MAX(SUMIFS('RC Template'!$AW:$AW,'RC Template'!$B:$B,$A27,'RC Template'!$C:$C,R$6),R26*$E$3)</f>
        <v>54.003070826308907</v>
      </c>
      <c r="S27" s="115">
        <f ca="1">MAX(SUMIFS('RC Template'!$AW:$AW,'RC Template'!$B:$B,$A27,'RC Template'!$C:$C,S$6),S26*$E$3)</f>
        <v>62.226537080132672</v>
      </c>
      <c r="T27" s="115">
        <f ca="1">MAX(SUMIFS('RC Template'!$AW:$AW,'RC Template'!$B:$B,$A27,'RC Template'!$C:$C,T$6),T26*$E$3)</f>
        <v>28.905018891123365</v>
      </c>
      <c r="U27" s="115">
        <f ca="1">MAX(SUMIFS('RC Template'!$AW:$AW,'RC Template'!$B:$B,$A27,'RC Template'!$C:$C,U$6),U26*$E$3)</f>
        <v>74.862627982452892</v>
      </c>
      <c r="V27" s="115">
        <f ca="1">MAX(SUMIFS('RC Template'!$AW:$AW,'RC Template'!$B:$B,$A27,'RC Template'!$C:$C,V$6),V26*$E$3)</f>
        <v>46.135872871200014</v>
      </c>
      <c r="W27" s="115">
        <f ca="1">MAX(SUMIFS('RC Template'!$AW:$AW,'RC Template'!$B:$B,$A27,'RC Template'!$C:$C,W$6),W26*$E$3)</f>
        <v>0</v>
      </c>
      <c r="X27" s="115">
        <f ca="1">MAX(SUMIFS('RC Template'!$AW:$AW,'RC Template'!$B:$B,$A27,'RC Template'!$C:$C,X$6),X26*$E$3)</f>
        <v>0</v>
      </c>
      <c r="Y27" s="115">
        <f ca="1">MAX(SUMIFS('RC Template'!$AW:$AW,'RC Template'!$B:$B,$A27,'RC Template'!$C:$C,Y$6),Y26*$E$3)</f>
        <v>0</v>
      </c>
      <c r="Z27" s="115">
        <f ca="1">MAX(SUMIFS('RC Template'!$AW:$AW,'RC Template'!$B:$B,$A27,'RC Template'!$C:$C,Z$6),Z26*$E$3)</f>
        <v>0</v>
      </c>
      <c r="AA27" s="115">
        <f ca="1">MAX(SUMIFS('RC Template'!$AW:$AW,'RC Template'!$B:$B,$A27,'RC Template'!$C:$C,AA$6),AA26*$E$3)</f>
        <v>0</v>
      </c>
      <c r="AB27" s="115">
        <f ca="1">MAX(SUMIFS('RC Template'!$AW:$AW,'RC Template'!$B:$B,$A27,'RC Template'!$C:$C,AB$6),AB26*$E$3)</f>
        <v>0</v>
      </c>
      <c r="AC27" s="115">
        <f ca="1">MAX(SUMIFS('RC Template'!$AW:$AW,'RC Template'!$B:$B,$A27,'RC Template'!$C:$C,AC$6),AC26*$E$3)</f>
        <v>0</v>
      </c>
      <c r="AD27" s="115">
        <f ca="1">MAX(SUMIFS('RC Template'!$AW:$AW,'RC Template'!$B:$B,$A27,'RC Template'!$C:$C,AD$6),AD26*$E$3)</f>
        <v>0</v>
      </c>
    </row>
    <row r="28" spans="1:30" x14ac:dyDescent="0.3">
      <c r="A28" s="1">
        <v>43127</v>
      </c>
      <c r="B28" s="115">
        <f t="shared" ca="1" si="1"/>
        <v>499.21990702304134</v>
      </c>
      <c r="C28" s="115" t="e">
        <f>IF(SUMIFS('RC Template'!$AW:$AW,'RC Template'!$B:$B,$A28,'RC Template'!$C:$C,C$6)=0,#N/A,SUMIFS('RC Template'!$AW:$AW,'RC Template'!$B:$B,$A28,'RC Template'!$C:$C,C$6))</f>
        <v>#N/A</v>
      </c>
      <c r="D28" s="115" t="e">
        <f>IF(SUMIFS('RC Template'!$AW:$AW,'RC Template'!$B:$B,$A28,'RC Template'!$C:$C,D$6)=0,#N/A,SUMIFS('RC Template'!$AW:$AW,'RC Template'!$B:$B,$A28,'RC Template'!$C:$C,D$6))</f>
        <v>#N/A</v>
      </c>
      <c r="E28" s="115" t="e">
        <f>IF(SUMIFS('RC Template'!$AW:$AW,'RC Template'!$B:$B,$A28,'RC Template'!$C:$C,E$6)=0,#N/A,SUMIFS('RC Template'!$AW:$AW,'RC Template'!$B:$B,$A28,'RC Template'!$C:$C,E$6))</f>
        <v>#N/A</v>
      </c>
      <c r="F28" s="115" t="e">
        <f>IF(SUMIFS('RC Template'!$AW:$AW,'RC Template'!$B:$B,$A28,'RC Template'!$C:$C,F$6)=0,#N/A,SUMIFS('RC Template'!$AW:$AW,'RC Template'!$B:$B,$A28,'RC Template'!$C:$C,F$6))</f>
        <v>#N/A</v>
      </c>
      <c r="G28" s="115" t="e">
        <f>IF(SUMIFS('RC Template'!$AW:$AW,'RC Template'!$B:$B,$A28,'RC Template'!$C:$C,G$6)=0,#N/A,SUMIFS('RC Template'!$AW:$AW,'RC Template'!$B:$B,$A28,'RC Template'!$C:$C,G$6))</f>
        <v>#N/A</v>
      </c>
      <c r="H28" s="115" t="e">
        <f>IF(SUMIFS('RC Template'!$AW:$AW,'RC Template'!$B:$B,$A28,'RC Template'!$C:$C,H$6)=0,#N/A,SUMIFS('RC Template'!$AW:$AW,'RC Template'!$B:$B,$A28,'RC Template'!$C:$C,H$6))</f>
        <v>#N/A</v>
      </c>
      <c r="I28" s="115" t="e">
        <f>IF(SUMIFS('RC Template'!$AW:$AW,'RC Template'!$B:$B,$A28,'RC Template'!$C:$C,I$6)=0,#N/A,SUMIFS('RC Template'!$AW:$AW,'RC Template'!$B:$B,$A28,'RC Template'!$C:$C,I$6))</f>
        <v>#N/A</v>
      </c>
      <c r="J28" s="115" t="e">
        <f>IF(SUMIFS('RC Template'!$AW:$AW,'RC Template'!$B:$B,$A28,'RC Template'!$C:$C,J$6)=0,#N/A,SUMIFS('RC Template'!$AW:$AW,'RC Template'!$B:$B,$A28,'RC Template'!$C:$C,J$6))</f>
        <v>#N/A</v>
      </c>
      <c r="K28" s="115" t="e">
        <f>IF(SUMIFS('RC Template'!$AW:$AW,'RC Template'!$B:$B,$A28,'RC Template'!$C:$C,K$6)=0,#N/A,SUMIFS('RC Template'!$AW:$AW,'RC Template'!$B:$B,$A28,'RC Template'!$C:$C,K$6))</f>
        <v>#N/A</v>
      </c>
      <c r="L28" s="115" t="e">
        <f>IF(SUMIFS('RC Template'!$AW:$AW,'RC Template'!$B:$B,$A28,'RC Template'!$C:$C,L$6)=0,#N/A,SUMIFS('RC Template'!$AW:$AW,'RC Template'!$B:$B,$A28,'RC Template'!$C:$C,L$6))</f>
        <v>#N/A</v>
      </c>
      <c r="M28" s="115" t="e">
        <f>IF(SUMIFS('RC Template'!$AW:$AW,'RC Template'!$B:$B,$A28,'RC Template'!$C:$C,M$6)=0,#N/A,SUMIFS('RC Template'!$AW:$AW,'RC Template'!$B:$B,$A28,'RC Template'!$C:$C,M$6))</f>
        <v>#N/A</v>
      </c>
      <c r="N28" s="115" t="e">
        <f>IF(SUMIFS('RC Template'!$AW:$AW,'RC Template'!$B:$B,$A28,'RC Template'!$C:$C,N$6)=0,#N/A,SUMIFS('RC Template'!$AW:$AW,'RC Template'!$B:$B,$A28,'RC Template'!$C:$C,N$6))</f>
        <v>#N/A</v>
      </c>
      <c r="O28" s="115" t="e">
        <f>IF(SUMIFS('RC Template'!$AW:$AW,'RC Template'!$B:$B,$A28,'RC Template'!$C:$C,O$6)=0,#N/A,SUMIFS('RC Template'!$AW:$AW,'RC Template'!$B:$B,$A28,'RC Template'!$C:$C,O$6))</f>
        <v>#N/A</v>
      </c>
      <c r="P28" s="115" t="e">
        <f>IF(SUMIFS('RC Template'!$AW:$AW,'RC Template'!$B:$B,$A28,'RC Template'!$C:$C,P$6)=0,#N/A,SUMIFS('RC Template'!$AW:$AW,'RC Template'!$B:$B,$A28,'RC Template'!$C:$C,P$6))</f>
        <v>#N/A</v>
      </c>
      <c r="Q28" s="115">
        <f ca="1">MAX(SUMIFS('RC Template'!$AW:$AW,'RC Template'!$B:$B,$A28,'RC Template'!$C:$C,Q$6),Q27*$E$3)</f>
        <v>239.74010756310395</v>
      </c>
      <c r="R28" s="115">
        <f ca="1">MAX(SUMIFS('RC Template'!$AW:$AW,'RC Template'!$B:$B,$A28,'RC Template'!$C:$C,R$6),R27*$E$3)</f>
        <v>52.652994055651185</v>
      </c>
      <c r="S28" s="115">
        <f ca="1">MAX(SUMIFS('RC Template'!$AW:$AW,'RC Template'!$B:$B,$A28,'RC Template'!$C:$C,S$6),S27*$E$3)</f>
        <v>60.670873653129355</v>
      </c>
      <c r="T28" s="115">
        <f ca="1">MAX(SUMIFS('RC Template'!$AW:$AW,'RC Template'!$B:$B,$A28,'RC Template'!$C:$C,T$6),T27*$E$3)</f>
        <v>28.18239341884528</v>
      </c>
      <c r="U28" s="115">
        <f ca="1">MAX(SUMIFS('RC Template'!$AW:$AW,'RC Template'!$B:$B,$A28,'RC Template'!$C:$C,U$6),U27*$E$3)</f>
        <v>72.991062282891562</v>
      </c>
      <c r="V28" s="115">
        <f ca="1">MAX(SUMIFS('RC Template'!$AW:$AW,'RC Template'!$B:$B,$A28,'RC Template'!$C:$C,V$6),V27*$E$3)</f>
        <v>44.982476049420015</v>
      </c>
      <c r="W28" s="115">
        <f ca="1">MAX(SUMIFS('RC Template'!$AW:$AW,'RC Template'!$B:$B,$A28,'RC Template'!$C:$C,W$6),W27*$E$3)</f>
        <v>0</v>
      </c>
      <c r="X28" s="115">
        <f ca="1">MAX(SUMIFS('RC Template'!$AW:$AW,'RC Template'!$B:$B,$A28,'RC Template'!$C:$C,X$6),X27*$E$3)</f>
        <v>0</v>
      </c>
      <c r="Y28" s="115">
        <f ca="1">MAX(SUMIFS('RC Template'!$AW:$AW,'RC Template'!$B:$B,$A28,'RC Template'!$C:$C,Y$6),Y27*$E$3)</f>
        <v>0</v>
      </c>
      <c r="Z28" s="115">
        <f ca="1">MAX(SUMIFS('RC Template'!$AW:$AW,'RC Template'!$B:$B,$A28,'RC Template'!$C:$C,Z$6),Z27*$E$3)</f>
        <v>0</v>
      </c>
      <c r="AA28" s="115">
        <f ca="1">MAX(SUMIFS('RC Template'!$AW:$AW,'RC Template'!$B:$B,$A28,'RC Template'!$C:$C,AA$6),AA27*$E$3)</f>
        <v>0</v>
      </c>
      <c r="AB28" s="115">
        <f ca="1">MAX(SUMIFS('RC Template'!$AW:$AW,'RC Template'!$B:$B,$A28,'RC Template'!$C:$C,AB$6),AB27*$E$3)</f>
        <v>0</v>
      </c>
      <c r="AC28" s="115">
        <f ca="1">MAX(SUMIFS('RC Template'!$AW:$AW,'RC Template'!$B:$B,$A28,'RC Template'!$C:$C,AC$6),AC27*$E$3)</f>
        <v>0</v>
      </c>
      <c r="AD28" s="115">
        <f ca="1">MAX(SUMIFS('RC Template'!$AW:$AW,'RC Template'!$B:$B,$A28,'RC Template'!$C:$C,AD$6),AD27*$E$3)</f>
        <v>0</v>
      </c>
    </row>
    <row r="29" spans="1:30" x14ac:dyDescent="0.3">
      <c r="A29" s="1">
        <v>43128</v>
      </c>
      <c r="B29" s="115">
        <f t="shared" ca="1" si="1"/>
        <v>642.00988558067536</v>
      </c>
      <c r="C29" s="115">
        <f ca="1">IF(SUMIFS('RC Template'!$AW:$AW,'RC Template'!$B:$B,$A29,'RC Template'!$C:$C,C$6)=0,#N/A,SUMIFS('RC Template'!$AW:$AW,'RC Template'!$B:$B,$A29,'RC Template'!$C:$C,C$6))</f>
        <v>277.15636946438019</v>
      </c>
      <c r="D29" s="115">
        <f ca="1">IF(SUMIFS('RC Template'!$AW:$AW,'RC Template'!$B:$B,$A29,'RC Template'!$C:$C,D$6)=0,#N/A,SUMIFS('RC Template'!$AW:$AW,'RC Template'!$B:$B,$A29,'RC Template'!$C:$C,D$6))</f>
        <v>55.755000000000003</v>
      </c>
      <c r="E29" s="115">
        <f ca="1">IF(SUMIFS('RC Template'!$AW:$AW,'RC Template'!$B:$B,$A29,'RC Template'!$C:$C,E$6)=0,#N/A,SUMIFS('RC Template'!$AW:$AW,'RC Template'!$B:$B,$A29,'RC Template'!$C:$C,E$6))</f>
        <v>124.54826206356827</v>
      </c>
      <c r="F29" s="115" t="e">
        <f>IF(SUMIFS('RC Template'!$AW:$AW,'RC Template'!$B:$B,$A29,'RC Template'!$C:$C,F$6)=0,#N/A,SUMIFS('RC Template'!$AW:$AW,'RC Template'!$B:$B,$A29,'RC Template'!$C:$C,F$6))</f>
        <v>#N/A</v>
      </c>
      <c r="G29" s="115">
        <f ca="1">IF(SUMIFS('RC Template'!$AW:$AW,'RC Template'!$B:$B,$A29,'RC Template'!$C:$C,G$6)=0,#N/A,SUMIFS('RC Template'!$AW:$AW,'RC Template'!$B:$B,$A29,'RC Template'!$C:$C,G$6))</f>
        <v>113.21450632116824</v>
      </c>
      <c r="H29" s="115" t="e">
        <f>IF(SUMIFS('RC Template'!$AW:$AW,'RC Template'!$B:$B,$A29,'RC Template'!$C:$C,H$6)=0,#N/A,SUMIFS('RC Template'!$AW:$AW,'RC Template'!$B:$B,$A29,'RC Template'!$C:$C,H$6))</f>
        <v>#N/A</v>
      </c>
      <c r="I29" s="115" t="e">
        <f>IF(SUMIFS('RC Template'!$AW:$AW,'RC Template'!$B:$B,$A29,'RC Template'!$C:$C,I$6)=0,#N/A,SUMIFS('RC Template'!$AW:$AW,'RC Template'!$B:$B,$A29,'RC Template'!$C:$C,I$6))</f>
        <v>#N/A</v>
      </c>
      <c r="J29" s="115" t="e">
        <f>IF(SUMIFS('RC Template'!$AW:$AW,'RC Template'!$B:$B,$A29,'RC Template'!$C:$C,J$6)=0,#N/A,SUMIFS('RC Template'!$AW:$AW,'RC Template'!$B:$B,$A29,'RC Template'!$C:$C,J$6))</f>
        <v>#N/A</v>
      </c>
      <c r="K29" s="115" t="e">
        <f>IF(SUMIFS('RC Template'!$AW:$AW,'RC Template'!$B:$B,$A29,'RC Template'!$C:$C,K$6)=0,#N/A,SUMIFS('RC Template'!$AW:$AW,'RC Template'!$B:$B,$A29,'RC Template'!$C:$C,K$6))</f>
        <v>#N/A</v>
      </c>
      <c r="L29" s="115" t="e">
        <f>IF(SUMIFS('RC Template'!$AW:$AW,'RC Template'!$B:$B,$A29,'RC Template'!$C:$C,L$6)=0,#N/A,SUMIFS('RC Template'!$AW:$AW,'RC Template'!$B:$B,$A29,'RC Template'!$C:$C,L$6))</f>
        <v>#N/A</v>
      </c>
      <c r="M29" s="115" t="e">
        <f>IF(SUMIFS('RC Template'!$AW:$AW,'RC Template'!$B:$B,$A29,'RC Template'!$C:$C,M$6)=0,#N/A,SUMIFS('RC Template'!$AW:$AW,'RC Template'!$B:$B,$A29,'RC Template'!$C:$C,M$6))</f>
        <v>#N/A</v>
      </c>
      <c r="N29" s="115" t="e">
        <f>IF(SUMIFS('RC Template'!$AW:$AW,'RC Template'!$B:$B,$A29,'RC Template'!$C:$C,N$6)=0,#N/A,SUMIFS('RC Template'!$AW:$AW,'RC Template'!$B:$B,$A29,'RC Template'!$C:$C,N$6))</f>
        <v>#N/A</v>
      </c>
      <c r="O29" s="115" t="e">
        <f>IF(SUMIFS('RC Template'!$AW:$AW,'RC Template'!$B:$B,$A29,'RC Template'!$C:$C,O$6)=0,#N/A,SUMIFS('RC Template'!$AW:$AW,'RC Template'!$B:$B,$A29,'RC Template'!$C:$C,O$6))</f>
        <v>#N/A</v>
      </c>
      <c r="P29" s="115" t="e">
        <f>IF(SUMIFS('RC Template'!$AW:$AW,'RC Template'!$B:$B,$A29,'RC Template'!$C:$C,P$6)=0,#N/A,SUMIFS('RC Template'!$AW:$AW,'RC Template'!$B:$B,$A29,'RC Template'!$C:$C,P$6))</f>
        <v>#N/A</v>
      </c>
      <c r="Q29" s="115">
        <f ca="1">MAX(SUMIFS('RC Template'!$AW:$AW,'RC Template'!$B:$B,$A29,'RC Template'!$C:$C,Q$6),Q28*$E$3)</f>
        <v>277.15636946438019</v>
      </c>
      <c r="R29" s="115">
        <f ca="1">MAX(SUMIFS('RC Template'!$AW:$AW,'RC Template'!$B:$B,$A29,'RC Template'!$C:$C,R$6),R28*$E$3)</f>
        <v>55.755000000000003</v>
      </c>
      <c r="S29" s="115">
        <f ca="1">MAX(SUMIFS('RC Template'!$AW:$AW,'RC Template'!$B:$B,$A29,'RC Template'!$C:$C,S$6),S28*$E$3)</f>
        <v>124.54826206356827</v>
      </c>
      <c r="T29" s="115">
        <f ca="1">MAX(SUMIFS('RC Template'!$AW:$AW,'RC Template'!$B:$B,$A29,'RC Template'!$C:$C,T$6),T28*$E$3)</f>
        <v>27.477833583374146</v>
      </c>
      <c r="U29" s="115">
        <f ca="1">MAX(SUMIFS('RC Template'!$AW:$AW,'RC Template'!$B:$B,$A29,'RC Template'!$C:$C,U$6),U28*$E$3)</f>
        <v>113.21450632116824</v>
      </c>
      <c r="V29" s="115">
        <f ca="1">MAX(SUMIFS('RC Template'!$AW:$AW,'RC Template'!$B:$B,$A29,'RC Template'!$C:$C,V$6),V28*$E$3)</f>
        <v>43.857914148184513</v>
      </c>
      <c r="W29" s="115">
        <f ca="1">MAX(SUMIFS('RC Template'!$AW:$AW,'RC Template'!$B:$B,$A29,'RC Template'!$C:$C,W$6),W28*$E$3)</f>
        <v>0</v>
      </c>
      <c r="X29" s="115">
        <f ca="1">MAX(SUMIFS('RC Template'!$AW:$AW,'RC Template'!$B:$B,$A29,'RC Template'!$C:$C,X$6),X28*$E$3)</f>
        <v>0</v>
      </c>
      <c r="Y29" s="115">
        <f ca="1">MAX(SUMIFS('RC Template'!$AW:$AW,'RC Template'!$B:$B,$A29,'RC Template'!$C:$C,Y$6),Y28*$E$3)</f>
        <v>0</v>
      </c>
      <c r="Z29" s="115">
        <f ca="1">MAX(SUMIFS('RC Template'!$AW:$AW,'RC Template'!$B:$B,$A29,'RC Template'!$C:$C,Z$6),Z28*$E$3)</f>
        <v>0</v>
      </c>
      <c r="AA29" s="115">
        <f ca="1">MAX(SUMIFS('RC Template'!$AW:$AW,'RC Template'!$B:$B,$A29,'RC Template'!$C:$C,AA$6),AA28*$E$3)</f>
        <v>0</v>
      </c>
      <c r="AB29" s="115">
        <f ca="1">MAX(SUMIFS('RC Template'!$AW:$AW,'RC Template'!$B:$B,$A29,'RC Template'!$C:$C,AB$6),AB28*$E$3)</f>
        <v>0</v>
      </c>
      <c r="AC29" s="115">
        <f ca="1">MAX(SUMIFS('RC Template'!$AW:$AW,'RC Template'!$B:$B,$A29,'RC Template'!$C:$C,AC$6),AC28*$E$3)</f>
        <v>0</v>
      </c>
      <c r="AD29" s="115">
        <f ca="1">MAX(SUMIFS('RC Template'!$AW:$AW,'RC Template'!$B:$B,$A29,'RC Template'!$C:$C,AD$6),AD28*$E$3)</f>
        <v>0</v>
      </c>
    </row>
    <row r="30" spans="1:30" x14ac:dyDescent="0.3">
      <c r="A30" s="1">
        <v>43129</v>
      </c>
      <c r="B30" s="115">
        <f t="shared" ca="1" si="1"/>
        <v>625.9596384411584</v>
      </c>
      <c r="C30" s="115" t="e">
        <f>IF(SUMIFS('RC Template'!$AW:$AW,'RC Template'!$B:$B,$A30,'RC Template'!$C:$C,C$6)=0,#N/A,SUMIFS('RC Template'!$AW:$AW,'RC Template'!$B:$B,$A30,'RC Template'!$C:$C,C$6))</f>
        <v>#N/A</v>
      </c>
      <c r="D30" s="115" t="e">
        <f>IF(SUMIFS('RC Template'!$AW:$AW,'RC Template'!$B:$B,$A30,'RC Template'!$C:$C,D$6)=0,#N/A,SUMIFS('RC Template'!$AW:$AW,'RC Template'!$B:$B,$A30,'RC Template'!$C:$C,D$6))</f>
        <v>#N/A</v>
      </c>
      <c r="E30" s="115" t="e">
        <f>IF(SUMIFS('RC Template'!$AW:$AW,'RC Template'!$B:$B,$A30,'RC Template'!$C:$C,E$6)=0,#N/A,SUMIFS('RC Template'!$AW:$AW,'RC Template'!$B:$B,$A30,'RC Template'!$C:$C,E$6))</f>
        <v>#N/A</v>
      </c>
      <c r="F30" s="115" t="e">
        <f>IF(SUMIFS('RC Template'!$AW:$AW,'RC Template'!$B:$B,$A30,'RC Template'!$C:$C,F$6)=0,#N/A,SUMIFS('RC Template'!$AW:$AW,'RC Template'!$B:$B,$A30,'RC Template'!$C:$C,F$6))</f>
        <v>#N/A</v>
      </c>
      <c r="G30" s="115" t="e">
        <f>IF(SUMIFS('RC Template'!$AW:$AW,'RC Template'!$B:$B,$A30,'RC Template'!$C:$C,G$6)=0,#N/A,SUMIFS('RC Template'!$AW:$AW,'RC Template'!$B:$B,$A30,'RC Template'!$C:$C,G$6))</f>
        <v>#N/A</v>
      </c>
      <c r="H30" s="115" t="e">
        <f>IF(SUMIFS('RC Template'!$AW:$AW,'RC Template'!$B:$B,$A30,'RC Template'!$C:$C,H$6)=0,#N/A,SUMIFS('RC Template'!$AW:$AW,'RC Template'!$B:$B,$A30,'RC Template'!$C:$C,H$6))</f>
        <v>#N/A</v>
      </c>
      <c r="I30" s="115" t="e">
        <f>IF(SUMIFS('RC Template'!$AW:$AW,'RC Template'!$B:$B,$A30,'RC Template'!$C:$C,I$6)=0,#N/A,SUMIFS('RC Template'!$AW:$AW,'RC Template'!$B:$B,$A30,'RC Template'!$C:$C,I$6))</f>
        <v>#N/A</v>
      </c>
      <c r="J30" s="115" t="e">
        <f>IF(SUMIFS('RC Template'!$AW:$AW,'RC Template'!$B:$B,$A30,'RC Template'!$C:$C,J$6)=0,#N/A,SUMIFS('RC Template'!$AW:$AW,'RC Template'!$B:$B,$A30,'RC Template'!$C:$C,J$6))</f>
        <v>#N/A</v>
      </c>
      <c r="K30" s="115" t="e">
        <f>IF(SUMIFS('RC Template'!$AW:$AW,'RC Template'!$B:$B,$A30,'RC Template'!$C:$C,K$6)=0,#N/A,SUMIFS('RC Template'!$AW:$AW,'RC Template'!$B:$B,$A30,'RC Template'!$C:$C,K$6))</f>
        <v>#N/A</v>
      </c>
      <c r="L30" s="115" t="e">
        <f>IF(SUMIFS('RC Template'!$AW:$AW,'RC Template'!$B:$B,$A30,'RC Template'!$C:$C,L$6)=0,#N/A,SUMIFS('RC Template'!$AW:$AW,'RC Template'!$B:$B,$A30,'RC Template'!$C:$C,L$6))</f>
        <v>#N/A</v>
      </c>
      <c r="M30" s="115" t="e">
        <f>IF(SUMIFS('RC Template'!$AW:$AW,'RC Template'!$B:$B,$A30,'RC Template'!$C:$C,M$6)=0,#N/A,SUMIFS('RC Template'!$AW:$AW,'RC Template'!$B:$B,$A30,'RC Template'!$C:$C,M$6))</f>
        <v>#N/A</v>
      </c>
      <c r="N30" s="115" t="e">
        <f>IF(SUMIFS('RC Template'!$AW:$AW,'RC Template'!$B:$B,$A30,'RC Template'!$C:$C,N$6)=0,#N/A,SUMIFS('RC Template'!$AW:$AW,'RC Template'!$B:$B,$A30,'RC Template'!$C:$C,N$6))</f>
        <v>#N/A</v>
      </c>
      <c r="O30" s="115" t="e">
        <f>IF(SUMIFS('RC Template'!$AW:$AW,'RC Template'!$B:$B,$A30,'RC Template'!$C:$C,O$6)=0,#N/A,SUMIFS('RC Template'!$AW:$AW,'RC Template'!$B:$B,$A30,'RC Template'!$C:$C,O$6))</f>
        <v>#N/A</v>
      </c>
      <c r="P30" s="115" t="e">
        <f>IF(SUMIFS('RC Template'!$AW:$AW,'RC Template'!$B:$B,$A30,'RC Template'!$C:$C,P$6)=0,#N/A,SUMIFS('RC Template'!$AW:$AW,'RC Template'!$B:$B,$A30,'RC Template'!$C:$C,P$6))</f>
        <v>#N/A</v>
      </c>
      <c r="Q30" s="115">
        <f ca="1">MAX(SUMIFS('RC Template'!$AW:$AW,'RC Template'!$B:$B,$A30,'RC Template'!$C:$C,Q$6),Q29*$E$3)</f>
        <v>270.22746022777068</v>
      </c>
      <c r="R30" s="115">
        <f ca="1">MAX(SUMIFS('RC Template'!$AW:$AW,'RC Template'!$B:$B,$A30,'RC Template'!$C:$C,R$6),R29*$E$3)</f>
        <v>54.361125000000001</v>
      </c>
      <c r="S30" s="115">
        <f ca="1">MAX(SUMIFS('RC Template'!$AW:$AW,'RC Template'!$B:$B,$A30,'RC Template'!$C:$C,S$6),S29*$E$3)</f>
        <v>121.43455551197907</v>
      </c>
      <c r="T30" s="115">
        <f ca="1">MAX(SUMIFS('RC Template'!$AW:$AW,'RC Template'!$B:$B,$A30,'RC Template'!$C:$C,T$6),T29*$E$3)</f>
        <v>26.790887743789792</v>
      </c>
      <c r="U30" s="115">
        <f ca="1">MAX(SUMIFS('RC Template'!$AW:$AW,'RC Template'!$B:$B,$A30,'RC Template'!$C:$C,U$6),U29*$E$3)</f>
        <v>110.38414366313904</v>
      </c>
      <c r="V30" s="115">
        <f ca="1">MAX(SUMIFS('RC Template'!$AW:$AW,'RC Template'!$B:$B,$A30,'RC Template'!$C:$C,V$6),V29*$E$3)</f>
        <v>42.761466294479902</v>
      </c>
      <c r="W30" s="115">
        <f ca="1">MAX(SUMIFS('RC Template'!$AW:$AW,'RC Template'!$B:$B,$A30,'RC Template'!$C:$C,W$6),W29*$E$3)</f>
        <v>0</v>
      </c>
      <c r="X30" s="115">
        <f ca="1">MAX(SUMIFS('RC Template'!$AW:$AW,'RC Template'!$B:$B,$A30,'RC Template'!$C:$C,X$6),X29*$E$3)</f>
        <v>0</v>
      </c>
      <c r="Y30" s="115">
        <f ca="1">MAX(SUMIFS('RC Template'!$AW:$AW,'RC Template'!$B:$B,$A30,'RC Template'!$C:$C,Y$6),Y29*$E$3)</f>
        <v>0</v>
      </c>
      <c r="Z30" s="115">
        <f ca="1">MAX(SUMIFS('RC Template'!$AW:$AW,'RC Template'!$B:$B,$A30,'RC Template'!$C:$C,Z$6),Z29*$E$3)</f>
        <v>0</v>
      </c>
      <c r="AA30" s="115">
        <f ca="1">MAX(SUMIFS('RC Template'!$AW:$AW,'RC Template'!$B:$B,$A30,'RC Template'!$C:$C,AA$6),AA29*$E$3)</f>
        <v>0</v>
      </c>
      <c r="AB30" s="115">
        <f ca="1">MAX(SUMIFS('RC Template'!$AW:$AW,'RC Template'!$B:$B,$A30,'RC Template'!$C:$C,AB$6),AB29*$E$3)</f>
        <v>0</v>
      </c>
      <c r="AC30" s="115">
        <f ca="1">MAX(SUMIFS('RC Template'!$AW:$AW,'RC Template'!$B:$B,$A30,'RC Template'!$C:$C,AC$6),AC29*$E$3)</f>
        <v>0</v>
      </c>
      <c r="AD30" s="115">
        <f ca="1">MAX(SUMIFS('RC Template'!$AW:$AW,'RC Template'!$B:$B,$A30,'RC Template'!$C:$C,AD$6),AD29*$E$3)</f>
        <v>0</v>
      </c>
    </row>
    <row r="31" spans="1:30" x14ac:dyDescent="0.3">
      <c r="A31" s="1">
        <v>43130</v>
      </c>
      <c r="B31" s="115">
        <f t="shared" ca="1" si="1"/>
        <v>610.31064748012955</v>
      </c>
      <c r="C31" s="115">
        <f ca="1">IF(SUMIFS('RC Template'!$AW:$AW,'RC Template'!$B:$B,$A31,'RC Template'!$C:$C,C$6)=0,#N/A,SUMIFS('RC Template'!$AW:$AW,'RC Template'!$B:$B,$A31,'RC Template'!$C:$C,C$6))</f>
        <v>228.52558066953725</v>
      </c>
      <c r="D31" s="115" t="e">
        <f>IF(SUMIFS('RC Template'!$AW:$AW,'RC Template'!$B:$B,$A31,'RC Template'!$C:$C,D$6)=0,#N/A,SUMIFS('RC Template'!$AW:$AW,'RC Template'!$B:$B,$A31,'RC Template'!$C:$C,D$6))</f>
        <v>#N/A</v>
      </c>
      <c r="E31" s="115" t="e">
        <f>IF(SUMIFS('RC Template'!$AW:$AW,'RC Template'!$B:$B,$A31,'RC Template'!$C:$C,E$6)=0,#N/A,SUMIFS('RC Template'!$AW:$AW,'RC Template'!$B:$B,$A31,'RC Template'!$C:$C,E$6))</f>
        <v>#N/A</v>
      </c>
      <c r="F31" s="115" t="e">
        <f>IF(SUMIFS('RC Template'!$AW:$AW,'RC Template'!$B:$B,$A31,'RC Template'!$C:$C,F$6)=0,#N/A,SUMIFS('RC Template'!$AW:$AW,'RC Template'!$B:$B,$A31,'RC Template'!$C:$C,F$6))</f>
        <v>#N/A</v>
      </c>
      <c r="G31" s="115" t="e">
        <f>IF(SUMIFS('RC Template'!$AW:$AW,'RC Template'!$B:$B,$A31,'RC Template'!$C:$C,G$6)=0,#N/A,SUMIFS('RC Template'!$AW:$AW,'RC Template'!$B:$B,$A31,'RC Template'!$C:$C,G$6))</f>
        <v>#N/A</v>
      </c>
      <c r="H31" s="115" t="e">
        <f>IF(SUMIFS('RC Template'!$AW:$AW,'RC Template'!$B:$B,$A31,'RC Template'!$C:$C,H$6)=0,#N/A,SUMIFS('RC Template'!$AW:$AW,'RC Template'!$B:$B,$A31,'RC Template'!$C:$C,H$6))</f>
        <v>#N/A</v>
      </c>
      <c r="I31" s="115" t="e">
        <f>IF(SUMIFS('RC Template'!$AW:$AW,'RC Template'!$B:$B,$A31,'RC Template'!$C:$C,I$6)=0,#N/A,SUMIFS('RC Template'!$AW:$AW,'RC Template'!$B:$B,$A31,'RC Template'!$C:$C,I$6))</f>
        <v>#N/A</v>
      </c>
      <c r="J31" s="115" t="e">
        <f>IF(SUMIFS('RC Template'!$AW:$AW,'RC Template'!$B:$B,$A31,'RC Template'!$C:$C,J$6)=0,#N/A,SUMIFS('RC Template'!$AW:$AW,'RC Template'!$B:$B,$A31,'RC Template'!$C:$C,J$6))</f>
        <v>#N/A</v>
      </c>
      <c r="K31" s="115" t="e">
        <f>IF(SUMIFS('RC Template'!$AW:$AW,'RC Template'!$B:$B,$A31,'RC Template'!$C:$C,K$6)=0,#N/A,SUMIFS('RC Template'!$AW:$AW,'RC Template'!$B:$B,$A31,'RC Template'!$C:$C,K$6))</f>
        <v>#N/A</v>
      </c>
      <c r="L31" s="115" t="e">
        <f>IF(SUMIFS('RC Template'!$AW:$AW,'RC Template'!$B:$B,$A31,'RC Template'!$C:$C,L$6)=0,#N/A,SUMIFS('RC Template'!$AW:$AW,'RC Template'!$B:$B,$A31,'RC Template'!$C:$C,L$6))</f>
        <v>#N/A</v>
      </c>
      <c r="M31" s="115" t="e">
        <f>IF(SUMIFS('RC Template'!$AW:$AW,'RC Template'!$B:$B,$A31,'RC Template'!$C:$C,M$6)=0,#N/A,SUMIFS('RC Template'!$AW:$AW,'RC Template'!$B:$B,$A31,'RC Template'!$C:$C,M$6))</f>
        <v>#N/A</v>
      </c>
      <c r="N31" s="115" t="e">
        <f>IF(SUMIFS('RC Template'!$AW:$AW,'RC Template'!$B:$B,$A31,'RC Template'!$C:$C,N$6)=0,#N/A,SUMIFS('RC Template'!$AW:$AW,'RC Template'!$B:$B,$A31,'RC Template'!$C:$C,N$6))</f>
        <v>#N/A</v>
      </c>
      <c r="O31" s="115" t="e">
        <f>IF(SUMIFS('RC Template'!$AW:$AW,'RC Template'!$B:$B,$A31,'RC Template'!$C:$C,O$6)=0,#N/A,SUMIFS('RC Template'!$AW:$AW,'RC Template'!$B:$B,$A31,'RC Template'!$C:$C,O$6))</f>
        <v>#N/A</v>
      </c>
      <c r="P31" s="115" t="e">
        <f>IF(SUMIFS('RC Template'!$AW:$AW,'RC Template'!$B:$B,$A31,'RC Template'!$C:$C,P$6)=0,#N/A,SUMIFS('RC Template'!$AW:$AW,'RC Template'!$B:$B,$A31,'RC Template'!$C:$C,P$6))</f>
        <v>#N/A</v>
      </c>
      <c r="Q31" s="115">
        <f ca="1">MAX(SUMIFS('RC Template'!$AW:$AW,'RC Template'!$B:$B,$A31,'RC Template'!$C:$C,Q$6),Q30*$E$3)</f>
        <v>263.47177372207642</v>
      </c>
      <c r="R31" s="115">
        <f ca="1">MAX(SUMIFS('RC Template'!$AW:$AW,'RC Template'!$B:$B,$A31,'RC Template'!$C:$C,R$6),R30*$E$3)</f>
        <v>53.002096874999999</v>
      </c>
      <c r="S31" s="115">
        <f ca="1">MAX(SUMIFS('RC Template'!$AW:$AW,'RC Template'!$B:$B,$A31,'RC Template'!$C:$C,S$6),S30*$E$3)</f>
        <v>118.39869162417959</v>
      </c>
      <c r="T31" s="115">
        <f ca="1">MAX(SUMIFS('RC Template'!$AW:$AW,'RC Template'!$B:$B,$A31,'RC Template'!$C:$C,T$6),T30*$E$3)</f>
        <v>26.121115550195046</v>
      </c>
      <c r="U31" s="115">
        <f ca="1">MAX(SUMIFS('RC Template'!$AW:$AW,'RC Template'!$B:$B,$A31,'RC Template'!$C:$C,U$6),U30*$E$3)</f>
        <v>107.62454007156056</v>
      </c>
      <c r="V31" s="115">
        <f ca="1">MAX(SUMIFS('RC Template'!$AW:$AW,'RC Template'!$B:$B,$A31,'RC Template'!$C:$C,V$6),V30*$E$3)</f>
        <v>41.692429637117904</v>
      </c>
      <c r="W31" s="115">
        <f ca="1">MAX(SUMIFS('RC Template'!$AW:$AW,'RC Template'!$B:$B,$A31,'RC Template'!$C:$C,W$6),W30*$E$3)</f>
        <v>0</v>
      </c>
      <c r="X31" s="115">
        <f ca="1">MAX(SUMIFS('RC Template'!$AW:$AW,'RC Template'!$B:$B,$A31,'RC Template'!$C:$C,X$6),X30*$E$3)</f>
        <v>0</v>
      </c>
      <c r="Y31" s="115">
        <f ca="1">MAX(SUMIFS('RC Template'!$AW:$AW,'RC Template'!$B:$B,$A31,'RC Template'!$C:$C,Y$6),Y30*$E$3)</f>
        <v>0</v>
      </c>
      <c r="Z31" s="115">
        <f ca="1">MAX(SUMIFS('RC Template'!$AW:$AW,'RC Template'!$B:$B,$A31,'RC Template'!$C:$C,Z$6),Z30*$E$3)</f>
        <v>0</v>
      </c>
      <c r="AA31" s="115">
        <f ca="1">MAX(SUMIFS('RC Template'!$AW:$AW,'RC Template'!$B:$B,$A31,'RC Template'!$C:$C,AA$6),AA30*$E$3)</f>
        <v>0</v>
      </c>
      <c r="AB31" s="115">
        <f ca="1">MAX(SUMIFS('RC Template'!$AW:$AW,'RC Template'!$B:$B,$A31,'RC Template'!$C:$C,AB$6),AB30*$E$3)</f>
        <v>0</v>
      </c>
      <c r="AC31" s="115">
        <f ca="1">MAX(SUMIFS('RC Template'!$AW:$AW,'RC Template'!$B:$B,$A31,'RC Template'!$C:$C,AC$6),AC30*$E$3)</f>
        <v>0</v>
      </c>
      <c r="AD31" s="115">
        <f ca="1">MAX(SUMIFS('RC Template'!$AW:$AW,'RC Template'!$B:$B,$A31,'RC Template'!$C:$C,AD$6),AD30*$E$3)</f>
        <v>0</v>
      </c>
    </row>
    <row r="32" spans="1:30" x14ac:dyDescent="0.3">
      <c r="A32" s="1">
        <v>43131</v>
      </c>
      <c r="B32" s="115">
        <f t="shared" ca="1" si="1"/>
        <v>595.05288129312635</v>
      </c>
      <c r="C32" s="115" t="e">
        <f>IF(SUMIFS('RC Template'!$AW:$AW,'RC Template'!$B:$B,$A32,'RC Template'!$C:$C,C$6)=0,#N/A,SUMIFS('RC Template'!$AW:$AW,'RC Template'!$B:$B,$A32,'RC Template'!$C:$C,C$6))</f>
        <v>#N/A</v>
      </c>
      <c r="D32" s="115" t="e">
        <f>IF(SUMIFS('RC Template'!$AW:$AW,'RC Template'!$B:$B,$A32,'RC Template'!$C:$C,D$6)=0,#N/A,SUMIFS('RC Template'!$AW:$AW,'RC Template'!$B:$B,$A32,'RC Template'!$C:$C,D$6))</f>
        <v>#N/A</v>
      </c>
      <c r="E32" s="115" t="e">
        <f>IF(SUMIFS('RC Template'!$AW:$AW,'RC Template'!$B:$B,$A32,'RC Template'!$C:$C,E$6)=0,#N/A,SUMIFS('RC Template'!$AW:$AW,'RC Template'!$B:$B,$A32,'RC Template'!$C:$C,E$6))</f>
        <v>#N/A</v>
      </c>
      <c r="F32" s="115" t="e">
        <f>IF(SUMIFS('RC Template'!$AW:$AW,'RC Template'!$B:$B,$A32,'RC Template'!$C:$C,F$6)=0,#N/A,SUMIFS('RC Template'!$AW:$AW,'RC Template'!$B:$B,$A32,'RC Template'!$C:$C,F$6))</f>
        <v>#N/A</v>
      </c>
      <c r="G32" s="115" t="e">
        <f>IF(SUMIFS('RC Template'!$AW:$AW,'RC Template'!$B:$B,$A32,'RC Template'!$C:$C,G$6)=0,#N/A,SUMIFS('RC Template'!$AW:$AW,'RC Template'!$B:$B,$A32,'RC Template'!$C:$C,G$6))</f>
        <v>#N/A</v>
      </c>
      <c r="H32" s="115" t="e">
        <f>IF(SUMIFS('RC Template'!$AW:$AW,'RC Template'!$B:$B,$A32,'RC Template'!$C:$C,H$6)=0,#N/A,SUMIFS('RC Template'!$AW:$AW,'RC Template'!$B:$B,$A32,'RC Template'!$C:$C,H$6))</f>
        <v>#N/A</v>
      </c>
      <c r="I32" s="115" t="e">
        <f>IF(SUMIFS('RC Template'!$AW:$AW,'RC Template'!$B:$B,$A32,'RC Template'!$C:$C,I$6)=0,#N/A,SUMIFS('RC Template'!$AW:$AW,'RC Template'!$B:$B,$A32,'RC Template'!$C:$C,I$6))</f>
        <v>#N/A</v>
      </c>
      <c r="J32" s="115" t="e">
        <f>IF(SUMIFS('RC Template'!$AW:$AW,'RC Template'!$B:$B,$A32,'RC Template'!$C:$C,J$6)=0,#N/A,SUMIFS('RC Template'!$AW:$AW,'RC Template'!$B:$B,$A32,'RC Template'!$C:$C,J$6))</f>
        <v>#N/A</v>
      </c>
      <c r="K32" s="115" t="e">
        <f>IF(SUMIFS('RC Template'!$AW:$AW,'RC Template'!$B:$B,$A32,'RC Template'!$C:$C,K$6)=0,#N/A,SUMIFS('RC Template'!$AW:$AW,'RC Template'!$B:$B,$A32,'RC Template'!$C:$C,K$6))</f>
        <v>#N/A</v>
      </c>
      <c r="L32" s="115" t="e">
        <f>IF(SUMIFS('RC Template'!$AW:$AW,'RC Template'!$B:$B,$A32,'RC Template'!$C:$C,L$6)=0,#N/A,SUMIFS('RC Template'!$AW:$AW,'RC Template'!$B:$B,$A32,'RC Template'!$C:$C,L$6))</f>
        <v>#N/A</v>
      </c>
      <c r="M32" s="115" t="e">
        <f>IF(SUMIFS('RC Template'!$AW:$AW,'RC Template'!$B:$B,$A32,'RC Template'!$C:$C,M$6)=0,#N/A,SUMIFS('RC Template'!$AW:$AW,'RC Template'!$B:$B,$A32,'RC Template'!$C:$C,M$6))</f>
        <v>#N/A</v>
      </c>
      <c r="N32" s="115" t="e">
        <f>IF(SUMIFS('RC Template'!$AW:$AW,'RC Template'!$B:$B,$A32,'RC Template'!$C:$C,N$6)=0,#N/A,SUMIFS('RC Template'!$AW:$AW,'RC Template'!$B:$B,$A32,'RC Template'!$C:$C,N$6))</f>
        <v>#N/A</v>
      </c>
      <c r="O32" s="115" t="e">
        <f>IF(SUMIFS('RC Template'!$AW:$AW,'RC Template'!$B:$B,$A32,'RC Template'!$C:$C,O$6)=0,#N/A,SUMIFS('RC Template'!$AW:$AW,'RC Template'!$B:$B,$A32,'RC Template'!$C:$C,O$6))</f>
        <v>#N/A</v>
      </c>
      <c r="P32" s="115" t="e">
        <f>IF(SUMIFS('RC Template'!$AW:$AW,'RC Template'!$B:$B,$A32,'RC Template'!$C:$C,P$6)=0,#N/A,SUMIFS('RC Template'!$AW:$AW,'RC Template'!$B:$B,$A32,'RC Template'!$C:$C,P$6))</f>
        <v>#N/A</v>
      </c>
      <c r="Q32" s="115">
        <f ca="1">MAX(SUMIFS('RC Template'!$AW:$AW,'RC Template'!$B:$B,$A32,'RC Template'!$C:$C,Q$6),Q31*$E$3)</f>
        <v>256.88497937902451</v>
      </c>
      <c r="R32" s="115">
        <f ca="1">MAX(SUMIFS('RC Template'!$AW:$AW,'RC Template'!$B:$B,$A32,'RC Template'!$C:$C,R$6),R31*$E$3)</f>
        <v>51.677044453124999</v>
      </c>
      <c r="S32" s="115">
        <f ca="1">MAX(SUMIFS('RC Template'!$AW:$AW,'RC Template'!$B:$B,$A32,'RC Template'!$C:$C,S$6),S31*$E$3)</f>
        <v>115.4387243335751</v>
      </c>
      <c r="T32" s="115">
        <f ca="1">MAX(SUMIFS('RC Template'!$AW:$AW,'RC Template'!$B:$B,$A32,'RC Template'!$C:$C,T$6),T31*$E$3)</f>
        <v>25.468087661440169</v>
      </c>
      <c r="U32" s="115">
        <f ca="1">MAX(SUMIFS('RC Template'!$AW:$AW,'RC Template'!$B:$B,$A32,'RC Template'!$C:$C,U$6),U31*$E$3)</f>
        <v>104.93392656977154</v>
      </c>
      <c r="V32" s="115">
        <f ca="1">MAX(SUMIFS('RC Template'!$AW:$AW,'RC Template'!$B:$B,$A32,'RC Template'!$C:$C,V$6),V31*$E$3)</f>
        <v>40.650118896189959</v>
      </c>
      <c r="W32" s="115">
        <f ca="1">MAX(SUMIFS('RC Template'!$AW:$AW,'RC Template'!$B:$B,$A32,'RC Template'!$C:$C,W$6),W31*$E$3)</f>
        <v>0</v>
      </c>
      <c r="X32" s="115">
        <f ca="1">MAX(SUMIFS('RC Template'!$AW:$AW,'RC Template'!$B:$B,$A32,'RC Template'!$C:$C,X$6),X31*$E$3)</f>
        <v>0</v>
      </c>
      <c r="Y32" s="115">
        <f ca="1">MAX(SUMIFS('RC Template'!$AW:$AW,'RC Template'!$B:$B,$A32,'RC Template'!$C:$C,Y$6),Y31*$E$3)</f>
        <v>0</v>
      </c>
      <c r="Z32" s="115">
        <f ca="1">MAX(SUMIFS('RC Template'!$AW:$AW,'RC Template'!$B:$B,$A32,'RC Template'!$C:$C,Z$6),Z31*$E$3)</f>
        <v>0</v>
      </c>
      <c r="AA32" s="115">
        <f ca="1">MAX(SUMIFS('RC Template'!$AW:$AW,'RC Template'!$B:$B,$A32,'RC Template'!$C:$C,AA$6),AA31*$E$3)</f>
        <v>0</v>
      </c>
      <c r="AB32" s="115">
        <f ca="1">MAX(SUMIFS('RC Template'!$AW:$AW,'RC Template'!$B:$B,$A32,'RC Template'!$C:$C,AB$6),AB31*$E$3)</f>
        <v>0</v>
      </c>
      <c r="AC32" s="115">
        <f ca="1">MAX(SUMIFS('RC Template'!$AW:$AW,'RC Template'!$B:$B,$A32,'RC Template'!$C:$C,AC$6),AC31*$E$3)</f>
        <v>0</v>
      </c>
      <c r="AD32" s="115">
        <f ca="1">MAX(SUMIFS('RC Template'!$AW:$AW,'RC Template'!$B:$B,$A32,'RC Template'!$C:$C,AD$6),AD31*$E$3)</f>
        <v>0</v>
      </c>
    </row>
    <row r="33" spans="1:30" x14ac:dyDescent="0.3">
      <c r="A33" s="1">
        <v>43132</v>
      </c>
      <c r="B33" s="115">
        <f t="shared" ca="1" si="1"/>
        <v>606.87007383062951</v>
      </c>
      <c r="C33" s="115">
        <f ca="1">IF(SUMIFS('RC Template'!$AW:$AW,'RC Template'!$B:$B,$A33,'RC Template'!$C:$C,C$6)=0,#N/A,SUMIFS('RC Template'!$AW:$AW,'RC Template'!$B:$B,$A33,'RC Template'!$C:$C,C$6))</f>
        <v>277.15636946438019</v>
      </c>
      <c r="D33" s="115" t="e">
        <f>IF(SUMIFS('RC Template'!$AW:$AW,'RC Template'!$B:$B,$A33,'RC Template'!$C:$C,D$6)=0,#N/A,SUMIFS('RC Template'!$AW:$AW,'RC Template'!$B:$B,$A33,'RC Template'!$C:$C,D$6))</f>
        <v>#N/A</v>
      </c>
      <c r="E33" s="115" t="e">
        <f>IF(SUMIFS('RC Template'!$AW:$AW,'RC Template'!$B:$B,$A33,'RC Template'!$C:$C,E$6)=0,#N/A,SUMIFS('RC Template'!$AW:$AW,'RC Template'!$B:$B,$A33,'RC Template'!$C:$C,E$6))</f>
        <v>#N/A</v>
      </c>
      <c r="F33" s="115" t="e">
        <f>IF(SUMIFS('RC Template'!$AW:$AW,'RC Template'!$B:$B,$A33,'RC Template'!$C:$C,F$6)=0,#N/A,SUMIFS('RC Template'!$AW:$AW,'RC Template'!$B:$B,$A33,'RC Template'!$C:$C,F$6))</f>
        <v>#N/A</v>
      </c>
      <c r="G33" s="115">
        <f ca="1">IF(SUMIFS('RC Template'!$AW:$AW,'RC Template'!$B:$B,$A33,'RC Template'!$C:$C,G$6)=0,#N/A,SUMIFS('RC Template'!$AW:$AW,'RC Template'!$B:$B,$A33,'RC Template'!$C:$C,G$6))</f>
        <v>91.124918920082052</v>
      </c>
      <c r="H33" s="115" t="e">
        <f>IF(SUMIFS('RC Template'!$AW:$AW,'RC Template'!$B:$B,$A33,'RC Template'!$C:$C,H$6)=0,#N/A,SUMIFS('RC Template'!$AW:$AW,'RC Template'!$B:$B,$A33,'RC Template'!$C:$C,H$6))</f>
        <v>#N/A</v>
      </c>
      <c r="I33" s="115" t="e">
        <f>IF(SUMIFS('RC Template'!$AW:$AW,'RC Template'!$B:$B,$A33,'RC Template'!$C:$C,I$6)=0,#N/A,SUMIFS('RC Template'!$AW:$AW,'RC Template'!$B:$B,$A33,'RC Template'!$C:$C,I$6))</f>
        <v>#N/A</v>
      </c>
      <c r="J33" s="115" t="e">
        <f>IF(SUMIFS('RC Template'!$AW:$AW,'RC Template'!$B:$B,$A33,'RC Template'!$C:$C,J$6)=0,#N/A,SUMIFS('RC Template'!$AW:$AW,'RC Template'!$B:$B,$A33,'RC Template'!$C:$C,J$6))</f>
        <v>#N/A</v>
      </c>
      <c r="K33" s="115" t="e">
        <f>IF(SUMIFS('RC Template'!$AW:$AW,'RC Template'!$B:$B,$A33,'RC Template'!$C:$C,K$6)=0,#N/A,SUMIFS('RC Template'!$AW:$AW,'RC Template'!$B:$B,$A33,'RC Template'!$C:$C,K$6))</f>
        <v>#N/A</v>
      </c>
      <c r="L33" s="115" t="e">
        <f>IF(SUMIFS('RC Template'!$AW:$AW,'RC Template'!$B:$B,$A33,'RC Template'!$C:$C,L$6)=0,#N/A,SUMIFS('RC Template'!$AW:$AW,'RC Template'!$B:$B,$A33,'RC Template'!$C:$C,L$6))</f>
        <v>#N/A</v>
      </c>
      <c r="M33" s="115" t="e">
        <f>IF(SUMIFS('RC Template'!$AW:$AW,'RC Template'!$B:$B,$A33,'RC Template'!$C:$C,M$6)=0,#N/A,SUMIFS('RC Template'!$AW:$AW,'RC Template'!$B:$B,$A33,'RC Template'!$C:$C,M$6))</f>
        <v>#N/A</v>
      </c>
      <c r="N33" s="115" t="e">
        <f>IF(SUMIFS('RC Template'!$AW:$AW,'RC Template'!$B:$B,$A33,'RC Template'!$C:$C,N$6)=0,#N/A,SUMIFS('RC Template'!$AW:$AW,'RC Template'!$B:$B,$A33,'RC Template'!$C:$C,N$6))</f>
        <v>#N/A</v>
      </c>
      <c r="O33" s="115" t="e">
        <f>IF(SUMIFS('RC Template'!$AW:$AW,'RC Template'!$B:$B,$A33,'RC Template'!$C:$C,O$6)=0,#N/A,SUMIFS('RC Template'!$AW:$AW,'RC Template'!$B:$B,$A33,'RC Template'!$C:$C,O$6))</f>
        <v>#N/A</v>
      </c>
      <c r="P33" s="115" t="e">
        <f>IF(SUMIFS('RC Template'!$AW:$AW,'RC Template'!$B:$B,$A33,'RC Template'!$C:$C,P$6)=0,#N/A,SUMIFS('RC Template'!$AW:$AW,'RC Template'!$B:$B,$A33,'RC Template'!$C:$C,P$6))</f>
        <v>#N/A</v>
      </c>
      <c r="Q33" s="115">
        <f ca="1">MAX(SUMIFS('RC Template'!$AW:$AW,'RC Template'!$B:$B,$A33,'RC Template'!$C:$C,Q$6),Q32*$E$3)</f>
        <v>277.15636946438019</v>
      </c>
      <c r="R33" s="115">
        <f ca="1">MAX(SUMIFS('RC Template'!$AW:$AW,'RC Template'!$B:$B,$A33,'RC Template'!$C:$C,R$6),R32*$E$3)</f>
        <v>50.385118341796876</v>
      </c>
      <c r="S33" s="115">
        <f ca="1">MAX(SUMIFS('RC Template'!$AW:$AW,'RC Template'!$B:$B,$A33,'RC Template'!$C:$C,S$6),S32*$E$3)</f>
        <v>112.55275622523571</v>
      </c>
      <c r="T33" s="115">
        <f ca="1">MAX(SUMIFS('RC Template'!$AW:$AW,'RC Template'!$B:$B,$A33,'RC Template'!$C:$C,T$6),T32*$E$3)</f>
        <v>24.831385469904163</v>
      </c>
      <c r="U33" s="115">
        <f ca="1">MAX(SUMIFS('RC Template'!$AW:$AW,'RC Template'!$B:$B,$A33,'RC Template'!$C:$C,U$6),U32*$E$3)</f>
        <v>102.31057840552725</v>
      </c>
      <c r="V33" s="115">
        <f ca="1">MAX(SUMIFS('RC Template'!$AW:$AW,'RC Template'!$B:$B,$A33,'RC Template'!$C:$C,V$6),V32*$E$3)</f>
        <v>39.633865923785208</v>
      </c>
      <c r="W33" s="115">
        <f ca="1">MAX(SUMIFS('RC Template'!$AW:$AW,'RC Template'!$B:$B,$A33,'RC Template'!$C:$C,W$6),W32*$E$3)</f>
        <v>0</v>
      </c>
      <c r="X33" s="115">
        <f ca="1">MAX(SUMIFS('RC Template'!$AW:$AW,'RC Template'!$B:$B,$A33,'RC Template'!$C:$C,X$6),X32*$E$3)</f>
        <v>0</v>
      </c>
      <c r="Y33" s="115">
        <f ca="1">MAX(SUMIFS('RC Template'!$AW:$AW,'RC Template'!$B:$B,$A33,'RC Template'!$C:$C,Y$6),Y32*$E$3)</f>
        <v>0</v>
      </c>
      <c r="Z33" s="115">
        <f ca="1">MAX(SUMIFS('RC Template'!$AW:$AW,'RC Template'!$B:$B,$A33,'RC Template'!$C:$C,Z$6),Z32*$E$3)</f>
        <v>0</v>
      </c>
      <c r="AA33" s="115">
        <f ca="1">MAX(SUMIFS('RC Template'!$AW:$AW,'RC Template'!$B:$B,$A33,'RC Template'!$C:$C,AA$6),AA32*$E$3)</f>
        <v>0</v>
      </c>
      <c r="AB33" s="115">
        <f ca="1">MAX(SUMIFS('RC Template'!$AW:$AW,'RC Template'!$B:$B,$A33,'RC Template'!$C:$C,AB$6),AB32*$E$3)</f>
        <v>0</v>
      </c>
      <c r="AC33" s="115">
        <f ca="1">MAX(SUMIFS('RC Template'!$AW:$AW,'RC Template'!$B:$B,$A33,'RC Template'!$C:$C,AC$6),AC32*$E$3)</f>
        <v>0</v>
      </c>
      <c r="AD33" s="115">
        <f ca="1">MAX(SUMIFS('RC Template'!$AW:$AW,'RC Template'!$B:$B,$A33,'RC Template'!$C:$C,AD$6),AD32*$E$3)</f>
        <v>0</v>
      </c>
    </row>
    <row r="34" spans="1:30" x14ac:dyDescent="0.3">
      <c r="A34" s="1">
        <v>43133</v>
      </c>
      <c r="B34" s="115">
        <f t="shared" ca="1" si="1"/>
        <v>591.69832198486358</v>
      </c>
      <c r="C34" s="115" t="e">
        <f>IF(SUMIFS('RC Template'!$AW:$AW,'RC Template'!$B:$B,$A34,'RC Template'!$C:$C,C$6)=0,#N/A,SUMIFS('RC Template'!$AW:$AW,'RC Template'!$B:$B,$A34,'RC Template'!$C:$C,C$6))</f>
        <v>#N/A</v>
      </c>
      <c r="D34" s="115" t="e">
        <f>IF(SUMIFS('RC Template'!$AW:$AW,'RC Template'!$B:$B,$A34,'RC Template'!$C:$C,D$6)=0,#N/A,SUMIFS('RC Template'!$AW:$AW,'RC Template'!$B:$B,$A34,'RC Template'!$C:$C,D$6))</f>
        <v>#N/A</v>
      </c>
      <c r="E34" s="115" t="e">
        <f>IF(SUMIFS('RC Template'!$AW:$AW,'RC Template'!$B:$B,$A34,'RC Template'!$C:$C,E$6)=0,#N/A,SUMIFS('RC Template'!$AW:$AW,'RC Template'!$B:$B,$A34,'RC Template'!$C:$C,E$6))</f>
        <v>#N/A</v>
      </c>
      <c r="F34" s="115" t="e">
        <f>IF(SUMIFS('RC Template'!$AW:$AW,'RC Template'!$B:$B,$A34,'RC Template'!$C:$C,F$6)=0,#N/A,SUMIFS('RC Template'!$AW:$AW,'RC Template'!$B:$B,$A34,'RC Template'!$C:$C,F$6))</f>
        <v>#N/A</v>
      </c>
      <c r="G34" s="115" t="e">
        <f>IF(SUMIFS('RC Template'!$AW:$AW,'RC Template'!$B:$B,$A34,'RC Template'!$C:$C,G$6)=0,#N/A,SUMIFS('RC Template'!$AW:$AW,'RC Template'!$B:$B,$A34,'RC Template'!$C:$C,G$6))</f>
        <v>#N/A</v>
      </c>
      <c r="H34" s="115" t="e">
        <f>IF(SUMIFS('RC Template'!$AW:$AW,'RC Template'!$B:$B,$A34,'RC Template'!$C:$C,H$6)=0,#N/A,SUMIFS('RC Template'!$AW:$AW,'RC Template'!$B:$B,$A34,'RC Template'!$C:$C,H$6))</f>
        <v>#N/A</v>
      </c>
      <c r="I34" s="115" t="e">
        <f>IF(SUMIFS('RC Template'!$AW:$AW,'RC Template'!$B:$B,$A34,'RC Template'!$C:$C,I$6)=0,#N/A,SUMIFS('RC Template'!$AW:$AW,'RC Template'!$B:$B,$A34,'RC Template'!$C:$C,I$6))</f>
        <v>#N/A</v>
      </c>
      <c r="J34" s="115" t="e">
        <f>IF(SUMIFS('RC Template'!$AW:$AW,'RC Template'!$B:$B,$A34,'RC Template'!$C:$C,J$6)=0,#N/A,SUMIFS('RC Template'!$AW:$AW,'RC Template'!$B:$B,$A34,'RC Template'!$C:$C,J$6))</f>
        <v>#N/A</v>
      </c>
      <c r="K34" s="115" t="e">
        <f>IF(SUMIFS('RC Template'!$AW:$AW,'RC Template'!$B:$B,$A34,'RC Template'!$C:$C,K$6)=0,#N/A,SUMIFS('RC Template'!$AW:$AW,'RC Template'!$B:$B,$A34,'RC Template'!$C:$C,K$6))</f>
        <v>#N/A</v>
      </c>
      <c r="L34" s="115" t="e">
        <f>IF(SUMIFS('RC Template'!$AW:$AW,'RC Template'!$B:$B,$A34,'RC Template'!$C:$C,L$6)=0,#N/A,SUMIFS('RC Template'!$AW:$AW,'RC Template'!$B:$B,$A34,'RC Template'!$C:$C,L$6))</f>
        <v>#N/A</v>
      </c>
      <c r="M34" s="115" t="e">
        <f>IF(SUMIFS('RC Template'!$AW:$AW,'RC Template'!$B:$B,$A34,'RC Template'!$C:$C,M$6)=0,#N/A,SUMIFS('RC Template'!$AW:$AW,'RC Template'!$B:$B,$A34,'RC Template'!$C:$C,M$6))</f>
        <v>#N/A</v>
      </c>
      <c r="N34" s="115" t="e">
        <f>IF(SUMIFS('RC Template'!$AW:$AW,'RC Template'!$B:$B,$A34,'RC Template'!$C:$C,N$6)=0,#N/A,SUMIFS('RC Template'!$AW:$AW,'RC Template'!$B:$B,$A34,'RC Template'!$C:$C,N$6))</f>
        <v>#N/A</v>
      </c>
      <c r="O34" s="115" t="e">
        <f>IF(SUMIFS('RC Template'!$AW:$AW,'RC Template'!$B:$B,$A34,'RC Template'!$C:$C,O$6)=0,#N/A,SUMIFS('RC Template'!$AW:$AW,'RC Template'!$B:$B,$A34,'RC Template'!$C:$C,O$6))</f>
        <v>#N/A</v>
      </c>
      <c r="P34" s="115" t="e">
        <f>IF(SUMIFS('RC Template'!$AW:$AW,'RC Template'!$B:$B,$A34,'RC Template'!$C:$C,P$6)=0,#N/A,SUMIFS('RC Template'!$AW:$AW,'RC Template'!$B:$B,$A34,'RC Template'!$C:$C,P$6))</f>
        <v>#N/A</v>
      </c>
      <c r="Q34" s="115">
        <f ca="1">MAX(SUMIFS('RC Template'!$AW:$AW,'RC Template'!$B:$B,$A34,'RC Template'!$C:$C,Q$6),Q33*$E$3)</f>
        <v>270.22746022777068</v>
      </c>
      <c r="R34" s="115">
        <f ca="1">MAX(SUMIFS('RC Template'!$AW:$AW,'RC Template'!$B:$B,$A34,'RC Template'!$C:$C,R$6),R33*$E$3)</f>
        <v>49.12549038325195</v>
      </c>
      <c r="S34" s="115">
        <f ca="1">MAX(SUMIFS('RC Template'!$AW:$AW,'RC Template'!$B:$B,$A34,'RC Template'!$C:$C,S$6),S33*$E$3)</f>
        <v>109.73893731960482</v>
      </c>
      <c r="T34" s="115">
        <f ca="1">MAX(SUMIFS('RC Template'!$AW:$AW,'RC Template'!$B:$B,$A34,'RC Template'!$C:$C,T$6),T33*$E$3)</f>
        <v>24.210600833156558</v>
      </c>
      <c r="U34" s="115">
        <f ca="1">MAX(SUMIFS('RC Template'!$AW:$AW,'RC Template'!$B:$B,$A34,'RC Template'!$C:$C,U$6),U33*$E$3)</f>
        <v>99.752813945389065</v>
      </c>
      <c r="V34" s="115">
        <f ca="1">MAX(SUMIFS('RC Template'!$AW:$AW,'RC Template'!$B:$B,$A34,'RC Template'!$C:$C,V$6),V33*$E$3)</f>
        <v>38.643019275690577</v>
      </c>
      <c r="W34" s="115">
        <f ca="1">MAX(SUMIFS('RC Template'!$AW:$AW,'RC Template'!$B:$B,$A34,'RC Template'!$C:$C,W$6),W33*$E$3)</f>
        <v>0</v>
      </c>
      <c r="X34" s="115">
        <f ca="1">MAX(SUMIFS('RC Template'!$AW:$AW,'RC Template'!$B:$B,$A34,'RC Template'!$C:$C,X$6),X33*$E$3)</f>
        <v>0</v>
      </c>
      <c r="Y34" s="115">
        <f ca="1">MAX(SUMIFS('RC Template'!$AW:$AW,'RC Template'!$B:$B,$A34,'RC Template'!$C:$C,Y$6),Y33*$E$3)</f>
        <v>0</v>
      </c>
      <c r="Z34" s="115">
        <f ca="1">MAX(SUMIFS('RC Template'!$AW:$AW,'RC Template'!$B:$B,$A34,'RC Template'!$C:$C,Z$6),Z33*$E$3)</f>
        <v>0</v>
      </c>
      <c r="AA34" s="115">
        <f ca="1">MAX(SUMIFS('RC Template'!$AW:$AW,'RC Template'!$B:$B,$A34,'RC Template'!$C:$C,AA$6),AA33*$E$3)</f>
        <v>0</v>
      </c>
      <c r="AB34" s="115">
        <f ca="1">MAX(SUMIFS('RC Template'!$AW:$AW,'RC Template'!$B:$B,$A34,'RC Template'!$C:$C,AB$6),AB33*$E$3)</f>
        <v>0</v>
      </c>
      <c r="AC34" s="115">
        <f ca="1">MAX(SUMIFS('RC Template'!$AW:$AW,'RC Template'!$B:$B,$A34,'RC Template'!$C:$C,AC$6),AC33*$E$3)</f>
        <v>0</v>
      </c>
      <c r="AD34" s="115">
        <f ca="1">MAX(SUMIFS('RC Template'!$AW:$AW,'RC Template'!$B:$B,$A34,'RC Template'!$C:$C,AD$6),AD33*$E$3)</f>
        <v>0</v>
      </c>
    </row>
    <row r="35" spans="1:30" x14ac:dyDescent="0.3">
      <c r="A35" s="1">
        <v>43134</v>
      </c>
      <c r="B35" s="115">
        <f t="shared" ca="1" si="1"/>
        <v>636.74175666257372</v>
      </c>
      <c r="C35" s="115">
        <f ca="1">IF(SUMIFS('RC Template'!$AW:$AW,'RC Template'!$B:$B,$A35,'RC Template'!$C:$C,C$6)=0,#N/A,SUMIFS('RC Template'!$AW:$AW,'RC Template'!$B:$B,$A35,'RC Template'!$C:$C,C$6))</f>
        <v>286.97854356828344</v>
      </c>
      <c r="D35" s="115" t="e">
        <f>IF(SUMIFS('RC Template'!$AW:$AW,'RC Template'!$B:$B,$A35,'RC Template'!$C:$C,D$6)=0,#N/A,SUMIFS('RC Template'!$AW:$AW,'RC Template'!$B:$B,$A35,'RC Template'!$C:$C,D$6))</f>
        <v>#N/A</v>
      </c>
      <c r="E35" s="115">
        <f ca="1">IF(SUMIFS('RC Template'!$AW:$AW,'RC Template'!$B:$B,$A35,'RC Template'!$C:$C,E$6)=0,#N/A,SUMIFS('RC Template'!$AW:$AW,'RC Template'!$B:$B,$A35,'RC Template'!$C:$C,E$6))</f>
        <v>129.6209076903377</v>
      </c>
      <c r="F35" s="115" t="e">
        <f>IF(SUMIFS('RC Template'!$AW:$AW,'RC Template'!$B:$B,$A35,'RC Template'!$C:$C,F$6)=0,#N/A,SUMIFS('RC Template'!$AW:$AW,'RC Template'!$B:$B,$A35,'RC Template'!$C:$C,F$6))</f>
        <v>#N/A</v>
      </c>
      <c r="G35" s="115" t="e">
        <f>IF(SUMIFS('RC Template'!$AW:$AW,'RC Template'!$B:$B,$A35,'RC Template'!$C:$C,G$6)=0,#N/A,SUMIFS('RC Template'!$AW:$AW,'RC Template'!$B:$B,$A35,'RC Template'!$C:$C,G$6))</f>
        <v>#N/A</v>
      </c>
      <c r="H35" s="115">
        <f ca="1">IF(SUMIFS('RC Template'!$AW:$AW,'RC Template'!$B:$B,$A35,'RC Template'!$C:$C,H$6)=0,#N/A,SUMIFS('RC Template'!$AW:$AW,'RC Template'!$B:$B,$A35,'RC Template'!$C:$C,H$6))</f>
        <v>51.380622871200011</v>
      </c>
      <c r="I35" s="115" t="e">
        <f>IF(SUMIFS('RC Template'!$AW:$AW,'RC Template'!$B:$B,$A35,'RC Template'!$C:$C,I$6)=0,#N/A,SUMIFS('RC Template'!$AW:$AW,'RC Template'!$B:$B,$A35,'RC Template'!$C:$C,I$6))</f>
        <v>#N/A</v>
      </c>
      <c r="J35" s="115" t="e">
        <f>IF(SUMIFS('RC Template'!$AW:$AW,'RC Template'!$B:$B,$A35,'RC Template'!$C:$C,J$6)=0,#N/A,SUMIFS('RC Template'!$AW:$AW,'RC Template'!$B:$B,$A35,'RC Template'!$C:$C,J$6))</f>
        <v>#N/A</v>
      </c>
      <c r="K35" s="115" t="e">
        <f>IF(SUMIFS('RC Template'!$AW:$AW,'RC Template'!$B:$B,$A35,'RC Template'!$C:$C,K$6)=0,#N/A,SUMIFS('RC Template'!$AW:$AW,'RC Template'!$B:$B,$A35,'RC Template'!$C:$C,K$6))</f>
        <v>#N/A</v>
      </c>
      <c r="L35" s="115" t="e">
        <f>IF(SUMIFS('RC Template'!$AW:$AW,'RC Template'!$B:$B,$A35,'RC Template'!$C:$C,L$6)=0,#N/A,SUMIFS('RC Template'!$AW:$AW,'RC Template'!$B:$B,$A35,'RC Template'!$C:$C,L$6))</f>
        <v>#N/A</v>
      </c>
      <c r="M35" s="115" t="e">
        <f>IF(SUMIFS('RC Template'!$AW:$AW,'RC Template'!$B:$B,$A35,'RC Template'!$C:$C,M$6)=0,#N/A,SUMIFS('RC Template'!$AW:$AW,'RC Template'!$B:$B,$A35,'RC Template'!$C:$C,M$6))</f>
        <v>#N/A</v>
      </c>
      <c r="N35" s="115" t="e">
        <f>IF(SUMIFS('RC Template'!$AW:$AW,'RC Template'!$B:$B,$A35,'RC Template'!$C:$C,N$6)=0,#N/A,SUMIFS('RC Template'!$AW:$AW,'RC Template'!$B:$B,$A35,'RC Template'!$C:$C,N$6))</f>
        <v>#N/A</v>
      </c>
      <c r="O35" s="115" t="e">
        <f>IF(SUMIFS('RC Template'!$AW:$AW,'RC Template'!$B:$B,$A35,'RC Template'!$C:$C,O$6)=0,#N/A,SUMIFS('RC Template'!$AW:$AW,'RC Template'!$B:$B,$A35,'RC Template'!$C:$C,O$6))</f>
        <v>#N/A</v>
      </c>
      <c r="P35" s="115" t="e">
        <f>IF(SUMIFS('RC Template'!$AW:$AW,'RC Template'!$B:$B,$A35,'RC Template'!$C:$C,P$6)=0,#N/A,SUMIFS('RC Template'!$AW:$AW,'RC Template'!$B:$B,$A35,'RC Template'!$C:$C,P$6))</f>
        <v>#N/A</v>
      </c>
      <c r="Q35" s="115">
        <f ca="1">MAX(SUMIFS('RC Template'!$AW:$AW,'RC Template'!$B:$B,$A35,'RC Template'!$C:$C,Q$6),Q34*$E$3)</f>
        <v>286.97854356828344</v>
      </c>
      <c r="R35" s="115">
        <f ca="1">MAX(SUMIFS('RC Template'!$AW:$AW,'RC Template'!$B:$B,$A35,'RC Template'!$C:$C,R$6),R34*$E$3)</f>
        <v>47.897353123670648</v>
      </c>
      <c r="S35" s="115">
        <f ca="1">MAX(SUMIFS('RC Template'!$AW:$AW,'RC Template'!$B:$B,$A35,'RC Template'!$C:$C,S$6),S34*$E$3)</f>
        <v>129.6209076903377</v>
      </c>
      <c r="T35" s="115">
        <f ca="1">MAX(SUMIFS('RC Template'!$AW:$AW,'RC Template'!$B:$B,$A35,'RC Template'!$C:$C,T$6),T34*$E$3)</f>
        <v>23.605335812327645</v>
      </c>
      <c r="U35" s="115">
        <f ca="1">MAX(SUMIFS('RC Template'!$AW:$AW,'RC Template'!$B:$B,$A35,'RC Template'!$C:$C,U$6),U34*$E$3)</f>
        <v>97.258993596754337</v>
      </c>
      <c r="V35" s="115">
        <f ca="1">MAX(SUMIFS('RC Template'!$AW:$AW,'RC Template'!$B:$B,$A35,'RC Template'!$C:$C,V$6),V34*$E$3)</f>
        <v>51.380622871200011</v>
      </c>
      <c r="W35" s="115">
        <f ca="1">MAX(SUMIFS('RC Template'!$AW:$AW,'RC Template'!$B:$B,$A35,'RC Template'!$C:$C,W$6),W34*$E$3)</f>
        <v>0</v>
      </c>
      <c r="X35" s="115">
        <f ca="1">MAX(SUMIFS('RC Template'!$AW:$AW,'RC Template'!$B:$B,$A35,'RC Template'!$C:$C,X$6),X34*$E$3)</f>
        <v>0</v>
      </c>
      <c r="Y35" s="115">
        <f ca="1">MAX(SUMIFS('RC Template'!$AW:$AW,'RC Template'!$B:$B,$A35,'RC Template'!$C:$C,Y$6),Y34*$E$3)</f>
        <v>0</v>
      </c>
      <c r="Z35" s="115">
        <f ca="1">MAX(SUMIFS('RC Template'!$AW:$AW,'RC Template'!$B:$B,$A35,'RC Template'!$C:$C,Z$6),Z34*$E$3)</f>
        <v>0</v>
      </c>
      <c r="AA35" s="115">
        <f ca="1">MAX(SUMIFS('RC Template'!$AW:$AW,'RC Template'!$B:$B,$A35,'RC Template'!$C:$C,AA$6),AA34*$E$3)</f>
        <v>0</v>
      </c>
      <c r="AB35" s="115">
        <f ca="1">MAX(SUMIFS('RC Template'!$AW:$AW,'RC Template'!$B:$B,$A35,'RC Template'!$C:$C,AB$6),AB34*$E$3)</f>
        <v>0</v>
      </c>
      <c r="AC35" s="115">
        <f ca="1">MAX(SUMIFS('RC Template'!$AW:$AW,'RC Template'!$B:$B,$A35,'RC Template'!$C:$C,AC$6),AC34*$E$3)</f>
        <v>0</v>
      </c>
      <c r="AD35" s="115">
        <f ca="1">MAX(SUMIFS('RC Template'!$AW:$AW,'RC Template'!$B:$B,$A35,'RC Template'!$C:$C,AD$6),AD34*$E$3)</f>
        <v>0</v>
      </c>
    </row>
    <row r="36" spans="1:30" x14ac:dyDescent="0.3">
      <c r="A36" s="1">
        <v>43135</v>
      </c>
      <c r="B36" s="115">
        <f t="shared" ca="1" si="1"/>
        <v>620.8232127460094</v>
      </c>
      <c r="C36" s="115" t="e">
        <f>IF(SUMIFS('RC Template'!$AW:$AW,'RC Template'!$B:$B,$A36,'RC Template'!$C:$C,C$6)=0,#N/A,SUMIFS('RC Template'!$AW:$AW,'RC Template'!$B:$B,$A36,'RC Template'!$C:$C,C$6))</f>
        <v>#N/A</v>
      </c>
      <c r="D36" s="115" t="e">
        <f>IF(SUMIFS('RC Template'!$AW:$AW,'RC Template'!$B:$B,$A36,'RC Template'!$C:$C,D$6)=0,#N/A,SUMIFS('RC Template'!$AW:$AW,'RC Template'!$B:$B,$A36,'RC Template'!$C:$C,D$6))</f>
        <v>#N/A</v>
      </c>
      <c r="E36" s="115" t="e">
        <f>IF(SUMIFS('RC Template'!$AW:$AW,'RC Template'!$B:$B,$A36,'RC Template'!$C:$C,E$6)=0,#N/A,SUMIFS('RC Template'!$AW:$AW,'RC Template'!$B:$B,$A36,'RC Template'!$C:$C,E$6))</f>
        <v>#N/A</v>
      </c>
      <c r="F36" s="115" t="e">
        <f>IF(SUMIFS('RC Template'!$AW:$AW,'RC Template'!$B:$B,$A36,'RC Template'!$C:$C,F$6)=0,#N/A,SUMIFS('RC Template'!$AW:$AW,'RC Template'!$B:$B,$A36,'RC Template'!$C:$C,F$6))</f>
        <v>#N/A</v>
      </c>
      <c r="G36" s="115" t="e">
        <f>IF(SUMIFS('RC Template'!$AW:$AW,'RC Template'!$B:$B,$A36,'RC Template'!$C:$C,G$6)=0,#N/A,SUMIFS('RC Template'!$AW:$AW,'RC Template'!$B:$B,$A36,'RC Template'!$C:$C,G$6))</f>
        <v>#N/A</v>
      </c>
      <c r="H36" s="115" t="e">
        <f>IF(SUMIFS('RC Template'!$AW:$AW,'RC Template'!$B:$B,$A36,'RC Template'!$C:$C,H$6)=0,#N/A,SUMIFS('RC Template'!$AW:$AW,'RC Template'!$B:$B,$A36,'RC Template'!$C:$C,H$6))</f>
        <v>#N/A</v>
      </c>
      <c r="I36" s="115" t="e">
        <f>IF(SUMIFS('RC Template'!$AW:$AW,'RC Template'!$B:$B,$A36,'RC Template'!$C:$C,I$6)=0,#N/A,SUMIFS('RC Template'!$AW:$AW,'RC Template'!$B:$B,$A36,'RC Template'!$C:$C,I$6))</f>
        <v>#N/A</v>
      </c>
      <c r="J36" s="115" t="e">
        <f>IF(SUMIFS('RC Template'!$AW:$AW,'RC Template'!$B:$B,$A36,'RC Template'!$C:$C,J$6)=0,#N/A,SUMIFS('RC Template'!$AW:$AW,'RC Template'!$B:$B,$A36,'RC Template'!$C:$C,J$6))</f>
        <v>#N/A</v>
      </c>
      <c r="K36" s="115" t="e">
        <f>IF(SUMIFS('RC Template'!$AW:$AW,'RC Template'!$B:$B,$A36,'RC Template'!$C:$C,K$6)=0,#N/A,SUMIFS('RC Template'!$AW:$AW,'RC Template'!$B:$B,$A36,'RC Template'!$C:$C,K$6))</f>
        <v>#N/A</v>
      </c>
      <c r="L36" s="115" t="e">
        <f>IF(SUMIFS('RC Template'!$AW:$AW,'RC Template'!$B:$B,$A36,'RC Template'!$C:$C,L$6)=0,#N/A,SUMIFS('RC Template'!$AW:$AW,'RC Template'!$B:$B,$A36,'RC Template'!$C:$C,L$6))</f>
        <v>#N/A</v>
      </c>
      <c r="M36" s="115" t="e">
        <f>IF(SUMIFS('RC Template'!$AW:$AW,'RC Template'!$B:$B,$A36,'RC Template'!$C:$C,M$6)=0,#N/A,SUMIFS('RC Template'!$AW:$AW,'RC Template'!$B:$B,$A36,'RC Template'!$C:$C,M$6))</f>
        <v>#N/A</v>
      </c>
      <c r="N36" s="115" t="e">
        <f>IF(SUMIFS('RC Template'!$AW:$AW,'RC Template'!$B:$B,$A36,'RC Template'!$C:$C,N$6)=0,#N/A,SUMIFS('RC Template'!$AW:$AW,'RC Template'!$B:$B,$A36,'RC Template'!$C:$C,N$6))</f>
        <v>#N/A</v>
      </c>
      <c r="O36" s="115" t="e">
        <f>IF(SUMIFS('RC Template'!$AW:$AW,'RC Template'!$B:$B,$A36,'RC Template'!$C:$C,O$6)=0,#N/A,SUMIFS('RC Template'!$AW:$AW,'RC Template'!$B:$B,$A36,'RC Template'!$C:$C,O$6))</f>
        <v>#N/A</v>
      </c>
      <c r="P36" s="115" t="e">
        <f>IF(SUMIFS('RC Template'!$AW:$AW,'RC Template'!$B:$B,$A36,'RC Template'!$C:$C,P$6)=0,#N/A,SUMIFS('RC Template'!$AW:$AW,'RC Template'!$B:$B,$A36,'RC Template'!$C:$C,P$6))</f>
        <v>#N/A</v>
      </c>
      <c r="Q36" s="115">
        <f ca="1">MAX(SUMIFS('RC Template'!$AW:$AW,'RC Template'!$B:$B,$A36,'RC Template'!$C:$C,Q$6),Q35*$E$3)</f>
        <v>279.80407997907633</v>
      </c>
      <c r="R36" s="115">
        <f ca="1">MAX(SUMIFS('RC Template'!$AW:$AW,'RC Template'!$B:$B,$A36,'RC Template'!$C:$C,R$6),R35*$E$3)</f>
        <v>46.69991929557888</v>
      </c>
      <c r="S36" s="115">
        <f ca="1">MAX(SUMIFS('RC Template'!$AW:$AW,'RC Template'!$B:$B,$A36,'RC Template'!$C:$C,S$6),S35*$E$3)</f>
        <v>126.38038499807925</v>
      </c>
      <c r="T36" s="115">
        <f ca="1">MAX(SUMIFS('RC Template'!$AW:$AW,'RC Template'!$B:$B,$A36,'RC Template'!$C:$C,T$6),T35*$E$3)</f>
        <v>23.015202417019452</v>
      </c>
      <c r="U36" s="115">
        <f ca="1">MAX(SUMIFS('RC Template'!$AW:$AW,'RC Template'!$B:$B,$A36,'RC Template'!$C:$C,U$6),U35*$E$3)</f>
        <v>94.827518756835474</v>
      </c>
      <c r="V36" s="115">
        <f ca="1">MAX(SUMIFS('RC Template'!$AW:$AW,'RC Template'!$B:$B,$A36,'RC Template'!$C:$C,V$6),V35*$E$3)</f>
        <v>50.096107299420012</v>
      </c>
      <c r="W36" s="115">
        <f ca="1">MAX(SUMIFS('RC Template'!$AW:$AW,'RC Template'!$B:$B,$A36,'RC Template'!$C:$C,W$6),W35*$E$3)</f>
        <v>0</v>
      </c>
      <c r="X36" s="115">
        <f ca="1">MAX(SUMIFS('RC Template'!$AW:$AW,'RC Template'!$B:$B,$A36,'RC Template'!$C:$C,X$6),X35*$E$3)</f>
        <v>0</v>
      </c>
      <c r="Y36" s="115">
        <f ca="1">MAX(SUMIFS('RC Template'!$AW:$AW,'RC Template'!$B:$B,$A36,'RC Template'!$C:$C,Y$6),Y35*$E$3)</f>
        <v>0</v>
      </c>
      <c r="Z36" s="115">
        <f ca="1">MAX(SUMIFS('RC Template'!$AW:$AW,'RC Template'!$B:$B,$A36,'RC Template'!$C:$C,Z$6),Z35*$E$3)</f>
        <v>0</v>
      </c>
      <c r="AA36" s="115">
        <f ca="1">MAX(SUMIFS('RC Template'!$AW:$AW,'RC Template'!$B:$B,$A36,'RC Template'!$C:$C,AA$6),AA35*$E$3)</f>
        <v>0</v>
      </c>
      <c r="AB36" s="115">
        <f ca="1">MAX(SUMIFS('RC Template'!$AW:$AW,'RC Template'!$B:$B,$A36,'RC Template'!$C:$C,AB$6),AB35*$E$3)</f>
        <v>0</v>
      </c>
      <c r="AC36" s="115">
        <f ca="1">MAX(SUMIFS('RC Template'!$AW:$AW,'RC Template'!$B:$B,$A36,'RC Template'!$C:$C,AC$6),AC35*$E$3)</f>
        <v>0</v>
      </c>
      <c r="AD36" s="115">
        <f ca="1">MAX(SUMIFS('RC Template'!$AW:$AW,'RC Template'!$B:$B,$A36,'RC Template'!$C:$C,AD$6),AD35*$E$3)</f>
        <v>0</v>
      </c>
    </row>
    <row r="37" spans="1:30" x14ac:dyDescent="0.3">
      <c r="A37" s="1">
        <v>43136</v>
      </c>
      <c r="B37" s="115">
        <f t="shared" ca="1" si="1"/>
        <v>605.30263242735907</v>
      </c>
      <c r="C37" s="115" t="e">
        <f>IF(SUMIFS('RC Template'!$AW:$AW,'RC Template'!$B:$B,$A37,'RC Template'!$C:$C,C$6)=0,#N/A,SUMIFS('RC Template'!$AW:$AW,'RC Template'!$B:$B,$A37,'RC Template'!$C:$C,C$6))</f>
        <v>#N/A</v>
      </c>
      <c r="D37" s="115" t="e">
        <f>IF(SUMIFS('RC Template'!$AW:$AW,'RC Template'!$B:$B,$A37,'RC Template'!$C:$C,D$6)=0,#N/A,SUMIFS('RC Template'!$AW:$AW,'RC Template'!$B:$B,$A37,'RC Template'!$C:$C,D$6))</f>
        <v>#N/A</v>
      </c>
      <c r="E37" s="115" t="e">
        <f>IF(SUMIFS('RC Template'!$AW:$AW,'RC Template'!$B:$B,$A37,'RC Template'!$C:$C,E$6)=0,#N/A,SUMIFS('RC Template'!$AW:$AW,'RC Template'!$B:$B,$A37,'RC Template'!$C:$C,E$6))</f>
        <v>#N/A</v>
      </c>
      <c r="F37" s="115" t="e">
        <f>IF(SUMIFS('RC Template'!$AW:$AW,'RC Template'!$B:$B,$A37,'RC Template'!$C:$C,F$6)=0,#N/A,SUMIFS('RC Template'!$AW:$AW,'RC Template'!$B:$B,$A37,'RC Template'!$C:$C,F$6))</f>
        <v>#N/A</v>
      </c>
      <c r="G37" s="115" t="e">
        <f>IF(SUMIFS('RC Template'!$AW:$AW,'RC Template'!$B:$B,$A37,'RC Template'!$C:$C,G$6)=0,#N/A,SUMIFS('RC Template'!$AW:$AW,'RC Template'!$B:$B,$A37,'RC Template'!$C:$C,G$6))</f>
        <v>#N/A</v>
      </c>
      <c r="H37" s="115" t="e">
        <f>IF(SUMIFS('RC Template'!$AW:$AW,'RC Template'!$B:$B,$A37,'RC Template'!$C:$C,H$6)=0,#N/A,SUMIFS('RC Template'!$AW:$AW,'RC Template'!$B:$B,$A37,'RC Template'!$C:$C,H$6))</f>
        <v>#N/A</v>
      </c>
      <c r="I37" s="115" t="e">
        <f>IF(SUMIFS('RC Template'!$AW:$AW,'RC Template'!$B:$B,$A37,'RC Template'!$C:$C,I$6)=0,#N/A,SUMIFS('RC Template'!$AW:$AW,'RC Template'!$B:$B,$A37,'RC Template'!$C:$C,I$6))</f>
        <v>#N/A</v>
      </c>
      <c r="J37" s="115" t="e">
        <f>IF(SUMIFS('RC Template'!$AW:$AW,'RC Template'!$B:$B,$A37,'RC Template'!$C:$C,J$6)=0,#N/A,SUMIFS('RC Template'!$AW:$AW,'RC Template'!$B:$B,$A37,'RC Template'!$C:$C,J$6))</f>
        <v>#N/A</v>
      </c>
      <c r="K37" s="115" t="e">
        <f>IF(SUMIFS('RC Template'!$AW:$AW,'RC Template'!$B:$B,$A37,'RC Template'!$C:$C,K$6)=0,#N/A,SUMIFS('RC Template'!$AW:$AW,'RC Template'!$B:$B,$A37,'RC Template'!$C:$C,K$6))</f>
        <v>#N/A</v>
      </c>
      <c r="L37" s="115" t="e">
        <f>IF(SUMIFS('RC Template'!$AW:$AW,'RC Template'!$B:$B,$A37,'RC Template'!$C:$C,L$6)=0,#N/A,SUMIFS('RC Template'!$AW:$AW,'RC Template'!$B:$B,$A37,'RC Template'!$C:$C,L$6))</f>
        <v>#N/A</v>
      </c>
      <c r="M37" s="115" t="e">
        <f>IF(SUMIFS('RC Template'!$AW:$AW,'RC Template'!$B:$B,$A37,'RC Template'!$C:$C,M$6)=0,#N/A,SUMIFS('RC Template'!$AW:$AW,'RC Template'!$B:$B,$A37,'RC Template'!$C:$C,M$6))</f>
        <v>#N/A</v>
      </c>
      <c r="N37" s="115" t="e">
        <f>IF(SUMIFS('RC Template'!$AW:$AW,'RC Template'!$B:$B,$A37,'RC Template'!$C:$C,N$6)=0,#N/A,SUMIFS('RC Template'!$AW:$AW,'RC Template'!$B:$B,$A37,'RC Template'!$C:$C,N$6))</f>
        <v>#N/A</v>
      </c>
      <c r="O37" s="115" t="e">
        <f>IF(SUMIFS('RC Template'!$AW:$AW,'RC Template'!$B:$B,$A37,'RC Template'!$C:$C,O$6)=0,#N/A,SUMIFS('RC Template'!$AW:$AW,'RC Template'!$B:$B,$A37,'RC Template'!$C:$C,O$6))</f>
        <v>#N/A</v>
      </c>
      <c r="P37" s="115" t="e">
        <f>IF(SUMIFS('RC Template'!$AW:$AW,'RC Template'!$B:$B,$A37,'RC Template'!$C:$C,P$6)=0,#N/A,SUMIFS('RC Template'!$AW:$AW,'RC Template'!$B:$B,$A37,'RC Template'!$C:$C,P$6))</f>
        <v>#N/A</v>
      </c>
      <c r="Q37" s="115">
        <f ca="1">MAX(SUMIFS('RC Template'!$AW:$AW,'RC Template'!$B:$B,$A37,'RC Template'!$C:$C,Q$6),Q36*$E$3)</f>
        <v>272.80897797959943</v>
      </c>
      <c r="R37" s="115">
        <f ca="1">MAX(SUMIFS('RC Template'!$AW:$AW,'RC Template'!$B:$B,$A37,'RC Template'!$C:$C,R$6),R36*$E$3)</f>
        <v>45.53242131318941</v>
      </c>
      <c r="S37" s="115">
        <f ca="1">MAX(SUMIFS('RC Template'!$AW:$AW,'RC Template'!$B:$B,$A37,'RC Template'!$C:$C,S$6),S36*$E$3)</f>
        <v>123.22087537312727</v>
      </c>
      <c r="T37" s="115">
        <f ca="1">MAX(SUMIFS('RC Template'!$AW:$AW,'RC Template'!$B:$B,$A37,'RC Template'!$C:$C,T$6),T36*$E$3)</f>
        <v>22.439822356593965</v>
      </c>
      <c r="U37" s="115">
        <f ca="1">MAX(SUMIFS('RC Template'!$AW:$AW,'RC Template'!$B:$B,$A37,'RC Template'!$C:$C,U$6),U36*$E$3)</f>
        <v>92.456830787914583</v>
      </c>
      <c r="V37" s="115">
        <f ca="1">MAX(SUMIFS('RC Template'!$AW:$AW,'RC Template'!$B:$B,$A37,'RC Template'!$C:$C,V$6),V36*$E$3)</f>
        <v>48.843704616934509</v>
      </c>
      <c r="W37" s="115">
        <f ca="1">MAX(SUMIFS('RC Template'!$AW:$AW,'RC Template'!$B:$B,$A37,'RC Template'!$C:$C,W$6),W36*$E$3)</f>
        <v>0</v>
      </c>
      <c r="X37" s="115">
        <f ca="1">MAX(SUMIFS('RC Template'!$AW:$AW,'RC Template'!$B:$B,$A37,'RC Template'!$C:$C,X$6),X36*$E$3)</f>
        <v>0</v>
      </c>
      <c r="Y37" s="115">
        <f ca="1">MAX(SUMIFS('RC Template'!$AW:$AW,'RC Template'!$B:$B,$A37,'RC Template'!$C:$C,Y$6),Y36*$E$3)</f>
        <v>0</v>
      </c>
      <c r="Z37" s="115">
        <f ca="1">MAX(SUMIFS('RC Template'!$AW:$AW,'RC Template'!$B:$B,$A37,'RC Template'!$C:$C,Z$6),Z36*$E$3)</f>
        <v>0</v>
      </c>
      <c r="AA37" s="115">
        <f ca="1">MAX(SUMIFS('RC Template'!$AW:$AW,'RC Template'!$B:$B,$A37,'RC Template'!$C:$C,AA$6),AA36*$E$3)</f>
        <v>0</v>
      </c>
      <c r="AB37" s="115">
        <f ca="1">MAX(SUMIFS('RC Template'!$AW:$AW,'RC Template'!$B:$B,$A37,'RC Template'!$C:$C,AB$6),AB36*$E$3)</f>
        <v>0</v>
      </c>
      <c r="AC37" s="115">
        <f ca="1">MAX(SUMIFS('RC Template'!$AW:$AW,'RC Template'!$B:$B,$A37,'RC Template'!$C:$C,AC$6),AC36*$E$3)</f>
        <v>0</v>
      </c>
      <c r="AD37" s="115">
        <f ca="1">MAX(SUMIFS('RC Template'!$AW:$AW,'RC Template'!$B:$B,$A37,'RC Template'!$C:$C,AD$6),AD36*$E$3)</f>
        <v>0</v>
      </c>
    </row>
    <row r="38" spans="1:30" x14ac:dyDescent="0.3">
      <c r="A38" s="1">
        <v>43137</v>
      </c>
      <c r="B38" s="115">
        <f t="shared" ca="1" si="1"/>
        <v>661.37806663961294</v>
      </c>
      <c r="C38" s="115">
        <f ca="1">IF(SUMIFS('RC Template'!$AW:$AW,'RC Template'!$B:$B,$A38,'RC Template'!$C:$C,C$6)=0,#N/A,SUMIFS('RC Template'!$AW:$AW,'RC Template'!$B:$B,$A38,'RC Template'!$C:$C,C$6))</f>
        <v>270.80985493705032</v>
      </c>
      <c r="D38" s="115" t="e">
        <f>IF(SUMIFS('RC Template'!$AW:$AW,'RC Template'!$B:$B,$A38,'RC Template'!$C:$C,D$6)=0,#N/A,SUMIFS('RC Template'!$AW:$AW,'RC Template'!$B:$B,$A38,'RC Template'!$C:$C,D$6))</f>
        <v>#N/A</v>
      </c>
      <c r="E38" s="115">
        <f ca="1">IF(SUMIFS('RC Template'!$AW:$AW,'RC Template'!$B:$B,$A38,'RC Template'!$C:$C,E$6)=0,#N/A,SUMIFS('RC Template'!$AW:$AW,'RC Template'!$B:$B,$A38,'RC Template'!$C:$C,E$6))</f>
        <v>138.38116333173295</v>
      </c>
      <c r="F38" s="115" t="e">
        <f>IF(SUMIFS('RC Template'!$AW:$AW,'RC Template'!$B:$B,$A38,'RC Template'!$C:$C,F$6)=0,#N/A,SUMIFS('RC Template'!$AW:$AW,'RC Template'!$B:$B,$A38,'RC Template'!$C:$C,F$6))</f>
        <v>#N/A</v>
      </c>
      <c r="G38" s="115">
        <f ca="1">IF(SUMIFS('RC Template'!$AW:$AW,'RC Template'!$B:$B,$A38,'RC Template'!$C:$C,G$6)=0,#N/A,SUMIFS('RC Template'!$AW:$AW,'RC Template'!$B:$B,$A38,'RC Template'!$C:$C,G$6))</f>
        <v>99.027409911202284</v>
      </c>
      <c r="H38" s="115">
        <f ca="1">IF(SUMIFS('RC Template'!$AW:$AW,'RC Template'!$B:$B,$A38,'RC Template'!$C:$C,H$6)=0,#N/A,SUMIFS('RC Template'!$AW:$AW,'RC Template'!$B:$B,$A38,'RC Template'!$C:$C,H$6))</f>
        <v>56.884200881588654</v>
      </c>
      <c r="I38" s="115">
        <f ca="1">IF(SUMIFS('RC Template'!$AW:$AW,'RC Template'!$B:$B,$A38,'RC Template'!$C:$C,I$6)=0,#N/A,SUMIFS('RC Template'!$AW:$AW,'RC Template'!$B:$B,$A38,'RC Template'!$C:$C,I$6))</f>
        <v>30.002500000000001</v>
      </c>
      <c r="J38" s="115" t="e">
        <f>IF(SUMIFS('RC Template'!$AW:$AW,'RC Template'!$B:$B,$A38,'RC Template'!$C:$C,J$6)=0,#N/A,SUMIFS('RC Template'!$AW:$AW,'RC Template'!$B:$B,$A38,'RC Template'!$C:$C,J$6))</f>
        <v>#N/A</v>
      </c>
      <c r="K38" s="115" t="e">
        <f>IF(SUMIFS('RC Template'!$AW:$AW,'RC Template'!$B:$B,$A38,'RC Template'!$C:$C,K$6)=0,#N/A,SUMIFS('RC Template'!$AW:$AW,'RC Template'!$B:$B,$A38,'RC Template'!$C:$C,K$6))</f>
        <v>#N/A</v>
      </c>
      <c r="L38" s="115" t="e">
        <f>IF(SUMIFS('RC Template'!$AW:$AW,'RC Template'!$B:$B,$A38,'RC Template'!$C:$C,L$6)=0,#N/A,SUMIFS('RC Template'!$AW:$AW,'RC Template'!$B:$B,$A38,'RC Template'!$C:$C,L$6))</f>
        <v>#N/A</v>
      </c>
      <c r="M38" s="115" t="e">
        <f>IF(SUMIFS('RC Template'!$AW:$AW,'RC Template'!$B:$B,$A38,'RC Template'!$C:$C,M$6)=0,#N/A,SUMIFS('RC Template'!$AW:$AW,'RC Template'!$B:$B,$A38,'RC Template'!$C:$C,M$6))</f>
        <v>#N/A</v>
      </c>
      <c r="N38" s="115" t="e">
        <f>IF(SUMIFS('RC Template'!$AW:$AW,'RC Template'!$B:$B,$A38,'RC Template'!$C:$C,N$6)=0,#N/A,SUMIFS('RC Template'!$AW:$AW,'RC Template'!$B:$B,$A38,'RC Template'!$C:$C,N$6))</f>
        <v>#N/A</v>
      </c>
      <c r="O38" s="115" t="e">
        <f>IF(SUMIFS('RC Template'!$AW:$AW,'RC Template'!$B:$B,$A38,'RC Template'!$C:$C,O$6)=0,#N/A,SUMIFS('RC Template'!$AW:$AW,'RC Template'!$B:$B,$A38,'RC Template'!$C:$C,O$6))</f>
        <v>#N/A</v>
      </c>
      <c r="P38" s="115" t="e">
        <f>IF(SUMIFS('RC Template'!$AW:$AW,'RC Template'!$B:$B,$A38,'RC Template'!$C:$C,P$6)=0,#N/A,SUMIFS('RC Template'!$AW:$AW,'RC Template'!$B:$B,$A38,'RC Template'!$C:$C,P$6))</f>
        <v>#N/A</v>
      </c>
      <c r="Q38" s="115">
        <f ca="1">MAX(SUMIFS('RC Template'!$AW:$AW,'RC Template'!$B:$B,$A38,'RC Template'!$C:$C,Q$6),Q37*$E$3)</f>
        <v>270.80985493705032</v>
      </c>
      <c r="R38" s="115">
        <f ca="1">MAX(SUMIFS('RC Template'!$AW:$AW,'RC Template'!$B:$B,$A38,'RC Template'!$C:$C,R$6),R37*$E$3)</f>
        <v>44.394110780359675</v>
      </c>
      <c r="S38" s="115">
        <f ca="1">MAX(SUMIFS('RC Template'!$AW:$AW,'RC Template'!$B:$B,$A38,'RC Template'!$C:$C,S$6),S37*$E$3)</f>
        <v>138.38116333173295</v>
      </c>
      <c r="T38" s="115">
        <f ca="1">MAX(SUMIFS('RC Template'!$AW:$AW,'RC Template'!$B:$B,$A38,'RC Template'!$C:$C,T$6),T37*$E$3)</f>
        <v>21.878826797679114</v>
      </c>
      <c r="U38" s="115">
        <f ca="1">MAX(SUMIFS('RC Template'!$AW:$AW,'RC Template'!$B:$B,$A38,'RC Template'!$C:$C,U$6),U37*$E$3)</f>
        <v>99.027409911202284</v>
      </c>
      <c r="V38" s="115">
        <f ca="1">MAX(SUMIFS('RC Template'!$AW:$AW,'RC Template'!$B:$B,$A38,'RC Template'!$C:$C,V$6),V37*$E$3)</f>
        <v>56.884200881588654</v>
      </c>
      <c r="W38" s="115">
        <f ca="1">MAX(SUMIFS('RC Template'!$AW:$AW,'RC Template'!$B:$B,$A38,'RC Template'!$C:$C,W$6),W37*$E$3)</f>
        <v>30.002500000000001</v>
      </c>
      <c r="X38" s="115">
        <f ca="1">MAX(SUMIFS('RC Template'!$AW:$AW,'RC Template'!$B:$B,$A38,'RC Template'!$C:$C,X$6),X37*$E$3)</f>
        <v>0</v>
      </c>
      <c r="Y38" s="115">
        <f ca="1">MAX(SUMIFS('RC Template'!$AW:$AW,'RC Template'!$B:$B,$A38,'RC Template'!$C:$C,Y$6),Y37*$E$3)</f>
        <v>0</v>
      </c>
      <c r="Z38" s="115">
        <f ca="1">MAX(SUMIFS('RC Template'!$AW:$AW,'RC Template'!$B:$B,$A38,'RC Template'!$C:$C,Z$6),Z37*$E$3)</f>
        <v>0</v>
      </c>
      <c r="AA38" s="115">
        <f ca="1">MAX(SUMIFS('RC Template'!$AW:$AW,'RC Template'!$B:$B,$A38,'RC Template'!$C:$C,AA$6),AA37*$E$3)</f>
        <v>0</v>
      </c>
      <c r="AB38" s="115">
        <f ca="1">MAX(SUMIFS('RC Template'!$AW:$AW,'RC Template'!$B:$B,$A38,'RC Template'!$C:$C,AB$6),AB37*$E$3)</f>
        <v>0</v>
      </c>
      <c r="AC38" s="115">
        <f ca="1">MAX(SUMIFS('RC Template'!$AW:$AW,'RC Template'!$B:$B,$A38,'RC Template'!$C:$C,AC$6),AC37*$E$3)</f>
        <v>0</v>
      </c>
      <c r="AD38" s="115">
        <f ca="1">MAX(SUMIFS('RC Template'!$AW:$AW,'RC Template'!$B:$B,$A38,'RC Template'!$C:$C,AD$6),AD37*$E$3)</f>
        <v>0</v>
      </c>
    </row>
    <row r="39" spans="1:30" x14ac:dyDescent="0.3">
      <c r="A39" s="1">
        <v>43138</v>
      </c>
      <c r="B39" s="115">
        <f t="shared" ref="B39:B60" ca="1" si="2">SUM(Q39:AD39)</f>
        <v>644.84361497362272</v>
      </c>
      <c r="C39" s="115" t="e">
        <f>IF(SUMIFS('RC Template'!$AW:$AW,'RC Template'!$B:$B,$A39,'RC Template'!$C:$C,C$6)=0,#N/A,SUMIFS('RC Template'!$AW:$AW,'RC Template'!$B:$B,$A39,'RC Template'!$C:$C,C$6))</f>
        <v>#N/A</v>
      </c>
      <c r="D39" s="115" t="e">
        <f>IF(SUMIFS('RC Template'!$AW:$AW,'RC Template'!$B:$B,$A39,'RC Template'!$C:$C,D$6)=0,#N/A,SUMIFS('RC Template'!$AW:$AW,'RC Template'!$B:$B,$A39,'RC Template'!$C:$C,D$6))</f>
        <v>#N/A</v>
      </c>
      <c r="E39" s="115" t="e">
        <f>IF(SUMIFS('RC Template'!$AW:$AW,'RC Template'!$B:$B,$A39,'RC Template'!$C:$C,E$6)=0,#N/A,SUMIFS('RC Template'!$AW:$AW,'RC Template'!$B:$B,$A39,'RC Template'!$C:$C,E$6))</f>
        <v>#N/A</v>
      </c>
      <c r="F39" s="115" t="e">
        <f>IF(SUMIFS('RC Template'!$AW:$AW,'RC Template'!$B:$B,$A39,'RC Template'!$C:$C,F$6)=0,#N/A,SUMIFS('RC Template'!$AW:$AW,'RC Template'!$B:$B,$A39,'RC Template'!$C:$C,F$6))</f>
        <v>#N/A</v>
      </c>
      <c r="G39" s="115" t="e">
        <f>IF(SUMIFS('RC Template'!$AW:$AW,'RC Template'!$B:$B,$A39,'RC Template'!$C:$C,G$6)=0,#N/A,SUMIFS('RC Template'!$AW:$AW,'RC Template'!$B:$B,$A39,'RC Template'!$C:$C,G$6))</f>
        <v>#N/A</v>
      </c>
      <c r="H39" s="115" t="e">
        <f>IF(SUMIFS('RC Template'!$AW:$AW,'RC Template'!$B:$B,$A39,'RC Template'!$C:$C,H$6)=0,#N/A,SUMIFS('RC Template'!$AW:$AW,'RC Template'!$B:$B,$A39,'RC Template'!$C:$C,H$6))</f>
        <v>#N/A</v>
      </c>
      <c r="I39" s="115" t="e">
        <f>IF(SUMIFS('RC Template'!$AW:$AW,'RC Template'!$B:$B,$A39,'RC Template'!$C:$C,I$6)=0,#N/A,SUMIFS('RC Template'!$AW:$AW,'RC Template'!$B:$B,$A39,'RC Template'!$C:$C,I$6))</f>
        <v>#N/A</v>
      </c>
      <c r="J39" s="115" t="e">
        <f>IF(SUMIFS('RC Template'!$AW:$AW,'RC Template'!$B:$B,$A39,'RC Template'!$C:$C,J$6)=0,#N/A,SUMIFS('RC Template'!$AW:$AW,'RC Template'!$B:$B,$A39,'RC Template'!$C:$C,J$6))</f>
        <v>#N/A</v>
      </c>
      <c r="K39" s="115" t="e">
        <f>IF(SUMIFS('RC Template'!$AW:$AW,'RC Template'!$B:$B,$A39,'RC Template'!$C:$C,K$6)=0,#N/A,SUMIFS('RC Template'!$AW:$AW,'RC Template'!$B:$B,$A39,'RC Template'!$C:$C,K$6))</f>
        <v>#N/A</v>
      </c>
      <c r="L39" s="115" t="e">
        <f>IF(SUMIFS('RC Template'!$AW:$AW,'RC Template'!$B:$B,$A39,'RC Template'!$C:$C,L$6)=0,#N/A,SUMIFS('RC Template'!$AW:$AW,'RC Template'!$B:$B,$A39,'RC Template'!$C:$C,L$6))</f>
        <v>#N/A</v>
      </c>
      <c r="M39" s="115" t="e">
        <f>IF(SUMIFS('RC Template'!$AW:$AW,'RC Template'!$B:$B,$A39,'RC Template'!$C:$C,M$6)=0,#N/A,SUMIFS('RC Template'!$AW:$AW,'RC Template'!$B:$B,$A39,'RC Template'!$C:$C,M$6))</f>
        <v>#N/A</v>
      </c>
      <c r="N39" s="115" t="e">
        <f>IF(SUMIFS('RC Template'!$AW:$AW,'RC Template'!$B:$B,$A39,'RC Template'!$C:$C,N$6)=0,#N/A,SUMIFS('RC Template'!$AW:$AW,'RC Template'!$B:$B,$A39,'RC Template'!$C:$C,N$6))</f>
        <v>#N/A</v>
      </c>
      <c r="O39" s="115" t="e">
        <f>IF(SUMIFS('RC Template'!$AW:$AW,'RC Template'!$B:$B,$A39,'RC Template'!$C:$C,O$6)=0,#N/A,SUMIFS('RC Template'!$AW:$AW,'RC Template'!$B:$B,$A39,'RC Template'!$C:$C,O$6))</f>
        <v>#N/A</v>
      </c>
      <c r="P39" s="115" t="e">
        <f>IF(SUMIFS('RC Template'!$AW:$AW,'RC Template'!$B:$B,$A39,'RC Template'!$C:$C,P$6)=0,#N/A,SUMIFS('RC Template'!$AW:$AW,'RC Template'!$B:$B,$A39,'RC Template'!$C:$C,P$6))</f>
        <v>#N/A</v>
      </c>
      <c r="Q39" s="115">
        <f ca="1">MAX(SUMIFS('RC Template'!$AW:$AW,'RC Template'!$B:$B,$A39,'RC Template'!$C:$C,Q$6),Q38*$E$3)</f>
        <v>264.03960856362403</v>
      </c>
      <c r="R39" s="115">
        <f ca="1">MAX(SUMIFS('RC Template'!$AW:$AW,'RC Template'!$B:$B,$A39,'RC Template'!$C:$C,R$6),R38*$E$3)</f>
        <v>43.284258010850685</v>
      </c>
      <c r="S39" s="115">
        <f ca="1">MAX(SUMIFS('RC Template'!$AW:$AW,'RC Template'!$B:$B,$A39,'RC Template'!$C:$C,S$6),S38*$E$3)</f>
        <v>134.92163424843963</v>
      </c>
      <c r="T39" s="115">
        <f ca="1">MAX(SUMIFS('RC Template'!$AW:$AW,'RC Template'!$B:$B,$A39,'RC Template'!$C:$C,T$6),T38*$E$3)</f>
        <v>21.331856127737137</v>
      </c>
      <c r="U39" s="115">
        <f ca="1">MAX(SUMIFS('RC Template'!$AW:$AW,'RC Template'!$B:$B,$A39,'RC Template'!$C:$C,U$6),U38*$E$3)</f>
        <v>96.55172466342222</v>
      </c>
      <c r="V39" s="115">
        <f ca="1">MAX(SUMIFS('RC Template'!$AW:$AW,'RC Template'!$B:$B,$A39,'RC Template'!$C:$C,V$6),V38*$E$3)</f>
        <v>55.462095859548938</v>
      </c>
      <c r="W39" s="115">
        <f ca="1">MAX(SUMIFS('RC Template'!$AW:$AW,'RC Template'!$B:$B,$A39,'RC Template'!$C:$C,W$6),W38*$E$3)</f>
        <v>29.252437499999999</v>
      </c>
      <c r="X39" s="115">
        <f ca="1">MAX(SUMIFS('RC Template'!$AW:$AW,'RC Template'!$B:$B,$A39,'RC Template'!$C:$C,X$6),X38*$E$3)</f>
        <v>0</v>
      </c>
      <c r="Y39" s="115">
        <f ca="1">MAX(SUMIFS('RC Template'!$AW:$AW,'RC Template'!$B:$B,$A39,'RC Template'!$C:$C,Y$6),Y38*$E$3)</f>
        <v>0</v>
      </c>
      <c r="Z39" s="115">
        <f ca="1">MAX(SUMIFS('RC Template'!$AW:$AW,'RC Template'!$B:$B,$A39,'RC Template'!$C:$C,Z$6),Z38*$E$3)</f>
        <v>0</v>
      </c>
      <c r="AA39" s="115">
        <f ca="1">MAX(SUMIFS('RC Template'!$AW:$AW,'RC Template'!$B:$B,$A39,'RC Template'!$C:$C,AA$6),AA38*$E$3)</f>
        <v>0</v>
      </c>
      <c r="AB39" s="115">
        <f ca="1">MAX(SUMIFS('RC Template'!$AW:$AW,'RC Template'!$B:$B,$A39,'RC Template'!$C:$C,AB$6),AB38*$E$3)</f>
        <v>0</v>
      </c>
      <c r="AC39" s="115">
        <f ca="1">MAX(SUMIFS('RC Template'!$AW:$AW,'RC Template'!$B:$B,$A39,'RC Template'!$C:$C,AC$6),AC38*$E$3)</f>
        <v>0</v>
      </c>
      <c r="AD39" s="115">
        <f ca="1">MAX(SUMIFS('RC Template'!$AW:$AW,'RC Template'!$B:$B,$A39,'RC Template'!$C:$C,AD$6),AD38*$E$3)</f>
        <v>0</v>
      </c>
    </row>
    <row r="40" spans="1:30" x14ac:dyDescent="0.3">
      <c r="A40" s="1">
        <v>43139</v>
      </c>
      <c r="B40" s="115">
        <f t="shared" ca="1" si="2"/>
        <v>684.02503096220744</v>
      </c>
      <c r="C40" s="115">
        <f ca="1">IF(SUMIFS('RC Template'!$AW:$AW,'RC Template'!$B:$B,$A40,'RC Template'!$C:$C,C$6)=0,#N/A,SUMIFS('RC Template'!$AW:$AW,'RC Template'!$B:$B,$A40,'RC Template'!$C:$C,C$6))</f>
        <v>306.69077627303841</v>
      </c>
      <c r="D40" s="115">
        <f ca="1">IF(SUMIFS('RC Template'!$AW:$AW,'RC Template'!$B:$B,$A40,'RC Template'!$C:$C,D$6)=0,#N/A,SUMIFS('RC Template'!$AW:$AW,'RC Template'!$B:$B,$A40,'RC Template'!$C:$C,D$6))</f>
        <v>48.252499999999998</v>
      </c>
      <c r="E40" s="115" t="e">
        <f>IF(SUMIFS('RC Template'!$AW:$AW,'RC Template'!$B:$B,$A40,'RC Template'!$C:$C,E$6)=0,#N/A,SUMIFS('RC Template'!$AW:$AW,'RC Template'!$B:$B,$A40,'RC Template'!$C:$C,E$6))</f>
        <v>#N/A</v>
      </c>
      <c r="F40" s="115" t="e">
        <f>IF(SUMIFS('RC Template'!$AW:$AW,'RC Template'!$B:$B,$A40,'RC Template'!$C:$C,F$6)=0,#N/A,SUMIFS('RC Template'!$AW:$AW,'RC Template'!$B:$B,$A40,'RC Template'!$C:$C,F$6))</f>
        <v>#N/A</v>
      </c>
      <c r="G40" s="115" t="e">
        <f>IF(SUMIFS('RC Template'!$AW:$AW,'RC Template'!$B:$B,$A40,'RC Template'!$C:$C,G$6)=0,#N/A,SUMIFS('RC Template'!$AW:$AW,'RC Template'!$B:$B,$A40,'RC Template'!$C:$C,G$6))</f>
        <v>#N/A</v>
      </c>
      <c r="H40" s="115" t="e">
        <f>IF(SUMIFS('RC Template'!$AW:$AW,'RC Template'!$B:$B,$A40,'RC Template'!$C:$C,H$6)=0,#N/A,SUMIFS('RC Template'!$AW:$AW,'RC Template'!$B:$B,$A40,'RC Template'!$C:$C,H$6))</f>
        <v>#N/A</v>
      </c>
      <c r="I40" s="115" t="e">
        <f>IF(SUMIFS('RC Template'!$AW:$AW,'RC Template'!$B:$B,$A40,'RC Template'!$C:$C,I$6)=0,#N/A,SUMIFS('RC Template'!$AW:$AW,'RC Template'!$B:$B,$A40,'RC Template'!$C:$C,I$6))</f>
        <v>#N/A</v>
      </c>
      <c r="J40" s="115" t="e">
        <f>IF(SUMIFS('RC Template'!$AW:$AW,'RC Template'!$B:$B,$A40,'RC Template'!$C:$C,J$6)=0,#N/A,SUMIFS('RC Template'!$AW:$AW,'RC Template'!$B:$B,$A40,'RC Template'!$C:$C,J$6))</f>
        <v>#N/A</v>
      </c>
      <c r="K40" s="115" t="e">
        <f>IF(SUMIFS('RC Template'!$AW:$AW,'RC Template'!$B:$B,$A40,'RC Template'!$C:$C,K$6)=0,#N/A,SUMIFS('RC Template'!$AW:$AW,'RC Template'!$B:$B,$A40,'RC Template'!$C:$C,K$6))</f>
        <v>#N/A</v>
      </c>
      <c r="L40" s="115" t="e">
        <f>IF(SUMIFS('RC Template'!$AW:$AW,'RC Template'!$B:$B,$A40,'RC Template'!$C:$C,L$6)=0,#N/A,SUMIFS('RC Template'!$AW:$AW,'RC Template'!$B:$B,$A40,'RC Template'!$C:$C,L$6))</f>
        <v>#N/A</v>
      </c>
      <c r="M40" s="115" t="e">
        <f>IF(SUMIFS('RC Template'!$AW:$AW,'RC Template'!$B:$B,$A40,'RC Template'!$C:$C,M$6)=0,#N/A,SUMIFS('RC Template'!$AW:$AW,'RC Template'!$B:$B,$A40,'RC Template'!$C:$C,M$6))</f>
        <v>#N/A</v>
      </c>
      <c r="N40" s="115" t="e">
        <f>IF(SUMIFS('RC Template'!$AW:$AW,'RC Template'!$B:$B,$A40,'RC Template'!$C:$C,N$6)=0,#N/A,SUMIFS('RC Template'!$AW:$AW,'RC Template'!$B:$B,$A40,'RC Template'!$C:$C,N$6))</f>
        <v>#N/A</v>
      </c>
      <c r="O40" s="115" t="e">
        <f>IF(SUMIFS('RC Template'!$AW:$AW,'RC Template'!$B:$B,$A40,'RC Template'!$C:$C,O$6)=0,#N/A,SUMIFS('RC Template'!$AW:$AW,'RC Template'!$B:$B,$A40,'RC Template'!$C:$C,O$6))</f>
        <v>#N/A</v>
      </c>
      <c r="P40" s="115" t="e">
        <f>IF(SUMIFS('RC Template'!$AW:$AW,'RC Template'!$B:$B,$A40,'RC Template'!$C:$C,P$6)=0,#N/A,SUMIFS('RC Template'!$AW:$AW,'RC Template'!$B:$B,$A40,'RC Template'!$C:$C,P$6))</f>
        <v>#N/A</v>
      </c>
      <c r="Q40" s="115">
        <f ca="1">MAX(SUMIFS('RC Template'!$AW:$AW,'RC Template'!$B:$B,$A40,'RC Template'!$C:$C,Q$6),Q39*$E$3)</f>
        <v>306.69077627303841</v>
      </c>
      <c r="R40" s="115">
        <f ca="1">MAX(SUMIFS('RC Template'!$AW:$AW,'RC Template'!$B:$B,$A40,'RC Template'!$C:$C,R$6),R39*$E$3)</f>
        <v>48.252499999999998</v>
      </c>
      <c r="S40" s="115">
        <f ca="1">MAX(SUMIFS('RC Template'!$AW:$AW,'RC Template'!$B:$B,$A40,'RC Template'!$C:$C,S$6),S39*$E$3)</f>
        <v>131.54859339222864</v>
      </c>
      <c r="T40" s="115">
        <f ca="1">MAX(SUMIFS('RC Template'!$AW:$AW,'RC Template'!$B:$B,$A40,'RC Template'!$C:$C,T$6),T39*$E$3)</f>
        <v>20.798559724543708</v>
      </c>
      <c r="U40" s="115">
        <f ca="1">MAX(SUMIFS('RC Template'!$AW:$AW,'RC Template'!$B:$B,$A40,'RC Template'!$C:$C,U$6),U39*$E$3)</f>
        <v>94.137931546836668</v>
      </c>
      <c r="V40" s="115">
        <f ca="1">MAX(SUMIFS('RC Template'!$AW:$AW,'RC Template'!$B:$B,$A40,'RC Template'!$C:$C,V$6),V39*$E$3)</f>
        <v>54.075543463060214</v>
      </c>
      <c r="W40" s="115">
        <f ca="1">MAX(SUMIFS('RC Template'!$AW:$AW,'RC Template'!$B:$B,$A40,'RC Template'!$C:$C,W$6),W39*$E$3)</f>
        <v>28.521126562499997</v>
      </c>
      <c r="X40" s="115">
        <f ca="1">MAX(SUMIFS('RC Template'!$AW:$AW,'RC Template'!$B:$B,$A40,'RC Template'!$C:$C,X$6),X39*$E$3)</f>
        <v>0</v>
      </c>
      <c r="Y40" s="115">
        <f ca="1">MAX(SUMIFS('RC Template'!$AW:$AW,'RC Template'!$B:$B,$A40,'RC Template'!$C:$C,Y$6),Y39*$E$3)</f>
        <v>0</v>
      </c>
      <c r="Z40" s="115">
        <f ca="1">MAX(SUMIFS('RC Template'!$AW:$AW,'RC Template'!$B:$B,$A40,'RC Template'!$C:$C,Z$6),Z39*$E$3)</f>
        <v>0</v>
      </c>
      <c r="AA40" s="115">
        <f ca="1">MAX(SUMIFS('RC Template'!$AW:$AW,'RC Template'!$B:$B,$A40,'RC Template'!$C:$C,AA$6),AA39*$E$3)</f>
        <v>0</v>
      </c>
      <c r="AB40" s="115">
        <f ca="1">MAX(SUMIFS('RC Template'!$AW:$AW,'RC Template'!$B:$B,$A40,'RC Template'!$C:$C,AB$6),AB39*$E$3)</f>
        <v>0</v>
      </c>
      <c r="AC40" s="115">
        <f ca="1">MAX(SUMIFS('RC Template'!$AW:$AW,'RC Template'!$B:$B,$A40,'RC Template'!$C:$C,AC$6),AC39*$E$3)</f>
        <v>0</v>
      </c>
      <c r="AD40" s="115">
        <f ca="1">MAX(SUMIFS('RC Template'!$AW:$AW,'RC Template'!$B:$B,$A40,'RC Template'!$C:$C,AD$6),AD39*$E$3)</f>
        <v>0</v>
      </c>
    </row>
    <row r="41" spans="1:30" x14ac:dyDescent="0.3">
      <c r="A41" s="1">
        <v>43140</v>
      </c>
      <c r="B41" s="115">
        <f t="shared" ca="1" si="2"/>
        <v>666.92440518815238</v>
      </c>
      <c r="C41" s="115" t="e">
        <f>IF(SUMIFS('RC Template'!$AW:$AW,'RC Template'!$B:$B,$A41,'RC Template'!$C:$C,C$6)=0,#N/A,SUMIFS('RC Template'!$AW:$AW,'RC Template'!$B:$B,$A41,'RC Template'!$C:$C,C$6))</f>
        <v>#N/A</v>
      </c>
      <c r="D41" s="115" t="e">
        <f>IF(SUMIFS('RC Template'!$AW:$AW,'RC Template'!$B:$B,$A41,'RC Template'!$C:$C,D$6)=0,#N/A,SUMIFS('RC Template'!$AW:$AW,'RC Template'!$B:$B,$A41,'RC Template'!$C:$C,D$6))</f>
        <v>#N/A</v>
      </c>
      <c r="E41" s="115" t="e">
        <f>IF(SUMIFS('RC Template'!$AW:$AW,'RC Template'!$B:$B,$A41,'RC Template'!$C:$C,E$6)=0,#N/A,SUMIFS('RC Template'!$AW:$AW,'RC Template'!$B:$B,$A41,'RC Template'!$C:$C,E$6))</f>
        <v>#N/A</v>
      </c>
      <c r="F41" s="115" t="e">
        <f>IF(SUMIFS('RC Template'!$AW:$AW,'RC Template'!$B:$B,$A41,'RC Template'!$C:$C,F$6)=0,#N/A,SUMIFS('RC Template'!$AW:$AW,'RC Template'!$B:$B,$A41,'RC Template'!$C:$C,F$6))</f>
        <v>#N/A</v>
      </c>
      <c r="G41" s="115" t="e">
        <f>IF(SUMIFS('RC Template'!$AW:$AW,'RC Template'!$B:$B,$A41,'RC Template'!$C:$C,G$6)=0,#N/A,SUMIFS('RC Template'!$AW:$AW,'RC Template'!$B:$B,$A41,'RC Template'!$C:$C,G$6))</f>
        <v>#N/A</v>
      </c>
      <c r="H41" s="115" t="e">
        <f>IF(SUMIFS('RC Template'!$AW:$AW,'RC Template'!$B:$B,$A41,'RC Template'!$C:$C,H$6)=0,#N/A,SUMIFS('RC Template'!$AW:$AW,'RC Template'!$B:$B,$A41,'RC Template'!$C:$C,H$6))</f>
        <v>#N/A</v>
      </c>
      <c r="I41" s="115" t="e">
        <f>IF(SUMIFS('RC Template'!$AW:$AW,'RC Template'!$B:$B,$A41,'RC Template'!$C:$C,I$6)=0,#N/A,SUMIFS('RC Template'!$AW:$AW,'RC Template'!$B:$B,$A41,'RC Template'!$C:$C,I$6))</f>
        <v>#N/A</v>
      </c>
      <c r="J41" s="115" t="e">
        <f>IF(SUMIFS('RC Template'!$AW:$AW,'RC Template'!$B:$B,$A41,'RC Template'!$C:$C,J$6)=0,#N/A,SUMIFS('RC Template'!$AW:$AW,'RC Template'!$B:$B,$A41,'RC Template'!$C:$C,J$6))</f>
        <v>#N/A</v>
      </c>
      <c r="K41" s="115" t="e">
        <f>IF(SUMIFS('RC Template'!$AW:$AW,'RC Template'!$B:$B,$A41,'RC Template'!$C:$C,K$6)=0,#N/A,SUMIFS('RC Template'!$AW:$AW,'RC Template'!$B:$B,$A41,'RC Template'!$C:$C,K$6))</f>
        <v>#N/A</v>
      </c>
      <c r="L41" s="115" t="e">
        <f>IF(SUMIFS('RC Template'!$AW:$AW,'RC Template'!$B:$B,$A41,'RC Template'!$C:$C,L$6)=0,#N/A,SUMIFS('RC Template'!$AW:$AW,'RC Template'!$B:$B,$A41,'RC Template'!$C:$C,L$6))</f>
        <v>#N/A</v>
      </c>
      <c r="M41" s="115" t="e">
        <f>IF(SUMIFS('RC Template'!$AW:$AW,'RC Template'!$B:$B,$A41,'RC Template'!$C:$C,M$6)=0,#N/A,SUMIFS('RC Template'!$AW:$AW,'RC Template'!$B:$B,$A41,'RC Template'!$C:$C,M$6))</f>
        <v>#N/A</v>
      </c>
      <c r="N41" s="115" t="e">
        <f>IF(SUMIFS('RC Template'!$AW:$AW,'RC Template'!$B:$B,$A41,'RC Template'!$C:$C,N$6)=0,#N/A,SUMIFS('RC Template'!$AW:$AW,'RC Template'!$B:$B,$A41,'RC Template'!$C:$C,N$6))</f>
        <v>#N/A</v>
      </c>
      <c r="O41" s="115" t="e">
        <f>IF(SUMIFS('RC Template'!$AW:$AW,'RC Template'!$B:$B,$A41,'RC Template'!$C:$C,O$6)=0,#N/A,SUMIFS('RC Template'!$AW:$AW,'RC Template'!$B:$B,$A41,'RC Template'!$C:$C,O$6))</f>
        <v>#N/A</v>
      </c>
      <c r="P41" s="115" t="e">
        <f>IF(SUMIFS('RC Template'!$AW:$AW,'RC Template'!$B:$B,$A41,'RC Template'!$C:$C,P$6)=0,#N/A,SUMIFS('RC Template'!$AW:$AW,'RC Template'!$B:$B,$A41,'RC Template'!$C:$C,P$6))</f>
        <v>#N/A</v>
      </c>
      <c r="Q41" s="115">
        <f ca="1">MAX(SUMIFS('RC Template'!$AW:$AW,'RC Template'!$B:$B,$A41,'RC Template'!$C:$C,Q$6),Q40*$E$3)</f>
        <v>299.02350686621241</v>
      </c>
      <c r="R41" s="115">
        <f ca="1">MAX(SUMIFS('RC Template'!$AW:$AW,'RC Template'!$B:$B,$A41,'RC Template'!$C:$C,R$6),R40*$E$3)</f>
        <v>47.046187499999995</v>
      </c>
      <c r="S41" s="115">
        <f ca="1">MAX(SUMIFS('RC Template'!$AW:$AW,'RC Template'!$B:$B,$A41,'RC Template'!$C:$C,S$6),S40*$E$3)</f>
        <v>128.25987855742292</v>
      </c>
      <c r="T41" s="115">
        <f ca="1">MAX(SUMIFS('RC Template'!$AW:$AW,'RC Template'!$B:$B,$A41,'RC Template'!$C:$C,T$6),T40*$E$3)</f>
        <v>20.278595731430116</v>
      </c>
      <c r="U41" s="115">
        <f ca="1">MAX(SUMIFS('RC Template'!$AW:$AW,'RC Template'!$B:$B,$A41,'RC Template'!$C:$C,U$6),U40*$E$3)</f>
        <v>91.78448325816575</v>
      </c>
      <c r="V41" s="115">
        <f ca="1">MAX(SUMIFS('RC Template'!$AW:$AW,'RC Template'!$B:$B,$A41,'RC Template'!$C:$C,V$6),V40*$E$3)</f>
        <v>52.723654876483707</v>
      </c>
      <c r="W41" s="115">
        <f ca="1">MAX(SUMIFS('RC Template'!$AW:$AW,'RC Template'!$B:$B,$A41,'RC Template'!$C:$C,W$6),W40*$E$3)</f>
        <v>27.808098398437497</v>
      </c>
      <c r="X41" s="115">
        <f ca="1">MAX(SUMIFS('RC Template'!$AW:$AW,'RC Template'!$B:$B,$A41,'RC Template'!$C:$C,X$6),X40*$E$3)</f>
        <v>0</v>
      </c>
      <c r="Y41" s="115">
        <f ca="1">MAX(SUMIFS('RC Template'!$AW:$AW,'RC Template'!$B:$B,$A41,'RC Template'!$C:$C,Y$6),Y40*$E$3)</f>
        <v>0</v>
      </c>
      <c r="Z41" s="115">
        <f ca="1">MAX(SUMIFS('RC Template'!$AW:$AW,'RC Template'!$B:$B,$A41,'RC Template'!$C:$C,Z$6),Z40*$E$3)</f>
        <v>0</v>
      </c>
      <c r="AA41" s="115">
        <f ca="1">MAX(SUMIFS('RC Template'!$AW:$AW,'RC Template'!$B:$B,$A41,'RC Template'!$C:$C,AA$6),AA40*$E$3)</f>
        <v>0</v>
      </c>
      <c r="AB41" s="115">
        <f ca="1">MAX(SUMIFS('RC Template'!$AW:$AW,'RC Template'!$B:$B,$A41,'RC Template'!$C:$C,AB$6),AB40*$E$3)</f>
        <v>0</v>
      </c>
      <c r="AC41" s="115">
        <f ca="1">MAX(SUMIFS('RC Template'!$AW:$AW,'RC Template'!$B:$B,$A41,'RC Template'!$C:$C,AC$6),AC40*$E$3)</f>
        <v>0</v>
      </c>
      <c r="AD41" s="115">
        <f ca="1">MAX(SUMIFS('RC Template'!$AW:$AW,'RC Template'!$B:$B,$A41,'RC Template'!$C:$C,AD$6),AD40*$E$3)</f>
        <v>0</v>
      </c>
    </row>
    <row r="42" spans="1:30" x14ac:dyDescent="0.3">
      <c r="A42" s="1">
        <v>43141</v>
      </c>
      <c r="B42" s="115">
        <f t="shared" ca="1" si="2"/>
        <v>650.25129505844859</v>
      </c>
      <c r="C42" s="115" t="e">
        <f>IF(SUMIFS('RC Template'!$AW:$AW,'RC Template'!$B:$B,$A42,'RC Template'!$C:$C,C$6)=0,#N/A,SUMIFS('RC Template'!$AW:$AW,'RC Template'!$B:$B,$A42,'RC Template'!$C:$C,C$6))</f>
        <v>#N/A</v>
      </c>
      <c r="D42" s="115" t="e">
        <f>IF(SUMIFS('RC Template'!$AW:$AW,'RC Template'!$B:$B,$A42,'RC Template'!$C:$C,D$6)=0,#N/A,SUMIFS('RC Template'!$AW:$AW,'RC Template'!$B:$B,$A42,'RC Template'!$C:$C,D$6))</f>
        <v>#N/A</v>
      </c>
      <c r="E42" s="115" t="e">
        <f>IF(SUMIFS('RC Template'!$AW:$AW,'RC Template'!$B:$B,$A42,'RC Template'!$C:$C,E$6)=0,#N/A,SUMIFS('RC Template'!$AW:$AW,'RC Template'!$B:$B,$A42,'RC Template'!$C:$C,E$6))</f>
        <v>#N/A</v>
      </c>
      <c r="F42" s="115" t="e">
        <f>IF(SUMIFS('RC Template'!$AW:$AW,'RC Template'!$B:$B,$A42,'RC Template'!$C:$C,F$6)=0,#N/A,SUMIFS('RC Template'!$AW:$AW,'RC Template'!$B:$B,$A42,'RC Template'!$C:$C,F$6))</f>
        <v>#N/A</v>
      </c>
      <c r="G42" s="115" t="e">
        <f>IF(SUMIFS('RC Template'!$AW:$AW,'RC Template'!$B:$B,$A42,'RC Template'!$C:$C,G$6)=0,#N/A,SUMIFS('RC Template'!$AW:$AW,'RC Template'!$B:$B,$A42,'RC Template'!$C:$C,G$6))</f>
        <v>#N/A</v>
      </c>
      <c r="H42" s="115" t="e">
        <f>IF(SUMIFS('RC Template'!$AW:$AW,'RC Template'!$B:$B,$A42,'RC Template'!$C:$C,H$6)=0,#N/A,SUMIFS('RC Template'!$AW:$AW,'RC Template'!$B:$B,$A42,'RC Template'!$C:$C,H$6))</f>
        <v>#N/A</v>
      </c>
      <c r="I42" s="115" t="e">
        <f>IF(SUMIFS('RC Template'!$AW:$AW,'RC Template'!$B:$B,$A42,'RC Template'!$C:$C,I$6)=0,#N/A,SUMIFS('RC Template'!$AW:$AW,'RC Template'!$B:$B,$A42,'RC Template'!$C:$C,I$6))</f>
        <v>#N/A</v>
      </c>
      <c r="J42" s="115" t="e">
        <f>IF(SUMIFS('RC Template'!$AW:$AW,'RC Template'!$B:$B,$A42,'RC Template'!$C:$C,J$6)=0,#N/A,SUMIFS('RC Template'!$AW:$AW,'RC Template'!$B:$B,$A42,'RC Template'!$C:$C,J$6))</f>
        <v>#N/A</v>
      </c>
      <c r="K42" s="115" t="e">
        <f>IF(SUMIFS('RC Template'!$AW:$AW,'RC Template'!$B:$B,$A42,'RC Template'!$C:$C,K$6)=0,#N/A,SUMIFS('RC Template'!$AW:$AW,'RC Template'!$B:$B,$A42,'RC Template'!$C:$C,K$6))</f>
        <v>#N/A</v>
      </c>
      <c r="L42" s="115" t="e">
        <f>IF(SUMIFS('RC Template'!$AW:$AW,'RC Template'!$B:$B,$A42,'RC Template'!$C:$C,L$6)=0,#N/A,SUMIFS('RC Template'!$AW:$AW,'RC Template'!$B:$B,$A42,'RC Template'!$C:$C,L$6))</f>
        <v>#N/A</v>
      </c>
      <c r="M42" s="115" t="e">
        <f>IF(SUMIFS('RC Template'!$AW:$AW,'RC Template'!$B:$B,$A42,'RC Template'!$C:$C,M$6)=0,#N/A,SUMIFS('RC Template'!$AW:$AW,'RC Template'!$B:$B,$A42,'RC Template'!$C:$C,M$6))</f>
        <v>#N/A</v>
      </c>
      <c r="N42" s="115" t="e">
        <f>IF(SUMIFS('RC Template'!$AW:$AW,'RC Template'!$B:$B,$A42,'RC Template'!$C:$C,N$6)=0,#N/A,SUMIFS('RC Template'!$AW:$AW,'RC Template'!$B:$B,$A42,'RC Template'!$C:$C,N$6))</f>
        <v>#N/A</v>
      </c>
      <c r="O42" s="115" t="e">
        <f>IF(SUMIFS('RC Template'!$AW:$AW,'RC Template'!$B:$B,$A42,'RC Template'!$C:$C,O$6)=0,#N/A,SUMIFS('RC Template'!$AW:$AW,'RC Template'!$B:$B,$A42,'RC Template'!$C:$C,O$6))</f>
        <v>#N/A</v>
      </c>
      <c r="P42" s="115" t="e">
        <f>IF(SUMIFS('RC Template'!$AW:$AW,'RC Template'!$B:$B,$A42,'RC Template'!$C:$C,P$6)=0,#N/A,SUMIFS('RC Template'!$AW:$AW,'RC Template'!$B:$B,$A42,'RC Template'!$C:$C,P$6))</f>
        <v>#N/A</v>
      </c>
      <c r="Q42" s="115">
        <f ca="1">MAX(SUMIFS('RC Template'!$AW:$AW,'RC Template'!$B:$B,$A42,'RC Template'!$C:$C,Q$6),Q41*$E$3)</f>
        <v>291.5479191945571</v>
      </c>
      <c r="R42" s="115">
        <f ca="1">MAX(SUMIFS('RC Template'!$AW:$AW,'RC Template'!$B:$B,$A42,'RC Template'!$C:$C,R$6),R41*$E$3)</f>
        <v>45.870032812499993</v>
      </c>
      <c r="S42" s="115">
        <f ca="1">MAX(SUMIFS('RC Template'!$AW:$AW,'RC Template'!$B:$B,$A42,'RC Template'!$C:$C,S$6),S41*$E$3)</f>
        <v>125.05338159348734</v>
      </c>
      <c r="T42" s="115">
        <f ca="1">MAX(SUMIFS('RC Template'!$AW:$AW,'RC Template'!$B:$B,$A42,'RC Template'!$C:$C,T$6),T41*$E$3)</f>
        <v>19.771630838144361</v>
      </c>
      <c r="U42" s="115">
        <f ca="1">MAX(SUMIFS('RC Template'!$AW:$AW,'RC Template'!$B:$B,$A42,'RC Template'!$C:$C,U$6),U41*$E$3)</f>
        <v>89.489871176711603</v>
      </c>
      <c r="V42" s="115">
        <f ca="1">MAX(SUMIFS('RC Template'!$AW:$AW,'RC Template'!$B:$B,$A42,'RC Template'!$C:$C,V$6),V41*$E$3)</f>
        <v>51.40556350457161</v>
      </c>
      <c r="W42" s="115">
        <f ca="1">MAX(SUMIFS('RC Template'!$AW:$AW,'RC Template'!$B:$B,$A42,'RC Template'!$C:$C,W$6),W41*$E$3)</f>
        <v>27.112895938476559</v>
      </c>
      <c r="X42" s="115">
        <f ca="1">MAX(SUMIFS('RC Template'!$AW:$AW,'RC Template'!$B:$B,$A42,'RC Template'!$C:$C,X$6),X41*$E$3)</f>
        <v>0</v>
      </c>
      <c r="Y42" s="115">
        <f ca="1">MAX(SUMIFS('RC Template'!$AW:$AW,'RC Template'!$B:$B,$A42,'RC Template'!$C:$C,Y$6),Y41*$E$3)</f>
        <v>0</v>
      </c>
      <c r="Z42" s="115">
        <f ca="1">MAX(SUMIFS('RC Template'!$AW:$AW,'RC Template'!$B:$B,$A42,'RC Template'!$C:$C,Z$6),Z41*$E$3)</f>
        <v>0</v>
      </c>
      <c r="AA42" s="115">
        <f ca="1">MAX(SUMIFS('RC Template'!$AW:$AW,'RC Template'!$B:$B,$A42,'RC Template'!$C:$C,AA$6),AA41*$E$3)</f>
        <v>0</v>
      </c>
      <c r="AB42" s="115">
        <f ca="1">MAX(SUMIFS('RC Template'!$AW:$AW,'RC Template'!$B:$B,$A42,'RC Template'!$C:$C,AB$6),AB41*$E$3)</f>
        <v>0</v>
      </c>
      <c r="AC42" s="115">
        <f ca="1">MAX(SUMIFS('RC Template'!$AW:$AW,'RC Template'!$B:$B,$A42,'RC Template'!$C:$C,AC$6),AC41*$E$3)</f>
        <v>0</v>
      </c>
      <c r="AD42" s="115">
        <f ca="1">MAX(SUMIFS('RC Template'!$AW:$AW,'RC Template'!$B:$B,$A42,'RC Template'!$C:$C,AD$6),AD41*$E$3)</f>
        <v>0</v>
      </c>
    </row>
    <row r="43" spans="1:30" x14ac:dyDescent="0.3">
      <c r="A43" s="1">
        <v>43142</v>
      </c>
      <c r="B43" s="115">
        <f t="shared" ca="1" si="2"/>
        <v>643.02648068979988</v>
      </c>
      <c r="C43" s="115" t="e">
        <f>IF(SUMIFS('RC Template'!$AW:$AW,'RC Template'!$B:$B,$A43,'RC Template'!$C:$C,C$6)=0,#N/A,SUMIFS('RC Template'!$AW:$AW,'RC Template'!$B:$B,$A43,'RC Template'!$C:$C,C$6))</f>
        <v>#N/A</v>
      </c>
      <c r="D43" s="115">
        <f ca="1">IF(SUMIFS('RC Template'!$AW:$AW,'RC Template'!$B:$B,$A43,'RC Template'!$C:$C,D$6)=0,#N/A,SUMIFS('RC Template'!$AW:$AW,'RC Template'!$B:$B,$A43,'RC Template'!$C:$C,D$6))</f>
        <v>53.754750000000001</v>
      </c>
      <c r="E43" s="115" t="e">
        <f>IF(SUMIFS('RC Template'!$AW:$AW,'RC Template'!$B:$B,$A43,'RC Template'!$C:$C,E$6)=0,#N/A,SUMIFS('RC Template'!$AW:$AW,'RC Template'!$B:$B,$A43,'RC Template'!$C:$C,E$6))</f>
        <v>#N/A</v>
      </c>
      <c r="F43" s="115" t="e">
        <f>IF(SUMIFS('RC Template'!$AW:$AW,'RC Template'!$B:$B,$A43,'RC Template'!$C:$C,F$6)=0,#N/A,SUMIFS('RC Template'!$AW:$AW,'RC Template'!$B:$B,$A43,'RC Template'!$C:$C,F$6))</f>
        <v>#N/A</v>
      </c>
      <c r="G43" s="115" t="e">
        <f>IF(SUMIFS('RC Template'!$AW:$AW,'RC Template'!$B:$B,$A43,'RC Template'!$C:$C,G$6)=0,#N/A,SUMIFS('RC Template'!$AW:$AW,'RC Template'!$B:$B,$A43,'RC Template'!$C:$C,G$6))</f>
        <v>#N/A</v>
      </c>
      <c r="H43" s="115" t="e">
        <f>IF(SUMIFS('RC Template'!$AW:$AW,'RC Template'!$B:$B,$A43,'RC Template'!$C:$C,H$6)=0,#N/A,SUMIFS('RC Template'!$AW:$AW,'RC Template'!$B:$B,$A43,'RC Template'!$C:$C,H$6))</f>
        <v>#N/A</v>
      </c>
      <c r="I43" s="115" t="e">
        <f>IF(SUMIFS('RC Template'!$AW:$AW,'RC Template'!$B:$B,$A43,'RC Template'!$C:$C,I$6)=0,#N/A,SUMIFS('RC Template'!$AW:$AW,'RC Template'!$B:$B,$A43,'RC Template'!$C:$C,I$6))</f>
        <v>#N/A</v>
      </c>
      <c r="J43" s="115" t="e">
        <f>IF(SUMIFS('RC Template'!$AW:$AW,'RC Template'!$B:$B,$A43,'RC Template'!$C:$C,J$6)=0,#N/A,SUMIFS('RC Template'!$AW:$AW,'RC Template'!$B:$B,$A43,'RC Template'!$C:$C,J$6))</f>
        <v>#N/A</v>
      </c>
      <c r="K43" s="115" t="e">
        <f>IF(SUMIFS('RC Template'!$AW:$AW,'RC Template'!$B:$B,$A43,'RC Template'!$C:$C,K$6)=0,#N/A,SUMIFS('RC Template'!$AW:$AW,'RC Template'!$B:$B,$A43,'RC Template'!$C:$C,K$6))</f>
        <v>#N/A</v>
      </c>
      <c r="L43" s="115" t="e">
        <f>IF(SUMIFS('RC Template'!$AW:$AW,'RC Template'!$B:$B,$A43,'RC Template'!$C:$C,L$6)=0,#N/A,SUMIFS('RC Template'!$AW:$AW,'RC Template'!$B:$B,$A43,'RC Template'!$C:$C,L$6))</f>
        <v>#N/A</v>
      </c>
      <c r="M43" s="115" t="e">
        <f>IF(SUMIFS('RC Template'!$AW:$AW,'RC Template'!$B:$B,$A43,'RC Template'!$C:$C,M$6)=0,#N/A,SUMIFS('RC Template'!$AW:$AW,'RC Template'!$B:$B,$A43,'RC Template'!$C:$C,M$6))</f>
        <v>#N/A</v>
      </c>
      <c r="N43" s="115" t="e">
        <f>IF(SUMIFS('RC Template'!$AW:$AW,'RC Template'!$B:$B,$A43,'RC Template'!$C:$C,N$6)=0,#N/A,SUMIFS('RC Template'!$AW:$AW,'RC Template'!$B:$B,$A43,'RC Template'!$C:$C,N$6))</f>
        <v>#N/A</v>
      </c>
      <c r="O43" s="115" t="e">
        <f>IF(SUMIFS('RC Template'!$AW:$AW,'RC Template'!$B:$B,$A43,'RC Template'!$C:$C,O$6)=0,#N/A,SUMIFS('RC Template'!$AW:$AW,'RC Template'!$B:$B,$A43,'RC Template'!$C:$C,O$6))</f>
        <v>#N/A</v>
      </c>
      <c r="P43" s="115" t="e">
        <f>IF(SUMIFS('RC Template'!$AW:$AW,'RC Template'!$B:$B,$A43,'RC Template'!$C:$C,P$6)=0,#N/A,SUMIFS('RC Template'!$AW:$AW,'RC Template'!$B:$B,$A43,'RC Template'!$C:$C,P$6))</f>
        <v>#N/A</v>
      </c>
      <c r="Q43" s="115">
        <f ca="1">MAX(SUMIFS('RC Template'!$AW:$AW,'RC Template'!$B:$B,$A43,'RC Template'!$C:$C,Q$6),Q42*$E$3)</f>
        <v>284.25922121469318</v>
      </c>
      <c r="R43" s="115">
        <f ca="1">MAX(SUMIFS('RC Template'!$AW:$AW,'RC Template'!$B:$B,$A43,'RC Template'!$C:$C,R$6),R42*$E$3)</f>
        <v>53.754750000000001</v>
      </c>
      <c r="S43" s="115">
        <f ca="1">MAX(SUMIFS('RC Template'!$AW:$AW,'RC Template'!$B:$B,$A43,'RC Template'!$C:$C,S$6),S42*$E$3)</f>
        <v>121.92704705365016</v>
      </c>
      <c r="T43" s="115">
        <f ca="1">MAX(SUMIFS('RC Template'!$AW:$AW,'RC Template'!$B:$B,$A43,'RC Template'!$C:$C,T$6),T42*$E$3)</f>
        <v>19.277340067190753</v>
      </c>
      <c r="U43" s="115">
        <f ca="1">MAX(SUMIFS('RC Template'!$AW:$AW,'RC Template'!$B:$B,$A43,'RC Template'!$C:$C,U$6),U42*$E$3)</f>
        <v>87.252624397293815</v>
      </c>
      <c r="V43" s="115">
        <f ca="1">MAX(SUMIFS('RC Template'!$AW:$AW,'RC Template'!$B:$B,$A43,'RC Template'!$C:$C,V$6),V42*$E$3)</f>
        <v>50.12042441695732</v>
      </c>
      <c r="W43" s="115">
        <f ca="1">MAX(SUMIFS('RC Template'!$AW:$AW,'RC Template'!$B:$B,$A43,'RC Template'!$C:$C,W$6),W42*$E$3)</f>
        <v>26.435073540014645</v>
      </c>
      <c r="X43" s="115">
        <f ca="1">MAX(SUMIFS('RC Template'!$AW:$AW,'RC Template'!$B:$B,$A43,'RC Template'!$C:$C,X$6),X42*$E$3)</f>
        <v>0</v>
      </c>
      <c r="Y43" s="115">
        <f ca="1">MAX(SUMIFS('RC Template'!$AW:$AW,'RC Template'!$B:$B,$A43,'RC Template'!$C:$C,Y$6),Y42*$E$3)</f>
        <v>0</v>
      </c>
      <c r="Z43" s="115">
        <f ca="1">MAX(SUMIFS('RC Template'!$AW:$AW,'RC Template'!$B:$B,$A43,'RC Template'!$C:$C,Z$6),Z42*$E$3)</f>
        <v>0</v>
      </c>
      <c r="AA43" s="115">
        <f ca="1">MAX(SUMIFS('RC Template'!$AW:$AW,'RC Template'!$B:$B,$A43,'RC Template'!$C:$C,AA$6),AA42*$E$3)</f>
        <v>0</v>
      </c>
      <c r="AB43" s="115">
        <f ca="1">MAX(SUMIFS('RC Template'!$AW:$AW,'RC Template'!$B:$B,$A43,'RC Template'!$C:$C,AB$6),AB42*$E$3)</f>
        <v>0</v>
      </c>
      <c r="AC43" s="115">
        <f ca="1">MAX(SUMIFS('RC Template'!$AW:$AW,'RC Template'!$B:$B,$A43,'RC Template'!$C:$C,AC$6),AC42*$E$3)</f>
        <v>0</v>
      </c>
      <c r="AD43" s="115">
        <f ca="1">MAX(SUMIFS('RC Template'!$AW:$AW,'RC Template'!$B:$B,$A43,'RC Template'!$C:$C,AD$6),AD42*$E$3)</f>
        <v>0</v>
      </c>
    </row>
    <row r="44" spans="1:30" x14ac:dyDescent="0.3">
      <c r="A44" s="1">
        <v>43143</v>
      </c>
      <c r="B44" s="115">
        <f t="shared" ca="1" si="2"/>
        <v>626.95081867255476</v>
      </c>
      <c r="C44" s="115" t="e">
        <f>IF(SUMIFS('RC Template'!$AW:$AW,'RC Template'!$B:$B,$A44,'RC Template'!$C:$C,C$6)=0,#N/A,SUMIFS('RC Template'!$AW:$AW,'RC Template'!$B:$B,$A44,'RC Template'!$C:$C,C$6))</f>
        <v>#N/A</v>
      </c>
      <c r="D44" s="115" t="e">
        <f>IF(SUMIFS('RC Template'!$AW:$AW,'RC Template'!$B:$B,$A44,'RC Template'!$C:$C,D$6)=0,#N/A,SUMIFS('RC Template'!$AW:$AW,'RC Template'!$B:$B,$A44,'RC Template'!$C:$C,D$6))</f>
        <v>#N/A</v>
      </c>
      <c r="E44" s="115" t="e">
        <f>IF(SUMIFS('RC Template'!$AW:$AW,'RC Template'!$B:$B,$A44,'RC Template'!$C:$C,E$6)=0,#N/A,SUMIFS('RC Template'!$AW:$AW,'RC Template'!$B:$B,$A44,'RC Template'!$C:$C,E$6))</f>
        <v>#N/A</v>
      </c>
      <c r="F44" s="115" t="e">
        <f>IF(SUMIFS('RC Template'!$AW:$AW,'RC Template'!$B:$B,$A44,'RC Template'!$C:$C,F$6)=0,#N/A,SUMIFS('RC Template'!$AW:$AW,'RC Template'!$B:$B,$A44,'RC Template'!$C:$C,F$6))</f>
        <v>#N/A</v>
      </c>
      <c r="G44" s="115" t="e">
        <f>IF(SUMIFS('RC Template'!$AW:$AW,'RC Template'!$B:$B,$A44,'RC Template'!$C:$C,G$6)=0,#N/A,SUMIFS('RC Template'!$AW:$AW,'RC Template'!$B:$B,$A44,'RC Template'!$C:$C,G$6))</f>
        <v>#N/A</v>
      </c>
      <c r="H44" s="115" t="e">
        <f>IF(SUMIFS('RC Template'!$AW:$AW,'RC Template'!$B:$B,$A44,'RC Template'!$C:$C,H$6)=0,#N/A,SUMIFS('RC Template'!$AW:$AW,'RC Template'!$B:$B,$A44,'RC Template'!$C:$C,H$6))</f>
        <v>#N/A</v>
      </c>
      <c r="I44" s="115" t="e">
        <f>IF(SUMIFS('RC Template'!$AW:$AW,'RC Template'!$B:$B,$A44,'RC Template'!$C:$C,I$6)=0,#N/A,SUMIFS('RC Template'!$AW:$AW,'RC Template'!$B:$B,$A44,'RC Template'!$C:$C,I$6))</f>
        <v>#N/A</v>
      </c>
      <c r="J44" s="115" t="e">
        <f>IF(SUMIFS('RC Template'!$AW:$AW,'RC Template'!$B:$B,$A44,'RC Template'!$C:$C,J$6)=0,#N/A,SUMIFS('RC Template'!$AW:$AW,'RC Template'!$B:$B,$A44,'RC Template'!$C:$C,J$6))</f>
        <v>#N/A</v>
      </c>
      <c r="K44" s="115" t="e">
        <f>IF(SUMIFS('RC Template'!$AW:$AW,'RC Template'!$B:$B,$A44,'RC Template'!$C:$C,K$6)=0,#N/A,SUMIFS('RC Template'!$AW:$AW,'RC Template'!$B:$B,$A44,'RC Template'!$C:$C,K$6))</f>
        <v>#N/A</v>
      </c>
      <c r="L44" s="115" t="e">
        <f>IF(SUMIFS('RC Template'!$AW:$AW,'RC Template'!$B:$B,$A44,'RC Template'!$C:$C,L$6)=0,#N/A,SUMIFS('RC Template'!$AW:$AW,'RC Template'!$B:$B,$A44,'RC Template'!$C:$C,L$6))</f>
        <v>#N/A</v>
      </c>
      <c r="M44" s="115" t="e">
        <f>IF(SUMIFS('RC Template'!$AW:$AW,'RC Template'!$B:$B,$A44,'RC Template'!$C:$C,M$6)=0,#N/A,SUMIFS('RC Template'!$AW:$AW,'RC Template'!$B:$B,$A44,'RC Template'!$C:$C,M$6))</f>
        <v>#N/A</v>
      </c>
      <c r="N44" s="115" t="e">
        <f>IF(SUMIFS('RC Template'!$AW:$AW,'RC Template'!$B:$B,$A44,'RC Template'!$C:$C,N$6)=0,#N/A,SUMIFS('RC Template'!$AW:$AW,'RC Template'!$B:$B,$A44,'RC Template'!$C:$C,N$6))</f>
        <v>#N/A</v>
      </c>
      <c r="O44" s="115" t="e">
        <f>IF(SUMIFS('RC Template'!$AW:$AW,'RC Template'!$B:$B,$A44,'RC Template'!$C:$C,O$6)=0,#N/A,SUMIFS('RC Template'!$AW:$AW,'RC Template'!$B:$B,$A44,'RC Template'!$C:$C,O$6))</f>
        <v>#N/A</v>
      </c>
      <c r="P44" s="115" t="e">
        <f>IF(SUMIFS('RC Template'!$AW:$AW,'RC Template'!$B:$B,$A44,'RC Template'!$C:$C,P$6)=0,#N/A,SUMIFS('RC Template'!$AW:$AW,'RC Template'!$B:$B,$A44,'RC Template'!$C:$C,P$6))</f>
        <v>#N/A</v>
      </c>
      <c r="Q44" s="115">
        <f ca="1">MAX(SUMIFS('RC Template'!$AW:$AW,'RC Template'!$B:$B,$A44,'RC Template'!$C:$C,Q$6),Q43*$E$3)</f>
        <v>277.15274068432586</v>
      </c>
      <c r="R44" s="115">
        <f ca="1">MAX(SUMIFS('RC Template'!$AW:$AW,'RC Template'!$B:$B,$A44,'RC Template'!$C:$C,R$6),R43*$E$3)</f>
        <v>52.410881250000003</v>
      </c>
      <c r="S44" s="115">
        <f ca="1">MAX(SUMIFS('RC Template'!$AW:$AW,'RC Template'!$B:$B,$A44,'RC Template'!$C:$C,S$6),S43*$E$3)</f>
        <v>118.8788708773089</v>
      </c>
      <c r="T44" s="115">
        <f ca="1">MAX(SUMIFS('RC Template'!$AW:$AW,'RC Template'!$B:$B,$A44,'RC Template'!$C:$C,T$6),T43*$E$3)</f>
        <v>18.795406565510984</v>
      </c>
      <c r="U44" s="115">
        <f ca="1">MAX(SUMIFS('RC Template'!$AW:$AW,'RC Template'!$B:$B,$A44,'RC Template'!$C:$C,U$6),U43*$E$3)</f>
        <v>85.071308787361474</v>
      </c>
      <c r="V44" s="115">
        <f ca="1">MAX(SUMIFS('RC Template'!$AW:$AW,'RC Template'!$B:$B,$A44,'RC Template'!$C:$C,V$6),V43*$E$3)</f>
        <v>48.867413806533385</v>
      </c>
      <c r="W44" s="115">
        <f ca="1">MAX(SUMIFS('RC Template'!$AW:$AW,'RC Template'!$B:$B,$A44,'RC Template'!$C:$C,W$6),W43*$E$3)</f>
        <v>25.774196701514278</v>
      </c>
      <c r="X44" s="115">
        <f ca="1">MAX(SUMIFS('RC Template'!$AW:$AW,'RC Template'!$B:$B,$A44,'RC Template'!$C:$C,X$6),X43*$E$3)</f>
        <v>0</v>
      </c>
      <c r="Y44" s="115">
        <f ca="1">MAX(SUMIFS('RC Template'!$AW:$AW,'RC Template'!$B:$B,$A44,'RC Template'!$C:$C,Y$6),Y43*$E$3)</f>
        <v>0</v>
      </c>
      <c r="Z44" s="115">
        <f ca="1">MAX(SUMIFS('RC Template'!$AW:$AW,'RC Template'!$B:$B,$A44,'RC Template'!$C:$C,Z$6),Z43*$E$3)</f>
        <v>0</v>
      </c>
      <c r="AA44" s="115">
        <f ca="1">MAX(SUMIFS('RC Template'!$AW:$AW,'RC Template'!$B:$B,$A44,'RC Template'!$C:$C,AA$6),AA43*$E$3)</f>
        <v>0</v>
      </c>
      <c r="AB44" s="115">
        <f ca="1">MAX(SUMIFS('RC Template'!$AW:$AW,'RC Template'!$B:$B,$A44,'RC Template'!$C:$C,AB$6),AB43*$E$3)</f>
        <v>0</v>
      </c>
      <c r="AC44" s="115">
        <f ca="1">MAX(SUMIFS('RC Template'!$AW:$AW,'RC Template'!$B:$B,$A44,'RC Template'!$C:$C,AC$6),AC43*$E$3)</f>
        <v>0</v>
      </c>
      <c r="AD44" s="115">
        <f ca="1">MAX(SUMIFS('RC Template'!$AW:$AW,'RC Template'!$B:$B,$A44,'RC Template'!$C:$C,AD$6),AD43*$E$3)</f>
        <v>0</v>
      </c>
    </row>
    <row r="45" spans="1:30" x14ac:dyDescent="0.3">
      <c r="A45" s="1">
        <v>43144</v>
      </c>
      <c r="B45" s="115">
        <f t="shared" ca="1" si="2"/>
        <v>611.27704820574093</v>
      </c>
      <c r="C45" s="115" t="e">
        <f>IF(SUMIFS('RC Template'!$AW:$AW,'RC Template'!$B:$B,$A45,'RC Template'!$C:$C,C$6)=0,#N/A,SUMIFS('RC Template'!$AW:$AW,'RC Template'!$B:$B,$A45,'RC Template'!$C:$C,C$6))</f>
        <v>#N/A</v>
      </c>
      <c r="D45" s="115" t="e">
        <f>IF(SUMIFS('RC Template'!$AW:$AW,'RC Template'!$B:$B,$A45,'RC Template'!$C:$C,D$6)=0,#N/A,SUMIFS('RC Template'!$AW:$AW,'RC Template'!$B:$B,$A45,'RC Template'!$C:$C,D$6))</f>
        <v>#N/A</v>
      </c>
      <c r="E45" s="115" t="e">
        <f>IF(SUMIFS('RC Template'!$AW:$AW,'RC Template'!$B:$B,$A45,'RC Template'!$C:$C,E$6)=0,#N/A,SUMIFS('RC Template'!$AW:$AW,'RC Template'!$B:$B,$A45,'RC Template'!$C:$C,E$6))</f>
        <v>#N/A</v>
      </c>
      <c r="F45" s="115" t="e">
        <f>IF(SUMIFS('RC Template'!$AW:$AW,'RC Template'!$B:$B,$A45,'RC Template'!$C:$C,F$6)=0,#N/A,SUMIFS('RC Template'!$AW:$AW,'RC Template'!$B:$B,$A45,'RC Template'!$C:$C,F$6))</f>
        <v>#N/A</v>
      </c>
      <c r="G45" s="115" t="e">
        <f>IF(SUMIFS('RC Template'!$AW:$AW,'RC Template'!$B:$B,$A45,'RC Template'!$C:$C,G$6)=0,#N/A,SUMIFS('RC Template'!$AW:$AW,'RC Template'!$B:$B,$A45,'RC Template'!$C:$C,G$6))</f>
        <v>#N/A</v>
      </c>
      <c r="H45" s="115" t="e">
        <f>IF(SUMIFS('RC Template'!$AW:$AW,'RC Template'!$B:$B,$A45,'RC Template'!$C:$C,H$6)=0,#N/A,SUMIFS('RC Template'!$AW:$AW,'RC Template'!$B:$B,$A45,'RC Template'!$C:$C,H$6))</f>
        <v>#N/A</v>
      </c>
      <c r="I45" s="115" t="e">
        <f>IF(SUMIFS('RC Template'!$AW:$AW,'RC Template'!$B:$B,$A45,'RC Template'!$C:$C,I$6)=0,#N/A,SUMIFS('RC Template'!$AW:$AW,'RC Template'!$B:$B,$A45,'RC Template'!$C:$C,I$6))</f>
        <v>#N/A</v>
      </c>
      <c r="J45" s="115" t="e">
        <f>IF(SUMIFS('RC Template'!$AW:$AW,'RC Template'!$B:$B,$A45,'RC Template'!$C:$C,J$6)=0,#N/A,SUMIFS('RC Template'!$AW:$AW,'RC Template'!$B:$B,$A45,'RC Template'!$C:$C,J$6))</f>
        <v>#N/A</v>
      </c>
      <c r="K45" s="115" t="e">
        <f>IF(SUMIFS('RC Template'!$AW:$AW,'RC Template'!$B:$B,$A45,'RC Template'!$C:$C,K$6)=0,#N/A,SUMIFS('RC Template'!$AW:$AW,'RC Template'!$B:$B,$A45,'RC Template'!$C:$C,K$6))</f>
        <v>#N/A</v>
      </c>
      <c r="L45" s="115" t="e">
        <f>IF(SUMIFS('RC Template'!$AW:$AW,'RC Template'!$B:$B,$A45,'RC Template'!$C:$C,L$6)=0,#N/A,SUMIFS('RC Template'!$AW:$AW,'RC Template'!$B:$B,$A45,'RC Template'!$C:$C,L$6))</f>
        <v>#N/A</v>
      </c>
      <c r="M45" s="115" t="e">
        <f>IF(SUMIFS('RC Template'!$AW:$AW,'RC Template'!$B:$B,$A45,'RC Template'!$C:$C,M$6)=0,#N/A,SUMIFS('RC Template'!$AW:$AW,'RC Template'!$B:$B,$A45,'RC Template'!$C:$C,M$6))</f>
        <v>#N/A</v>
      </c>
      <c r="N45" s="115" t="e">
        <f>IF(SUMIFS('RC Template'!$AW:$AW,'RC Template'!$B:$B,$A45,'RC Template'!$C:$C,N$6)=0,#N/A,SUMIFS('RC Template'!$AW:$AW,'RC Template'!$B:$B,$A45,'RC Template'!$C:$C,N$6))</f>
        <v>#N/A</v>
      </c>
      <c r="O45" s="115" t="e">
        <f>IF(SUMIFS('RC Template'!$AW:$AW,'RC Template'!$B:$B,$A45,'RC Template'!$C:$C,O$6)=0,#N/A,SUMIFS('RC Template'!$AW:$AW,'RC Template'!$B:$B,$A45,'RC Template'!$C:$C,O$6))</f>
        <v>#N/A</v>
      </c>
      <c r="P45" s="115" t="e">
        <f>IF(SUMIFS('RC Template'!$AW:$AW,'RC Template'!$B:$B,$A45,'RC Template'!$C:$C,P$6)=0,#N/A,SUMIFS('RC Template'!$AW:$AW,'RC Template'!$B:$B,$A45,'RC Template'!$C:$C,P$6))</f>
        <v>#N/A</v>
      </c>
      <c r="Q45" s="115">
        <f ca="1">MAX(SUMIFS('RC Template'!$AW:$AW,'RC Template'!$B:$B,$A45,'RC Template'!$C:$C,Q$6),Q44*$E$3)</f>
        <v>270.22392216721772</v>
      </c>
      <c r="R45" s="115">
        <f ca="1">MAX(SUMIFS('RC Template'!$AW:$AW,'RC Template'!$B:$B,$A45,'RC Template'!$C:$C,R$6),R44*$E$3)</f>
        <v>51.100609218750002</v>
      </c>
      <c r="S45" s="115">
        <f ca="1">MAX(SUMIFS('RC Template'!$AW:$AW,'RC Template'!$B:$B,$A45,'RC Template'!$C:$C,S$6),S44*$E$3)</f>
        <v>115.90689910537617</v>
      </c>
      <c r="T45" s="115">
        <f ca="1">MAX(SUMIFS('RC Template'!$AW:$AW,'RC Template'!$B:$B,$A45,'RC Template'!$C:$C,T$6),T44*$E$3)</f>
        <v>18.325521401373209</v>
      </c>
      <c r="U45" s="115">
        <f ca="1">MAX(SUMIFS('RC Template'!$AW:$AW,'RC Template'!$B:$B,$A45,'RC Template'!$C:$C,U$6),U44*$E$3)</f>
        <v>82.94452606767743</v>
      </c>
      <c r="V45" s="115">
        <f ca="1">MAX(SUMIFS('RC Template'!$AW:$AW,'RC Template'!$B:$B,$A45,'RC Template'!$C:$C,V$6),V44*$E$3)</f>
        <v>47.645728461370048</v>
      </c>
      <c r="W45" s="115">
        <f ca="1">MAX(SUMIFS('RC Template'!$AW:$AW,'RC Template'!$B:$B,$A45,'RC Template'!$C:$C,W$6),W44*$E$3)</f>
        <v>25.129841783976421</v>
      </c>
      <c r="X45" s="115">
        <f ca="1">MAX(SUMIFS('RC Template'!$AW:$AW,'RC Template'!$B:$B,$A45,'RC Template'!$C:$C,X$6),X44*$E$3)</f>
        <v>0</v>
      </c>
      <c r="Y45" s="115">
        <f ca="1">MAX(SUMIFS('RC Template'!$AW:$AW,'RC Template'!$B:$B,$A45,'RC Template'!$C:$C,Y$6),Y44*$E$3)</f>
        <v>0</v>
      </c>
      <c r="Z45" s="115">
        <f ca="1">MAX(SUMIFS('RC Template'!$AW:$AW,'RC Template'!$B:$B,$A45,'RC Template'!$C:$C,Z$6),Z44*$E$3)</f>
        <v>0</v>
      </c>
      <c r="AA45" s="115">
        <f ca="1">MAX(SUMIFS('RC Template'!$AW:$AW,'RC Template'!$B:$B,$A45,'RC Template'!$C:$C,AA$6),AA44*$E$3)</f>
        <v>0</v>
      </c>
      <c r="AB45" s="115">
        <f ca="1">MAX(SUMIFS('RC Template'!$AW:$AW,'RC Template'!$B:$B,$A45,'RC Template'!$C:$C,AB$6),AB44*$E$3)</f>
        <v>0</v>
      </c>
      <c r="AC45" s="115">
        <f ca="1">MAX(SUMIFS('RC Template'!$AW:$AW,'RC Template'!$B:$B,$A45,'RC Template'!$C:$C,AC$6),AC44*$E$3)</f>
        <v>0</v>
      </c>
      <c r="AD45" s="115">
        <f ca="1">MAX(SUMIFS('RC Template'!$AW:$AW,'RC Template'!$B:$B,$A45,'RC Template'!$C:$C,AD$6),AD44*$E$3)</f>
        <v>0</v>
      </c>
    </row>
    <row r="46" spans="1:30" x14ac:dyDescent="0.3">
      <c r="A46" s="1">
        <v>43145</v>
      </c>
      <c r="B46" s="115">
        <f t="shared" ca="1" si="2"/>
        <v>595.99512200059735</v>
      </c>
      <c r="C46" s="115" t="e">
        <f>IF(SUMIFS('RC Template'!$AW:$AW,'RC Template'!$B:$B,$A46,'RC Template'!$C:$C,C$6)=0,#N/A,SUMIFS('RC Template'!$AW:$AW,'RC Template'!$B:$B,$A46,'RC Template'!$C:$C,C$6))</f>
        <v>#N/A</v>
      </c>
      <c r="D46" s="115" t="e">
        <f>IF(SUMIFS('RC Template'!$AW:$AW,'RC Template'!$B:$B,$A46,'RC Template'!$C:$C,D$6)=0,#N/A,SUMIFS('RC Template'!$AW:$AW,'RC Template'!$B:$B,$A46,'RC Template'!$C:$C,D$6))</f>
        <v>#N/A</v>
      </c>
      <c r="E46" s="115" t="e">
        <f>IF(SUMIFS('RC Template'!$AW:$AW,'RC Template'!$B:$B,$A46,'RC Template'!$C:$C,E$6)=0,#N/A,SUMIFS('RC Template'!$AW:$AW,'RC Template'!$B:$B,$A46,'RC Template'!$C:$C,E$6))</f>
        <v>#N/A</v>
      </c>
      <c r="F46" s="115" t="e">
        <f>IF(SUMIFS('RC Template'!$AW:$AW,'RC Template'!$B:$B,$A46,'RC Template'!$C:$C,F$6)=0,#N/A,SUMIFS('RC Template'!$AW:$AW,'RC Template'!$B:$B,$A46,'RC Template'!$C:$C,F$6))</f>
        <v>#N/A</v>
      </c>
      <c r="G46" s="115" t="e">
        <f>IF(SUMIFS('RC Template'!$AW:$AW,'RC Template'!$B:$B,$A46,'RC Template'!$C:$C,G$6)=0,#N/A,SUMIFS('RC Template'!$AW:$AW,'RC Template'!$B:$B,$A46,'RC Template'!$C:$C,G$6))</f>
        <v>#N/A</v>
      </c>
      <c r="H46" s="115" t="e">
        <f>IF(SUMIFS('RC Template'!$AW:$AW,'RC Template'!$B:$B,$A46,'RC Template'!$C:$C,H$6)=0,#N/A,SUMIFS('RC Template'!$AW:$AW,'RC Template'!$B:$B,$A46,'RC Template'!$C:$C,H$6))</f>
        <v>#N/A</v>
      </c>
      <c r="I46" s="115" t="e">
        <f>IF(SUMIFS('RC Template'!$AW:$AW,'RC Template'!$B:$B,$A46,'RC Template'!$C:$C,I$6)=0,#N/A,SUMIFS('RC Template'!$AW:$AW,'RC Template'!$B:$B,$A46,'RC Template'!$C:$C,I$6))</f>
        <v>#N/A</v>
      </c>
      <c r="J46" s="115" t="e">
        <f>IF(SUMIFS('RC Template'!$AW:$AW,'RC Template'!$B:$B,$A46,'RC Template'!$C:$C,J$6)=0,#N/A,SUMIFS('RC Template'!$AW:$AW,'RC Template'!$B:$B,$A46,'RC Template'!$C:$C,J$6))</f>
        <v>#N/A</v>
      </c>
      <c r="K46" s="115" t="e">
        <f>IF(SUMIFS('RC Template'!$AW:$AW,'RC Template'!$B:$B,$A46,'RC Template'!$C:$C,K$6)=0,#N/A,SUMIFS('RC Template'!$AW:$AW,'RC Template'!$B:$B,$A46,'RC Template'!$C:$C,K$6))</f>
        <v>#N/A</v>
      </c>
      <c r="L46" s="115" t="e">
        <f>IF(SUMIFS('RC Template'!$AW:$AW,'RC Template'!$B:$B,$A46,'RC Template'!$C:$C,L$6)=0,#N/A,SUMIFS('RC Template'!$AW:$AW,'RC Template'!$B:$B,$A46,'RC Template'!$C:$C,L$6))</f>
        <v>#N/A</v>
      </c>
      <c r="M46" s="115" t="e">
        <f>IF(SUMIFS('RC Template'!$AW:$AW,'RC Template'!$B:$B,$A46,'RC Template'!$C:$C,M$6)=0,#N/A,SUMIFS('RC Template'!$AW:$AW,'RC Template'!$B:$B,$A46,'RC Template'!$C:$C,M$6))</f>
        <v>#N/A</v>
      </c>
      <c r="N46" s="115" t="e">
        <f>IF(SUMIFS('RC Template'!$AW:$AW,'RC Template'!$B:$B,$A46,'RC Template'!$C:$C,N$6)=0,#N/A,SUMIFS('RC Template'!$AW:$AW,'RC Template'!$B:$B,$A46,'RC Template'!$C:$C,N$6))</f>
        <v>#N/A</v>
      </c>
      <c r="O46" s="115" t="e">
        <f>IF(SUMIFS('RC Template'!$AW:$AW,'RC Template'!$B:$B,$A46,'RC Template'!$C:$C,O$6)=0,#N/A,SUMIFS('RC Template'!$AW:$AW,'RC Template'!$B:$B,$A46,'RC Template'!$C:$C,O$6))</f>
        <v>#N/A</v>
      </c>
      <c r="P46" s="115" t="e">
        <f>IF(SUMIFS('RC Template'!$AW:$AW,'RC Template'!$B:$B,$A46,'RC Template'!$C:$C,P$6)=0,#N/A,SUMIFS('RC Template'!$AW:$AW,'RC Template'!$B:$B,$A46,'RC Template'!$C:$C,P$6))</f>
        <v>#N/A</v>
      </c>
      <c r="Q46" s="115">
        <f ca="1">MAX(SUMIFS('RC Template'!$AW:$AW,'RC Template'!$B:$B,$A46,'RC Template'!$C:$C,Q$6),Q45*$E$3)</f>
        <v>263.46832411303728</v>
      </c>
      <c r="R46" s="115">
        <f ca="1">MAX(SUMIFS('RC Template'!$AW:$AW,'RC Template'!$B:$B,$A46,'RC Template'!$C:$C,R$6),R45*$E$3)</f>
        <v>49.823093988281251</v>
      </c>
      <c r="S46" s="115">
        <f ca="1">MAX(SUMIFS('RC Template'!$AW:$AW,'RC Template'!$B:$B,$A46,'RC Template'!$C:$C,S$6),S45*$E$3)</f>
        <v>113.00922662774177</v>
      </c>
      <c r="T46" s="115">
        <f ca="1">MAX(SUMIFS('RC Template'!$AW:$AW,'RC Template'!$B:$B,$A46,'RC Template'!$C:$C,T$6),T45*$E$3)</f>
        <v>17.867383366338878</v>
      </c>
      <c r="U46" s="115">
        <f ca="1">MAX(SUMIFS('RC Template'!$AW:$AW,'RC Template'!$B:$B,$A46,'RC Template'!$C:$C,U$6),U45*$E$3)</f>
        <v>80.870912915985485</v>
      </c>
      <c r="V46" s="115">
        <f ca="1">MAX(SUMIFS('RC Template'!$AW:$AW,'RC Template'!$B:$B,$A46,'RC Template'!$C:$C,V$6),V45*$E$3)</f>
        <v>46.454585249835795</v>
      </c>
      <c r="W46" s="115">
        <f ca="1">MAX(SUMIFS('RC Template'!$AW:$AW,'RC Template'!$B:$B,$A46,'RC Template'!$C:$C,W$6),W45*$E$3)</f>
        <v>24.501595739377009</v>
      </c>
      <c r="X46" s="115">
        <f ca="1">MAX(SUMIFS('RC Template'!$AW:$AW,'RC Template'!$B:$B,$A46,'RC Template'!$C:$C,X$6),X45*$E$3)</f>
        <v>0</v>
      </c>
      <c r="Y46" s="115">
        <f ca="1">MAX(SUMIFS('RC Template'!$AW:$AW,'RC Template'!$B:$B,$A46,'RC Template'!$C:$C,Y$6),Y45*$E$3)</f>
        <v>0</v>
      </c>
      <c r="Z46" s="115">
        <f ca="1">MAX(SUMIFS('RC Template'!$AW:$AW,'RC Template'!$B:$B,$A46,'RC Template'!$C:$C,Z$6),Z45*$E$3)</f>
        <v>0</v>
      </c>
      <c r="AA46" s="115">
        <f ca="1">MAX(SUMIFS('RC Template'!$AW:$AW,'RC Template'!$B:$B,$A46,'RC Template'!$C:$C,AA$6),AA45*$E$3)</f>
        <v>0</v>
      </c>
      <c r="AB46" s="115">
        <f ca="1">MAX(SUMIFS('RC Template'!$AW:$AW,'RC Template'!$B:$B,$A46,'RC Template'!$C:$C,AB$6),AB45*$E$3)</f>
        <v>0</v>
      </c>
      <c r="AC46" s="115">
        <f ca="1">MAX(SUMIFS('RC Template'!$AW:$AW,'RC Template'!$B:$B,$A46,'RC Template'!$C:$C,AC$6),AC45*$E$3)</f>
        <v>0</v>
      </c>
      <c r="AD46" s="115">
        <f ca="1">MAX(SUMIFS('RC Template'!$AW:$AW,'RC Template'!$B:$B,$A46,'RC Template'!$C:$C,AD$6),AD45*$E$3)</f>
        <v>0</v>
      </c>
    </row>
    <row r="47" spans="1:30" x14ac:dyDescent="0.3">
      <c r="A47" s="1">
        <v>43146</v>
      </c>
      <c r="B47" s="115">
        <f t="shared" ca="1" si="2"/>
        <v>626.43938605200833</v>
      </c>
      <c r="C47" s="115">
        <f ca="1">IF(SUMIFS('RC Template'!$AW:$AW,'RC Template'!$B:$B,$A47,'RC Template'!$C:$C,C$6)=0,#N/A,SUMIFS('RC Template'!$AW:$AW,'RC Template'!$B:$B,$A47,'RC Template'!$C:$C,C$6))</f>
        <v>105.77023722720006</v>
      </c>
      <c r="D47" s="115">
        <f ca="1">IF(SUMIFS('RC Template'!$AW:$AW,'RC Template'!$B:$B,$A47,'RC Template'!$C:$C,D$6)=0,#N/A,SUMIFS('RC Template'!$AW:$AW,'RC Template'!$B:$B,$A47,'RC Template'!$C:$C,D$6))</f>
        <v>93.921658740000055</v>
      </c>
      <c r="E47" s="115" t="e">
        <f>IF(SUMIFS('RC Template'!$AW:$AW,'RC Template'!$B:$B,$A47,'RC Template'!$C:$C,E$6)=0,#N/A,SUMIFS('RC Template'!$AW:$AW,'RC Template'!$B:$B,$A47,'RC Template'!$C:$C,E$6))</f>
        <v>#N/A</v>
      </c>
      <c r="F47" s="115" t="e">
        <f>IF(SUMIFS('RC Template'!$AW:$AW,'RC Template'!$B:$B,$A47,'RC Template'!$C:$C,F$6)=0,#N/A,SUMIFS('RC Template'!$AW:$AW,'RC Template'!$B:$B,$A47,'RC Template'!$C:$C,F$6))</f>
        <v>#N/A</v>
      </c>
      <c r="G47" s="115" t="e">
        <f>IF(SUMIFS('RC Template'!$AW:$AW,'RC Template'!$B:$B,$A47,'RC Template'!$C:$C,G$6)=0,#N/A,SUMIFS('RC Template'!$AW:$AW,'RC Template'!$B:$B,$A47,'RC Template'!$C:$C,G$6))</f>
        <v>#N/A</v>
      </c>
      <c r="H47" s="115" t="e">
        <f>IF(SUMIFS('RC Template'!$AW:$AW,'RC Template'!$B:$B,$A47,'RC Template'!$C:$C,H$6)=0,#N/A,SUMIFS('RC Template'!$AW:$AW,'RC Template'!$B:$B,$A47,'RC Template'!$C:$C,H$6))</f>
        <v>#N/A</v>
      </c>
      <c r="I47" s="115" t="e">
        <f>IF(SUMIFS('RC Template'!$AW:$AW,'RC Template'!$B:$B,$A47,'RC Template'!$C:$C,I$6)=0,#N/A,SUMIFS('RC Template'!$AW:$AW,'RC Template'!$B:$B,$A47,'RC Template'!$C:$C,I$6))</f>
        <v>#N/A</v>
      </c>
      <c r="J47" s="115" t="e">
        <f>IF(SUMIFS('RC Template'!$AW:$AW,'RC Template'!$B:$B,$A47,'RC Template'!$C:$C,J$6)=0,#N/A,SUMIFS('RC Template'!$AW:$AW,'RC Template'!$B:$B,$A47,'RC Template'!$C:$C,J$6))</f>
        <v>#N/A</v>
      </c>
      <c r="K47" s="115" t="e">
        <f>IF(SUMIFS('RC Template'!$AW:$AW,'RC Template'!$B:$B,$A47,'RC Template'!$C:$C,K$6)=0,#N/A,SUMIFS('RC Template'!$AW:$AW,'RC Template'!$B:$B,$A47,'RC Template'!$C:$C,K$6))</f>
        <v>#N/A</v>
      </c>
      <c r="L47" s="115" t="e">
        <f>IF(SUMIFS('RC Template'!$AW:$AW,'RC Template'!$B:$B,$A47,'RC Template'!$C:$C,L$6)=0,#N/A,SUMIFS('RC Template'!$AW:$AW,'RC Template'!$B:$B,$A47,'RC Template'!$C:$C,L$6))</f>
        <v>#N/A</v>
      </c>
      <c r="M47" s="115" t="e">
        <f>IF(SUMIFS('RC Template'!$AW:$AW,'RC Template'!$B:$B,$A47,'RC Template'!$C:$C,M$6)=0,#N/A,SUMIFS('RC Template'!$AW:$AW,'RC Template'!$B:$B,$A47,'RC Template'!$C:$C,M$6))</f>
        <v>#N/A</v>
      </c>
      <c r="N47" s="115" t="e">
        <f>IF(SUMIFS('RC Template'!$AW:$AW,'RC Template'!$B:$B,$A47,'RC Template'!$C:$C,N$6)=0,#N/A,SUMIFS('RC Template'!$AW:$AW,'RC Template'!$B:$B,$A47,'RC Template'!$C:$C,N$6))</f>
        <v>#N/A</v>
      </c>
      <c r="O47" s="115" t="e">
        <f>IF(SUMIFS('RC Template'!$AW:$AW,'RC Template'!$B:$B,$A47,'RC Template'!$C:$C,O$6)=0,#N/A,SUMIFS('RC Template'!$AW:$AW,'RC Template'!$B:$B,$A47,'RC Template'!$C:$C,O$6))</f>
        <v>#N/A</v>
      </c>
      <c r="P47" s="115" t="e">
        <f>IF(SUMIFS('RC Template'!$AW:$AW,'RC Template'!$B:$B,$A47,'RC Template'!$C:$C,P$6)=0,#N/A,SUMIFS('RC Template'!$AW:$AW,'RC Template'!$B:$B,$A47,'RC Template'!$C:$C,P$6))</f>
        <v>#N/A</v>
      </c>
      <c r="Q47" s="115">
        <f ca="1">MAX(SUMIFS('RC Template'!$AW:$AW,'RC Template'!$B:$B,$A47,'RC Template'!$C:$C,Q$6),Q46*$E$3)</f>
        <v>256.88161601021136</v>
      </c>
      <c r="R47" s="115">
        <f ca="1">MAX(SUMIFS('RC Template'!$AW:$AW,'RC Template'!$B:$B,$A47,'RC Template'!$C:$C,R$6),R46*$E$3)</f>
        <v>93.921658740000055</v>
      </c>
      <c r="S47" s="115">
        <f ca="1">MAX(SUMIFS('RC Template'!$AW:$AW,'RC Template'!$B:$B,$A47,'RC Template'!$C:$C,S$6),S46*$E$3)</f>
        <v>110.18399596204821</v>
      </c>
      <c r="T47" s="115">
        <f ca="1">MAX(SUMIFS('RC Template'!$AW:$AW,'RC Template'!$B:$B,$A47,'RC Template'!$C:$C,T$6),T46*$E$3)</f>
        <v>17.420698782180406</v>
      </c>
      <c r="U47" s="115">
        <f ca="1">MAX(SUMIFS('RC Template'!$AW:$AW,'RC Template'!$B:$B,$A47,'RC Template'!$C:$C,U$6),U46*$E$3)</f>
        <v>78.84914009308585</v>
      </c>
      <c r="V47" s="115">
        <f ca="1">MAX(SUMIFS('RC Template'!$AW:$AW,'RC Template'!$B:$B,$A47,'RC Template'!$C:$C,V$6),V46*$E$3)</f>
        <v>45.293220618589899</v>
      </c>
      <c r="W47" s="115">
        <f ca="1">MAX(SUMIFS('RC Template'!$AW:$AW,'RC Template'!$B:$B,$A47,'RC Template'!$C:$C,W$6),W46*$E$3)</f>
        <v>23.889055845892585</v>
      </c>
      <c r="X47" s="115">
        <f ca="1">MAX(SUMIFS('RC Template'!$AW:$AW,'RC Template'!$B:$B,$A47,'RC Template'!$C:$C,X$6),X46*$E$3)</f>
        <v>0</v>
      </c>
      <c r="Y47" s="115">
        <f ca="1">MAX(SUMIFS('RC Template'!$AW:$AW,'RC Template'!$B:$B,$A47,'RC Template'!$C:$C,Y$6),Y46*$E$3)</f>
        <v>0</v>
      </c>
      <c r="Z47" s="115">
        <f ca="1">MAX(SUMIFS('RC Template'!$AW:$AW,'RC Template'!$B:$B,$A47,'RC Template'!$C:$C,Z$6),Z46*$E$3)</f>
        <v>0</v>
      </c>
      <c r="AA47" s="115">
        <f ca="1">MAX(SUMIFS('RC Template'!$AW:$AW,'RC Template'!$B:$B,$A47,'RC Template'!$C:$C,AA$6),AA46*$E$3)</f>
        <v>0</v>
      </c>
      <c r="AB47" s="115">
        <f ca="1">MAX(SUMIFS('RC Template'!$AW:$AW,'RC Template'!$B:$B,$A47,'RC Template'!$C:$C,AB$6),AB46*$E$3)</f>
        <v>0</v>
      </c>
      <c r="AC47" s="115">
        <f ca="1">MAX(SUMIFS('RC Template'!$AW:$AW,'RC Template'!$B:$B,$A47,'RC Template'!$C:$C,AC$6),AC46*$E$3)</f>
        <v>0</v>
      </c>
      <c r="AD47" s="115">
        <f ca="1">MAX(SUMIFS('RC Template'!$AW:$AW,'RC Template'!$B:$B,$A47,'RC Template'!$C:$C,AD$6),AD46*$E$3)</f>
        <v>0</v>
      </c>
    </row>
    <row r="48" spans="1:30" x14ac:dyDescent="0.3">
      <c r="A48" s="1">
        <v>43147</v>
      </c>
      <c r="B48" s="115">
        <f t="shared" ca="1" si="2"/>
        <v>610.77840140070805</v>
      </c>
      <c r="C48" s="115" t="e">
        <f>IF(SUMIFS('RC Template'!$AW:$AW,'RC Template'!$B:$B,$A48,'RC Template'!$C:$C,C$6)=0,#N/A,SUMIFS('RC Template'!$AW:$AW,'RC Template'!$B:$B,$A48,'RC Template'!$C:$C,C$6))</f>
        <v>#N/A</v>
      </c>
      <c r="D48" s="115" t="e">
        <f>IF(SUMIFS('RC Template'!$AW:$AW,'RC Template'!$B:$B,$A48,'RC Template'!$C:$C,D$6)=0,#N/A,SUMIFS('RC Template'!$AW:$AW,'RC Template'!$B:$B,$A48,'RC Template'!$C:$C,D$6))</f>
        <v>#N/A</v>
      </c>
      <c r="E48" s="115" t="e">
        <f>IF(SUMIFS('RC Template'!$AW:$AW,'RC Template'!$B:$B,$A48,'RC Template'!$C:$C,E$6)=0,#N/A,SUMIFS('RC Template'!$AW:$AW,'RC Template'!$B:$B,$A48,'RC Template'!$C:$C,E$6))</f>
        <v>#N/A</v>
      </c>
      <c r="F48" s="115" t="e">
        <f>IF(SUMIFS('RC Template'!$AW:$AW,'RC Template'!$B:$B,$A48,'RC Template'!$C:$C,F$6)=0,#N/A,SUMIFS('RC Template'!$AW:$AW,'RC Template'!$B:$B,$A48,'RC Template'!$C:$C,F$6))</f>
        <v>#N/A</v>
      </c>
      <c r="G48" s="115" t="e">
        <f>IF(SUMIFS('RC Template'!$AW:$AW,'RC Template'!$B:$B,$A48,'RC Template'!$C:$C,G$6)=0,#N/A,SUMIFS('RC Template'!$AW:$AW,'RC Template'!$B:$B,$A48,'RC Template'!$C:$C,G$6))</f>
        <v>#N/A</v>
      </c>
      <c r="H48" s="115" t="e">
        <f>IF(SUMIFS('RC Template'!$AW:$AW,'RC Template'!$B:$B,$A48,'RC Template'!$C:$C,H$6)=0,#N/A,SUMIFS('RC Template'!$AW:$AW,'RC Template'!$B:$B,$A48,'RC Template'!$C:$C,H$6))</f>
        <v>#N/A</v>
      </c>
      <c r="I48" s="115" t="e">
        <f>IF(SUMIFS('RC Template'!$AW:$AW,'RC Template'!$B:$B,$A48,'RC Template'!$C:$C,I$6)=0,#N/A,SUMIFS('RC Template'!$AW:$AW,'RC Template'!$B:$B,$A48,'RC Template'!$C:$C,I$6))</f>
        <v>#N/A</v>
      </c>
      <c r="J48" s="115" t="e">
        <f>IF(SUMIFS('RC Template'!$AW:$AW,'RC Template'!$B:$B,$A48,'RC Template'!$C:$C,J$6)=0,#N/A,SUMIFS('RC Template'!$AW:$AW,'RC Template'!$B:$B,$A48,'RC Template'!$C:$C,J$6))</f>
        <v>#N/A</v>
      </c>
      <c r="K48" s="115" t="e">
        <f>IF(SUMIFS('RC Template'!$AW:$AW,'RC Template'!$B:$B,$A48,'RC Template'!$C:$C,K$6)=0,#N/A,SUMIFS('RC Template'!$AW:$AW,'RC Template'!$B:$B,$A48,'RC Template'!$C:$C,K$6))</f>
        <v>#N/A</v>
      </c>
      <c r="L48" s="115" t="e">
        <f>IF(SUMIFS('RC Template'!$AW:$AW,'RC Template'!$B:$B,$A48,'RC Template'!$C:$C,L$6)=0,#N/A,SUMIFS('RC Template'!$AW:$AW,'RC Template'!$B:$B,$A48,'RC Template'!$C:$C,L$6))</f>
        <v>#N/A</v>
      </c>
      <c r="M48" s="115" t="e">
        <f>IF(SUMIFS('RC Template'!$AW:$AW,'RC Template'!$B:$B,$A48,'RC Template'!$C:$C,M$6)=0,#N/A,SUMIFS('RC Template'!$AW:$AW,'RC Template'!$B:$B,$A48,'RC Template'!$C:$C,M$6))</f>
        <v>#N/A</v>
      </c>
      <c r="N48" s="115" t="e">
        <f>IF(SUMIFS('RC Template'!$AW:$AW,'RC Template'!$B:$B,$A48,'RC Template'!$C:$C,N$6)=0,#N/A,SUMIFS('RC Template'!$AW:$AW,'RC Template'!$B:$B,$A48,'RC Template'!$C:$C,N$6))</f>
        <v>#N/A</v>
      </c>
      <c r="O48" s="115" t="e">
        <f>IF(SUMIFS('RC Template'!$AW:$AW,'RC Template'!$B:$B,$A48,'RC Template'!$C:$C,O$6)=0,#N/A,SUMIFS('RC Template'!$AW:$AW,'RC Template'!$B:$B,$A48,'RC Template'!$C:$C,O$6))</f>
        <v>#N/A</v>
      </c>
      <c r="P48" s="115" t="e">
        <f>IF(SUMIFS('RC Template'!$AW:$AW,'RC Template'!$B:$B,$A48,'RC Template'!$C:$C,P$6)=0,#N/A,SUMIFS('RC Template'!$AW:$AW,'RC Template'!$B:$B,$A48,'RC Template'!$C:$C,P$6))</f>
        <v>#N/A</v>
      </c>
      <c r="Q48" s="115">
        <f ca="1">MAX(SUMIFS('RC Template'!$AW:$AW,'RC Template'!$B:$B,$A48,'RC Template'!$C:$C,Q$6),Q47*$E$3)</f>
        <v>250.45957560995606</v>
      </c>
      <c r="R48" s="115">
        <f ca="1">MAX(SUMIFS('RC Template'!$AW:$AW,'RC Template'!$B:$B,$A48,'RC Template'!$C:$C,R$6),R47*$E$3)</f>
        <v>91.573617271500055</v>
      </c>
      <c r="S48" s="115">
        <f ca="1">MAX(SUMIFS('RC Template'!$AW:$AW,'RC Template'!$B:$B,$A48,'RC Template'!$C:$C,S$6),S47*$E$3)</f>
        <v>107.429396062997</v>
      </c>
      <c r="T48" s="115">
        <f ca="1">MAX(SUMIFS('RC Template'!$AW:$AW,'RC Template'!$B:$B,$A48,'RC Template'!$C:$C,T$6),T47*$E$3)</f>
        <v>16.985181312625894</v>
      </c>
      <c r="U48" s="115">
        <f ca="1">MAX(SUMIFS('RC Template'!$AW:$AW,'RC Template'!$B:$B,$A48,'RC Template'!$C:$C,U$6),U47*$E$3)</f>
        <v>76.8779115907587</v>
      </c>
      <c r="V48" s="115">
        <f ca="1">MAX(SUMIFS('RC Template'!$AW:$AW,'RC Template'!$B:$B,$A48,'RC Template'!$C:$C,V$6),V47*$E$3)</f>
        <v>44.160890103125148</v>
      </c>
      <c r="W48" s="115">
        <f ca="1">MAX(SUMIFS('RC Template'!$AW:$AW,'RC Template'!$B:$B,$A48,'RC Template'!$C:$C,W$6),W47*$E$3)</f>
        <v>23.291829449745268</v>
      </c>
      <c r="X48" s="115">
        <f ca="1">MAX(SUMIFS('RC Template'!$AW:$AW,'RC Template'!$B:$B,$A48,'RC Template'!$C:$C,X$6),X47*$E$3)</f>
        <v>0</v>
      </c>
      <c r="Y48" s="115">
        <f ca="1">MAX(SUMIFS('RC Template'!$AW:$AW,'RC Template'!$B:$B,$A48,'RC Template'!$C:$C,Y$6),Y47*$E$3)</f>
        <v>0</v>
      </c>
      <c r="Z48" s="115">
        <f ca="1">MAX(SUMIFS('RC Template'!$AW:$AW,'RC Template'!$B:$B,$A48,'RC Template'!$C:$C,Z$6),Z47*$E$3)</f>
        <v>0</v>
      </c>
      <c r="AA48" s="115">
        <f ca="1">MAX(SUMIFS('RC Template'!$AW:$AW,'RC Template'!$B:$B,$A48,'RC Template'!$C:$C,AA$6),AA47*$E$3)</f>
        <v>0</v>
      </c>
      <c r="AB48" s="115">
        <f ca="1">MAX(SUMIFS('RC Template'!$AW:$AW,'RC Template'!$B:$B,$A48,'RC Template'!$C:$C,AB$6),AB47*$E$3)</f>
        <v>0</v>
      </c>
      <c r="AC48" s="115">
        <f ca="1">MAX(SUMIFS('RC Template'!$AW:$AW,'RC Template'!$B:$B,$A48,'RC Template'!$C:$C,AC$6),AC47*$E$3)</f>
        <v>0</v>
      </c>
      <c r="AD48" s="115">
        <f ca="1">MAX(SUMIFS('RC Template'!$AW:$AW,'RC Template'!$B:$B,$A48,'RC Template'!$C:$C,AD$6),AD47*$E$3)</f>
        <v>0</v>
      </c>
    </row>
    <row r="49" spans="1:30" x14ac:dyDescent="0.3">
      <c r="A49" s="1">
        <v>43148</v>
      </c>
      <c r="B49" s="115">
        <f t="shared" ca="1" si="2"/>
        <v>595.50894136569036</v>
      </c>
      <c r="C49" s="115" t="e">
        <f>IF(SUMIFS('RC Template'!$AW:$AW,'RC Template'!$B:$B,$A49,'RC Template'!$C:$C,C$6)=0,#N/A,SUMIFS('RC Template'!$AW:$AW,'RC Template'!$B:$B,$A49,'RC Template'!$C:$C,C$6))</f>
        <v>#N/A</v>
      </c>
      <c r="D49" s="115" t="e">
        <f>IF(SUMIFS('RC Template'!$AW:$AW,'RC Template'!$B:$B,$A49,'RC Template'!$C:$C,D$6)=0,#N/A,SUMIFS('RC Template'!$AW:$AW,'RC Template'!$B:$B,$A49,'RC Template'!$C:$C,D$6))</f>
        <v>#N/A</v>
      </c>
      <c r="E49" s="115" t="e">
        <f>IF(SUMIFS('RC Template'!$AW:$AW,'RC Template'!$B:$B,$A49,'RC Template'!$C:$C,E$6)=0,#N/A,SUMIFS('RC Template'!$AW:$AW,'RC Template'!$B:$B,$A49,'RC Template'!$C:$C,E$6))</f>
        <v>#N/A</v>
      </c>
      <c r="F49" s="115" t="e">
        <f>IF(SUMIFS('RC Template'!$AW:$AW,'RC Template'!$B:$B,$A49,'RC Template'!$C:$C,F$6)=0,#N/A,SUMIFS('RC Template'!$AW:$AW,'RC Template'!$B:$B,$A49,'RC Template'!$C:$C,F$6))</f>
        <v>#N/A</v>
      </c>
      <c r="G49" s="115" t="e">
        <f>IF(SUMIFS('RC Template'!$AW:$AW,'RC Template'!$B:$B,$A49,'RC Template'!$C:$C,G$6)=0,#N/A,SUMIFS('RC Template'!$AW:$AW,'RC Template'!$B:$B,$A49,'RC Template'!$C:$C,G$6))</f>
        <v>#N/A</v>
      </c>
      <c r="H49" s="115" t="e">
        <f>IF(SUMIFS('RC Template'!$AW:$AW,'RC Template'!$B:$B,$A49,'RC Template'!$C:$C,H$6)=0,#N/A,SUMIFS('RC Template'!$AW:$AW,'RC Template'!$B:$B,$A49,'RC Template'!$C:$C,H$6))</f>
        <v>#N/A</v>
      </c>
      <c r="I49" s="115" t="e">
        <f>IF(SUMIFS('RC Template'!$AW:$AW,'RC Template'!$B:$B,$A49,'RC Template'!$C:$C,I$6)=0,#N/A,SUMIFS('RC Template'!$AW:$AW,'RC Template'!$B:$B,$A49,'RC Template'!$C:$C,I$6))</f>
        <v>#N/A</v>
      </c>
      <c r="J49" s="115" t="e">
        <f>IF(SUMIFS('RC Template'!$AW:$AW,'RC Template'!$B:$B,$A49,'RC Template'!$C:$C,J$6)=0,#N/A,SUMIFS('RC Template'!$AW:$AW,'RC Template'!$B:$B,$A49,'RC Template'!$C:$C,J$6))</f>
        <v>#N/A</v>
      </c>
      <c r="K49" s="115" t="e">
        <f>IF(SUMIFS('RC Template'!$AW:$AW,'RC Template'!$B:$B,$A49,'RC Template'!$C:$C,K$6)=0,#N/A,SUMIFS('RC Template'!$AW:$AW,'RC Template'!$B:$B,$A49,'RC Template'!$C:$C,K$6))</f>
        <v>#N/A</v>
      </c>
      <c r="L49" s="115" t="e">
        <f>IF(SUMIFS('RC Template'!$AW:$AW,'RC Template'!$B:$B,$A49,'RC Template'!$C:$C,L$6)=0,#N/A,SUMIFS('RC Template'!$AW:$AW,'RC Template'!$B:$B,$A49,'RC Template'!$C:$C,L$6))</f>
        <v>#N/A</v>
      </c>
      <c r="M49" s="115" t="e">
        <f>IF(SUMIFS('RC Template'!$AW:$AW,'RC Template'!$B:$B,$A49,'RC Template'!$C:$C,M$6)=0,#N/A,SUMIFS('RC Template'!$AW:$AW,'RC Template'!$B:$B,$A49,'RC Template'!$C:$C,M$6))</f>
        <v>#N/A</v>
      </c>
      <c r="N49" s="115" t="e">
        <f>IF(SUMIFS('RC Template'!$AW:$AW,'RC Template'!$B:$B,$A49,'RC Template'!$C:$C,N$6)=0,#N/A,SUMIFS('RC Template'!$AW:$AW,'RC Template'!$B:$B,$A49,'RC Template'!$C:$C,N$6))</f>
        <v>#N/A</v>
      </c>
      <c r="O49" s="115" t="e">
        <f>IF(SUMIFS('RC Template'!$AW:$AW,'RC Template'!$B:$B,$A49,'RC Template'!$C:$C,O$6)=0,#N/A,SUMIFS('RC Template'!$AW:$AW,'RC Template'!$B:$B,$A49,'RC Template'!$C:$C,O$6))</f>
        <v>#N/A</v>
      </c>
      <c r="P49" s="115" t="e">
        <f>IF(SUMIFS('RC Template'!$AW:$AW,'RC Template'!$B:$B,$A49,'RC Template'!$C:$C,P$6)=0,#N/A,SUMIFS('RC Template'!$AW:$AW,'RC Template'!$B:$B,$A49,'RC Template'!$C:$C,P$6))</f>
        <v>#N/A</v>
      </c>
      <c r="Q49" s="115">
        <f ca="1">MAX(SUMIFS('RC Template'!$AW:$AW,'RC Template'!$B:$B,$A49,'RC Template'!$C:$C,Q$6),Q48*$E$3)</f>
        <v>244.19808621970716</v>
      </c>
      <c r="R49" s="115">
        <f ca="1">MAX(SUMIFS('RC Template'!$AW:$AW,'RC Template'!$B:$B,$A49,'RC Template'!$C:$C,R$6),R48*$E$3)</f>
        <v>89.284276839712547</v>
      </c>
      <c r="S49" s="115">
        <f ca="1">MAX(SUMIFS('RC Template'!$AW:$AW,'RC Template'!$B:$B,$A49,'RC Template'!$C:$C,S$6),S48*$E$3)</f>
        <v>104.74366116142207</v>
      </c>
      <c r="T49" s="115">
        <f ca="1">MAX(SUMIFS('RC Template'!$AW:$AW,'RC Template'!$B:$B,$A49,'RC Template'!$C:$C,T$6),T48*$E$3)</f>
        <v>16.560551779810247</v>
      </c>
      <c r="U49" s="115">
        <f ca="1">MAX(SUMIFS('RC Template'!$AW:$AW,'RC Template'!$B:$B,$A49,'RC Template'!$C:$C,U$6),U48*$E$3)</f>
        <v>74.955963800989736</v>
      </c>
      <c r="V49" s="115">
        <f ca="1">MAX(SUMIFS('RC Template'!$AW:$AW,'RC Template'!$B:$B,$A49,'RC Template'!$C:$C,V$6),V48*$E$3)</f>
        <v>43.056867850547015</v>
      </c>
      <c r="W49" s="115">
        <f ca="1">MAX(SUMIFS('RC Template'!$AW:$AW,'RC Template'!$B:$B,$A49,'RC Template'!$C:$C,W$6),W48*$E$3)</f>
        <v>22.709533713501635</v>
      </c>
      <c r="X49" s="115">
        <f ca="1">MAX(SUMIFS('RC Template'!$AW:$AW,'RC Template'!$B:$B,$A49,'RC Template'!$C:$C,X$6),X48*$E$3)</f>
        <v>0</v>
      </c>
      <c r="Y49" s="115">
        <f ca="1">MAX(SUMIFS('RC Template'!$AW:$AW,'RC Template'!$B:$B,$A49,'RC Template'!$C:$C,Y$6),Y48*$E$3)</f>
        <v>0</v>
      </c>
      <c r="Z49" s="115">
        <f ca="1">MAX(SUMIFS('RC Template'!$AW:$AW,'RC Template'!$B:$B,$A49,'RC Template'!$C:$C,Z$6),Z48*$E$3)</f>
        <v>0</v>
      </c>
      <c r="AA49" s="115">
        <f ca="1">MAX(SUMIFS('RC Template'!$AW:$AW,'RC Template'!$B:$B,$A49,'RC Template'!$C:$C,AA$6),AA48*$E$3)</f>
        <v>0</v>
      </c>
      <c r="AB49" s="115">
        <f ca="1">MAX(SUMIFS('RC Template'!$AW:$AW,'RC Template'!$B:$B,$A49,'RC Template'!$C:$C,AB$6),AB48*$E$3)</f>
        <v>0</v>
      </c>
      <c r="AC49" s="115">
        <f ca="1">MAX(SUMIFS('RC Template'!$AW:$AW,'RC Template'!$B:$B,$A49,'RC Template'!$C:$C,AC$6),AC48*$E$3)</f>
        <v>0</v>
      </c>
      <c r="AD49" s="115">
        <f ca="1">MAX(SUMIFS('RC Template'!$AW:$AW,'RC Template'!$B:$B,$A49,'RC Template'!$C:$C,AD$6),AD48*$E$3)</f>
        <v>0</v>
      </c>
    </row>
    <row r="50" spans="1:30" x14ac:dyDescent="0.3">
      <c r="A50" s="1">
        <v>43149</v>
      </c>
      <c r="B50" s="115">
        <f t="shared" ca="1" si="2"/>
        <v>663.77098993608161</v>
      </c>
      <c r="C50" s="115">
        <f ca="1">IF(SUMIFS('RC Template'!$AW:$AW,'RC Template'!$B:$B,$A50,'RC Template'!$C:$C,C$6)=0,#N/A,SUMIFS('RC Template'!$AW:$AW,'RC Template'!$B:$B,$A50,'RC Template'!$C:$C,C$6))</f>
        <v>221.7915515957767</v>
      </c>
      <c r="D50" s="115">
        <f ca="1">IF(SUMIFS('RC Template'!$AW:$AW,'RC Template'!$B:$B,$A50,'RC Template'!$C:$C,D$6)=0,#N/A,SUMIFS('RC Template'!$AW:$AW,'RC Template'!$B:$B,$A50,'RC Template'!$C:$C,D$6))</f>
        <v>86.263491484800042</v>
      </c>
      <c r="E50" s="115">
        <f ca="1">IF(SUMIFS('RC Template'!$AW:$AW,'RC Template'!$B:$B,$A50,'RC Template'!$C:$C,E$6)=0,#N/A,SUMIFS('RC Template'!$AW:$AW,'RC Template'!$B:$B,$A50,'RC Template'!$C:$C,E$6))</f>
        <v>118.19048824116825</v>
      </c>
      <c r="F50" s="115" t="e">
        <f>IF(SUMIFS('RC Template'!$AW:$AW,'RC Template'!$B:$B,$A50,'RC Template'!$C:$C,F$6)=0,#N/A,SUMIFS('RC Template'!$AW:$AW,'RC Template'!$B:$B,$A50,'RC Template'!$C:$C,F$6))</f>
        <v>#N/A</v>
      </c>
      <c r="G50" s="115">
        <f ca="1">IF(SUMIFS('RC Template'!$AW:$AW,'RC Template'!$B:$B,$A50,'RC Template'!$C:$C,G$6)=0,#N/A,SUMIFS('RC Template'!$AW:$AW,'RC Template'!$B:$B,$A50,'RC Template'!$C:$C,G$6))</f>
        <v>90.51599148480004</v>
      </c>
      <c r="H50" s="115">
        <f ca="1">IF(SUMIFS('RC Template'!$AW:$AW,'RC Template'!$B:$B,$A50,'RC Template'!$C:$C,H$6)=0,#N/A,SUMIFS('RC Template'!$AW:$AW,'RC Template'!$B:$B,$A50,'RC Template'!$C:$C,H$6))</f>
        <v>53.380872871200012</v>
      </c>
      <c r="I50" s="115" t="e">
        <f>IF(SUMIFS('RC Template'!$AW:$AW,'RC Template'!$B:$B,$A50,'RC Template'!$C:$C,I$6)=0,#N/A,SUMIFS('RC Template'!$AW:$AW,'RC Template'!$B:$B,$A50,'RC Template'!$C:$C,I$6))</f>
        <v>#N/A</v>
      </c>
      <c r="J50" s="115">
        <f ca="1">IF(SUMIFS('RC Template'!$AW:$AW,'RC Template'!$B:$B,$A50,'RC Template'!$C:$C,J$6)=0,#N/A,SUMIFS('RC Template'!$AW:$AW,'RC Template'!$B:$B,$A50,'RC Template'!$C:$C,J$6))</f>
        <v>38.25</v>
      </c>
      <c r="K50" s="115" t="e">
        <f>IF(SUMIFS('RC Template'!$AW:$AW,'RC Template'!$B:$B,$A50,'RC Template'!$C:$C,K$6)=0,#N/A,SUMIFS('RC Template'!$AW:$AW,'RC Template'!$B:$B,$A50,'RC Template'!$C:$C,K$6))</f>
        <v>#N/A</v>
      </c>
      <c r="L50" s="115" t="e">
        <f>IF(SUMIFS('RC Template'!$AW:$AW,'RC Template'!$B:$B,$A50,'RC Template'!$C:$C,L$6)=0,#N/A,SUMIFS('RC Template'!$AW:$AW,'RC Template'!$B:$B,$A50,'RC Template'!$C:$C,L$6))</f>
        <v>#N/A</v>
      </c>
      <c r="M50" s="115" t="e">
        <f>IF(SUMIFS('RC Template'!$AW:$AW,'RC Template'!$B:$B,$A50,'RC Template'!$C:$C,M$6)=0,#N/A,SUMIFS('RC Template'!$AW:$AW,'RC Template'!$B:$B,$A50,'RC Template'!$C:$C,M$6))</f>
        <v>#N/A</v>
      </c>
      <c r="N50" s="115" t="e">
        <f>IF(SUMIFS('RC Template'!$AW:$AW,'RC Template'!$B:$B,$A50,'RC Template'!$C:$C,N$6)=0,#N/A,SUMIFS('RC Template'!$AW:$AW,'RC Template'!$B:$B,$A50,'RC Template'!$C:$C,N$6))</f>
        <v>#N/A</v>
      </c>
      <c r="O50" s="115" t="e">
        <f>IF(SUMIFS('RC Template'!$AW:$AW,'RC Template'!$B:$B,$A50,'RC Template'!$C:$C,O$6)=0,#N/A,SUMIFS('RC Template'!$AW:$AW,'RC Template'!$B:$B,$A50,'RC Template'!$C:$C,O$6))</f>
        <v>#N/A</v>
      </c>
      <c r="P50" s="115" t="e">
        <f>IF(SUMIFS('RC Template'!$AW:$AW,'RC Template'!$B:$B,$A50,'RC Template'!$C:$C,P$6)=0,#N/A,SUMIFS('RC Template'!$AW:$AW,'RC Template'!$B:$B,$A50,'RC Template'!$C:$C,P$6))</f>
        <v>#N/A</v>
      </c>
      <c r="Q50" s="115">
        <f ca="1">MAX(SUMIFS('RC Template'!$AW:$AW,'RC Template'!$B:$B,$A50,'RC Template'!$C:$C,Q$6),Q49*$E$3)</f>
        <v>238.09313406421447</v>
      </c>
      <c r="R50" s="115">
        <f ca="1">MAX(SUMIFS('RC Template'!$AW:$AW,'RC Template'!$B:$B,$A50,'RC Template'!$C:$C,R$6),R49*$E$3)</f>
        <v>87.052169918719727</v>
      </c>
      <c r="S50" s="115">
        <f ca="1">MAX(SUMIFS('RC Template'!$AW:$AW,'RC Template'!$B:$B,$A50,'RC Template'!$C:$C,S$6),S49*$E$3)</f>
        <v>118.19048824116825</v>
      </c>
      <c r="T50" s="115">
        <f ca="1">MAX(SUMIFS('RC Template'!$AW:$AW,'RC Template'!$B:$B,$A50,'RC Template'!$C:$C,T$6),T49*$E$3)</f>
        <v>16.146537985314989</v>
      </c>
      <c r="U50" s="115">
        <f ca="1">MAX(SUMIFS('RC Template'!$AW:$AW,'RC Template'!$B:$B,$A50,'RC Template'!$C:$C,U$6),U49*$E$3)</f>
        <v>90.51599148480004</v>
      </c>
      <c r="V50" s="115">
        <f ca="1">MAX(SUMIFS('RC Template'!$AW:$AW,'RC Template'!$B:$B,$A50,'RC Template'!$C:$C,V$6),V49*$E$3)</f>
        <v>53.380872871200012</v>
      </c>
      <c r="W50" s="115">
        <f ca="1">MAX(SUMIFS('RC Template'!$AW:$AW,'RC Template'!$B:$B,$A50,'RC Template'!$C:$C,W$6),W49*$E$3)</f>
        <v>22.141795370664095</v>
      </c>
      <c r="X50" s="115">
        <f ca="1">MAX(SUMIFS('RC Template'!$AW:$AW,'RC Template'!$B:$B,$A50,'RC Template'!$C:$C,X$6),X49*$E$3)</f>
        <v>38.25</v>
      </c>
      <c r="Y50" s="115">
        <f ca="1">MAX(SUMIFS('RC Template'!$AW:$AW,'RC Template'!$B:$B,$A50,'RC Template'!$C:$C,Y$6),Y49*$E$3)</f>
        <v>0</v>
      </c>
      <c r="Z50" s="115">
        <f ca="1">MAX(SUMIFS('RC Template'!$AW:$AW,'RC Template'!$B:$B,$A50,'RC Template'!$C:$C,Z$6),Z49*$E$3)</f>
        <v>0</v>
      </c>
      <c r="AA50" s="115">
        <f ca="1">MAX(SUMIFS('RC Template'!$AW:$AW,'RC Template'!$B:$B,$A50,'RC Template'!$C:$C,AA$6),AA49*$E$3)</f>
        <v>0</v>
      </c>
      <c r="AB50" s="115">
        <f ca="1">MAX(SUMIFS('RC Template'!$AW:$AW,'RC Template'!$B:$B,$A50,'RC Template'!$C:$C,AB$6),AB49*$E$3)</f>
        <v>0</v>
      </c>
      <c r="AC50" s="115">
        <f ca="1">MAX(SUMIFS('RC Template'!$AW:$AW,'RC Template'!$B:$B,$A50,'RC Template'!$C:$C,AC$6),AC49*$E$3)</f>
        <v>0</v>
      </c>
      <c r="AD50" s="115">
        <f ca="1">MAX(SUMIFS('RC Template'!$AW:$AW,'RC Template'!$B:$B,$A50,'RC Template'!$C:$C,AD$6),AD49*$E$3)</f>
        <v>0</v>
      </c>
    </row>
    <row r="51" spans="1:30" x14ac:dyDescent="0.3">
      <c r="A51" s="1">
        <v>43150</v>
      </c>
      <c r="B51" s="115">
        <f t="shared" ca="1" si="2"/>
        <v>647.17671518767952</v>
      </c>
      <c r="C51" s="115" t="e">
        <f>IF(SUMIFS('RC Template'!$AW:$AW,'RC Template'!$B:$B,$A51,'RC Template'!$C:$C,C$6)=0,#N/A,SUMIFS('RC Template'!$AW:$AW,'RC Template'!$B:$B,$A51,'RC Template'!$C:$C,C$6))</f>
        <v>#N/A</v>
      </c>
      <c r="D51" s="115" t="e">
        <f>IF(SUMIFS('RC Template'!$AW:$AW,'RC Template'!$B:$B,$A51,'RC Template'!$C:$C,D$6)=0,#N/A,SUMIFS('RC Template'!$AW:$AW,'RC Template'!$B:$B,$A51,'RC Template'!$C:$C,D$6))</f>
        <v>#N/A</v>
      </c>
      <c r="E51" s="115" t="e">
        <f>IF(SUMIFS('RC Template'!$AW:$AW,'RC Template'!$B:$B,$A51,'RC Template'!$C:$C,E$6)=0,#N/A,SUMIFS('RC Template'!$AW:$AW,'RC Template'!$B:$B,$A51,'RC Template'!$C:$C,E$6))</f>
        <v>#N/A</v>
      </c>
      <c r="F51" s="115" t="e">
        <f>IF(SUMIFS('RC Template'!$AW:$AW,'RC Template'!$B:$B,$A51,'RC Template'!$C:$C,F$6)=0,#N/A,SUMIFS('RC Template'!$AW:$AW,'RC Template'!$B:$B,$A51,'RC Template'!$C:$C,F$6))</f>
        <v>#N/A</v>
      </c>
      <c r="G51" s="115" t="e">
        <f>IF(SUMIFS('RC Template'!$AW:$AW,'RC Template'!$B:$B,$A51,'RC Template'!$C:$C,G$6)=0,#N/A,SUMIFS('RC Template'!$AW:$AW,'RC Template'!$B:$B,$A51,'RC Template'!$C:$C,G$6))</f>
        <v>#N/A</v>
      </c>
      <c r="H51" s="115" t="e">
        <f>IF(SUMIFS('RC Template'!$AW:$AW,'RC Template'!$B:$B,$A51,'RC Template'!$C:$C,H$6)=0,#N/A,SUMIFS('RC Template'!$AW:$AW,'RC Template'!$B:$B,$A51,'RC Template'!$C:$C,H$6))</f>
        <v>#N/A</v>
      </c>
      <c r="I51" s="115" t="e">
        <f>IF(SUMIFS('RC Template'!$AW:$AW,'RC Template'!$B:$B,$A51,'RC Template'!$C:$C,I$6)=0,#N/A,SUMIFS('RC Template'!$AW:$AW,'RC Template'!$B:$B,$A51,'RC Template'!$C:$C,I$6))</f>
        <v>#N/A</v>
      </c>
      <c r="J51" s="115" t="e">
        <f>IF(SUMIFS('RC Template'!$AW:$AW,'RC Template'!$B:$B,$A51,'RC Template'!$C:$C,J$6)=0,#N/A,SUMIFS('RC Template'!$AW:$AW,'RC Template'!$B:$B,$A51,'RC Template'!$C:$C,J$6))</f>
        <v>#N/A</v>
      </c>
      <c r="K51" s="115" t="e">
        <f>IF(SUMIFS('RC Template'!$AW:$AW,'RC Template'!$B:$B,$A51,'RC Template'!$C:$C,K$6)=0,#N/A,SUMIFS('RC Template'!$AW:$AW,'RC Template'!$B:$B,$A51,'RC Template'!$C:$C,K$6))</f>
        <v>#N/A</v>
      </c>
      <c r="L51" s="115" t="e">
        <f>IF(SUMIFS('RC Template'!$AW:$AW,'RC Template'!$B:$B,$A51,'RC Template'!$C:$C,L$6)=0,#N/A,SUMIFS('RC Template'!$AW:$AW,'RC Template'!$B:$B,$A51,'RC Template'!$C:$C,L$6))</f>
        <v>#N/A</v>
      </c>
      <c r="M51" s="115" t="e">
        <f>IF(SUMIFS('RC Template'!$AW:$AW,'RC Template'!$B:$B,$A51,'RC Template'!$C:$C,M$6)=0,#N/A,SUMIFS('RC Template'!$AW:$AW,'RC Template'!$B:$B,$A51,'RC Template'!$C:$C,M$6))</f>
        <v>#N/A</v>
      </c>
      <c r="N51" s="115" t="e">
        <f>IF(SUMIFS('RC Template'!$AW:$AW,'RC Template'!$B:$B,$A51,'RC Template'!$C:$C,N$6)=0,#N/A,SUMIFS('RC Template'!$AW:$AW,'RC Template'!$B:$B,$A51,'RC Template'!$C:$C,N$6))</f>
        <v>#N/A</v>
      </c>
      <c r="O51" s="115" t="e">
        <f>IF(SUMIFS('RC Template'!$AW:$AW,'RC Template'!$B:$B,$A51,'RC Template'!$C:$C,O$6)=0,#N/A,SUMIFS('RC Template'!$AW:$AW,'RC Template'!$B:$B,$A51,'RC Template'!$C:$C,O$6))</f>
        <v>#N/A</v>
      </c>
      <c r="P51" s="115" t="e">
        <f>IF(SUMIFS('RC Template'!$AW:$AW,'RC Template'!$B:$B,$A51,'RC Template'!$C:$C,P$6)=0,#N/A,SUMIFS('RC Template'!$AW:$AW,'RC Template'!$B:$B,$A51,'RC Template'!$C:$C,P$6))</f>
        <v>#N/A</v>
      </c>
      <c r="Q51" s="115">
        <f ca="1">MAX(SUMIFS('RC Template'!$AW:$AW,'RC Template'!$B:$B,$A51,'RC Template'!$C:$C,Q$6),Q50*$E$3)</f>
        <v>232.14080571260911</v>
      </c>
      <c r="R51" s="115">
        <f ca="1">MAX(SUMIFS('RC Template'!$AW:$AW,'RC Template'!$B:$B,$A51,'RC Template'!$C:$C,R$6),R50*$E$3)</f>
        <v>84.875865670751736</v>
      </c>
      <c r="S51" s="115">
        <f ca="1">MAX(SUMIFS('RC Template'!$AW:$AW,'RC Template'!$B:$B,$A51,'RC Template'!$C:$C,S$6),S50*$E$3)</f>
        <v>115.23572603513904</v>
      </c>
      <c r="T51" s="115">
        <f ca="1">MAX(SUMIFS('RC Template'!$AW:$AW,'RC Template'!$B:$B,$A51,'RC Template'!$C:$C,T$6),T50*$E$3)</f>
        <v>15.742874535682114</v>
      </c>
      <c r="U51" s="115">
        <f ca="1">MAX(SUMIFS('RC Template'!$AW:$AW,'RC Template'!$B:$B,$A51,'RC Template'!$C:$C,U$6),U50*$E$3)</f>
        <v>88.253091697680034</v>
      </c>
      <c r="V51" s="115">
        <f ca="1">MAX(SUMIFS('RC Template'!$AW:$AW,'RC Template'!$B:$B,$A51,'RC Template'!$C:$C,V$6),V50*$E$3)</f>
        <v>52.046351049420011</v>
      </c>
      <c r="W51" s="115">
        <f ca="1">MAX(SUMIFS('RC Template'!$AW:$AW,'RC Template'!$B:$B,$A51,'RC Template'!$C:$C,W$6),W50*$E$3)</f>
        <v>21.588250486397492</v>
      </c>
      <c r="X51" s="115">
        <f ca="1">MAX(SUMIFS('RC Template'!$AW:$AW,'RC Template'!$B:$B,$A51,'RC Template'!$C:$C,X$6),X50*$E$3)</f>
        <v>37.293749999999996</v>
      </c>
      <c r="Y51" s="115">
        <f ca="1">MAX(SUMIFS('RC Template'!$AW:$AW,'RC Template'!$B:$B,$A51,'RC Template'!$C:$C,Y$6),Y50*$E$3)</f>
        <v>0</v>
      </c>
      <c r="Z51" s="115">
        <f ca="1">MAX(SUMIFS('RC Template'!$AW:$AW,'RC Template'!$B:$B,$A51,'RC Template'!$C:$C,Z$6),Z50*$E$3)</f>
        <v>0</v>
      </c>
      <c r="AA51" s="115">
        <f ca="1">MAX(SUMIFS('RC Template'!$AW:$AW,'RC Template'!$B:$B,$A51,'RC Template'!$C:$C,AA$6),AA50*$E$3)</f>
        <v>0</v>
      </c>
      <c r="AB51" s="115">
        <f ca="1">MAX(SUMIFS('RC Template'!$AW:$AW,'RC Template'!$B:$B,$A51,'RC Template'!$C:$C,AB$6),AB50*$E$3)</f>
        <v>0</v>
      </c>
      <c r="AC51" s="115">
        <f ca="1">MAX(SUMIFS('RC Template'!$AW:$AW,'RC Template'!$B:$B,$A51,'RC Template'!$C:$C,AC$6),AC50*$E$3)</f>
        <v>0</v>
      </c>
      <c r="AD51" s="115">
        <f ca="1">MAX(SUMIFS('RC Template'!$AW:$AW,'RC Template'!$B:$B,$A51,'RC Template'!$C:$C,AD$6),AD50*$E$3)</f>
        <v>0</v>
      </c>
    </row>
    <row r="52" spans="1:30" x14ac:dyDescent="0.3">
      <c r="A52" s="1">
        <v>43151</v>
      </c>
      <c r="B52" s="115">
        <f t="shared" ca="1" si="2"/>
        <v>630.99729730798742</v>
      </c>
      <c r="C52" s="115" t="e">
        <f>IF(SUMIFS('RC Template'!$AW:$AW,'RC Template'!$B:$B,$A52,'RC Template'!$C:$C,C$6)=0,#N/A,SUMIFS('RC Template'!$AW:$AW,'RC Template'!$B:$B,$A52,'RC Template'!$C:$C,C$6))</f>
        <v>#N/A</v>
      </c>
      <c r="D52" s="115" t="e">
        <f>IF(SUMIFS('RC Template'!$AW:$AW,'RC Template'!$B:$B,$A52,'RC Template'!$C:$C,D$6)=0,#N/A,SUMIFS('RC Template'!$AW:$AW,'RC Template'!$B:$B,$A52,'RC Template'!$C:$C,D$6))</f>
        <v>#N/A</v>
      </c>
      <c r="E52" s="115" t="e">
        <f>IF(SUMIFS('RC Template'!$AW:$AW,'RC Template'!$B:$B,$A52,'RC Template'!$C:$C,E$6)=0,#N/A,SUMIFS('RC Template'!$AW:$AW,'RC Template'!$B:$B,$A52,'RC Template'!$C:$C,E$6))</f>
        <v>#N/A</v>
      </c>
      <c r="F52" s="115" t="e">
        <f>IF(SUMIFS('RC Template'!$AW:$AW,'RC Template'!$B:$B,$A52,'RC Template'!$C:$C,F$6)=0,#N/A,SUMIFS('RC Template'!$AW:$AW,'RC Template'!$B:$B,$A52,'RC Template'!$C:$C,F$6))</f>
        <v>#N/A</v>
      </c>
      <c r="G52" s="115" t="e">
        <f>IF(SUMIFS('RC Template'!$AW:$AW,'RC Template'!$B:$B,$A52,'RC Template'!$C:$C,G$6)=0,#N/A,SUMIFS('RC Template'!$AW:$AW,'RC Template'!$B:$B,$A52,'RC Template'!$C:$C,G$6))</f>
        <v>#N/A</v>
      </c>
      <c r="H52" s="115" t="e">
        <f>IF(SUMIFS('RC Template'!$AW:$AW,'RC Template'!$B:$B,$A52,'RC Template'!$C:$C,H$6)=0,#N/A,SUMIFS('RC Template'!$AW:$AW,'RC Template'!$B:$B,$A52,'RC Template'!$C:$C,H$6))</f>
        <v>#N/A</v>
      </c>
      <c r="I52" s="115" t="e">
        <f>IF(SUMIFS('RC Template'!$AW:$AW,'RC Template'!$B:$B,$A52,'RC Template'!$C:$C,I$6)=0,#N/A,SUMIFS('RC Template'!$AW:$AW,'RC Template'!$B:$B,$A52,'RC Template'!$C:$C,I$6))</f>
        <v>#N/A</v>
      </c>
      <c r="J52" s="115" t="e">
        <f>IF(SUMIFS('RC Template'!$AW:$AW,'RC Template'!$B:$B,$A52,'RC Template'!$C:$C,J$6)=0,#N/A,SUMIFS('RC Template'!$AW:$AW,'RC Template'!$B:$B,$A52,'RC Template'!$C:$C,J$6))</f>
        <v>#N/A</v>
      </c>
      <c r="K52" s="115" t="e">
        <f>IF(SUMIFS('RC Template'!$AW:$AW,'RC Template'!$B:$B,$A52,'RC Template'!$C:$C,K$6)=0,#N/A,SUMIFS('RC Template'!$AW:$AW,'RC Template'!$B:$B,$A52,'RC Template'!$C:$C,K$6))</f>
        <v>#N/A</v>
      </c>
      <c r="L52" s="115" t="e">
        <f>IF(SUMIFS('RC Template'!$AW:$AW,'RC Template'!$B:$B,$A52,'RC Template'!$C:$C,L$6)=0,#N/A,SUMIFS('RC Template'!$AW:$AW,'RC Template'!$B:$B,$A52,'RC Template'!$C:$C,L$6))</f>
        <v>#N/A</v>
      </c>
      <c r="M52" s="115" t="e">
        <f>IF(SUMIFS('RC Template'!$AW:$AW,'RC Template'!$B:$B,$A52,'RC Template'!$C:$C,M$6)=0,#N/A,SUMIFS('RC Template'!$AW:$AW,'RC Template'!$B:$B,$A52,'RC Template'!$C:$C,M$6))</f>
        <v>#N/A</v>
      </c>
      <c r="N52" s="115" t="e">
        <f>IF(SUMIFS('RC Template'!$AW:$AW,'RC Template'!$B:$B,$A52,'RC Template'!$C:$C,N$6)=0,#N/A,SUMIFS('RC Template'!$AW:$AW,'RC Template'!$B:$B,$A52,'RC Template'!$C:$C,N$6))</f>
        <v>#N/A</v>
      </c>
      <c r="O52" s="115" t="e">
        <f>IF(SUMIFS('RC Template'!$AW:$AW,'RC Template'!$B:$B,$A52,'RC Template'!$C:$C,O$6)=0,#N/A,SUMIFS('RC Template'!$AW:$AW,'RC Template'!$B:$B,$A52,'RC Template'!$C:$C,O$6))</f>
        <v>#N/A</v>
      </c>
      <c r="P52" s="115" t="e">
        <f>IF(SUMIFS('RC Template'!$AW:$AW,'RC Template'!$B:$B,$A52,'RC Template'!$C:$C,P$6)=0,#N/A,SUMIFS('RC Template'!$AW:$AW,'RC Template'!$B:$B,$A52,'RC Template'!$C:$C,P$6))</f>
        <v>#N/A</v>
      </c>
      <c r="Q52" s="115">
        <f ca="1">MAX(SUMIFS('RC Template'!$AW:$AW,'RC Template'!$B:$B,$A52,'RC Template'!$C:$C,Q$6),Q51*$E$3)</f>
        <v>226.33728556979386</v>
      </c>
      <c r="R52" s="115">
        <f ca="1">MAX(SUMIFS('RC Template'!$AW:$AW,'RC Template'!$B:$B,$A52,'RC Template'!$C:$C,R$6),R51*$E$3)</f>
        <v>82.753969028982937</v>
      </c>
      <c r="S52" s="115">
        <f ca="1">MAX(SUMIFS('RC Template'!$AW:$AW,'RC Template'!$B:$B,$A52,'RC Template'!$C:$C,S$6),S51*$E$3)</f>
        <v>112.35483288426056</v>
      </c>
      <c r="T52" s="115">
        <f ca="1">MAX(SUMIFS('RC Template'!$AW:$AW,'RC Template'!$B:$B,$A52,'RC Template'!$C:$C,T$6),T51*$E$3)</f>
        <v>15.349302672290062</v>
      </c>
      <c r="U52" s="115">
        <f ca="1">MAX(SUMIFS('RC Template'!$AW:$AW,'RC Template'!$B:$B,$A52,'RC Template'!$C:$C,U$6),U51*$E$3)</f>
        <v>86.046764405238036</v>
      </c>
      <c r="V52" s="115">
        <f ca="1">MAX(SUMIFS('RC Template'!$AW:$AW,'RC Template'!$B:$B,$A52,'RC Template'!$C:$C,V$6),V51*$E$3)</f>
        <v>50.745192273184507</v>
      </c>
      <c r="W52" s="115">
        <f ca="1">MAX(SUMIFS('RC Template'!$AW:$AW,'RC Template'!$B:$B,$A52,'RC Template'!$C:$C,W$6),W51*$E$3)</f>
        <v>21.048544224237553</v>
      </c>
      <c r="X52" s="115">
        <f ca="1">MAX(SUMIFS('RC Template'!$AW:$AW,'RC Template'!$B:$B,$A52,'RC Template'!$C:$C,X$6),X51*$E$3)</f>
        <v>36.361406249999995</v>
      </c>
      <c r="Y52" s="115">
        <f ca="1">MAX(SUMIFS('RC Template'!$AW:$AW,'RC Template'!$B:$B,$A52,'RC Template'!$C:$C,Y$6),Y51*$E$3)</f>
        <v>0</v>
      </c>
      <c r="Z52" s="115">
        <f ca="1">MAX(SUMIFS('RC Template'!$AW:$AW,'RC Template'!$B:$B,$A52,'RC Template'!$C:$C,Z$6),Z51*$E$3)</f>
        <v>0</v>
      </c>
      <c r="AA52" s="115">
        <f ca="1">MAX(SUMIFS('RC Template'!$AW:$AW,'RC Template'!$B:$B,$A52,'RC Template'!$C:$C,AA$6),AA51*$E$3)</f>
        <v>0</v>
      </c>
      <c r="AB52" s="115">
        <f ca="1">MAX(SUMIFS('RC Template'!$AW:$AW,'RC Template'!$B:$B,$A52,'RC Template'!$C:$C,AB$6),AB51*$E$3)</f>
        <v>0</v>
      </c>
      <c r="AC52" s="115">
        <f ca="1">MAX(SUMIFS('RC Template'!$AW:$AW,'RC Template'!$B:$B,$A52,'RC Template'!$C:$C,AC$6),AC51*$E$3)</f>
        <v>0</v>
      </c>
      <c r="AD52" s="115">
        <f ca="1">MAX(SUMIFS('RC Template'!$AW:$AW,'RC Template'!$B:$B,$A52,'RC Template'!$C:$C,AD$6),AD51*$E$3)</f>
        <v>0</v>
      </c>
    </row>
    <row r="53" spans="1:30" x14ac:dyDescent="0.3">
      <c r="A53" s="1">
        <v>43152</v>
      </c>
      <c r="B53" s="115">
        <f t="shared" ca="1" si="2"/>
        <v>615.22236487528789</v>
      </c>
      <c r="C53" s="115" t="e">
        <f>IF(SUMIFS('RC Template'!$AW:$AW,'RC Template'!$B:$B,$A53,'RC Template'!$C:$C,C$6)=0,#N/A,SUMIFS('RC Template'!$AW:$AW,'RC Template'!$B:$B,$A53,'RC Template'!$C:$C,C$6))</f>
        <v>#N/A</v>
      </c>
      <c r="D53" s="115" t="e">
        <f>IF(SUMIFS('RC Template'!$AW:$AW,'RC Template'!$B:$B,$A53,'RC Template'!$C:$C,D$6)=0,#N/A,SUMIFS('RC Template'!$AW:$AW,'RC Template'!$B:$B,$A53,'RC Template'!$C:$C,D$6))</f>
        <v>#N/A</v>
      </c>
      <c r="E53" s="115" t="e">
        <f>IF(SUMIFS('RC Template'!$AW:$AW,'RC Template'!$B:$B,$A53,'RC Template'!$C:$C,E$6)=0,#N/A,SUMIFS('RC Template'!$AW:$AW,'RC Template'!$B:$B,$A53,'RC Template'!$C:$C,E$6))</f>
        <v>#N/A</v>
      </c>
      <c r="F53" s="115" t="e">
        <f>IF(SUMIFS('RC Template'!$AW:$AW,'RC Template'!$B:$B,$A53,'RC Template'!$C:$C,F$6)=0,#N/A,SUMIFS('RC Template'!$AW:$AW,'RC Template'!$B:$B,$A53,'RC Template'!$C:$C,F$6))</f>
        <v>#N/A</v>
      </c>
      <c r="G53" s="115" t="e">
        <f>IF(SUMIFS('RC Template'!$AW:$AW,'RC Template'!$B:$B,$A53,'RC Template'!$C:$C,G$6)=0,#N/A,SUMIFS('RC Template'!$AW:$AW,'RC Template'!$B:$B,$A53,'RC Template'!$C:$C,G$6))</f>
        <v>#N/A</v>
      </c>
      <c r="H53" s="115" t="e">
        <f>IF(SUMIFS('RC Template'!$AW:$AW,'RC Template'!$B:$B,$A53,'RC Template'!$C:$C,H$6)=0,#N/A,SUMIFS('RC Template'!$AW:$AW,'RC Template'!$B:$B,$A53,'RC Template'!$C:$C,H$6))</f>
        <v>#N/A</v>
      </c>
      <c r="I53" s="115" t="e">
        <f>IF(SUMIFS('RC Template'!$AW:$AW,'RC Template'!$B:$B,$A53,'RC Template'!$C:$C,I$6)=0,#N/A,SUMIFS('RC Template'!$AW:$AW,'RC Template'!$B:$B,$A53,'RC Template'!$C:$C,I$6))</f>
        <v>#N/A</v>
      </c>
      <c r="J53" s="115" t="e">
        <f>IF(SUMIFS('RC Template'!$AW:$AW,'RC Template'!$B:$B,$A53,'RC Template'!$C:$C,J$6)=0,#N/A,SUMIFS('RC Template'!$AW:$AW,'RC Template'!$B:$B,$A53,'RC Template'!$C:$C,J$6))</f>
        <v>#N/A</v>
      </c>
      <c r="K53" s="115" t="e">
        <f>IF(SUMIFS('RC Template'!$AW:$AW,'RC Template'!$B:$B,$A53,'RC Template'!$C:$C,K$6)=0,#N/A,SUMIFS('RC Template'!$AW:$AW,'RC Template'!$B:$B,$A53,'RC Template'!$C:$C,K$6))</f>
        <v>#N/A</v>
      </c>
      <c r="L53" s="115" t="e">
        <f>IF(SUMIFS('RC Template'!$AW:$AW,'RC Template'!$B:$B,$A53,'RC Template'!$C:$C,L$6)=0,#N/A,SUMIFS('RC Template'!$AW:$AW,'RC Template'!$B:$B,$A53,'RC Template'!$C:$C,L$6))</f>
        <v>#N/A</v>
      </c>
      <c r="M53" s="115" t="e">
        <f>IF(SUMIFS('RC Template'!$AW:$AW,'RC Template'!$B:$B,$A53,'RC Template'!$C:$C,M$6)=0,#N/A,SUMIFS('RC Template'!$AW:$AW,'RC Template'!$B:$B,$A53,'RC Template'!$C:$C,M$6))</f>
        <v>#N/A</v>
      </c>
      <c r="N53" s="115" t="e">
        <f>IF(SUMIFS('RC Template'!$AW:$AW,'RC Template'!$B:$B,$A53,'RC Template'!$C:$C,N$6)=0,#N/A,SUMIFS('RC Template'!$AW:$AW,'RC Template'!$B:$B,$A53,'RC Template'!$C:$C,N$6))</f>
        <v>#N/A</v>
      </c>
      <c r="O53" s="115" t="e">
        <f>IF(SUMIFS('RC Template'!$AW:$AW,'RC Template'!$B:$B,$A53,'RC Template'!$C:$C,O$6)=0,#N/A,SUMIFS('RC Template'!$AW:$AW,'RC Template'!$B:$B,$A53,'RC Template'!$C:$C,O$6))</f>
        <v>#N/A</v>
      </c>
      <c r="P53" s="115" t="e">
        <f>IF(SUMIFS('RC Template'!$AW:$AW,'RC Template'!$B:$B,$A53,'RC Template'!$C:$C,P$6)=0,#N/A,SUMIFS('RC Template'!$AW:$AW,'RC Template'!$B:$B,$A53,'RC Template'!$C:$C,P$6))</f>
        <v>#N/A</v>
      </c>
      <c r="Q53" s="115">
        <f ca="1">MAX(SUMIFS('RC Template'!$AW:$AW,'RC Template'!$B:$B,$A53,'RC Template'!$C:$C,Q$6),Q52*$E$3)</f>
        <v>220.678853430549</v>
      </c>
      <c r="R53" s="115">
        <f ca="1">MAX(SUMIFS('RC Template'!$AW:$AW,'RC Template'!$B:$B,$A53,'RC Template'!$C:$C,R$6),R52*$E$3)</f>
        <v>80.68511980325836</v>
      </c>
      <c r="S53" s="115">
        <f ca="1">MAX(SUMIFS('RC Template'!$AW:$AW,'RC Template'!$B:$B,$A53,'RC Template'!$C:$C,S$6),S52*$E$3)</f>
        <v>109.54596206215405</v>
      </c>
      <c r="T53" s="115">
        <f ca="1">MAX(SUMIFS('RC Template'!$AW:$AW,'RC Template'!$B:$B,$A53,'RC Template'!$C:$C,T$6),T52*$E$3)</f>
        <v>14.96557010548281</v>
      </c>
      <c r="U53" s="115">
        <f ca="1">MAX(SUMIFS('RC Template'!$AW:$AW,'RC Template'!$B:$B,$A53,'RC Template'!$C:$C,U$6),U52*$E$3)</f>
        <v>83.895595295107086</v>
      </c>
      <c r="V53" s="115">
        <f ca="1">MAX(SUMIFS('RC Template'!$AW:$AW,'RC Template'!$B:$B,$A53,'RC Template'!$C:$C,V$6),V52*$E$3)</f>
        <v>49.476562466354892</v>
      </c>
      <c r="W53" s="115">
        <f ca="1">MAX(SUMIFS('RC Template'!$AW:$AW,'RC Template'!$B:$B,$A53,'RC Template'!$C:$C,W$6),W52*$E$3)</f>
        <v>20.522330618631614</v>
      </c>
      <c r="X53" s="115">
        <f ca="1">MAX(SUMIFS('RC Template'!$AW:$AW,'RC Template'!$B:$B,$A53,'RC Template'!$C:$C,X$6),X52*$E$3)</f>
        <v>35.452371093749996</v>
      </c>
      <c r="Y53" s="115">
        <f ca="1">MAX(SUMIFS('RC Template'!$AW:$AW,'RC Template'!$B:$B,$A53,'RC Template'!$C:$C,Y$6),Y52*$E$3)</f>
        <v>0</v>
      </c>
      <c r="Z53" s="115">
        <f ca="1">MAX(SUMIFS('RC Template'!$AW:$AW,'RC Template'!$B:$B,$A53,'RC Template'!$C:$C,Z$6),Z52*$E$3)</f>
        <v>0</v>
      </c>
      <c r="AA53" s="115">
        <f ca="1">MAX(SUMIFS('RC Template'!$AW:$AW,'RC Template'!$B:$B,$A53,'RC Template'!$C:$C,AA$6),AA52*$E$3)</f>
        <v>0</v>
      </c>
      <c r="AB53" s="115">
        <f ca="1">MAX(SUMIFS('RC Template'!$AW:$AW,'RC Template'!$B:$B,$A53,'RC Template'!$C:$C,AB$6),AB52*$E$3)</f>
        <v>0</v>
      </c>
      <c r="AC53" s="115">
        <f ca="1">MAX(SUMIFS('RC Template'!$AW:$AW,'RC Template'!$B:$B,$A53,'RC Template'!$C:$C,AC$6),AC52*$E$3)</f>
        <v>0</v>
      </c>
      <c r="AD53" s="115">
        <f ca="1">MAX(SUMIFS('RC Template'!$AW:$AW,'RC Template'!$B:$B,$A53,'RC Template'!$C:$C,AD$6),AD52*$E$3)</f>
        <v>0</v>
      </c>
    </row>
    <row r="54" spans="1:30" x14ac:dyDescent="0.3">
      <c r="A54" s="1">
        <v>43153</v>
      </c>
      <c r="B54" s="115">
        <f t="shared" ca="1" si="2"/>
        <v>638.71190276773268</v>
      </c>
      <c r="C54" s="115">
        <f ca="1">IF(SUMIFS('RC Template'!$AW:$AW,'RC Template'!$B:$B,$A54,'RC Template'!$C:$C,C$6)=0,#N/A,SUMIFS('RC Template'!$AW:$AW,'RC Template'!$B:$B,$A54,'RC Template'!$C:$C,C$6))</f>
        <v>203.60301554079868</v>
      </c>
      <c r="D54" s="115">
        <f ca="1">IF(SUMIFS('RC Template'!$AW:$AW,'RC Template'!$B:$B,$A54,'RC Template'!$C:$C,D$6)=0,#N/A,SUMIFS('RC Template'!$AW:$AW,'RC Template'!$B:$B,$A54,'RC Template'!$C:$C,D$6))</f>
        <v>90.51599148480004</v>
      </c>
      <c r="E54" s="115" t="e">
        <f>IF(SUMIFS('RC Template'!$AW:$AW,'RC Template'!$B:$B,$A54,'RC Template'!$C:$C,E$6)=0,#N/A,SUMIFS('RC Template'!$AW:$AW,'RC Template'!$B:$B,$A54,'RC Template'!$C:$C,E$6))</f>
        <v>#N/A</v>
      </c>
      <c r="F54" s="115" t="e">
        <f>IF(SUMIFS('RC Template'!$AW:$AW,'RC Template'!$B:$B,$A54,'RC Template'!$C:$C,F$6)=0,#N/A,SUMIFS('RC Template'!$AW:$AW,'RC Template'!$B:$B,$A54,'RC Template'!$C:$C,F$6))</f>
        <v>#N/A</v>
      </c>
      <c r="G54" s="115" t="e">
        <f>IF(SUMIFS('RC Template'!$AW:$AW,'RC Template'!$B:$B,$A54,'RC Template'!$C:$C,G$6)=0,#N/A,SUMIFS('RC Template'!$AW:$AW,'RC Template'!$B:$B,$A54,'RC Template'!$C:$C,G$6))</f>
        <v>#N/A</v>
      </c>
      <c r="H54" s="115">
        <f ca="1">IF(SUMIFS('RC Template'!$AW:$AW,'RC Template'!$B:$B,$A54,'RC Template'!$C:$C,H$6)=0,#N/A,SUMIFS('RC Template'!$AW:$AW,'RC Template'!$B:$B,$A54,'RC Template'!$C:$C,H$6))</f>
        <v>75.261745742400024</v>
      </c>
      <c r="I54" s="115" t="e">
        <f>IF(SUMIFS('RC Template'!$AW:$AW,'RC Template'!$B:$B,$A54,'RC Template'!$C:$C,I$6)=0,#N/A,SUMIFS('RC Template'!$AW:$AW,'RC Template'!$B:$B,$A54,'RC Template'!$C:$C,I$6))</f>
        <v>#N/A</v>
      </c>
      <c r="J54" s="115" t="e">
        <f>IF(SUMIFS('RC Template'!$AW:$AW,'RC Template'!$B:$B,$A54,'RC Template'!$C:$C,J$6)=0,#N/A,SUMIFS('RC Template'!$AW:$AW,'RC Template'!$B:$B,$A54,'RC Template'!$C:$C,J$6))</f>
        <v>#N/A</v>
      </c>
      <c r="K54" s="115" t="e">
        <f>IF(SUMIFS('RC Template'!$AW:$AW,'RC Template'!$B:$B,$A54,'RC Template'!$C:$C,K$6)=0,#N/A,SUMIFS('RC Template'!$AW:$AW,'RC Template'!$B:$B,$A54,'RC Template'!$C:$C,K$6))</f>
        <v>#N/A</v>
      </c>
      <c r="L54" s="115" t="e">
        <f>IF(SUMIFS('RC Template'!$AW:$AW,'RC Template'!$B:$B,$A54,'RC Template'!$C:$C,L$6)=0,#N/A,SUMIFS('RC Template'!$AW:$AW,'RC Template'!$B:$B,$A54,'RC Template'!$C:$C,L$6))</f>
        <v>#N/A</v>
      </c>
      <c r="M54" s="115" t="e">
        <f>IF(SUMIFS('RC Template'!$AW:$AW,'RC Template'!$B:$B,$A54,'RC Template'!$C:$C,M$6)=0,#N/A,SUMIFS('RC Template'!$AW:$AW,'RC Template'!$B:$B,$A54,'RC Template'!$C:$C,M$6))</f>
        <v>#N/A</v>
      </c>
      <c r="N54" s="115" t="e">
        <f>IF(SUMIFS('RC Template'!$AW:$AW,'RC Template'!$B:$B,$A54,'RC Template'!$C:$C,N$6)=0,#N/A,SUMIFS('RC Template'!$AW:$AW,'RC Template'!$B:$B,$A54,'RC Template'!$C:$C,N$6))</f>
        <v>#N/A</v>
      </c>
      <c r="O54" s="115" t="e">
        <f>IF(SUMIFS('RC Template'!$AW:$AW,'RC Template'!$B:$B,$A54,'RC Template'!$C:$C,O$6)=0,#N/A,SUMIFS('RC Template'!$AW:$AW,'RC Template'!$B:$B,$A54,'RC Template'!$C:$C,O$6))</f>
        <v>#N/A</v>
      </c>
      <c r="P54" s="115" t="e">
        <f>IF(SUMIFS('RC Template'!$AW:$AW,'RC Template'!$B:$B,$A54,'RC Template'!$C:$C,P$6)=0,#N/A,SUMIFS('RC Template'!$AW:$AW,'RC Template'!$B:$B,$A54,'RC Template'!$C:$C,P$6))</f>
        <v>#N/A</v>
      </c>
      <c r="Q54" s="115">
        <f ca="1">MAX(SUMIFS('RC Template'!$AW:$AW,'RC Template'!$B:$B,$A54,'RC Template'!$C:$C,Q$6),Q53*$E$3)</f>
        <v>215.16188209478526</v>
      </c>
      <c r="R54" s="115">
        <f ca="1">MAX(SUMIFS('RC Template'!$AW:$AW,'RC Template'!$B:$B,$A54,'RC Template'!$C:$C,R$6),R53*$E$3)</f>
        <v>90.51599148480004</v>
      </c>
      <c r="S54" s="115">
        <f ca="1">MAX(SUMIFS('RC Template'!$AW:$AW,'RC Template'!$B:$B,$A54,'RC Template'!$C:$C,S$6),S53*$E$3)</f>
        <v>106.8073130106002</v>
      </c>
      <c r="T54" s="115">
        <f ca="1">MAX(SUMIFS('RC Template'!$AW:$AW,'RC Template'!$B:$B,$A54,'RC Template'!$C:$C,T$6),T53*$E$3)</f>
        <v>14.59143085284574</v>
      </c>
      <c r="U54" s="115">
        <f ca="1">MAX(SUMIFS('RC Template'!$AW:$AW,'RC Template'!$B:$B,$A54,'RC Template'!$C:$C,U$6),U53*$E$3)</f>
        <v>81.798205412729402</v>
      </c>
      <c r="V54" s="115">
        <f ca="1">MAX(SUMIFS('RC Template'!$AW:$AW,'RC Template'!$B:$B,$A54,'RC Template'!$C:$C,V$6),V53*$E$3)</f>
        <v>75.261745742400024</v>
      </c>
      <c r="W54" s="115">
        <f ca="1">MAX(SUMIFS('RC Template'!$AW:$AW,'RC Template'!$B:$B,$A54,'RC Template'!$C:$C,W$6),W53*$E$3)</f>
        <v>20.009272353165823</v>
      </c>
      <c r="X54" s="115">
        <f ca="1">MAX(SUMIFS('RC Template'!$AW:$AW,'RC Template'!$B:$B,$A54,'RC Template'!$C:$C,X$6),X53*$E$3)</f>
        <v>34.566061816406247</v>
      </c>
      <c r="Y54" s="115">
        <f ca="1">MAX(SUMIFS('RC Template'!$AW:$AW,'RC Template'!$B:$B,$A54,'RC Template'!$C:$C,Y$6),Y53*$E$3)</f>
        <v>0</v>
      </c>
      <c r="Z54" s="115">
        <f ca="1">MAX(SUMIFS('RC Template'!$AW:$AW,'RC Template'!$B:$B,$A54,'RC Template'!$C:$C,Z$6),Z53*$E$3)</f>
        <v>0</v>
      </c>
      <c r="AA54" s="115">
        <f ca="1">MAX(SUMIFS('RC Template'!$AW:$AW,'RC Template'!$B:$B,$A54,'RC Template'!$C:$C,AA$6),AA53*$E$3)</f>
        <v>0</v>
      </c>
      <c r="AB54" s="115">
        <f ca="1">MAX(SUMIFS('RC Template'!$AW:$AW,'RC Template'!$B:$B,$A54,'RC Template'!$C:$C,AB$6),AB53*$E$3)</f>
        <v>0</v>
      </c>
      <c r="AC54" s="115">
        <f ca="1">MAX(SUMIFS('RC Template'!$AW:$AW,'RC Template'!$B:$B,$A54,'RC Template'!$C:$C,AC$6),AC53*$E$3)</f>
        <v>0</v>
      </c>
      <c r="AD54" s="115">
        <f ca="1">MAX(SUMIFS('RC Template'!$AW:$AW,'RC Template'!$B:$B,$A54,'RC Template'!$C:$C,AD$6),AD53*$E$3)</f>
        <v>0</v>
      </c>
    </row>
    <row r="55" spans="1:30" x14ac:dyDescent="0.3">
      <c r="A55" s="1">
        <v>43154</v>
      </c>
      <c r="B55" s="115">
        <f t="shared" ca="1" si="2"/>
        <v>622.7441051985395</v>
      </c>
      <c r="C55" s="115" t="e">
        <f>IF(SUMIFS('RC Template'!$AW:$AW,'RC Template'!$B:$B,$A55,'RC Template'!$C:$C,C$6)=0,#N/A,SUMIFS('RC Template'!$AW:$AW,'RC Template'!$B:$B,$A55,'RC Template'!$C:$C,C$6))</f>
        <v>#N/A</v>
      </c>
      <c r="D55" s="115" t="e">
        <f>IF(SUMIFS('RC Template'!$AW:$AW,'RC Template'!$B:$B,$A55,'RC Template'!$C:$C,D$6)=0,#N/A,SUMIFS('RC Template'!$AW:$AW,'RC Template'!$B:$B,$A55,'RC Template'!$C:$C,D$6))</f>
        <v>#N/A</v>
      </c>
      <c r="E55" s="115" t="e">
        <f>IF(SUMIFS('RC Template'!$AW:$AW,'RC Template'!$B:$B,$A55,'RC Template'!$C:$C,E$6)=0,#N/A,SUMIFS('RC Template'!$AW:$AW,'RC Template'!$B:$B,$A55,'RC Template'!$C:$C,E$6))</f>
        <v>#N/A</v>
      </c>
      <c r="F55" s="115" t="e">
        <f>IF(SUMIFS('RC Template'!$AW:$AW,'RC Template'!$B:$B,$A55,'RC Template'!$C:$C,F$6)=0,#N/A,SUMIFS('RC Template'!$AW:$AW,'RC Template'!$B:$B,$A55,'RC Template'!$C:$C,F$6))</f>
        <v>#N/A</v>
      </c>
      <c r="G55" s="115" t="e">
        <f>IF(SUMIFS('RC Template'!$AW:$AW,'RC Template'!$B:$B,$A55,'RC Template'!$C:$C,G$6)=0,#N/A,SUMIFS('RC Template'!$AW:$AW,'RC Template'!$B:$B,$A55,'RC Template'!$C:$C,G$6))</f>
        <v>#N/A</v>
      </c>
      <c r="H55" s="115" t="e">
        <f>IF(SUMIFS('RC Template'!$AW:$AW,'RC Template'!$B:$B,$A55,'RC Template'!$C:$C,H$6)=0,#N/A,SUMIFS('RC Template'!$AW:$AW,'RC Template'!$B:$B,$A55,'RC Template'!$C:$C,H$6))</f>
        <v>#N/A</v>
      </c>
      <c r="I55" s="115" t="e">
        <f>IF(SUMIFS('RC Template'!$AW:$AW,'RC Template'!$B:$B,$A55,'RC Template'!$C:$C,I$6)=0,#N/A,SUMIFS('RC Template'!$AW:$AW,'RC Template'!$B:$B,$A55,'RC Template'!$C:$C,I$6))</f>
        <v>#N/A</v>
      </c>
      <c r="J55" s="115" t="e">
        <f>IF(SUMIFS('RC Template'!$AW:$AW,'RC Template'!$B:$B,$A55,'RC Template'!$C:$C,J$6)=0,#N/A,SUMIFS('RC Template'!$AW:$AW,'RC Template'!$B:$B,$A55,'RC Template'!$C:$C,J$6))</f>
        <v>#N/A</v>
      </c>
      <c r="K55" s="115" t="e">
        <f>IF(SUMIFS('RC Template'!$AW:$AW,'RC Template'!$B:$B,$A55,'RC Template'!$C:$C,K$6)=0,#N/A,SUMIFS('RC Template'!$AW:$AW,'RC Template'!$B:$B,$A55,'RC Template'!$C:$C,K$6))</f>
        <v>#N/A</v>
      </c>
      <c r="L55" s="115" t="e">
        <f>IF(SUMIFS('RC Template'!$AW:$AW,'RC Template'!$B:$B,$A55,'RC Template'!$C:$C,L$6)=0,#N/A,SUMIFS('RC Template'!$AW:$AW,'RC Template'!$B:$B,$A55,'RC Template'!$C:$C,L$6))</f>
        <v>#N/A</v>
      </c>
      <c r="M55" s="115" t="e">
        <f>IF(SUMIFS('RC Template'!$AW:$AW,'RC Template'!$B:$B,$A55,'RC Template'!$C:$C,M$6)=0,#N/A,SUMIFS('RC Template'!$AW:$AW,'RC Template'!$B:$B,$A55,'RC Template'!$C:$C,M$6))</f>
        <v>#N/A</v>
      </c>
      <c r="N55" s="115" t="e">
        <f>IF(SUMIFS('RC Template'!$AW:$AW,'RC Template'!$B:$B,$A55,'RC Template'!$C:$C,N$6)=0,#N/A,SUMIFS('RC Template'!$AW:$AW,'RC Template'!$B:$B,$A55,'RC Template'!$C:$C,N$6))</f>
        <v>#N/A</v>
      </c>
      <c r="O55" s="115" t="e">
        <f>IF(SUMIFS('RC Template'!$AW:$AW,'RC Template'!$B:$B,$A55,'RC Template'!$C:$C,O$6)=0,#N/A,SUMIFS('RC Template'!$AW:$AW,'RC Template'!$B:$B,$A55,'RC Template'!$C:$C,O$6))</f>
        <v>#N/A</v>
      </c>
      <c r="P55" s="115" t="e">
        <f>IF(SUMIFS('RC Template'!$AW:$AW,'RC Template'!$B:$B,$A55,'RC Template'!$C:$C,P$6)=0,#N/A,SUMIFS('RC Template'!$AW:$AW,'RC Template'!$B:$B,$A55,'RC Template'!$C:$C,P$6))</f>
        <v>#N/A</v>
      </c>
      <c r="Q55" s="115">
        <f ca="1">MAX(SUMIFS('RC Template'!$AW:$AW,'RC Template'!$B:$B,$A55,'RC Template'!$C:$C,Q$6),Q54*$E$3)</f>
        <v>209.78283504241563</v>
      </c>
      <c r="R55" s="115">
        <f ca="1">MAX(SUMIFS('RC Template'!$AW:$AW,'RC Template'!$B:$B,$A55,'RC Template'!$C:$C,R$6),R54*$E$3)</f>
        <v>88.253091697680034</v>
      </c>
      <c r="S55" s="115">
        <f ca="1">MAX(SUMIFS('RC Template'!$AW:$AW,'RC Template'!$B:$B,$A55,'RC Template'!$C:$C,S$6),S54*$E$3)</f>
        <v>104.1371301853352</v>
      </c>
      <c r="T55" s="115">
        <f ca="1">MAX(SUMIFS('RC Template'!$AW:$AW,'RC Template'!$B:$B,$A55,'RC Template'!$C:$C,T$6),T54*$E$3)</f>
        <v>14.226645081524596</v>
      </c>
      <c r="U55" s="115">
        <f ca="1">MAX(SUMIFS('RC Template'!$AW:$AW,'RC Template'!$B:$B,$A55,'RC Template'!$C:$C,U$6),U54*$E$3)</f>
        <v>79.753250277411169</v>
      </c>
      <c r="V55" s="115">
        <f ca="1">MAX(SUMIFS('RC Template'!$AW:$AW,'RC Template'!$B:$B,$A55,'RC Template'!$C:$C,V$6),V54*$E$3)</f>
        <v>73.380202098840016</v>
      </c>
      <c r="W55" s="115">
        <f ca="1">MAX(SUMIFS('RC Template'!$AW:$AW,'RC Template'!$B:$B,$A55,'RC Template'!$C:$C,W$6),W54*$E$3)</f>
        <v>19.509040544336678</v>
      </c>
      <c r="X55" s="115">
        <f ca="1">MAX(SUMIFS('RC Template'!$AW:$AW,'RC Template'!$B:$B,$A55,'RC Template'!$C:$C,X$6),X54*$E$3)</f>
        <v>33.701910270996088</v>
      </c>
      <c r="Y55" s="115">
        <f ca="1">MAX(SUMIFS('RC Template'!$AW:$AW,'RC Template'!$B:$B,$A55,'RC Template'!$C:$C,Y$6),Y54*$E$3)</f>
        <v>0</v>
      </c>
      <c r="Z55" s="115">
        <f ca="1">MAX(SUMIFS('RC Template'!$AW:$AW,'RC Template'!$B:$B,$A55,'RC Template'!$C:$C,Z$6),Z54*$E$3)</f>
        <v>0</v>
      </c>
      <c r="AA55" s="115">
        <f ca="1">MAX(SUMIFS('RC Template'!$AW:$AW,'RC Template'!$B:$B,$A55,'RC Template'!$C:$C,AA$6),AA54*$E$3)</f>
        <v>0</v>
      </c>
      <c r="AB55" s="115">
        <f ca="1">MAX(SUMIFS('RC Template'!$AW:$AW,'RC Template'!$B:$B,$A55,'RC Template'!$C:$C,AB$6),AB54*$E$3)</f>
        <v>0</v>
      </c>
      <c r="AC55" s="115">
        <f ca="1">MAX(SUMIFS('RC Template'!$AW:$AW,'RC Template'!$B:$B,$A55,'RC Template'!$C:$C,AC$6),AC54*$E$3)</f>
        <v>0</v>
      </c>
      <c r="AD55" s="115">
        <f ca="1">MAX(SUMIFS('RC Template'!$AW:$AW,'RC Template'!$B:$B,$A55,'RC Template'!$C:$C,AD$6),AD54*$E$3)</f>
        <v>0</v>
      </c>
    </row>
    <row r="56" spans="1:30" x14ac:dyDescent="0.3">
      <c r="A56" s="1">
        <v>43155</v>
      </c>
      <c r="B56" s="115">
        <f t="shared" ca="1" si="2"/>
        <v>607.17550256857589</v>
      </c>
      <c r="C56" s="115" t="e">
        <f>IF(SUMIFS('RC Template'!$AW:$AW,'RC Template'!$B:$B,$A56,'RC Template'!$C:$C,C$6)=0,#N/A,SUMIFS('RC Template'!$AW:$AW,'RC Template'!$B:$B,$A56,'RC Template'!$C:$C,C$6))</f>
        <v>#N/A</v>
      </c>
      <c r="D56" s="115" t="e">
        <f>IF(SUMIFS('RC Template'!$AW:$AW,'RC Template'!$B:$B,$A56,'RC Template'!$C:$C,D$6)=0,#N/A,SUMIFS('RC Template'!$AW:$AW,'RC Template'!$B:$B,$A56,'RC Template'!$C:$C,D$6))</f>
        <v>#N/A</v>
      </c>
      <c r="E56" s="115" t="e">
        <f>IF(SUMIFS('RC Template'!$AW:$AW,'RC Template'!$B:$B,$A56,'RC Template'!$C:$C,E$6)=0,#N/A,SUMIFS('RC Template'!$AW:$AW,'RC Template'!$B:$B,$A56,'RC Template'!$C:$C,E$6))</f>
        <v>#N/A</v>
      </c>
      <c r="F56" s="115" t="e">
        <f>IF(SUMIFS('RC Template'!$AW:$AW,'RC Template'!$B:$B,$A56,'RC Template'!$C:$C,F$6)=0,#N/A,SUMIFS('RC Template'!$AW:$AW,'RC Template'!$B:$B,$A56,'RC Template'!$C:$C,F$6))</f>
        <v>#N/A</v>
      </c>
      <c r="G56" s="115" t="e">
        <f>IF(SUMIFS('RC Template'!$AW:$AW,'RC Template'!$B:$B,$A56,'RC Template'!$C:$C,G$6)=0,#N/A,SUMIFS('RC Template'!$AW:$AW,'RC Template'!$B:$B,$A56,'RC Template'!$C:$C,G$6))</f>
        <v>#N/A</v>
      </c>
      <c r="H56" s="115" t="e">
        <f>IF(SUMIFS('RC Template'!$AW:$AW,'RC Template'!$B:$B,$A56,'RC Template'!$C:$C,H$6)=0,#N/A,SUMIFS('RC Template'!$AW:$AW,'RC Template'!$B:$B,$A56,'RC Template'!$C:$C,H$6))</f>
        <v>#N/A</v>
      </c>
      <c r="I56" s="115" t="e">
        <f>IF(SUMIFS('RC Template'!$AW:$AW,'RC Template'!$B:$B,$A56,'RC Template'!$C:$C,I$6)=0,#N/A,SUMIFS('RC Template'!$AW:$AW,'RC Template'!$B:$B,$A56,'RC Template'!$C:$C,I$6))</f>
        <v>#N/A</v>
      </c>
      <c r="J56" s="115" t="e">
        <f>IF(SUMIFS('RC Template'!$AW:$AW,'RC Template'!$B:$B,$A56,'RC Template'!$C:$C,J$6)=0,#N/A,SUMIFS('RC Template'!$AW:$AW,'RC Template'!$B:$B,$A56,'RC Template'!$C:$C,J$6))</f>
        <v>#N/A</v>
      </c>
      <c r="K56" s="115" t="e">
        <f>IF(SUMIFS('RC Template'!$AW:$AW,'RC Template'!$B:$B,$A56,'RC Template'!$C:$C,K$6)=0,#N/A,SUMIFS('RC Template'!$AW:$AW,'RC Template'!$B:$B,$A56,'RC Template'!$C:$C,K$6))</f>
        <v>#N/A</v>
      </c>
      <c r="L56" s="115" t="e">
        <f>IF(SUMIFS('RC Template'!$AW:$AW,'RC Template'!$B:$B,$A56,'RC Template'!$C:$C,L$6)=0,#N/A,SUMIFS('RC Template'!$AW:$AW,'RC Template'!$B:$B,$A56,'RC Template'!$C:$C,L$6))</f>
        <v>#N/A</v>
      </c>
      <c r="M56" s="115" t="e">
        <f>IF(SUMIFS('RC Template'!$AW:$AW,'RC Template'!$B:$B,$A56,'RC Template'!$C:$C,M$6)=0,#N/A,SUMIFS('RC Template'!$AW:$AW,'RC Template'!$B:$B,$A56,'RC Template'!$C:$C,M$6))</f>
        <v>#N/A</v>
      </c>
      <c r="N56" s="115" t="e">
        <f>IF(SUMIFS('RC Template'!$AW:$AW,'RC Template'!$B:$B,$A56,'RC Template'!$C:$C,N$6)=0,#N/A,SUMIFS('RC Template'!$AW:$AW,'RC Template'!$B:$B,$A56,'RC Template'!$C:$C,N$6))</f>
        <v>#N/A</v>
      </c>
      <c r="O56" s="115" t="e">
        <f>IF(SUMIFS('RC Template'!$AW:$AW,'RC Template'!$B:$B,$A56,'RC Template'!$C:$C,O$6)=0,#N/A,SUMIFS('RC Template'!$AW:$AW,'RC Template'!$B:$B,$A56,'RC Template'!$C:$C,O$6))</f>
        <v>#N/A</v>
      </c>
      <c r="P56" s="115" t="e">
        <f>IF(SUMIFS('RC Template'!$AW:$AW,'RC Template'!$B:$B,$A56,'RC Template'!$C:$C,P$6)=0,#N/A,SUMIFS('RC Template'!$AW:$AW,'RC Template'!$B:$B,$A56,'RC Template'!$C:$C,P$6))</f>
        <v>#N/A</v>
      </c>
      <c r="Q56" s="115">
        <f ca="1">MAX(SUMIFS('RC Template'!$AW:$AW,'RC Template'!$B:$B,$A56,'RC Template'!$C:$C,Q$6),Q55*$E$3)</f>
        <v>204.53826416635522</v>
      </c>
      <c r="R56" s="115">
        <f ca="1">MAX(SUMIFS('RC Template'!$AW:$AW,'RC Template'!$B:$B,$A56,'RC Template'!$C:$C,R$6),R55*$E$3)</f>
        <v>86.046764405238036</v>
      </c>
      <c r="S56" s="115">
        <f ca="1">MAX(SUMIFS('RC Template'!$AW:$AW,'RC Template'!$B:$B,$A56,'RC Template'!$C:$C,S$6),S55*$E$3)</f>
        <v>101.53370193070181</v>
      </c>
      <c r="T56" s="115">
        <f ca="1">MAX(SUMIFS('RC Template'!$AW:$AW,'RC Template'!$B:$B,$A56,'RC Template'!$C:$C,T$6),T55*$E$3)</f>
        <v>13.870978954486482</v>
      </c>
      <c r="U56" s="115">
        <f ca="1">MAX(SUMIFS('RC Template'!$AW:$AW,'RC Template'!$B:$B,$A56,'RC Template'!$C:$C,U$6),U55*$E$3)</f>
        <v>77.759419020475889</v>
      </c>
      <c r="V56" s="115">
        <f ca="1">MAX(SUMIFS('RC Template'!$AW:$AW,'RC Template'!$B:$B,$A56,'RC Template'!$C:$C,V$6),V55*$E$3)</f>
        <v>71.545697046369014</v>
      </c>
      <c r="W56" s="115">
        <f ca="1">MAX(SUMIFS('RC Template'!$AW:$AW,'RC Template'!$B:$B,$A56,'RC Template'!$C:$C,W$6),W55*$E$3)</f>
        <v>19.021314530728262</v>
      </c>
      <c r="X56" s="115">
        <f ca="1">MAX(SUMIFS('RC Template'!$AW:$AW,'RC Template'!$B:$B,$A56,'RC Template'!$C:$C,X$6),X55*$E$3)</f>
        <v>32.859362514221182</v>
      </c>
      <c r="Y56" s="115">
        <f ca="1">MAX(SUMIFS('RC Template'!$AW:$AW,'RC Template'!$B:$B,$A56,'RC Template'!$C:$C,Y$6),Y55*$E$3)</f>
        <v>0</v>
      </c>
      <c r="Z56" s="115">
        <f ca="1">MAX(SUMIFS('RC Template'!$AW:$AW,'RC Template'!$B:$B,$A56,'RC Template'!$C:$C,Z$6),Z55*$E$3)</f>
        <v>0</v>
      </c>
      <c r="AA56" s="115">
        <f ca="1">MAX(SUMIFS('RC Template'!$AW:$AW,'RC Template'!$B:$B,$A56,'RC Template'!$C:$C,AA$6),AA55*$E$3)</f>
        <v>0</v>
      </c>
      <c r="AB56" s="115">
        <f ca="1">MAX(SUMIFS('RC Template'!$AW:$AW,'RC Template'!$B:$B,$A56,'RC Template'!$C:$C,AB$6),AB55*$E$3)</f>
        <v>0</v>
      </c>
      <c r="AC56" s="115">
        <f ca="1">MAX(SUMIFS('RC Template'!$AW:$AW,'RC Template'!$B:$B,$A56,'RC Template'!$C:$C,AC$6),AC55*$E$3)</f>
        <v>0</v>
      </c>
      <c r="AD56" s="115">
        <f ca="1">MAX(SUMIFS('RC Template'!$AW:$AW,'RC Template'!$B:$B,$A56,'RC Template'!$C:$C,AD$6),AD55*$E$3)</f>
        <v>0</v>
      </c>
    </row>
    <row r="57" spans="1:30" x14ac:dyDescent="0.3">
      <c r="A57" s="1">
        <v>43156</v>
      </c>
      <c r="B57" s="115">
        <f t="shared" ca="1" si="2"/>
        <v>821.7106575476538</v>
      </c>
      <c r="C57" s="115">
        <f ca="1">IF(SUMIFS('RC Template'!$AW:$AW,'RC Template'!$B:$B,$A57,'RC Template'!$C:$C,C$6)=0,#N/A,SUMIFS('RC Template'!$AW:$AW,'RC Template'!$B:$B,$A57,'RC Template'!$C:$C,C$6))</f>
        <v>229.1090775584947</v>
      </c>
      <c r="D57" s="115" t="e">
        <f>IF(SUMIFS('RC Template'!$AW:$AW,'RC Template'!$B:$B,$A57,'RC Template'!$C:$C,D$6)=0,#N/A,SUMIFS('RC Template'!$AW:$AW,'RC Template'!$B:$B,$A57,'RC Template'!$C:$C,D$6))</f>
        <v>#N/A</v>
      </c>
      <c r="E57" s="115">
        <f ca="1">IF(SUMIFS('RC Template'!$AW:$AW,'RC Template'!$B:$B,$A57,'RC Template'!$C:$C,E$6)=0,#N/A,SUMIFS('RC Template'!$AW:$AW,'RC Template'!$B:$B,$A57,'RC Template'!$C:$C,E$6))</f>
        <v>138.38116333173295</v>
      </c>
      <c r="F57" s="115" t="e">
        <f>IF(SUMIFS('RC Template'!$AW:$AW,'RC Template'!$B:$B,$A57,'RC Template'!$C:$C,F$6)=0,#N/A,SUMIFS('RC Template'!$AW:$AW,'RC Template'!$B:$B,$A57,'RC Template'!$C:$C,F$6))</f>
        <v>#N/A</v>
      </c>
      <c r="G57" s="115">
        <f ca="1">IF(SUMIFS('RC Template'!$AW:$AW,'RC Template'!$B:$B,$A57,'RC Template'!$C:$C,G$6)=0,#N/A,SUMIFS('RC Template'!$AW:$AW,'RC Template'!$B:$B,$A57,'RC Template'!$C:$C,G$6))</f>
        <v>104.44732740826649</v>
      </c>
      <c r="H57" s="115">
        <f ca="1">IF(SUMIFS('RC Template'!$AW:$AW,'RC Template'!$B:$B,$A57,'RC Template'!$C:$C,H$6)=0,#N/A,SUMIFS('RC Template'!$AW:$AW,'RC Template'!$B:$B,$A57,'RC Template'!$C:$C,H$6))</f>
        <v>71.009245742400026</v>
      </c>
      <c r="I57" s="115" t="e">
        <f>IF(SUMIFS('RC Template'!$AW:$AW,'RC Template'!$B:$B,$A57,'RC Template'!$C:$C,I$6)=0,#N/A,SUMIFS('RC Template'!$AW:$AW,'RC Template'!$B:$B,$A57,'RC Template'!$C:$C,I$6))</f>
        <v>#N/A</v>
      </c>
      <c r="J57" s="115">
        <f ca="1">IF(SUMIFS('RC Template'!$AW:$AW,'RC Template'!$B:$B,$A57,'RC Template'!$C:$C,J$6)=0,#N/A,SUMIFS('RC Template'!$AW:$AW,'RC Template'!$B:$B,$A57,'RC Template'!$C:$C,J$6))</f>
        <v>38.25</v>
      </c>
      <c r="K57" s="115">
        <f ca="1">IF(SUMIFS('RC Template'!$AW:$AW,'RC Template'!$B:$B,$A57,'RC Template'!$C:$C,K$6)=0,#N/A,SUMIFS('RC Template'!$AW:$AW,'RC Template'!$B:$B,$A57,'RC Template'!$C:$C,K$6))</f>
        <v>124.54826206356827</v>
      </c>
      <c r="L57" s="115" t="e">
        <f>IF(SUMIFS('RC Template'!$AW:$AW,'RC Template'!$B:$B,$A57,'RC Template'!$C:$C,L$6)=0,#N/A,SUMIFS('RC Template'!$AW:$AW,'RC Template'!$B:$B,$A57,'RC Template'!$C:$C,L$6))</f>
        <v>#N/A</v>
      </c>
      <c r="M57" s="115" t="e">
        <f>IF(SUMIFS('RC Template'!$AW:$AW,'RC Template'!$B:$B,$A57,'RC Template'!$C:$C,M$6)=0,#N/A,SUMIFS('RC Template'!$AW:$AW,'RC Template'!$B:$B,$A57,'RC Template'!$C:$C,M$6))</f>
        <v>#N/A</v>
      </c>
      <c r="N57" s="115" t="e">
        <f>IF(SUMIFS('RC Template'!$AW:$AW,'RC Template'!$B:$B,$A57,'RC Template'!$C:$C,N$6)=0,#N/A,SUMIFS('RC Template'!$AW:$AW,'RC Template'!$B:$B,$A57,'RC Template'!$C:$C,N$6))</f>
        <v>#N/A</v>
      </c>
      <c r="O57" s="115" t="e">
        <f>IF(SUMIFS('RC Template'!$AW:$AW,'RC Template'!$B:$B,$A57,'RC Template'!$C:$C,O$6)=0,#N/A,SUMIFS('RC Template'!$AW:$AW,'RC Template'!$B:$B,$A57,'RC Template'!$C:$C,O$6))</f>
        <v>#N/A</v>
      </c>
      <c r="P57" s="115" t="e">
        <f>IF(SUMIFS('RC Template'!$AW:$AW,'RC Template'!$B:$B,$A57,'RC Template'!$C:$C,P$6)=0,#N/A,SUMIFS('RC Template'!$AW:$AW,'RC Template'!$B:$B,$A57,'RC Template'!$C:$C,P$6))</f>
        <v>#N/A</v>
      </c>
      <c r="Q57" s="115">
        <f ca="1">MAX(SUMIFS('RC Template'!$AW:$AW,'RC Template'!$B:$B,$A57,'RC Template'!$C:$C,Q$6),Q56*$E$3)</f>
        <v>229.1090775584947</v>
      </c>
      <c r="R57" s="115">
        <f ca="1">MAX(SUMIFS('RC Template'!$AW:$AW,'RC Template'!$B:$B,$A57,'RC Template'!$C:$C,R$6),R56*$E$3)</f>
        <v>83.895595295107086</v>
      </c>
      <c r="S57" s="115">
        <f ca="1">MAX(SUMIFS('RC Template'!$AW:$AW,'RC Template'!$B:$B,$A57,'RC Template'!$C:$C,S$6),S56*$E$3)</f>
        <v>138.38116333173295</v>
      </c>
      <c r="T57" s="115">
        <f ca="1">MAX(SUMIFS('RC Template'!$AW:$AW,'RC Template'!$B:$B,$A57,'RC Template'!$C:$C,T$6),T56*$E$3)</f>
        <v>13.52420448062432</v>
      </c>
      <c r="U57" s="115">
        <f ca="1">MAX(SUMIFS('RC Template'!$AW:$AW,'RC Template'!$B:$B,$A57,'RC Template'!$C:$C,U$6),U56*$E$3)</f>
        <v>104.44732740826649</v>
      </c>
      <c r="V57" s="115">
        <f ca="1">MAX(SUMIFS('RC Template'!$AW:$AW,'RC Template'!$B:$B,$A57,'RC Template'!$C:$C,V$6),V56*$E$3)</f>
        <v>71.009245742400026</v>
      </c>
      <c r="W57" s="115">
        <f ca="1">MAX(SUMIFS('RC Template'!$AW:$AW,'RC Template'!$B:$B,$A57,'RC Template'!$C:$C,W$6),W56*$E$3)</f>
        <v>18.545781667460055</v>
      </c>
      <c r="X57" s="115">
        <f ca="1">MAX(SUMIFS('RC Template'!$AW:$AW,'RC Template'!$B:$B,$A57,'RC Template'!$C:$C,X$6),X56*$E$3)</f>
        <v>38.25</v>
      </c>
      <c r="Y57" s="115">
        <f ca="1">MAX(SUMIFS('RC Template'!$AW:$AW,'RC Template'!$B:$B,$A57,'RC Template'!$C:$C,Y$6),Y56*$E$3)</f>
        <v>124.54826206356827</v>
      </c>
      <c r="Z57" s="115">
        <f ca="1">MAX(SUMIFS('RC Template'!$AW:$AW,'RC Template'!$B:$B,$A57,'RC Template'!$C:$C,Z$6),Z56*$E$3)</f>
        <v>0</v>
      </c>
      <c r="AA57" s="115">
        <f ca="1">MAX(SUMIFS('RC Template'!$AW:$AW,'RC Template'!$B:$B,$A57,'RC Template'!$C:$C,AA$6),AA56*$E$3)</f>
        <v>0</v>
      </c>
      <c r="AB57" s="115">
        <f ca="1">MAX(SUMIFS('RC Template'!$AW:$AW,'RC Template'!$B:$B,$A57,'RC Template'!$C:$C,AB$6),AB56*$E$3)</f>
        <v>0</v>
      </c>
      <c r="AC57" s="115">
        <f ca="1">MAX(SUMIFS('RC Template'!$AW:$AW,'RC Template'!$B:$B,$A57,'RC Template'!$C:$C,AC$6),AC56*$E$3)</f>
        <v>0</v>
      </c>
      <c r="AD57" s="115">
        <f ca="1">MAX(SUMIFS('RC Template'!$AW:$AW,'RC Template'!$B:$B,$A57,'RC Template'!$C:$C,AD$6),AD56*$E$3)</f>
        <v>0</v>
      </c>
    </row>
    <row r="58" spans="1:30" x14ac:dyDescent="0.3">
      <c r="A58" s="1">
        <v>43157</v>
      </c>
      <c r="B58" s="115">
        <f t="shared" ca="1" si="2"/>
        <v>801.16789110896275</v>
      </c>
      <c r="C58" s="115" t="e">
        <f>IF(SUMIFS('RC Template'!$AW:$AW,'RC Template'!$B:$B,$A58,'RC Template'!$C:$C,C$6)=0,#N/A,SUMIFS('RC Template'!$AW:$AW,'RC Template'!$B:$B,$A58,'RC Template'!$C:$C,C$6))</f>
        <v>#N/A</v>
      </c>
      <c r="D58" s="115" t="e">
        <f>IF(SUMIFS('RC Template'!$AW:$AW,'RC Template'!$B:$B,$A58,'RC Template'!$C:$C,D$6)=0,#N/A,SUMIFS('RC Template'!$AW:$AW,'RC Template'!$B:$B,$A58,'RC Template'!$C:$C,D$6))</f>
        <v>#N/A</v>
      </c>
      <c r="E58" s="115" t="e">
        <f>IF(SUMIFS('RC Template'!$AW:$AW,'RC Template'!$B:$B,$A58,'RC Template'!$C:$C,E$6)=0,#N/A,SUMIFS('RC Template'!$AW:$AW,'RC Template'!$B:$B,$A58,'RC Template'!$C:$C,E$6))</f>
        <v>#N/A</v>
      </c>
      <c r="F58" s="115" t="e">
        <f>IF(SUMIFS('RC Template'!$AW:$AW,'RC Template'!$B:$B,$A58,'RC Template'!$C:$C,F$6)=0,#N/A,SUMIFS('RC Template'!$AW:$AW,'RC Template'!$B:$B,$A58,'RC Template'!$C:$C,F$6))</f>
        <v>#N/A</v>
      </c>
      <c r="G58" s="115" t="e">
        <f>IF(SUMIFS('RC Template'!$AW:$AW,'RC Template'!$B:$B,$A58,'RC Template'!$C:$C,G$6)=0,#N/A,SUMIFS('RC Template'!$AW:$AW,'RC Template'!$B:$B,$A58,'RC Template'!$C:$C,G$6))</f>
        <v>#N/A</v>
      </c>
      <c r="H58" s="115" t="e">
        <f>IF(SUMIFS('RC Template'!$AW:$AW,'RC Template'!$B:$B,$A58,'RC Template'!$C:$C,H$6)=0,#N/A,SUMIFS('RC Template'!$AW:$AW,'RC Template'!$B:$B,$A58,'RC Template'!$C:$C,H$6))</f>
        <v>#N/A</v>
      </c>
      <c r="I58" s="115" t="e">
        <f>IF(SUMIFS('RC Template'!$AW:$AW,'RC Template'!$B:$B,$A58,'RC Template'!$C:$C,I$6)=0,#N/A,SUMIFS('RC Template'!$AW:$AW,'RC Template'!$B:$B,$A58,'RC Template'!$C:$C,I$6))</f>
        <v>#N/A</v>
      </c>
      <c r="J58" s="115" t="e">
        <f>IF(SUMIFS('RC Template'!$AW:$AW,'RC Template'!$B:$B,$A58,'RC Template'!$C:$C,J$6)=0,#N/A,SUMIFS('RC Template'!$AW:$AW,'RC Template'!$B:$B,$A58,'RC Template'!$C:$C,J$6))</f>
        <v>#N/A</v>
      </c>
      <c r="K58" s="115" t="e">
        <f>IF(SUMIFS('RC Template'!$AW:$AW,'RC Template'!$B:$B,$A58,'RC Template'!$C:$C,K$6)=0,#N/A,SUMIFS('RC Template'!$AW:$AW,'RC Template'!$B:$B,$A58,'RC Template'!$C:$C,K$6))</f>
        <v>#N/A</v>
      </c>
      <c r="L58" s="115" t="e">
        <f>IF(SUMIFS('RC Template'!$AW:$AW,'RC Template'!$B:$B,$A58,'RC Template'!$C:$C,L$6)=0,#N/A,SUMIFS('RC Template'!$AW:$AW,'RC Template'!$B:$B,$A58,'RC Template'!$C:$C,L$6))</f>
        <v>#N/A</v>
      </c>
      <c r="M58" s="115" t="e">
        <f>IF(SUMIFS('RC Template'!$AW:$AW,'RC Template'!$B:$B,$A58,'RC Template'!$C:$C,M$6)=0,#N/A,SUMIFS('RC Template'!$AW:$AW,'RC Template'!$B:$B,$A58,'RC Template'!$C:$C,M$6))</f>
        <v>#N/A</v>
      </c>
      <c r="N58" s="115" t="e">
        <f>IF(SUMIFS('RC Template'!$AW:$AW,'RC Template'!$B:$B,$A58,'RC Template'!$C:$C,N$6)=0,#N/A,SUMIFS('RC Template'!$AW:$AW,'RC Template'!$B:$B,$A58,'RC Template'!$C:$C,N$6))</f>
        <v>#N/A</v>
      </c>
      <c r="O58" s="115" t="e">
        <f>IF(SUMIFS('RC Template'!$AW:$AW,'RC Template'!$B:$B,$A58,'RC Template'!$C:$C,O$6)=0,#N/A,SUMIFS('RC Template'!$AW:$AW,'RC Template'!$B:$B,$A58,'RC Template'!$C:$C,O$6))</f>
        <v>#N/A</v>
      </c>
      <c r="P58" s="115" t="e">
        <f>IF(SUMIFS('RC Template'!$AW:$AW,'RC Template'!$B:$B,$A58,'RC Template'!$C:$C,P$6)=0,#N/A,SUMIFS('RC Template'!$AW:$AW,'RC Template'!$B:$B,$A58,'RC Template'!$C:$C,P$6))</f>
        <v>#N/A</v>
      </c>
      <c r="Q58" s="115">
        <f ca="1">MAX(SUMIFS('RC Template'!$AW:$AW,'RC Template'!$B:$B,$A58,'RC Template'!$C:$C,Q$6),Q57*$E$3)</f>
        <v>223.38135061953233</v>
      </c>
      <c r="R58" s="115">
        <f ca="1">MAX(SUMIFS('RC Template'!$AW:$AW,'RC Template'!$B:$B,$A58,'RC Template'!$C:$C,R$6),R57*$E$3)</f>
        <v>81.798205412729402</v>
      </c>
      <c r="S58" s="115">
        <f ca="1">MAX(SUMIFS('RC Template'!$AW:$AW,'RC Template'!$B:$B,$A58,'RC Template'!$C:$C,S$6),S57*$E$3)</f>
        <v>134.92163424843963</v>
      </c>
      <c r="T58" s="115">
        <f ca="1">MAX(SUMIFS('RC Template'!$AW:$AW,'RC Template'!$B:$B,$A58,'RC Template'!$C:$C,T$6),T57*$E$3)</f>
        <v>13.186099368608712</v>
      </c>
      <c r="U58" s="115">
        <f ca="1">MAX(SUMIFS('RC Template'!$AW:$AW,'RC Template'!$B:$B,$A58,'RC Template'!$C:$C,U$6),U57*$E$3)</f>
        <v>101.83614422305982</v>
      </c>
      <c r="V58" s="115">
        <f ca="1">MAX(SUMIFS('RC Template'!$AW:$AW,'RC Template'!$B:$B,$A58,'RC Template'!$C:$C,V$6),V57*$E$3)</f>
        <v>69.23401459884002</v>
      </c>
      <c r="W58" s="115">
        <f ca="1">MAX(SUMIFS('RC Template'!$AW:$AW,'RC Template'!$B:$B,$A58,'RC Template'!$C:$C,W$6),W57*$E$3)</f>
        <v>18.082137125773553</v>
      </c>
      <c r="X58" s="115">
        <f ca="1">MAX(SUMIFS('RC Template'!$AW:$AW,'RC Template'!$B:$B,$A58,'RC Template'!$C:$C,X$6),X57*$E$3)</f>
        <v>37.293749999999996</v>
      </c>
      <c r="Y58" s="115">
        <f ca="1">MAX(SUMIFS('RC Template'!$AW:$AW,'RC Template'!$B:$B,$A58,'RC Template'!$C:$C,Y$6),Y57*$E$3)</f>
        <v>121.43455551197907</v>
      </c>
      <c r="Z58" s="115">
        <f ca="1">MAX(SUMIFS('RC Template'!$AW:$AW,'RC Template'!$B:$B,$A58,'RC Template'!$C:$C,Z$6),Z57*$E$3)</f>
        <v>0</v>
      </c>
      <c r="AA58" s="115">
        <f ca="1">MAX(SUMIFS('RC Template'!$AW:$AW,'RC Template'!$B:$B,$A58,'RC Template'!$C:$C,AA$6),AA57*$E$3)</f>
        <v>0</v>
      </c>
      <c r="AB58" s="115">
        <f ca="1">MAX(SUMIFS('RC Template'!$AW:$AW,'RC Template'!$B:$B,$A58,'RC Template'!$C:$C,AB$6),AB57*$E$3)</f>
        <v>0</v>
      </c>
      <c r="AC58" s="115">
        <f ca="1">MAX(SUMIFS('RC Template'!$AW:$AW,'RC Template'!$B:$B,$A58,'RC Template'!$C:$C,AC$6),AC57*$E$3)</f>
        <v>0</v>
      </c>
      <c r="AD58" s="115">
        <f ca="1">MAX(SUMIFS('RC Template'!$AW:$AW,'RC Template'!$B:$B,$A58,'RC Template'!$C:$C,AD$6),AD57*$E$3)</f>
        <v>0</v>
      </c>
    </row>
    <row r="59" spans="1:30" x14ac:dyDescent="0.3">
      <c r="A59" s="1">
        <v>43158</v>
      </c>
      <c r="B59" s="115">
        <f t="shared" ca="1" si="2"/>
        <v>788.89727533976941</v>
      </c>
      <c r="C59" s="115" t="e">
        <f>IF(SUMIFS('RC Template'!$AW:$AW,'RC Template'!$B:$B,$A59,'RC Template'!$C:$C,C$6)=0,#N/A,SUMIFS('RC Template'!$AW:$AW,'RC Template'!$B:$B,$A59,'RC Template'!$C:$C,C$6))</f>
        <v>#N/A</v>
      </c>
      <c r="D59" s="115" t="e">
        <f>IF(SUMIFS('RC Template'!$AW:$AW,'RC Template'!$B:$B,$A59,'RC Template'!$C:$C,D$6)=0,#N/A,SUMIFS('RC Template'!$AW:$AW,'RC Template'!$B:$B,$A59,'RC Template'!$C:$C,D$6))</f>
        <v>#N/A</v>
      </c>
      <c r="E59" s="115" t="e">
        <f>IF(SUMIFS('RC Template'!$AW:$AW,'RC Template'!$B:$B,$A59,'RC Template'!$C:$C,E$6)=0,#N/A,SUMIFS('RC Template'!$AW:$AW,'RC Template'!$B:$B,$A59,'RC Template'!$C:$C,E$6))</f>
        <v>#N/A</v>
      </c>
      <c r="F59" s="115" t="e">
        <f>IF(SUMIFS('RC Template'!$AW:$AW,'RC Template'!$B:$B,$A59,'RC Template'!$C:$C,F$6)=0,#N/A,SUMIFS('RC Template'!$AW:$AW,'RC Template'!$B:$B,$A59,'RC Template'!$C:$C,F$6))</f>
        <v>#N/A</v>
      </c>
      <c r="G59" s="115" t="e">
        <f>IF(SUMIFS('RC Template'!$AW:$AW,'RC Template'!$B:$B,$A59,'RC Template'!$C:$C,G$6)=0,#N/A,SUMIFS('RC Template'!$AW:$AW,'RC Template'!$B:$B,$A59,'RC Template'!$C:$C,G$6))</f>
        <v>#N/A</v>
      </c>
      <c r="H59" s="115">
        <f ca="1">IF(SUMIFS('RC Template'!$AW:$AW,'RC Template'!$B:$B,$A59,'RC Template'!$C:$C,H$6)=0,#N/A,SUMIFS('RC Template'!$AW:$AW,'RC Template'!$B:$B,$A59,'RC Template'!$C:$C,H$6))</f>
        <v>75.261745742400024</v>
      </c>
      <c r="I59" s="115" t="e">
        <f>IF(SUMIFS('RC Template'!$AW:$AW,'RC Template'!$B:$B,$A59,'RC Template'!$C:$C,I$6)=0,#N/A,SUMIFS('RC Template'!$AW:$AW,'RC Template'!$B:$B,$A59,'RC Template'!$C:$C,I$6))</f>
        <v>#N/A</v>
      </c>
      <c r="J59" s="115" t="e">
        <f>IF(SUMIFS('RC Template'!$AW:$AW,'RC Template'!$B:$B,$A59,'RC Template'!$C:$C,J$6)=0,#N/A,SUMIFS('RC Template'!$AW:$AW,'RC Template'!$B:$B,$A59,'RC Template'!$C:$C,J$6))</f>
        <v>#N/A</v>
      </c>
      <c r="K59" s="115" t="e">
        <f>IF(SUMIFS('RC Template'!$AW:$AW,'RC Template'!$B:$B,$A59,'RC Template'!$C:$C,K$6)=0,#N/A,SUMIFS('RC Template'!$AW:$AW,'RC Template'!$B:$B,$A59,'RC Template'!$C:$C,K$6))</f>
        <v>#N/A</v>
      </c>
      <c r="L59" s="115" t="e">
        <f>IF(SUMIFS('RC Template'!$AW:$AW,'RC Template'!$B:$B,$A59,'RC Template'!$C:$C,L$6)=0,#N/A,SUMIFS('RC Template'!$AW:$AW,'RC Template'!$B:$B,$A59,'RC Template'!$C:$C,L$6))</f>
        <v>#N/A</v>
      </c>
      <c r="M59" s="115" t="e">
        <f>IF(SUMIFS('RC Template'!$AW:$AW,'RC Template'!$B:$B,$A59,'RC Template'!$C:$C,M$6)=0,#N/A,SUMIFS('RC Template'!$AW:$AW,'RC Template'!$B:$B,$A59,'RC Template'!$C:$C,M$6))</f>
        <v>#N/A</v>
      </c>
      <c r="N59" s="115" t="e">
        <f>IF(SUMIFS('RC Template'!$AW:$AW,'RC Template'!$B:$B,$A59,'RC Template'!$C:$C,N$6)=0,#N/A,SUMIFS('RC Template'!$AW:$AW,'RC Template'!$B:$B,$A59,'RC Template'!$C:$C,N$6))</f>
        <v>#N/A</v>
      </c>
      <c r="O59" s="115" t="e">
        <f>IF(SUMIFS('RC Template'!$AW:$AW,'RC Template'!$B:$B,$A59,'RC Template'!$C:$C,O$6)=0,#N/A,SUMIFS('RC Template'!$AW:$AW,'RC Template'!$B:$B,$A59,'RC Template'!$C:$C,O$6))</f>
        <v>#N/A</v>
      </c>
      <c r="P59" s="115" t="e">
        <f>IF(SUMIFS('RC Template'!$AW:$AW,'RC Template'!$B:$B,$A59,'RC Template'!$C:$C,P$6)=0,#N/A,SUMIFS('RC Template'!$AW:$AW,'RC Template'!$B:$B,$A59,'RC Template'!$C:$C,P$6))</f>
        <v>#N/A</v>
      </c>
      <c r="Q59" s="115">
        <f ca="1">MAX(SUMIFS('RC Template'!$AW:$AW,'RC Template'!$B:$B,$A59,'RC Template'!$C:$C,Q$6),Q58*$E$3)</f>
        <v>217.79681685404401</v>
      </c>
      <c r="R59" s="115">
        <f ca="1">MAX(SUMIFS('RC Template'!$AW:$AW,'RC Template'!$B:$B,$A59,'RC Template'!$C:$C,R$6),R58*$E$3)</f>
        <v>79.753250277411169</v>
      </c>
      <c r="S59" s="115">
        <f ca="1">MAX(SUMIFS('RC Template'!$AW:$AW,'RC Template'!$B:$B,$A59,'RC Template'!$C:$C,S$6),S58*$E$3)</f>
        <v>131.54859339222864</v>
      </c>
      <c r="T59" s="115">
        <f ca="1">MAX(SUMIFS('RC Template'!$AW:$AW,'RC Template'!$B:$B,$A59,'RC Template'!$C:$C,T$6),T58*$E$3)</f>
        <v>12.856446884393494</v>
      </c>
      <c r="U59" s="115">
        <f ca="1">MAX(SUMIFS('RC Template'!$AW:$AW,'RC Template'!$B:$B,$A59,'RC Template'!$C:$C,U$6),U58*$E$3)</f>
        <v>99.29024061748332</v>
      </c>
      <c r="V59" s="115">
        <f ca="1">MAX(SUMIFS('RC Template'!$AW:$AW,'RC Template'!$B:$B,$A59,'RC Template'!$C:$C,V$6),V58*$E$3)</f>
        <v>75.261745742400024</v>
      </c>
      <c r="W59" s="115">
        <f ca="1">MAX(SUMIFS('RC Template'!$AW:$AW,'RC Template'!$B:$B,$A59,'RC Template'!$C:$C,W$6),W58*$E$3)</f>
        <v>17.630083697629214</v>
      </c>
      <c r="X59" s="115">
        <f ca="1">MAX(SUMIFS('RC Template'!$AW:$AW,'RC Template'!$B:$B,$A59,'RC Template'!$C:$C,X$6),X58*$E$3)</f>
        <v>36.361406249999995</v>
      </c>
      <c r="Y59" s="115">
        <f ca="1">MAX(SUMIFS('RC Template'!$AW:$AW,'RC Template'!$B:$B,$A59,'RC Template'!$C:$C,Y$6),Y58*$E$3)</f>
        <v>118.39869162417959</v>
      </c>
      <c r="Z59" s="115">
        <f ca="1">MAX(SUMIFS('RC Template'!$AW:$AW,'RC Template'!$B:$B,$A59,'RC Template'!$C:$C,Z$6),Z58*$E$3)</f>
        <v>0</v>
      </c>
      <c r="AA59" s="115">
        <f ca="1">MAX(SUMIFS('RC Template'!$AW:$AW,'RC Template'!$B:$B,$A59,'RC Template'!$C:$C,AA$6),AA58*$E$3)</f>
        <v>0</v>
      </c>
      <c r="AB59" s="115">
        <f ca="1">MAX(SUMIFS('RC Template'!$AW:$AW,'RC Template'!$B:$B,$A59,'RC Template'!$C:$C,AB$6),AB58*$E$3)</f>
        <v>0</v>
      </c>
      <c r="AC59" s="115">
        <f ca="1">MAX(SUMIFS('RC Template'!$AW:$AW,'RC Template'!$B:$B,$A59,'RC Template'!$C:$C,AC$6),AC58*$E$3)</f>
        <v>0</v>
      </c>
      <c r="AD59" s="115">
        <f ca="1">MAX(SUMIFS('RC Template'!$AW:$AW,'RC Template'!$B:$B,$A59,'RC Template'!$C:$C,AD$6),AD58*$E$3)</f>
        <v>0</v>
      </c>
    </row>
    <row r="60" spans="1:30" x14ac:dyDescent="0.3">
      <c r="A60" s="1">
        <v>43159</v>
      </c>
      <c r="B60" s="115">
        <f t="shared" ca="1" si="2"/>
        <v>873.28101344620177</v>
      </c>
      <c r="C60" s="115">
        <f ca="1">IF(SUMIFS('RC Template'!$AW:$AW,'RC Template'!$B:$B,$A60,'RC Template'!$C:$C,C$6)=0,#N/A,SUMIFS('RC Template'!$AW:$AW,'RC Template'!$B:$B,$A60,'RC Template'!$C:$C,C$6))</f>
        <v>293.29583260906884</v>
      </c>
      <c r="D60" s="115">
        <f ca="1">IF(SUMIFS('RC Template'!$AW:$AW,'RC Template'!$B:$B,$A60,'RC Template'!$C:$C,D$6)=0,#N/A,SUMIFS('RC Template'!$AW:$AW,'RC Template'!$B:$B,$A60,'RC Template'!$C:$C,D$6))</f>
        <v>100.92165283402647</v>
      </c>
      <c r="E60" s="115" t="e">
        <f>IF(SUMIFS('RC Template'!$AW:$AW,'RC Template'!$B:$B,$A60,'RC Template'!$C:$C,E$6)=0,#N/A,SUMIFS('RC Template'!$AW:$AW,'RC Template'!$B:$B,$A60,'RC Template'!$C:$C,E$6))</f>
        <v>#N/A</v>
      </c>
      <c r="F60" s="115" t="e">
        <f>IF(SUMIFS('RC Template'!$AW:$AW,'RC Template'!$B:$B,$A60,'RC Template'!$C:$C,F$6)=0,#N/A,SUMIFS('RC Template'!$AW:$AW,'RC Template'!$B:$B,$A60,'RC Template'!$C:$C,F$6))</f>
        <v>#N/A</v>
      </c>
      <c r="G60" s="115" t="e">
        <f>IF(SUMIFS('RC Template'!$AW:$AW,'RC Template'!$B:$B,$A60,'RC Template'!$C:$C,G$6)=0,#N/A,SUMIFS('RC Template'!$AW:$AW,'RC Template'!$B:$B,$A60,'RC Template'!$C:$C,G$6))</f>
        <v>#N/A</v>
      </c>
      <c r="H60" s="115" t="e">
        <f>IF(SUMIFS('RC Template'!$AW:$AW,'RC Template'!$B:$B,$A60,'RC Template'!$C:$C,H$6)=0,#N/A,SUMIFS('RC Template'!$AW:$AW,'RC Template'!$B:$B,$A60,'RC Template'!$C:$C,H$6))</f>
        <v>#N/A</v>
      </c>
      <c r="I60" s="115" t="e">
        <f>IF(SUMIFS('RC Template'!$AW:$AW,'RC Template'!$B:$B,$A60,'RC Template'!$C:$C,I$6)=0,#N/A,SUMIFS('RC Template'!$AW:$AW,'RC Template'!$B:$B,$A60,'RC Template'!$C:$C,I$6))</f>
        <v>#N/A</v>
      </c>
      <c r="J60" s="115" t="e">
        <f>IF(SUMIFS('RC Template'!$AW:$AW,'RC Template'!$B:$B,$A60,'RC Template'!$C:$C,J$6)=0,#N/A,SUMIFS('RC Template'!$AW:$AW,'RC Template'!$B:$B,$A60,'RC Template'!$C:$C,J$6))</f>
        <v>#N/A</v>
      </c>
      <c r="K60" s="115" t="e">
        <f>IF(SUMIFS('RC Template'!$AW:$AW,'RC Template'!$B:$B,$A60,'RC Template'!$C:$C,K$6)=0,#N/A,SUMIFS('RC Template'!$AW:$AW,'RC Template'!$B:$B,$A60,'RC Template'!$C:$C,K$6))</f>
        <v>#N/A</v>
      </c>
      <c r="L60" s="115" t="e">
        <f>IF(SUMIFS('RC Template'!$AW:$AW,'RC Template'!$B:$B,$A60,'RC Template'!$C:$C,L$6)=0,#N/A,SUMIFS('RC Template'!$AW:$AW,'RC Template'!$B:$B,$A60,'RC Template'!$C:$C,L$6))</f>
        <v>#N/A</v>
      </c>
      <c r="M60" s="115" t="e">
        <f>IF(SUMIFS('RC Template'!$AW:$AW,'RC Template'!$B:$B,$A60,'RC Template'!$C:$C,M$6)=0,#N/A,SUMIFS('RC Template'!$AW:$AW,'RC Template'!$B:$B,$A60,'RC Template'!$C:$C,M$6))</f>
        <v>#N/A</v>
      </c>
      <c r="N60" s="115" t="e">
        <f>IF(SUMIFS('RC Template'!$AW:$AW,'RC Template'!$B:$B,$A60,'RC Template'!$C:$C,N$6)=0,#N/A,SUMIFS('RC Template'!$AW:$AW,'RC Template'!$B:$B,$A60,'RC Template'!$C:$C,N$6))</f>
        <v>#N/A</v>
      </c>
      <c r="O60" s="115" t="e">
        <f>IF(SUMIFS('RC Template'!$AW:$AW,'RC Template'!$B:$B,$A60,'RC Template'!$C:$C,O$6)=0,#N/A,SUMIFS('RC Template'!$AW:$AW,'RC Template'!$B:$B,$A60,'RC Template'!$C:$C,O$6))</f>
        <v>#N/A</v>
      </c>
      <c r="P60" s="115" t="e">
        <f>IF(SUMIFS('RC Template'!$AW:$AW,'RC Template'!$B:$B,$A60,'RC Template'!$C:$C,P$6)=0,#N/A,SUMIFS('RC Template'!$AW:$AW,'RC Template'!$B:$B,$A60,'RC Template'!$C:$C,P$6))</f>
        <v>#N/A</v>
      </c>
      <c r="Q60" s="115">
        <f ca="1">MAX(SUMIFS('RC Template'!$AW:$AW,'RC Template'!$B:$B,$A60,'RC Template'!$C:$C,Q$6),Q59*$E$3)</f>
        <v>293.29583260906884</v>
      </c>
      <c r="R60" s="115">
        <f ca="1">MAX(SUMIFS('RC Template'!$AW:$AW,'RC Template'!$B:$B,$A60,'RC Template'!$C:$C,R$6),R59*$E$3)</f>
        <v>100.92165283402647</v>
      </c>
      <c r="S60" s="115">
        <f ca="1">MAX(SUMIFS('RC Template'!$AW:$AW,'RC Template'!$B:$B,$A60,'RC Template'!$C:$C,S$6),S59*$E$3)</f>
        <v>128.25987855742292</v>
      </c>
      <c r="T60" s="115">
        <f ca="1">MAX(SUMIFS('RC Template'!$AW:$AW,'RC Template'!$B:$B,$A60,'RC Template'!$C:$C,T$6),T59*$E$3)</f>
        <v>12.535035712283657</v>
      </c>
      <c r="U60" s="115">
        <f ca="1">MAX(SUMIFS('RC Template'!$AW:$AW,'RC Template'!$B:$B,$A60,'RC Template'!$C:$C,U$6),U59*$E$3)</f>
        <v>96.807984602046233</v>
      </c>
      <c r="V60" s="115">
        <f ca="1">MAX(SUMIFS('RC Template'!$AW:$AW,'RC Template'!$B:$B,$A60,'RC Template'!$C:$C,V$6),V59*$E$3)</f>
        <v>73.380202098840016</v>
      </c>
      <c r="W60" s="115">
        <f ca="1">MAX(SUMIFS('RC Template'!$AW:$AW,'RC Template'!$B:$B,$A60,'RC Template'!$C:$C,W$6),W59*$E$3)</f>
        <v>17.189331605188482</v>
      </c>
      <c r="X60" s="115">
        <f ca="1">MAX(SUMIFS('RC Template'!$AW:$AW,'RC Template'!$B:$B,$A60,'RC Template'!$C:$C,X$6),X59*$E$3)</f>
        <v>35.452371093749996</v>
      </c>
      <c r="Y60" s="115">
        <f ca="1">MAX(SUMIFS('RC Template'!$AW:$AW,'RC Template'!$B:$B,$A60,'RC Template'!$C:$C,Y$6),Y59*$E$3)</f>
        <v>115.4387243335751</v>
      </c>
      <c r="Z60" s="115">
        <f ca="1">MAX(SUMIFS('RC Template'!$AW:$AW,'RC Template'!$B:$B,$A60,'RC Template'!$C:$C,Z$6),Z59*$E$3)</f>
        <v>0</v>
      </c>
      <c r="AA60" s="115">
        <f ca="1">MAX(SUMIFS('RC Template'!$AW:$AW,'RC Template'!$B:$B,$A60,'RC Template'!$C:$C,AA$6),AA59*$E$3)</f>
        <v>0</v>
      </c>
      <c r="AB60" s="115">
        <f ca="1">MAX(SUMIFS('RC Template'!$AW:$AW,'RC Template'!$B:$B,$A60,'RC Template'!$C:$C,AB$6),AB59*$E$3)</f>
        <v>0</v>
      </c>
      <c r="AC60" s="115">
        <f ca="1">MAX(SUMIFS('RC Template'!$AW:$AW,'RC Template'!$B:$B,$A60,'RC Template'!$C:$C,AC$6),AC59*$E$3)</f>
        <v>0</v>
      </c>
      <c r="AD60" s="115">
        <f ca="1">MAX(SUMIFS('RC Template'!$AW:$AW,'RC Template'!$B:$B,$A60,'RC Template'!$C:$C,AD$6),AD59*$E$3)</f>
        <v>0</v>
      </c>
    </row>
    <row r="61" spans="1:30" x14ac:dyDescent="0.3">
      <c r="A61" s="1">
        <v>43160</v>
      </c>
      <c r="B61" s="115">
        <f t="shared" ref="B61" ca="1" si="3">SUM(Q61:AD61)</f>
        <v>851.44898811004657</v>
      </c>
      <c r="C61" s="115" t="e">
        <f>IF(SUMIFS('RC Template'!$AW:$AW,'RC Template'!$B:$B,$A61,'RC Template'!$C:$C,C$6)=0,#N/A,SUMIFS('RC Template'!$AW:$AW,'RC Template'!$B:$B,$A61,'RC Template'!$C:$C,C$6))</f>
        <v>#N/A</v>
      </c>
      <c r="D61" s="115" t="e">
        <f>IF(SUMIFS('RC Template'!$AW:$AW,'RC Template'!$B:$B,$A61,'RC Template'!$C:$C,D$6)=0,#N/A,SUMIFS('RC Template'!$AW:$AW,'RC Template'!$B:$B,$A61,'RC Template'!$C:$C,D$6))</f>
        <v>#N/A</v>
      </c>
      <c r="E61" s="115" t="e">
        <f>IF(SUMIFS('RC Template'!$AW:$AW,'RC Template'!$B:$B,$A61,'RC Template'!$C:$C,E$6)=0,#N/A,SUMIFS('RC Template'!$AW:$AW,'RC Template'!$B:$B,$A61,'RC Template'!$C:$C,E$6))</f>
        <v>#N/A</v>
      </c>
      <c r="F61" s="115" t="e">
        <f>IF(SUMIFS('RC Template'!$AW:$AW,'RC Template'!$B:$B,$A61,'RC Template'!$C:$C,F$6)=0,#N/A,SUMIFS('RC Template'!$AW:$AW,'RC Template'!$B:$B,$A61,'RC Template'!$C:$C,F$6))</f>
        <v>#N/A</v>
      </c>
      <c r="G61" s="115" t="e">
        <f>IF(SUMIFS('RC Template'!$AW:$AW,'RC Template'!$B:$B,$A61,'RC Template'!$C:$C,G$6)=0,#N/A,SUMIFS('RC Template'!$AW:$AW,'RC Template'!$B:$B,$A61,'RC Template'!$C:$C,G$6))</f>
        <v>#N/A</v>
      </c>
      <c r="H61" s="115" t="e">
        <f>IF(SUMIFS('RC Template'!$AW:$AW,'RC Template'!$B:$B,$A61,'RC Template'!$C:$C,H$6)=0,#N/A,SUMIFS('RC Template'!$AW:$AW,'RC Template'!$B:$B,$A61,'RC Template'!$C:$C,H$6))</f>
        <v>#N/A</v>
      </c>
      <c r="I61" s="115" t="e">
        <f>IF(SUMIFS('RC Template'!$AW:$AW,'RC Template'!$B:$B,$A61,'RC Template'!$C:$C,I$6)=0,#N/A,SUMIFS('RC Template'!$AW:$AW,'RC Template'!$B:$B,$A61,'RC Template'!$C:$C,I$6))</f>
        <v>#N/A</v>
      </c>
      <c r="J61" s="115" t="e">
        <f>IF(SUMIFS('RC Template'!$AW:$AW,'RC Template'!$B:$B,$A61,'RC Template'!$C:$C,J$6)=0,#N/A,SUMIFS('RC Template'!$AW:$AW,'RC Template'!$B:$B,$A61,'RC Template'!$C:$C,J$6))</f>
        <v>#N/A</v>
      </c>
      <c r="K61" s="115" t="e">
        <f>IF(SUMIFS('RC Template'!$AW:$AW,'RC Template'!$B:$B,$A61,'RC Template'!$C:$C,K$6)=0,#N/A,SUMIFS('RC Template'!$AW:$AW,'RC Template'!$B:$B,$A61,'RC Template'!$C:$C,K$6))</f>
        <v>#N/A</v>
      </c>
      <c r="L61" s="115" t="e">
        <f>IF(SUMIFS('RC Template'!$AW:$AW,'RC Template'!$B:$B,$A61,'RC Template'!$C:$C,L$6)=0,#N/A,SUMIFS('RC Template'!$AW:$AW,'RC Template'!$B:$B,$A61,'RC Template'!$C:$C,L$6))</f>
        <v>#N/A</v>
      </c>
      <c r="M61" s="115" t="e">
        <f>IF(SUMIFS('RC Template'!$AW:$AW,'RC Template'!$B:$B,$A61,'RC Template'!$C:$C,M$6)=0,#N/A,SUMIFS('RC Template'!$AW:$AW,'RC Template'!$B:$B,$A61,'RC Template'!$C:$C,M$6))</f>
        <v>#N/A</v>
      </c>
      <c r="N61" s="115" t="e">
        <f>IF(SUMIFS('RC Template'!$AW:$AW,'RC Template'!$B:$B,$A61,'RC Template'!$C:$C,N$6)=0,#N/A,SUMIFS('RC Template'!$AW:$AW,'RC Template'!$B:$B,$A61,'RC Template'!$C:$C,N$6))</f>
        <v>#N/A</v>
      </c>
      <c r="O61" s="115" t="e">
        <f>IF(SUMIFS('RC Template'!$AW:$AW,'RC Template'!$B:$B,$A61,'RC Template'!$C:$C,O$6)=0,#N/A,SUMIFS('RC Template'!$AW:$AW,'RC Template'!$B:$B,$A61,'RC Template'!$C:$C,O$6))</f>
        <v>#N/A</v>
      </c>
      <c r="P61" s="115" t="e">
        <f>IF(SUMIFS('RC Template'!$AW:$AW,'RC Template'!$B:$B,$A61,'RC Template'!$C:$C,P$6)=0,#N/A,SUMIFS('RC Template'!$AW:$AW,'RC Template'!$B:$B,$A61,'RC Template'!$C:$C,P$6))</f>
        <v>#N/A</v>
      </c>
      <c r="Q61" s="115">
        <f ca="1">MAX(SUMIFS('RC Template'!$AW:$AW,'RC Template'!$B:$B,$A61,'RC Template'!$C:$C,Q$6),Q60*$E$3)</f>
        <v>285.96343679384211</v>
      </c>
      <c r="R61" s="115">
        <f ca="1">MAX(SUMIFS('RC Template'!$AW:$AW,'RC Template'!$B:$B,$A61,'RC Template'!$C:$C,R$6),R60*$E$3)</f>
        <v>98.398611513175808</v>
      </c>
      <c r="S61" s="115">
        <f ca="1">MAX(SUMIFS('RC Template'!$AW:$AW,'RC Template'!$B:$B,$A61,'RC Template'!$C:$C,S$6),S60*$E$3)</f>
        <v>125.05338159348734</v>
      </c>
      <c r="T61" s="115">
        <f ca="1">MAX(SUMIFS('RC Template'!$AW:$AW,'RC Template'!$B:$B,$A61,'RC Template'!$C:$C,T$6),T60*$E$3)</f>
        <v>12.221659819476566</v>
      </c>
      <c r="U61" s="115">
        <f ca="1">MAX(SUMIFS('RC Template'!$AW:$AW,'RC Template'!$B:$B,$A61,'RC Template'!$C:$C,U$6),U60*$E$3)</f>
        <v>94.387784986995072</v>
      </c>
      <c r="V61" s="115">
        <f ca="1">MAX(SUMIFS('RC Template'!$AW:$AW,'RC Template'!$B:$B,$A61,'RC Template'!$C:$C,V$6),V60*$E$3)</f>
        <v>71.545697046369014</v>
      </c>
      <c r="W61" s="115">
        <f ca="1">MAX(SUMIFS('RC Template'!$AW:$AW,'RC Template'!$B:$B,$A61,'RC Template'!$C:$C,W$6),W60*$E$3)</f>
        <v>16.759598315058771</v>
      </c>
      <c r="X61" s="115">
        <f ca="1">MAX(SUMIFS('RC Template'!$AW:$AW,'RC Template'!$B:$B,$A61,'RC Template'!$C:$C,X$6),X60*$E$3)</f>
        <v>34.566061816406247</v>
      </c>
      <c r="Y61" s="115">
        <f ca="1">MAX(SUMIFS('RC Template'!$AW:$AW,'RC Template'!$B:$B,$A61,'RC Template'!$C:$C,Y$6),Y60*$E$3)</f>
        <v>112.55275622523571</v>
      </c>
      <c r="Z61" s="115">
        <f ca="1">MAX(SUMIFS('RC Template'!$AW:$AW,'RC Template'!$B:$B,$A61,'RC Template'!$C:$C,Z$6),Z60*$E$3)</f>
        <v>0</v>
      </c>
      <c r="AA61" s="115">
        <f ca="1">MAX(SUMIFS('RC Template'!$AW:$AW,'RC Template'!$B:$B,$A61,'RC Template'!$C:$C,AA$6),AA60*$E$3)</f>
        <v>0</v>
      </c>
      <c r="AB61" s="115">
        <f ca="1">MAX(SUMIFS('RC Template'!$AW:$AW,'RC Template'!$B:$B,$A61,'RC Template'!$C:$C,AB$6),AB60*$E$3)</f>
        <v>0</v>
      </c>
      <c r="AC61" s="115">
        <f ca="1">MAX(SUMIFS('RC Template'!$AW:$AW,'RC Template'!$B:$B,$A61,'RC Template'!$C:$C,AC$6),AC60*$E$3)</f>
        <v>0</v>
      </c>
      <c r="AD61" s="115">
        <f ca="1">MAX(SUMIFS('RC Template'!$AW:$AW,'RC Template'!$B:$B,$A61,'RC Template'!$C:$C,AD$6),AD60*$E$3)</f>
        <v>0</v>
      </c>
    </row>
    <row r="62" spans="1:30" x14ac:dyDescent="0.3">
      <c r="A62" s="1">
        <v>43161</v>
      </c>
      <c r="B62" s="115">
        <f t="shared" ref="B62:B67" ca="1" si="4">SUM(Q62:AD62)</f>
        <v>877.24088464798945</v>
      </c>
      <c r="C62" s="115" t="e">
        <f>IF(SUMIFS('RC Template'!$AW:$AW,'RC Template'!$B:$B,$A62,'RC Template'!$C:$C,C$6)=0,#N/A,SUMIFS('RC Template'!$AW:$AW,'RC Template'!$B:$B,$A62,'RC Template'!$C:$C,C$6))</f>
        <v>#N/A</v>
      </c>
      <c r="D62" s="115" t="e">
        <f>IF(SUMIFS('RC Template'!$AW:$AW,'RC Template'!$B:$B,$A62,'RC Template'!$C:$C,D$6)=0,#N/A,SUMIFS('RC Template'!$AW:$AW,'RC Template'!$B:$B,$A62,'RC Template'!$C:$C,D$6))</f>
        <v>#N/A</v>
      </c>
      <c r="E62" s="115" t="e">
        <f>IF(SUMIFS('RC Template'!$AW:$AW,'RC Template'!$B:$B,$A62,'RC Template'!$C:$C,E$6)=0,#N/A,SUMIFS('RC Template'!$AW:$AW,'RC Template'!$B:$B,$A62,'RC Template'!$C:$C,E$6))</f>
        <v>#N/A</v>
      </c>
      <c r="F62" s="115" t="e">
        <f>IF(SUMIFS('RC Template'!$AW:$AW,'RC Template'!$B:$B,$A62,'RC Template'!$C:$C,F$6)=0,#N/A,SUMIFS('RC Template'!$AW:$AW,'RC Template'!$B:$B,$A62,'RC Template'!$C:$C,F$6))</f>
        <v>#N/A</v>
      </c>
      <c r="G62" s="115">
        <f ca="1">IF(SUMIFS('RC Template'!$AW:$AW,'RC Template'!$B:$B,$A62,'RC Template'!$C:$C,G$6)=0,#N/A,SUMIFS('RC Template'!$AW:$AW,'RC Template'!$B:$B,$A62,'RC Template'!$C:$C,G$6))</f>
        <v>103.12441758933291</v>
      </c>
      <c r="H62" s="115">
        <f ca="1">IF(SUMIFS('RC Template'!$AW:$AW,'RC Template'!$B:$B,$A62,'RC Template'!$C:$C,H$6)=0,#N/A,SUMIFS('RC Template'!$AW:$AW,'RC Template'!$B:$B,$A62,'RC Template'!$C:$C,H$6))</f>
        <v>55.259245742400026</v>
      </c>
      <c r="I62" s="115" t="e">
        <f>IF(SUMIFS('RC Template'!$AW:$AW,'RC Template'!$B:$B,$A62,'RC Template'!$C:$C,I$6)=0,#N/A,SUMIFS('RC Template'!$AW:$AW,'RC Template'!$B:$B,$A62,'RC Template'!$C:$C,I$6))</f>
        <v>#N/A</v>
      </c>
      <c r="J62" s="115">
        <f ca="1">IF(SUMIFS('RC Template'!$AW:$AW,'RC Template'!$B:$B,$A62,'RC Template'!$C:$C,J$6)=0,#N/A,SUMIFS('RC Template'!$AW:$AW,'RC Template'!$B:$B,$A62,'RC Template'!$C:$C,J$6))</f>
        <v>55.259245742400026</v>
      </c>
      <c r="K62" s="115">
        <f ca="1">IF(SUMIFS('RC Template'!$AW:$AW,'RC Template'!$B:$B,$A62,'RC Template'!$C:$C,K$6)=0,#N/A,SUMIFS('RC Template'!$AW:$AW,'RC Template'!$B:$B,$A62,'RC Template'!$C:$C,K$6))</f>
        <v>124.16339586188211</v>
      </c>
      <c r="L62" s="115" t="e">
        <f>IF(SUMIFS('RC Template'!$AW:$AW,'RC Template'!$B:$B,$A62,'RC Template'!$C:$C,L$6)=0,#N/A,SUMIFS('RC Template'!$AW:$AW,'RC Template'!$B:$B,$A62,'RC Template'!$C:$C,L$6))</f>
        <v>#N/A</v>
      </c>
      <c r="M62" s="115" t="e">
        <f>IF(SUMIFS('RC Template'!$AW:$AW,'RC Template'!$B:$B,$A62,'RC Template'!$C:$C,M$6)=0,#N/A,SUMIFS('RC Template'!$AW:$AW,'RC Template'!$B:$B,$A62,'RC Template'!$C:$C,M$6))</f>
        <v>#N/A</v>
      </c>
      <c r="N62" s="115" t="e">
        <f>IF(SUMIFS('RC Template'!$AW:$AW,'RC Template'!$B:$B,$A62,'RC Template'!$C:$C,N$6)=0,#N/A,SUMIFS('RC Template'!$AW:$AW,'RC Template'!$B:$B,$A62,'RC Template'!$C:$C,N$6))</f>
        <v>#N/A</v>
      </c>
      <c r="O62" s="115" t="e">
        <f>IF(SUMIFS('RC Template'!$AW:$AW,'RC Template'!$B:$B,$A62,'RC Template'!$C:$C,O$6)=0,#N/A,SUMIFS('RC Template'!$AW:$AW,'RC Template'!$B:$B,$A62,'RC Template'!$C:$C,O$6))</f>
        <v>#N/A</v>
      </c>
      <c r="P62" s="115" t="e">
        <f>IF(SUMIFS('RC Template'!$AW:$AW,'RC Template'!$B:$B,$A62,'RC Template'!$C:$C,P$6)=0,#N/A,SUMIFS('RC Template'!$AW:$AW,'RC Template'!$B:$B,$A62,'RC Template'!$C:$C,P$6))</f>
        <v>#N/A</v>
      </c>
      <c r="Q62" s="115">
        <f ca="1">MAX(SUMIFS('RC Template'!$AW:$AW,'RC Template'!$B:$B,$A62,'RC Template'!$C:$C,Q$6),Q61*$E$3)</f>
        <v>278.81435087399603</v>
      </c>
      <c r="R62" s="115">
        <f ca="1">MAX(SUMIFS('RC Template'!$AW:$AW,'RC Template'!$B:$B,$A62,'RC Template'!$C:$C,R$6),R61*$E$3)</f>
        <v>95.938646225346417</v>
      </c>
      <c r="S62" s="115">
        <f ca="1">MAX(SUMIFS('RC Template'!$AW:$AW,'RC Template'!$B:$B,$A62,'RC Template'!$C:$C,S$6),S61*$E$3)</f>
        <v>121.92704705365016</v>
      </c>
      <c r="T62" s="115">
        <f ca="1">MAX(SUMIFS('RC Template'!$AW:$AW,'RC Template'!$B:$B,$A62,'RC Template'!$C:$C,T$6),T61*$E$3)</f>
        <v>11.916118323989652</v>
      </c>
      <c r="U62" s="115">
        <f ca="1">MAX(SUMIFS('RC Template'!$AW:$AW,'RC Template'!$B:$B,$A62,'RC Template'!$C:$C,U$6),U61*$E$3)</f>
        <v>103.12441758933291</v>
      </c>
      <c r="V62" s="115">
        <f ca="1">MAX(SUMIFS('RC Template'!$AW:$AW,'RC Template'!$B:$B,$A62,'RC Template'!$C:$C,V$6),V61*$E$3)</f>
        <v>69.757054620209786</v>
      </c>
      <c r="W62" s="115">
        <f ca="1">MAX(SUMIFS('RC Template'!$AW:$AW,'RC Template'!$B:$B,$A62,'RC Template'!$C:$C,W$6),W61*$E$3)</f>
        <v>16.340608357182301</v>
      </c>
      <c r="X62" s="115">
        <f ca="1">MAX(SUMIFS('RC Template'!$AW:$AW,'RC Template'!$B:$B,$A62,'RC Template'!$C:$C,X$6),X61*$E$3)</f>
        <v>55.259245742400026</v>
      </c>
      <c r="Y62" s="115">
        <f ca="1">MAX(SUMIFS('RC Template'!$AW:$AW,'RC Template'!$B:$B,$A62,'RC Template'!$C:$C,Y$6),Y61*$E$3)</f>
        <v>124.16339586188211</v>
      </c>
      <c r="Z62" s="115">
        <f ca="1">MAX(SUMIFS('RC Template'!$AW:$AW,'RC Template'!$B:$B,$A62,'RC Template'!$C:$C,Z$6),Z61*$E$3)</f>
        <v>0</v>
      </c>
      <c r="AA62" s="115">
        <f ca="1">MAX(SUMIFS('RC Template'!$AW:$AW,'RC Template'!$B:$B,$A62,'RC Template'!$C:$C,AA$6),AA61*$E$3)</f>
        <v>0</v>
      </c>
      <c r="AB62" s="115">
        <f ca="1">MAX(SUMIFS('RC Template'!$AW:$AW,'RC Template'!$B:$B,$A62,'RC Template'!$C:$C,AB$6),AB61*$E$3)</f>
        <v>0</v>
      </c>
      <c r="AC62" s="115">
        <f ca="1">MAX(SUMIFS('RC Template'!$AW:$AW,'RC Template'!$B:$B,$A62,'RC Template'!$C:$C,AC$6),AC61*$E$3)</f>
        <v>0</v>
      </c>
      <c r="AD62" s="115">
        <f ca="1">MAX(SUMIFS('RC Template'!$AW:$AW,'RC Template'!$B:$B,$A62,'RC Template'!$C:$C,AD$6),AD61*$E$3)</f>
        <v>0</v>
      </c>
    </row>
    <row r="63" spans="1:30" x14ac:dyDescent="0.3">
      <c r="A63" s="1">
        <v>43162</v>
      </c>
      <c r="B63" s="115">
        <f t="shared" ca="1" si="4"/>
        <v>855.30986253178958</v>
      </c>
      <c r="C63" s="115" t="e">
        <f>IF(SUMIFS('RC Template'!$AW:$AW,'RC Template'!$B:$B,$A63,'RC Template'!$C:$C,C$6)=0,#N/A,SUMIFS('RC Template'!$AW:$AW,'RC Template'!$B:$B,$A63,'RC Template'!$C:$C,C$6))</f>
        <v>#N/A</v>
      </c>
      <c r="D63" s="115" t="e">
        <f>IF(SUMIFS('RC Template'!$AW:$AW,'RC Template'!$B:$B,$A63,'RC Template'!$C:$C,D$6)=0,#N/A,SUMIFS('RC Template'!$AW:$AW,'RC Template'!$B:$B,$A63,'RC Template'!$C:$C,D$6))</f>
        <v>#N/A</v>
      </c>
      <c r="E63" s="115" t="e">
        <f>IF(SUMIFS('RC Template'!$AW:$AW,'RC Template'!$B:$B,$A63,'RC Template'!$C:$C,E$6)=0,#N/A,SUMIFS('RC Template'!$AW:$AW,'RC Template'!$B:$B,$A63,'RC Template'!$C:$C,E$6))</f>
        <v>#N/A</v>
      </c>
      <c r="F63" s="115" t="e">
        <f>IF(SUMIFS('RC Template'!$AW:$AW,'RC Template'!$B:$B,$A63,'RC Template'!$C:$C,F$6)=0,#N/A,SUMIFS('RC Template'!$AW:$AW,'RC Template'!$B:$B,$A63,'RC Template'!$C:$C,F$6))</f>
        <v>#N/A</v>
      </c>
      <c r="G63" s="115" t="e">
        <f>IF(SUMIFS('RC Template'!$AW:$AW,'RC Template'!$B:$B,$A63,'RC Template'!$C:$C,G$6)=0,#N/A,SUMIFS('RC Template'!$AW:$AW,'RC Template'!$B:$B,$A63,'RC Template'!$C:$C,G$6))</f>
        <v>#N/A</v>
      </c>
      <c r="H63" s="115" t="e">
        <f>IF(SUMIFS('RC Template'!$AW:$AW,'RC Template'!$B:$B,$A63,'RC Template'!$C:$C,H$6)=0,#N/A,SUMIFS('RC Template'!$AW:$AW,'RC Template'!$B:$B,$A63,'RC Template'!$C:$C,H$6))</f>
        <v>#N/A</v>
      </c>
      <c r="I63" s="115" t="e">
        <f>IF(SUMIFS('RC Template'!$AW:$AW,'RC Template'!$B:$B,$A63,'RC Template'!$C:$C,I$6)=0,#N/A,SUMIFS('RC Template'!$AW:$AW,'RC Template'!$B:$B,$A63,'RC Template'!$C:$C,I$6))</f>
        <v>#N/A</v>
      </c>
      <c r="J63" s="115" t="e">
        <f>IF(SUMIFS('RC Template'!$AW:$AW,'RC Template'!$B:$B,$A63,'RC Template'!$C:$C,J$6)=0,#N/A,SUMIFS('RC Template'!$AW:$AW,'RC Template'!$B:$B,$A63,'RC Template'!$C:$C,J$6))</f>
        <v>#N/A</v>
      </c>
      <c r="K63" s="115" t="e">
        <f>IF(SUMIFS('RC Template'!$AW:$AW,'RC Template'!$B:$B,$A63,'RC Template'!$C:$C,K$6)=0,#N/A,SUMIFS('RC Template'!$AW:$AW,'RC Template'!$B:$B,$A63,'RC Template'!$C:$C,K$6))</f>
        <v>#N/A</v>
      </c>
      <c r="L63" s="115" t="e">
        <f>IF(SUMIFS('RC Template'!$AW:$AW,'RC Template'!$B:$B,$A63,'RC Template'!$C:$C,L$6)=0,#N/A,SUMIFS('RC Template'!$AW:$AW,'RC Template'!$B:$B,$A63,'RC Template'!$C:$C,L$6))</f>
        <v>#N/A</v>
      </c>
      <c r="M63" s="115" t="e">
        <f>IF(SUMIFS('RC Template'!$AW:$AW,'RC Template'!$B:$B,$A63,'RC Template'!$C:$C,M$6)=0,#N/A,SUMIFS('RC Template'!$AW:$AW,'RC Template'!$B:$B,$A63,'RC Template'!$C:$C,M$6))</f>
        <v>#N/A</v>
      </c>
      <c r="N63" s="115" t="e">
        <f>IF(SUMIFS('RC Template'!$AW:$AW,'RC Template'!$B:$B,$A63,'RC Template'!$C:$C,N$6)=0,#N/A,SUMIFS('RC Template'!$AW:$AW,'RC Template'!$B:$B,$A63,'RC Template'!$C:$C,N$6))</f>
        <v>#N/A</v>
      </c>
      <c r="O63" s="115" t="e">
        <f>IF(SUMIFS('RC Template'!$AW:$AW,'RC Template'!$B:$B,$A63,'RC Template'!$C:$C,O$6)=0,#N/A,SUMIFS('RC Template'!$AW:$AW,'RC Template'!$B:$B,$A63,'RC Template'!$C:$C,O$6))</f>
        <v>#N/A</v>
      </c>
      <c r="P63" s="115" t="e">
        <f>IF(SUMIFS('RC Template'!$AW:$AW,'RC Template'!$B:$B,$A63,'RC Template'!$C:$C,P$6)=0,#N/A,SUMIFS('RC Template'!$AW:$AW,'RC Template'!$B:$B,$A63,'RC Template'!$C:$C,P$6))</f>
        <v>#N/A</v>
      </c>
      <c r="Q63" s="115">
        <f ca="1">MAX(SUMIFS('RC Template'!$AW:$AW,'RC Template'!$B:$B,$A63,'RC Template'!$C:$C,Q$6),Q62*$E$3)</f>
        <v>271.8439921021461</v>
      </c>
      <c r="R63" s="115">
        <f ca="1">MAX(SUMIFS('RC Template'!$AW:$AW,'RC Template'!$B:$B,$A63,'RC Template'!$C:$C,R$6),R62*$E$3)</f>
        <v>93.540180069712761</v>
      </c>
      <c r="S63" s="115">
        <f ca="1">MAX(SUMIFS('RC Template'!$AW:$AW,'RC Template'!$B:$B,$A63,'RC Template'!$C:$C,S$6),S62*$E$3)</f>
        <v>118.8788708773089</v>
      </c>
      <c r="T63" s="115">
        <f ca="1">MAX(SUMIFS('RC Template'!$AW:$AW,'RC Template'!$B:$B,$A63,'RC Template'!$C:$C,T$6),T62*$E$3)</f>
        <v>11.61821536588991</v>
      </c>
      <c r="U63" s="115">
        <f ca="1">MAX(SUMIFS('RC Template'!$AW:$AW,'RC Template'!$B:$B,$A63,'RC Template'!$C:$C,U$6),U62*$E$3)</f>
        <v>100.54630714959958</v>
      </c>
      <c r="V63" s="115">
        <f ca="1">MAX(SUMIFS('RC Template'!$AW:$AW,'RC Template'!$B:$B,$A63,'RC Template'!$C:$C,V$6),V62*$E$3)</f>
        <v>68.01312825470454</v>
      </c>
      <c r="W63" s="115">
        <f ca="1">MAX(SUMIFS('RC Template'!$AW:$AW,'RC Template'!$B:$B,$A63,'RC Template'!$C:$C,W$6),W62*$E$3)</f>
        <v>15.932093148252743</v>
      </c>
      <c r="X63" s="115">
        <f ca="1">MAX(SUMIFS('RC Template'!$AW:$AW,'RC Template'!$B:$B,$A63,'RC Template'!$C:$C,X$6),X62*$E$3)</f>
        <v>53.877764598840024</v>
      </c>
      <c r="Y63" s="115">
        <f ca="1">MAX(SUMIFS('RC Template'!$AW:$AW,'RC Template'!$B:$B,$A63,'RC Template'!$C:$C,Y$6),Y62*$E$3)</f>
        <v>121.05931096533506</v>
      </c>
      <c r="Z63" s="115">
        <f ca="1">MAX(SUMIFS('RC Template'!$AW:$AW,'RC Template'!$B:$B,$A63,'RC Template'!$C:$C,Z$6),Z62*$E$3)</f>
        <v>0</v>
      </c>
      <c r="AA63" s="115">
        <f ca="1">MAX(SUMIFS('RC Template'!$AW:$AW,'RC Template'!$B:$B,$A63,'RC Template'!$C:$C,AA$6),AA62*$E$3)</f>
        <v>0</v>
      </c>
      <c r="AB63" s="115">
        <f ca="1">MAX(SUMIFS('RC Template'!$AW:$AW,'RC Template'!$B:$B,$A63,'RC Template'!$C:$C,AB$6),AB62*$E$3)</f>
        <v>0</v>
      </c>
      <c r="AC63" s="115">
        <f ca="1">MAX(SUMIFS('RC Template'!$AW:$AW,'RC Template'!$B:$B,$A63,'RC Template'!$C:$C,AC$6),AC62*$E$3)</f>
        <v>0</v>
      </c>
      <c r="AD63" s="115">
        <f ca="1">MAX(SUMIFS('RC Template'!$AW:$AW,'RC Template'!$B:$B,$A63,'RC Template'!$C:$C,AD$6),AD62*$E$3)</f>
        <v>0</v>
      </c>
    </row>
    <row r="64" spans="1:30" x14ac:dyDescent="0.3">
      <c r="A64" s="1">
        <v>43163</v>
      </c>
      <c r="B64" s="115">
        <f t="shared" ca="1" si="4"/>
        <v>881.48151469608604</v>
      </c>
      <c r="C64" s="115" t="e">
        <f>IF(SUMIFS('RC Template'!$AW:$AW,'RC Template'!$B:$B,$A64,'RC Template'!$C:$C,C$6)=0,#N/A,SUMIFS('RC Template'!$AW:$AW,'RC Template'!$B:$B,$A64,'RC Template'!$C:$C,C$6))</f>
        <v>#N/A</v>
      </c>
      <c r="D64" s="115" t="e">
        <f>IF(SUMIFS('RC Template'!$AW:$AW,'RC Template'!$B:$B,$A64,'RC Template'!$C:$C,D$6)=0,#N/A,SUMIFS('RC Template'!$AW:$AW,'RC Template'!$B:$B,$A64,'RC Template'!$C:$C,D$6))</f>
        <v>#N/A</v>
      </c>
      <c r="E64" s="115" t="e">
        <f>IF(SUMIFS('RC Template'!$AW:$AW,'RC Template'!$B:$B,$A64,'RC Template'!$C:$C,E$6)=0,#N/A,SUMIFS('RC Template'!$AW:$AW,'RC Template'!$B:$B,$A64,'RC Template'!$C:$C,E$6))</f>
        <v>#N/A</v>
      </c>
      <c r="F64" s="115" t="e">
        <f>IF(SUMIFS('RC Template'!$AW:$AW,'RC Template'!$B:$B,$A64,'RC Template'!$C:$C,F$6)=0,#N/A,SUMIFS('RC Template'!$AW:$AW,'RC Template'!$B:$B,$A64,'RC Template'!$C:$C,F$6))</f>
        <v>#N/A</v>
      </c>
      <c r="G64" s="115" t="e">
        <f>IF(SUMIFS('RC Template'!$AW:$AW,'RC Template'!$B:$B,$A64,'RC Template'!$C:$C,G$6)=0,#N/A,SUMIFS('RC Template'!$AW:$AW,'RC Template'!$B:$B,$A64,'RC Template'!$C:$C,G$6))</f>
        <v>#N/A</v>
      </c>
      <c r="H64" s="115">
        <f ca="1">IF(SUMIFS('RC Template'!$AW:$AW,'RC Template'!$B:$B,$A64,'RC Template'!$C:$C,H$6)=0,#N/A,SUMIFS('RC Template'!$AW:$AW,'RC Template'!$B:$B,$A64,'RC Template'!$C:$C,H$6))</f>
        <v>89.291516321168245</v>
      </c>
      <c r="I64" s="115" t="e">
        <f>IF(SUMIFS('RC Template'!$AW:$AW,'RC Template'!$B:$B,$A64,'RC Template'!$C:$C,I$6)=0,#N/A,SUMIFS('RC Template'!$AW:$AW,'RC Template'!$B:$B,$A64,'RC Template'!$C:$C,I$6))</f>
        <v>#N/A</v>
      </c>
      <c r="J64" s="115">
        <f ca="1">IF(SUMIFS('RC Template'!$AW:$AW,'RC Template'!$B:$B,$A64,'RC Template'!$C:$C,J$6)=0,#N/A,SUMIFS('RC Template'!$AW:$AW,'RC Template'!$B:$B,$A64,'RC Template'!$C:$C,J$6))</f>
        <v>77.106502938628864</v>
      </c>
      <c r="K64" s="115" t="e">
        <f>IF(SUMIFS('RC Template'!$AW:$AW,'RC Template'!$B:$B,$A64,'RC Template'!$C:$C,K$6)=0,#N/A,SUMIFS('RC Template'!$AW:$AW,'RC Template'!$B:$B,$A64,'RC Template'!$C:$C,K$6))</f>
        <v>#N/A</v>
      </c>
      <c r="L64" s="115" t="e">
        <f>IF(SUMIFS('RC Template'!$AW:$AW,'RC Template'!$B:$B,$A64,'RC Template'!$C:$C,L$6)=0,#N/A,SUMIFS('RC Template'!$AW:$AW,'RC Template'!$B:$B,$A64,'RC Template'!$C:$C,L$6))</f>
        <v>#N/A</v>
      </c>
      <c r="M64" s="115" t="e">
        <f>IF(SUMIFS('RC Template'!$AW:$AW,'RC Template'!$B:$B,$A64,'RC Template'!$C:$C,M$6)=0,#N/A,SUMIFS('RC Template'!$AW:$AW,'RC Template'!$B:$B,$A64,'RC Template'!$C:$C,M$6))</f>
        <v>#N/A</v>
      </c>
      <c r="N64" s="115" t="e">
        <f>IF(SUMIFS('RC Template'!$AW:$AW,'RC Template'!$B:$B,$A64,'RC Template'!$C:$C,N$6)=0,#N/A,SUMIFS('RC Template'!$AW:$AW,'RC Template'!$B:$B,$A64,'RC Template'!$C:$C,N$6))</f>
        <v>#N/A</v>
      </c>
      <c r="O64" s="115" t="e">
        <f>IF(SUMIFS('RC Template'!$AW:$AW,'RC Template'!$B:$B,$A64,'RC Template'!$C:$C,O$6)=0,#N/A,SUMIFS('RC Template'!$AW:$AW,'RC Template'!$B:$B,$A64,'RC Template'!$C:$C,O$6))</f>
        <v>#N/A</v>
      </c>
      <c r="P64" s="115" t="e">
        <f>IF(SUMIFS('RC Template'!$AW:$AW,'RC Template'!$B:$B,$A64,'RC Template'!$C:$C,P$6)=0,#N/A,SUMIFS('RC Template'!$AW:$AW,'RC Template'!$B:$B,$A64,'RC Template'!$C:$C,P$6))</f>
        <v>#N/A</v>
      </c>
      <c r="Q64" s="115">
        <f ca="1">MAX(SUMIFS('RC Template'!$AW:$AW,'RC Template'!$B:$B,$A64,'RC Template'!$C:$C,Q$6),Q63*$E$3)</f>
        <v>265.04789229959243</v>
      </c>
      <c r="R64" s="115">
        <f ca="1">MAX(SUMIFS('RC Template'!$AW:$AW,'RC Template'!$B:$B,$A64,'RC Template'!$C:$C,R$6),R63*$E$3)</f>
        <v>91.201675567969943</v>
      </c>
      <c r="S64" s="115">
        <f ca="1">MAX(SUMIFS('RC Template'!$AW:$AW,'RC Template'!$B:$B,$A64,'RC Template'!$C:$C,S$6),S63*$E$3)</f>
        <v>115.90689910537617</v>
      </c>
      <c r="T64" s="115">
        <f ca="1">MAX(SUMIFS('RC Template'!$AW:$AW,'RC Template'!$B:$B,$A64,'RC Template'!$C:$C,T$6),T63*$E$3)</f>
        <v>11.327759981742661</v>
      </c>
      <c r="U64" s="115">
        <f ca="1">MAX(SUMIFS('RC Template'!$AW:$AW,'RC Template'!$B:$B,$A64,'RC Template'!$C:$C,U$6),U63*$E$3)</f>
        <v>98.032649470859596</v>
      </c>
      <c r="V64" s="115">
        <f ca="1">MAX(SUMIFS('RC Template'!$AW:$AW,'RC Template'!$B:$B,$A64,'RC Template'!$C:$C,V$6),V63*$E$3)</f>
        <v>89.291516321168245</v>
      </c>
      <c r="W64" s="115">
        <f ca="1">MAX(SUMIFS('RC Template'!$AW:$AW,'RC Template'!$B:$B,$A64,'RC Template'!$C:$C,W$6),W63*$E$3)</f>
        <v>15.533790819546425</v>
      </c>
      <c r="X64" s="115">
        <f ca="1">MAX(SUMIFS('RC Template'!$AW:$AW,'RC Template'!$B:$B,$A64,'RC Template'!$C:$C,X$6),X63*$E$3)</f>
        <v>77.106502938628864</v>
      </c>
      <c r="Y64" s="115">
        <f ca="1">MAX(SUMIFS('RC Template'!$AW:$AW,'RC Template'!$B:$B,$A64,'RC Template'!$C:$C,Y$6),Y63*$E$3)</f>
        <v>118.03282819120167</v>
      </c>
      <c r="Z64" s="115">
        <f ca="1">MAX(SUMIFS('RC Template'!$AW:$AW,'RC Template'!$B:$B,$A64,'RC Template'!$C:$C,Z$6),Z63*$E$3)</f>
        <v>0</v>
      </c>
      <c r="AA64" s="115">
        <f ca="1">MAX(SUMIFS('RC Template'!$AW:$AW,'RC Template'!$B:$B,$A64,'RC Template'!$C:$C,AA$6),AA63*$E$3)</f>
        <v>0</v>
      </c>
      <c r="AB64" s="115">
        <f ca="1">MAX(SUMIFS('RC Template'!$AW:$AW,'RC Template'!$B:$B,$A64,'RC Template'!$C:$C,AB$6),AB63*$E$3)</f>
        <v>0</v>
      </c>
      <c r="AC64" s="115">
        <f ca="1">MAX(SUMIFS('RC Template'!$AW:$AW,'RC Template'!$B:$B,$A64,'RC Template'!$C:$C,AC$6),AC63*$E$3)</f>
        <v>0</v>
      </c>
      <c r="AD64" s="115">
        <f ca="1">MAX(SUMIFS('RC Template'!$AW:$AW,'RC Template'!$B:$B,$A64,'RC Template'!$C:$C,AD$6),AD63*$E$3)</f>
        <v>0</v>
      </c>
    </row>
    <row r="65" spans="1:30" x14ac:dyDescent="0.3">
      <c r="A65" s="1">
        <v>43164</v>
      </c>
      <c r="B65" s="115">
        <f t="shared" ca="1" si="4"/>
        <v>859.44447682868406</v>
      </c>
      <c r="C65" s="115" t="e">
        <f>IF(SUMIFS('RC Template'!$AW:$AW,'RC Template'!$B:$B,$A65,'RC Template'!$C:$C,C$6)=0,#N/A,SUMIFS('RC Template'!$AW:$AW,'RC Template'!$B:$B,$A65,'RC Template'!$C:$C,C$6))</f>
        <v>#N/A</v>
      </c>
      <c r="D65" s="115" t="e">
        <f>IF(SUMIFS('RC Template'!$AW:$AW,'RC Template'!$B:$B,$A65,'RC Template'!$C:$C,D$6)=0,#N/A,SUMIFS('RC Template'!$AW:$AW,'RC Template'!$B:$B,$A65,'RC Template'!$C:$C,D$6))</f>
        <v>#N/A</v>
      </c>
      <c r="E65" s="115" t="e">
        <f>IF(SUMIFS('RC Template'!$AW:$AW,'RC Template'!$B:$B,$A65,'RC Template'!$C:$C,E$6)=0,#N/A,SUMIFS('RC Template'!$AW:$AW,'RC Template'!$B:$B,$A65,'RC Template'!$C:$C,E$6))</f>
        <v>#N/A</v>
      </c>
      <c r="F65" s="115" t="e">
        <f>IF(SUMIFS('RC Template'!$AW:$AW,'RC Template'!$B:$B,$A65,'RC Template'!$C:$C,F$6)=0,#N/A,SUMIFS('RC Template'!$AW:$AW,'RC Template'!$B:$B,$A65,'RC Template'!$C:$C,F$6))</f>
        <v>#N/A</v>
      </c>
      <c r="G65" s="115" t="e">
        <f>IF(SUMIFS('RC Template'!$AW:$AW,'RC Template'!$B:$B,$A65,'RC Template'!$C:$C,G$6)=0,#N/A,SUMIFS('RC Template'!$AW:$AW,'RC Template'!$B:$B,$A65,'RC Template'!$C:$C,G$6))</f>
        <v>#N/A</v>
      </c>
      <c r="H65" s="115" t="e">
        <f>IF(SUMIFS('RC Template'!$AW:$AW,'RC Template'!$B:$B,$A65,'RC Template'!$C:$C,H$6)=0,#N/A,SUMIFS('RC Template'!$AW:$AW,'RC Template'!$B:$B,$A65,'RC Template'!$C:$C,H$6))</f>
        <v>#N/A</v>
      </c>
      <c r="I65" s="115" t="e">
        <f>IF(SUMIFS('RC Template'!$AW:$AW,'RC Template'!$B:$B,$A65,'RC Template'!$C:$C,I$6)=0,#N/A,SUMIFS('RC Template'!$AW:$AW,'RC Template'!$B:$B,$A65,'RC Template'!$C:$C,I$6))</f>
        <v>#N/A</v>
      </c>
      <c r="J65" s="115" t="e">
        <f>IF(SUMIFS('RC Template'!$AW:$AW,'RC Template'!$B:$B,$A65,'RC Template'!$C:$C,J$6)=0,#N/A,SUMIFS('RC Template'!$AW:$AW,'RC Template'!$B:$B,$A65,'RC Template'!$C:$C,J$6))</f>
        <v>#N/A</v>
      </c>
      <c r="K65" s="115" t="e">
        <f>IF(SUMIFS('RC Template'!$AW:$AW,'RC Template'!$B:$B,$A65,'RC Template'!$C:$C,K$6)=0,#N/A,SUMIFS('RC Template'!$AW:$AW,'RC Template'!$B:$B,$A65,'RC Template'!$C:$C,K$6))</f>
        <v>#N/A</v>
      </c>
      <c r="L65" s="115" t="e">
        <f>IF(SUMIFS('RC Template'!$AW:$AW,'RC Template'!$B:$B,$A65,'RC Template'!$C:$C,L$6)=0,#N/A,SUMIFS('RC Template'!$AW:$AW,'RC Template'!$B:$B,$A65,'RC Template'!$C:$C,L$6))</f>
        <v>#N/A</v>
      </c>
      <c r="M65" s="115" t="e">
        <f>IF(SUMIFS('RC Template'!$AW:$AW,'RC Template'!$B:$B,$A65,'RC Template'!$C:$C,M$6)=0,#N/A,SUMIFS('RC Template'!$AW:$AW,'RC Template'!$B:$B,$A65,'RC Template'!$C:$C,M$6))</f>
        <v>#N/A</v>
      </c>
      <c r="N65" s="115" t="e">
        <f>IF(SUMIFS('RC Template'!$AW:$AW,'RC Template'!$B:$B,$A65,'RC Template'!$C:$C,N$6)=0,#N/A,SUMIFS('RC Template'!$AW:$AW,'RC Template'!$B:$B,$A65,'RC Template'!$C:$C,N$6))</f>
        <v>#N/A</v>
      </c>
      <c r="O65" s="115" t="e">
        <f>IF(SUMIFS('RC Template'!$AW:$AW,'RC Template'!$B:$B,$A65,'RC Template'!$C:$C,O$6)=0,#N/A,SUMIFS('RC Template'!$AW:$AW,'RC Template'!$B:$B,$A65,'RC Template'!$C:$C,O$6))</f>
        <v>#N/A</v>
      </c>
      <c r="P65" s="115" t="e">
        <f>IF(SUMIFS('RC Template'!$AW:$AW,'RC Template'!$B:$B,$A65,'RC Template'!$C:$C,P$6)=0,#N/A,SUMIFS('RC Template'!$AW:$AW,'RC Template'!$B:$B,$A65,'RC Template'!$C:$C,P$6))</f>
        <v>#N/A</v>
      </c>
      <c r="Q65" s="115">
        <f ca="1">MAX(SUMIFS('RC Template'!$AW:$AW,'RC Template'!$B:$B,$A65,'RC Template'!$C:$C,Q$6),Q64*$E$3)</f>
        <v>258.42169499210263</v>
      </c>
      <c r="R65" s="115">
        <f ca="1">MAX(SUMIFS('RC Template'!$AW:$AW,'RC Template'!$B:$B,$A65,'RC Template'!$C:$C,R$6),R64*$E$3)</f>
        <v>88.921633678770689</v>
      </c>
      <c r="S65" s="115">
        <f ca="1">MAX(SUMIFS('RC Template'!$AW:$AW,'RC Template'!$B:$B,$A65,'RC Template'!$C:$C,S$6),S64*$E$3)</f>
        <v>113.00922662774177</v>
      </c>
      <c r="T65" s="115">
        <f ca="1">MAX(SUMIFS('RC Template'!$AW:$AW,'RC Template'!$B:$B,$A65,'RC Template'!$C:$C,T$6),T64*$E$3)</f>
        <v>11.044565982199094</v>
      </c>
      <c r="U65" s="115">
        <f ca="1">MAX(SUMIFS('RC Template'!$AW:$AW,'RC Template'!$B:$B,$A65,'RC Template'!$C:$C,U$6),U64*$E$3)</f>
        <v>95.581833234088108</v>
      </c>
      <c r="V65" s="115">
        <f ca="1">MAX(SUMIFS('RC Template'!$AW:$AW,'RC Template'!$B:$B,$A65,'RC Template'!$C:$C,V$6),V64*$E$3)</f>
        <v>87.059228413139039</v>
      </c>
      <c r="W65" s="115">
        <f ca="1">MAX(SUMIFS('RC Template'!$AW:$AW,'RC Template'!$B:$B,$A65,'RC Template'!$C:$C,W$6),W64*$E$3)</f>
        <v>15.145446049057764</v>
      </c>
      <c r="X65" s="115">
        <f ca="1">MAX(SUMIFS('RC Template'!$AW:$AW,'RC Template'!$B:$B,$A65,'RC Template'!$C:$C,X$6),X64*$E$3)</f>
        <v>75.17884036516314</v>
      </c>
      <c r="Y65" s="115">
        <f ca="1">MAX(SUMIFS('RC Template'!$AW:$AW,'RC Template'!$B:$B,$A65,'RC Template'!$C:$C,Y$6),Y64*$E$3)</f>
        <v>115.08200748642163</v>
      </c>
      <c r="Z65" s="115">
        <f ca="1">MAX(SUMIFS('RC Template'!$AW:$AW,'RC Template'!$B:$B,$A65,'RC Template'!$C:$C,Z$6),Z64*$E$3)</f>
        <v>0</v>
      </c>
      <c r="AA65" s="115">
        <f ca="1">MAX(SUMIFS('RC Template'!$AW:$AW,'RC Template'!$B:$B,$A65,'RC Template'!$C:$C,AA$6),AA64*$E$3)</f>
        <v>0</v>
      </c>
      <c r="AB65" s="115">
        <f ca="1">MAX(SUMIFS('RC Template'!$AW:$AW,'RC Template'!$B:$B,$A65,'RC Template'!$C:$C,AB$6),AB64*$E$3)</f>
        <v>0</v>
      </c>
      <c r="AC65" s="115">
        <f ca="1">MAX(SUMIFS('RC Template'!$AW:$AW,'RC Template'!$B:$B,$A65,'RC Template'!$C:$C,AC$6),AC64*$E$3)</f>
        <v>0</v>
      </c>
      <c r="AD65" s="115">
        <f ca="1">MAX(SUMIFS('RC Template'!$AW:$AW,'RC Template'!$B:$B,$A65,'RC Template'!$C:$C,AD$6),AD64*$E$3)</f>
        <v>0</v>
      </c>
    </row>
    <row r="66" spans="1:30" x14ac:dyDescent="0.3">
      <c r="A66" s="1">
        <v>43165</v>
      </c>
      <c r="B66" s="115">
        <f t="shared" ca="1" si="4"/>
        <v>880.59246063630769</v>
      </c>
      <c r="C66" s="115" t="e">
        <f>IF(SUMIFS('RC Template'!$AW:$AW,'RC Template'!$B:$B,$A66,'RC Template'!$C:$C,C$6)=0,#N/A,SUMIFS('RC Template'!$AW:$AW,'RC Template'!$B:$B,$A66,'RC Template'!$C:$C,C$6))</f>
        <v>#N/A</v>
      </c>
      <c r="D66" s="115" t="e">
        <f>IF(SUMIFS('RC Template'!$AW:$AW,'RC Template'!$B:$B,$A66,'RC Template'!$C:$C,D$6)=0,#N/A,SUMIFS('RC Template'!$AW:$AW,'RC Template'!$B:$B,$A66,'RC Template'!$C:$C,D$6))</f>
        <v>#N/A</v>
      </c>
      <c r="E66" s="115" t="e">
        <f>IF(SUMIFS('RC Template'!$AW:$AW,'RC Template'!$B:$B,$A66,'RC Template'!$C:$C,E$6)=0,#N/A,SUMIFS('RC Template'!$AW:$AW,'RC Template'!$B:$B,$A66,'RC Template'!$C:$C,E$6))</f>
        <v>#N/A</v>
      </c>
      <c r="F66" s="115" t="e">
        <f>IF(SUMIFS('RC Template'!$AW:$AW,'RC Template'!$B:$B,$A66,'RC Template'!$C:$C,F$6)=0,#N/A,SUMIFS('RC Template'!$AW:$AW,'RC Template'!$B:$B,$A66,'RC Template'!$C:$C,F$6))</f>
        <v>#N/A</v>
      </c>
      <c r="G66" s="115">
        <f ca="1">IF(SUMIFS('RC Template'!$AW:$AW,'RC Template'!$B:$B,$A66,'RC Template'!$C:$C,G$6)=0,#N/A,SUMIFS('RC Template'!$AW:$AW,'RC Template'!$B:$B,$A66,'RC Template'!$C:$C,G$6))</f>
        <v>103.12441758933291</v>
      </c>
      <c r="H66" s="115" t="e">
        <f>IF(SUMIFS('RC Template'!$AW:$AW,'RC Template'!$B:$B,$A66,'RC Template'!$C:$C,H$6)=0,#N/A,SUMIFS('RC Template'!$AW:$AW,'RC Template'!$B:$B,$A66,'RC Template'!$C:$C,H$6))</f>
        <v>#N/A</v>
      </c>
      <c r="I66" s="115" t="e">
        <f>IF(SUMIFS('RC Template'!$AW:$AW,'RC Template'!$B:$B,$A66,'RC Template'!$C:$C,I$6)=0,#N/A,SUMIFS('RC Template'!$AW:$AW,'RC Template'!$B:$B,$A66,'RC Template'!$C:$C,I$6))</f>
        <v>#N/A</v>
      </c>
      <c r="J66" s="115">
        <f ca="1">IF(SUMIFS('RC Template'!$AW:$AW,'RC Template'!$B:$B,$A66,'RC Template'!$C:$C,J$6)=0,#N/A,SUMIFS('RC Template'!$AW:$AW,'RC Template'!$B:$B,$A66,'RC Template'!$C:$C,J$6))</f>
        <v>80.56518969595831</v>
      </c>
      <c r="K66" s="115">
        <f ca="1">IF(SUMIFS('RC Template'!$AW:$AW,'RC Template'!$B:$B,$A66,'RC Template'!$C:$C,K$6)=0,#N/A,SUMIFS('RC Template'!$AW:$AW,'RC Template'!$B:$B,$A66,'RC Template'!$C:$C,K$6))</f>
        <v>137.64110250158083</v>
      </c>
      <c r="L66" s="115" t="e">
        <f>IF(SUMIFS('RC Template'!$AW:$AW,'RC Template'!$B:$B,$A66,'RC Template'!$C:$C,L$6)=0,#N/A,SUMIFS('RC Template'!$AW:$AW,'RC Template'!$B:$B,$A66,'RC Template'!$C:$C,L$6))</f>
        <v>#N/A</v>
      </c>
      <c r="M66" s="115" t="e">
        <f>IF(SUMIFS('RC Template'!$AW:$AW,'RC Template'!$B:$B,$A66,'RC Template'!$C:$C,M$6)=0,#N/A,SUMIFS('RC Template'!$AW:$AW,'RC Template'!$B:$B,$A66,'RC Template'!$C:$C,M$6))</f>
        <v>#N/A</v>
      </c>
      <c r="N66" s="115" t="e">
        <f>IF(SUMIFS('RC Template'!$AW:$AW,'RC Template'!$B:$B,$A66,'RC Template'!$C:$C,N$6)=0,#N/A,SUMIFS('RC Template'!$AW:$AW,'RC Template'!$B:$B,$A66,'RC Template'!$C:$C,N$6))</f>
        <v>#N/A</v>
      </c>
      <c r="O66" s="115" t="e">
        <f>IF(SUMIFS('RC Template'!$AW:$AW,'RC Template'!$B:$B,$A66,'RC Template'!$C:$C,O$6)=0,#N/A,SUMIFS('RC Template'!$AW:$AW,'RC Template'!$B:$B,$A66,'RC Template'!$C:$C,O$6))</f>
        <v>#N/A</v>
      </c>
      <c r="P66" s="115" t="e">
        <f>IF(SUMIFS('RC Template'!$AW:$AW,'RC Template'!$B:$B,$A66,'RC Template'!$C:$C,P$6)=0,#N/A,SUMIFS('RC Template'!$AW:$AW,'RC Template'!$B:$B,$A66,'RC Template'!$C:$C,P$6))</f>
        <v>#N/A</v>
      </c>
      <c r="Q66" s="115">
        <f ca="1">MAX(SUMIFS('RC Template'!$AW:$AW,'RC Template'!$B:$B,$A66,'RC Template'!$C:$C,Q$6),Q65*$E$3)</f>
        <v>251.96115261730006</v>
      </c>
      <c r="R66" s="115">
        <f ca="1">MAX(SUMIFS('RC Template'!$AW:$AW,'RC Template'!$B:$B,$A66,'RC Template'!$C:$C,R$6),R65*$E$3)</f>
        <v>86.698592836801424</v>
      </c>
      <c r="S66" s="115">
        <f ca="1">MAX(SUMIFS('RC Template'!$AW:$AW,'RC Template'!$B:$B,$A66,'RC Template'!$C:$C,S$6),S65*$E$3)</f>
        <v>110.18399596204821</v>
      </c>
      <c r="T66" s="115">
        <f ca="1">MAX(SUMIFS('RC Template'!$AW:$AW,'RC Template'!$B:$B,$A66,'RC Template'!$C:$C,T$6),T65*$E$3)</f>
        <v>10.768451832644116</v>
      </c>
      <c r="U66" s="115">
        <f ca="1">MAX(SUMIFS('RC Template'!$AW:$AW,'RC Template'!$B:$B,$A66,'RC Template'!$C:$C,U$6),U65*$E$3)</f>
        <v>103.12441758933291</v>
      </c>
      <c r="V66" s="115">
        <f ca="1">MAX(SUMIFS('RC Template'!$AW:$AW,'RC Template'!$B:$B,$A66,'RC Template'!$C:$C,V$6),V65*$E$3)</f>
        <v>84.882747702810562</v>
      </c>
      <c r="W66" s="115">
        <f ca="1">MAX(SUMIFS('RC Template'!$AW:$AW,'RC Template'!$B:$B,$A66,'RC Template'!$C:$C,W$6),W65*$E$3)</f>
        <v>14.766809897831319</v>
      </c>
      <c r="X66" s="115">
        <f ca="1">MAX(SUMIFS('RC Template'!$AW:$AW,'RC Template'!$B:$B,$A66,'RC Template'!$C:$C,X$6),X65*$E$3)</f>
        <v>80.56518969595831</v>
      </c>
      <c r="Y66" s="115">
        <f ca="1">MAX(SUMIFS('RC Template'!$AW:$AW,'RC Template'!$B:$B,$A66,'RC Template'!$C:$C,Y$6),Y65*$E$3)</f>
        <v>137.64110250158083</v>
      </c>
      <c r="Z66" s="115">
        <f ca="1">MAX(SUMIFS('RC Template'!$AW:$AW,'RC Template'!$B:$B,$A66,'RC Template'!$C:$C,Z$6),Z65*$E$3)</f>
        <v>0</v>
      </c>
      <c r="AA66" s="115">
        <f ca="1">MAX(SUMIFS('RC Template'!$AW:$AW,'RC Template'!$B:$B,$A66,'RC Template'!$C:$C,AA$6),AA65*$E$3)</f>
        <v>0</v>
      </c>
      <c r="AB66" s="115">
        <f ca="1">MAX(SUMIFS('RC Template'!$AW:$AW,'RC Template'!$B:$B,$A66,'RC Template'!$C:$C,AB$6),AB65*$E$3)</f>
        <v>0</v>
      </c>
      <c r="AC66" s="115">
        <f ca="1">MAX(SUMIFS('RC Template'!$AW:$AW,'RC Template'!$B:$B,$A66,'RC Template'!$C:$C,AC$6),AC65*$E$3)</f>
        <v>0</v>
      </c>
      <c r="AD66" s="115">
        <f ca="1">MAX(SUMIFS('RC Template'!$AW:$AW,'RC Template'!$B:$B,$A66,'RC Template'!$C:$C,AD$6),AD65*$E$3)</f>
        <v>0</v>
      </c>
    </row>
    <row r="67" spans="1:30" x14ac:dyDescent="0.3">
      <c r="A67" s="1">
        <v>43166</v>
      </c>
      <c r="B67" s="115">
        <f t="shared" ca="1" si="4"/>
        <v>895.00063912040014</v>
      </c>
      <c r="C67" s="115">
        <f ca="1">IF(SUMIFS('RC Template'!$AW:$AW,'RC Template'!$B:$B,$A67,'RC Template'!$C:$C,C$6)=0,#N/A,SUMIFS('RC Template'!$AW:$AW,'RC Template'!$B:$B,$A67,'RC Template'!$C:$C,C$6))</f>
        <v>243.27057299375392</v>
      </c>
      <c r="D67" s="115" t="e">
        <f>IF(SUMIFS('RC Template'!$AW:$AW,'RC Template'!$B:$B,$A67,'RC Template'!$C:$C,D$6)=0,#N/A,SUMIFS('RC Template'!$AW:$AW,'RC Template'!$B:$B,$A67,'RC Template'!$C:$C,D$6))</f>
        <v>#N/A</v>
      </c>
      <c r="E67" s="115" t="e">
        <f>IF(SUMIFS('RC Template'!$AW:$AW,'RC Template'!$B:$B,$A67,'RC Template'!$C:$C,E$6)=0,#N/A,SUMIFS('RC Template'!$AW:$AW,'RC Template'!$B:$B,$A67,'RC Template'!$C:$C,E$6))</f>
        <v>#N/A</v>
      </c>
      <c r="F67" s="115" t="e">
        <f>IF(SUMIFS('RC Template'!$AW:$AW,'RC Template'!$B:$B,$A67,'RC Template'!$C:$C,F$6)=0,#N/A,SUMIFS('RC Template'!$AW:$AW,'RC Template'!$B:$B,$A67,'RC Template'!$C:$C,F$6))</f>
        <v>#N/A</v>
      </c>
      <c r="G67" s="115" t="e">
        <f>IF(SUMIFS('RC Template'!$AW:$AW,'RC Template'!$B:$B,$A67,'RC Template'!$C:$C,G$6)=0,#N/A,SUMIFS('RC Template'!$AW:$AW,'RC Template'!$B:$B,$A67,'RC Template'!$C:$C,G$6))</f>
        <v>#N/A</v>
      </c>
      <c r="H67" s="115" t="e">
        <f>IF(SUMIFS('RC Template'!$AW:$AW,'RC Template'!$B:$B,$A67,'RC Template'!$C:$C,H$6)=0,#N/A,SUMIFS('RC Template'!$AW:$AW,'RC Template'!$B:$B,$A67,'RC Template'!$C:$C,H$6))</f>
        <v>#N/A</v>
      </c>
      <c r="I67" s="115" t="e">
        <f>IF(SUMIFS('RC Template'!$AW:$AW,'RC Template'!$B:$B,$A67,'RC Template'!$C:$C,I$6)=0,#N/A,SUMIFS('RC Template'!$AW:$AW,'RC Template'!$B:$B,$A67,'RC Template'!$C:$C,I$6))</f>
        <v>#N/A</v>
      </c>
      <c r="J67" s="115" t="e">
        <f>IF(SUMIFS('RC Template'!$AW:$AW,'RC Template'!$B:$B,$A67,'RC Template'!$C:$C,J$6)=0,#N/A,SUMIFS('RC Template'!$AW:$AW,'RC Template'!$B:$B,$A67,'RC Template'!$C:$C,J$6))</f>
        <v>#N/A</v>
      </c>
      <c r="K67" s="115" t="e">
        <f>IF(SUMIFS('RC Template'!$AW:$AW,'RC Template'!$B:$B,$A67,'RC Template'!$C:$C,K$6)=0,#N/A,SUMIFS('RC Template'!$AW:$AW,'RC Template'!$B:$B,$A67,'RC Template'!$C:$C,K$6))</f>
        <v>#N/A</v>
      </c>
      <c r="L67" s="115">
        <f ca="1">IF(SUMIFS('RC Template'!$AW:$AW,'RC Template'!$B:$B,$A67,'RC Template'!$C:$C,L$6)=0,#N/A,SUMIFS('RC Template'!$AW:$AW,'RC Template'!$B:$B,$A67,'RC Template'!$C:$C,L$6))</f>
        <v>36.422990000000006</v>
      </c>
      <c r="M67" s="115" t="e">
        <f>IF(SUMIFS('RC Template'!$AW:$AW,'RC Template'!$B:$B,$A67,'RC Template'!$C:$C,M$6)=0,#N/A,SUMIFS('RC Template'!$AW:$AW,'RC Template'!$B:$B,$A67,'RC Template'!$C:$C,M$6))</f>
        <v>#N/A</v>
      </c>
      <c r="N67" s="115" t="e">
        <f>IF(SUMIFS('RC Template'!$AW:$AW,'RC Template'!$B:$B,$A67,'RC Template'!$C:$C,N$6)=0,#N/A,SUMIFS('RC Template'!$AW:$AW,'RC Template'!$B:$B,$A67,'RC Template'!$C:$C,N$6))</f>
        <v>#N/A</v>
      </c>
      <c r="O67" s="115" t="e">
        <f>IF(SUMIFS('RC Template'!$AW:$AW,'RC Template'!$B:$B,$A67,'RC Template'!$C:$C,O$6)=0,#N/A,SUMIFS('RC Template'!$AW:$AW,'RC Template'!$B:$B,$A67,'RC Template'!$C:$C,O$6))</f>
        <v>#N/A</v>
      </c>
      <c r="P67" s="115" t="e">
        <f>IF(SUMIFS('RC Template'!$AW:$AW,'RC Template'!$B:$B,$A67,'RC Template'!$C:$C,P$6)=0,#N/A,SUMIFS('RC Template'!$AW:$AW,'RC Template'!$B:$B,$A67,'RC Template'!$C:$C,P$6))</f>
        <v>#N/A</v>
      </c>
      <c r="Q67" s="115">
        <f ca="1">MAX(SUMIFS('RC Template'!$AW:$AW,'RC Template'!$B:$B,$A67,'RC Template'!$C:$C,Q$6),Q66*$E$3)</f>
        <v>245.66212380186755</v>
      </c>
      <c r="R67" s="115">
        <f ca="1">MAX(SUMIFS('RC Template'!$AW:$AW,'RC Template'!$B:$B,$A67,'RC Template'!$C:$C,R$6),R66*$E$3)</f>
        <v>84.531128015881393</v>
      </c>
      <c r="S67" s="115">
        <f ca="1">MAX(SUMIFS('RC Template'!$AW:$AW,'RC Template'!$B:$B,$A67,'RC Template'!$C:$C,S$6),S66*$E$3)</f>
        <v>107.429396062997</v>
      </c>
      <c r="T67" s="115">
        <f ca="1">MAX(SUMIFS('RC Template'!$AW:$AW,'RC Template'!$B:$B,$A67,'RC Template'!$C:$C,T$6),T66*$E$3)</f>
        <v>10.499240536828014</v>
      </c>
      <c r="U67" s="115">
        <f ca="1">MAX(SUMIFS('RC Template'!$AW:$AW,'RC Template'!$B:$B,$A67,'RC Template'!$C:$C,U$6),U66*$E$3)</f>
        <v>100.54630714959958</v>
      </c>
      <c r="V67" s="115">
        <f ca="1">MAX(SUMIFS('RC Template'!$AW:$AW,'RC Template'!$B:$B,$A67,'RC Template'!$C:$C,V$6),V66*$E$3)</f>
        <v>82.760679010240295</v>
      </c>
      <c r="W67" s="115">
        <f ca="1">MAX(SUMIFS('RC Template'!$AW:$AW,'RC Template'!$B:$B,$A67,'RC Template'!$C:$C,W$6),W66*$E$3)</f>
        <v>14.397639650385536</v>
      </c>
      <c r="X67" s="115">
        <f ca="1">MAX(SUMIFS('RC Template'!$AW:$AW,'RC Template'!$B:$B,$A67,'RC Template'!$C:$C,X$6),X66*$E$3)</f>
        <v>78.551059953559346</v>
      </c>
      <c r="Y67" s="115">
        <f ca="1">MAX(SUMIFS('RC Template'!$AW:$AW,'RC Template'!$B:$B,$A67,'RC Template'!$C:$C,Y$6),Y66*$E$3)</f>
        <v>134.20007493904131</v>
      </c>
      <c r="Z67" s="115">
        <f ca="1">MAX(SUMIFS('RC Template'!$AW:$AW,'RC Template'!$B:$B,$A67,'RC Template'!$C:$C,Z$6),Z66*$E$3)</f>
        <v>36.422990000000006</v>
      </c>
      <c r="AA67" s="115">
        <f ca="1">MAX(SUMIFS('RC Template'!$AW:$AW,'RC Template'!$B:$B,$A67,'RC Template'!$C:$C,AA$6),AA66*$E$3)</f>
        <v>0</v>
      </c>
      <c r="AB67" s="115">
        <f ca="1">MAX(SUMIFS('RC Template'!$AW:$AW,'RC Template'!$B:$B,$A67,'RC Template'!$C:$C,AB$6),AB66*$E$3)</f>
        <v>0</v>
      </c>
      <c r="AC67" s="115">
        <f ca="1">MAX(SUMIFS('RC Template'!$AW:$AW,'RC Template'!$B:$B,$A67,'RC Template'!$C:$C,AC$6),AC66*$E$3)</f>
        <v>0</v>
      </c>
      <c r="AD67" s="115">
        <f ca="1">MAX(SUMIFS('RC Template'!$AW:$AW,'RC Template'!$B:$B,$A67,'RC Template'!$C:$C,AD$6),AD66*$E$3)</f>
        <v>0</v>
      </c>
    </row>
    <row r="68" spans="1:30" x14ac:dyDescent="0.3">
      <c r="A68" s="1">
        <v>43167</v>
      </c>
      <c r="B68" s="115">
        <f t="shared" ref="B68:B74" ca="1" si="5">SUM(Q68:AD68)</f>
        <v>872.62562314239005</v>
      </c>
      <c r="C68" s="115" t="e">
        <f>IF(SUMIFS('RC Template'!$AW:$AW,'RC Template'!$B:$B,$A68,'RC Template'!$C:$C,C$6)=0,#N/A,SUMIFS('RC Template'!$AW:$AW,'RC Template'!$B:$B,$A68,'RC Template'!$C:$C,C$6))</f>
        <v>#N/A</v>
      </c>
      <c r="D68" s="115" t="e">
        <f>IF(SUMIFS('RC Template'!$AW:$AW,'RC Template'!$B:$B,$A68,'RC Template'!$C:$C,D$6)=0,#N/A,SUMIFS('RC Template'!$AW:$AW,'RC Template'!$B:$B,$A68,'RC Template'!$C:$C,D$6))</f>
        <v>#N/A</v>
      </c>
      <c r="E68" s="115" t="e">
        <f>IF(SUMIFS('RC Template'!$AW:$AW,'RC Template'!$B:$B,$A68,'RC Template'!$C:$C,E$6)=0,#N/A,SUMIFS('RC Template'!$AW:$AW,'RC Template'!$B:$B,$A68,'RC Template'!$C:$C,E$6))</f>
        <v>#N/A</v>
      </c>
      <c r="F68" s="115" t="e">
        <f>IF(SUMIFS('RC Template'!$AW:$AW,'RC Template'!$B:$B,$A68,'RC Template'!$C:$C,F$6)=0,#N/A,SUMIFS('RC Template'!$AW:$AW,'RC Template'!$B:$B,$A68,'RC Template'!$C:$C,F$6))</f>
        <v>#N/A</v>
      </c>
      <c r="G68" s="115" t="e">
        <f>IF(SUMIFS('RC Template'!$AW:$AW,'RC Template'!$B:$B,$A68,'RC Template'!$C:$C,G$6)=0,#N/A,SUMIFS('RC Template'!$AW:$AW,'RC Template'!$B:$B,$A68,'RC Template'!$C:$C,G$6))</f>
        <v>#N/A</v>
      </c>
      <c r="H68" s="115" t="e">
        <f>IF(SUMIFS('RC Template'!$AW:$AW,'RC Template'!$B:$B,$A68,'RC Template'!$C:$C,H$6)=0,#N/A,SUMIFS('RC Template'!$AW:$AW,'RC Template'!$B:$B,$A68,'RC Template'!$C:$C,H$6))</f>
        <v>#N/A</v>
      </c>
      <c r="I68" s="115" t="e">
        <f>IF(SUMIFS('RC Template'!$AW:$AW,'RC Template'!$B:$B,$A68,'RC Template'!$C:$C,I$6)=0,#N/A,SUMIFS('RC Template'!$AW:$AW,'RC Template'!$B:$B,$A68,'RC Template'!$C:$C,I$6))</f>
        <v>#N/A</v>
      </c>
      <c r="J68" s="115" t="e">
        <f>IF(SUMIFS('RC Template'!$AW:$AW,'RC Template'!$B:$B,$A68,'RC Template'!$C:$C,J$6)=0,#N/A,SUMIFS('RC Template'!$AW:$AW,'RC Template'!$B:$B,$A68,'RC Template'!$C:$C,J$6))</f>
        <v>#N/A</v>
      </c>
      <c r="K68" s="115" t="e">
        <f>IF(SUMIFS('RC Template'!$AW:$AW,'RC Template'!$B:$B,$A68,'RC Template'!$C:$C,K$6)=0,#N/A,SUMIFS('RC Template'!$AW:$AW,'RC Template'!$B:$B,$A68,'RC Template'!$C:$C,K$6))</f>
        <v>#N/A</v>
      </c>
      <c r="L68" s="115" t="e">
        <f>IF(SUMIFS('RC Template'!$AW:$AW,'RC Template'!$B:$B,$A68,'RC Template'!$C:$C,L$6)=0,#N/A,SUMIFS('RC Template'!$AW:$AW,'RC Template'!$B:$B,$A68,'RC Template'!$C:$C,L$6))</f>
        <v>#N/A</v>
      </c>
      <c r="M68" s="115" t="e">
        <f>IF(SUMIFS('RC Template'!$AW:$AW,'RC Template'!$B:$B,$A68,'RC Template'!$C:$C,M$6)=0,#N/A,SUMIFS('RC Template'!$AW:$AW,'RC Template'!$B:$B,$A68,'RC Template'!$C:$C,M$6))</f>
        <v>#N/A</v>
      </c>
      <c r="N68" s="115" t="e">
        <f>IF(SUMIFS('RC Template'!$AW:$AW,'RC Template'!$B:$B,$A68,'RC Template'!$C:$C,N$6)=0,#N/A,SUMIFS('RC Template'!$AW:$AW,'RC Template'!$B:$B,$A68,'RC Template'!$C:$C,N$6))</f>
        <v>#N/A</v>
      </c>
      <c r="O68" s="115" t="e">
        <f>IF(SUMIFS('RC Template'!$AW:$AW,'RC Template'!$B:$B,$A68,'RC Template'!$C:$C,O$6)=0,#N/A,SUMIFS('RC Template'!$AW:$AW,'RC Template'!$B:$B,$A68,'RC Template'!$C:$C,O$6))</f>
        <v>#N/A</v>
      </c>
      <c r="P68" s="115" t="e">
        <f>IF(SUMIFS('RC Template'!$AW:$AW,'RC Template'!$B:$B,$A68,'RC Template'!$C:$C,P$6)=0,#N/A,SUMIFS('RC Template'!$AW:$AW,'RC Template'!$B:$B,$A68,'RC Template'!$C:$C,P$6))</f>
        <v>#N/A</v>
      </c>
      <c r="Q68" s="115">
        <f ca="1">MAX(SUMIFS('RC Template'!$AW:$AW,'RC Template'!$B:$B,$A68,'RC Template'!$C:$C,Q$6),Q67*$E$3)</f>
        <v>239.52057070682085</v>
      </c>
      <c r="R68" s="115">
        <f ca="1">MAX(SUMIFS('RC Template'!$AW:$AW,'RC Template'!$B:$B,$A68,'RC Template'!$C:$C,R$6),R67*$E$3)</f>
        <v>82.41784981548436</v>
      </c>
      <c r="S68" s="115">
        <f ca="1">MAX(SUMIFS('RC Template'!$AW:$AW,'RC Template'!$B:$B,$A68,'RC Template'!$C:$C,S$6),S67*$E$3)</f>
        <v>104.74366116142207</v>
      </c>
      <c r="T68" s="115">
        <f ca="1">MAX(SUMIFS('RC Template'!$AW:$AW,'RC Template'!$B:$B,$A68,'RC Template'!$C:$C,T$6),T67*$E$3)</f>
        <v>10.236759523407313</v>
      </c>
      <c r="U68" s="115">
        <f ca="1">MAX(SUMIFS('RC Template'!$AW:$AW,'RC Template'!$B:$B,$A68,'RC Template'!$C:$C,U$6),U67*$E$3)</f>
        <v>98.032649470859596</v>
      </c>
      <c r="V68" s="115">
        <f ca="1">MAX(SUMIFS('RC Template'!$AW:$AW,'RC Template'!$B:$B,$A68,'RC Template'!$C:$C,V$6),V67*$E$3)</f>
        <v>80.69166203498429</v>
      </c>
      <c r="W68" s="115">
        <f ca="1">MAX(SUMIFS('RC Template'!$AW:$AW,'RC Template'!$B:$B,$A68,'RC Template'!$C:$C,W$6),W67*$E$3)</f>
        <v>14.037698659125898</v>
      </c>
      <c r="X68" s="115">
        <f ca="1">MAX(SUMIFS('RC Template'!$AW:$AW,'RC Template'!$B:$B,$A68,'RC Template'!$C:$C,X$6),X67*$E$3)</f>
        <v>76.587283454720364</v>
      </c>
      <c r="Y68" s="115">
        <f ca="1">MAX(SUMIFS('RC Template'!$AW:$AW,'RC Template'!$B:$B,$A68,'RC Template'!$C:$C,Y$6),Y67*$E$3)</f>
        <v>130.84507306556529</v>
      </c>
      <c r="Z68" s="115">
        <f ca="1">MAX(SUMIFS('RC Template'!$AW:$AW,'RC Template'!$B:$B,$A68,'RC Template'!$C:$C,Z$6),Z67*$E$3)</f>
        <v>35.512415250000004</v>
      </c>
      <c r="AA68" s="115">
        <f ca="1">MAX(SUMIFS('RC Template'!$AW:$AW,'RC Template'!$B:$B,$A68,'RC Template'!$C:$C,AA$6),AA67*$E$3)</f>
        <v>0</v>
      </c>
      <c r="AB68" s="115">
        <f ca="1">MAX(SUMIFS('RC Template'!$AW:$AW,'RC Template'!$B:$B,$A68,'RC Template'!$C:$C,AB$6),AB67*$E$3)</f>
        <v>0</v>
      </c>
      <c r="AC68" s="115">
        <f ca="1">MAX(SUMIFS('RC Template'!$AW:$AW,'RC Template'!$B:$B,$A68,'RC Template'!$C:$C,AC$6),AC67*$E$3)</f>
        <v>0</v>
      </c>
      <c r="AD68" s="115">
        <f ca="1">MAX(SUMIFS('RC Template'!$AW:$AW,'RC Template'!$B:$B,$A68,'RC Template'!$C:$C,AD$6),AD67*$E$3)</f>
        <v>0</v>
      </c>
    </row>
    <row r="69" spans="1:30" x14ac:dyDescent="0.3">
      <c r="A69" s="1">
        <v>43168</v>
      </c>
      <c r="B69" s="115">
        <f t="shared" ca="1" si="5"/>
        <v>861.61719965663701</v>
      </c>
      <c r="C69" s="115" t="e">
        <f>IF(SUMIFS('RC Template'!$AW:$AW,'RC Template'!$B:$B,$A69,'RC Template'!$C:$C,C$6)=0,#N/A,SUMIFS('RC Template'!$AW:$AW,'RC Template'!$B:$B,$A69,'RC Template'!$C:$C,C$6))</f>
        <v>#N/A</v>
      </c>
      <c r="D69" s="115" t="e">
        <f>IF(SUMIFS('RC Template'!$AW:$AW,'RC Template'!$B:$B,$A69,'RC Template'!$C:$C,D$6)=0,#N/A,SUMIFS('RC Template'!$AW:$AW,'RC Template'!$B:$B,$A69,'RC Template'!$C:$C,D$6))</f>
        <v>#N/A</v>
      </c>
      <c r="E69" s="115" t="e">
        <f>IF(SUMIFS('RC Template'!$AW:$AW,'RC Template'!$B:$B,$A69,'RC Template'!$C:$C,E$6)=0,#N/A,SUMIFS('RC Template'!$AW:$AW,'RC Template'!$B:$B,$A69,'RC Template'!$C:$C,E$6))</f>
        <v>#N/A</v>
      </c>
      <c r="F69" s="115" t="e">
        <f>IF(SUMIFS('RC Template'!$AW:$AW,'RC Template'!$B:$B,$A69,'RC Template'!$C:$C,F$6)=0,#N/A,SUMIFS('RC Template'!$AW:$AW,'RC Template'!$B:$B,$A69,'RC Template'!$C:$C,F$6))</f>
        <v>#N/A</v>
      </c>
      <c r="G69" s="115">
        <f ca="1">IF(SUMIFS('RC Template'!$AW:$AW,'RC Template'!$B:$B,$A69,'RC Template'!$C:$C,G$6)=0,#N/A,SUMIFS('RC Template'!$AW:$AW,'RC Template'!$B:$B,$A69,'RC Template'!$C:$C,G$6))</f>
        <v>90.51599148480004</v>
      </c>
      <c r="H69" s="115" t="e">
        <f>IF(SUMIFS('RC Template'!$AW:$AW,'RC Template'!$B:$B,$A69,'RC Template'!$C:$C,H$6)=0,#N/A,SUMIFS('RC Template'!$AW:$AW,'RC Template'!$B:$B,$A69,'RC Template'!$C:$C,H$6))</f>
        <v>#N/A</v>
      </c>
      <c r="I69" s="115" t="e">
        <f>IF(SUMIFS('RC Template'!$AW:$AW,'RC Template'!$B:$B,$A69,'RC Template'!$C:$C,I$6)=0,#N/A,SUMIFS('RC Template'!$AW:$AW,'RC Template'!$B:$B,$A69,'RC Template'!$C:$C,I$6))</f>
        <v>#N/A</v>
      </c>
      <c r="J69" s="115" t="e">
        <f>IF(SUMIFS('RC Template'!$AW:$AW,'RC Template'!$B:$B,$A69,'RC Template'!$C:$C,J$6)=0,#N/A,SUMIFS('RC Template'!$AW:$AW,'RC Template'!$B:$B,$A69,'RC Template'!$C:$C,J$6))</f>
        <v>#N/A</v>
      </c>
      <c r="K69" s="115">
        <f ca="1">IF(SUMIFS('RC Template'!$AW:$AW,'RC Template'!$B:$B,$A69,'RC Template'!$C:$C,K$6)=0,#N/A,SUMIFS('RC Template'!$AW:$AW,'RC Template'!$B:$B,$A69,'RC Template'!$C:$C,K$6))</f>
        <v>138.38116333173295</v>
      </c>
      <c r="L69" s="115" t="e">
        <f>IF(SUMIFS('RC Template'!$AW:$AW,'RC Template'!$B:$B,$A69,'RC Template'!$C:$C,L$6)=0,#N/A,SUMIFS('RC Template'!$AW:$AW,'RC Template'!$B:$B,$A69,'RC Template'!$C:$C,L$6))</f>
        <v>#N/A</v>
      </c>
      <c r="M69" s="115" t="e">
        <f>IF(SUMIFS('RC Template'!$AW:$AW,'RC Template'!$B:$B,$A69,'RC Template'!$C:$C,M$6)=0,#N/A,SUMIFS('RC Template'!$AW:$AW,'RC Template'!$B:$B,$A69,'RC Template'!$C:$C,M$6))</f>
        <v>#N/A</v>
      </c>
      <c r="N69" s="115" t="e">
        <f>IF(SUMIFS('RC Template'!$AW:$AW,'RC Template'!$B:$B,$A69,'RC Template'!$C:$C,N$6)=0,#N/A,SUMIFS('RC Template'!$AW:$AW,'RC Template'!$B:$B,$A69,'RC Template'!$C:$C,N$6))</f>
        <v>#N/A</v>
      </c>
      <c r="O69" s="115" t="e">
        <f>IF(SUMIFS('RC Template'!$AW:$AW,'RC Template'!$B:$B,$A69,'RC Template'!$C:$C,O$6)=0,#N/A,SUMIFS('RC Template'!$AW:$AW,'RC Template'!$B:$B,$A69,'RC Template'!$C:$C,O$6))</f>
        <v>#N/A</v>
      </c>
      <c r="P69" s="115" t="e">
        <f>IF(SUMIFS('RC Template'!$AW:$AW,'RC Template'!$B:$B,$A69,'RC Template'!$C:$C,P$6)=0,#N/A,SUMIFS('RC Template'!$AW:$AW,'RC Template'!$B:$B,$A69,'RC Template'!$C:$C,P$6))</f>
        <v>#N/A</v>
      </c>
      <c r="Q69" s="115">
        <f ca="1">MAX(SUMIFS('RC Template'!$AW:$AW,'RC Template'!$B:$B,$A69,'RC Template'!$C:$C,Q$6),Q68*$E$3)</f>
        <v>233.53255643915031</v>
      </c>
      <c r="R69" s="115">
        <f ca="1">MAX(SUMIFS('RC Template'!$AW:$AW,'RC Template'!$B:$B,$A69,'RC Template'!$C:$C,R$6),R68*$E$3)</f>
        <v>80.357403570097247</v>
      </c>
      <c r="S69" s="115">
        <f ca="1">MAX(SUMIFS('RC Template'!$AW:$AW,'RC Template'!$B:$B,$A69,'RC Template'!$C:$C,S$6),S68*$E$3)</f>
        <v>102.12506963238651</v>
      </c>
      <c r="T69" s="115">
        <f ca="1">MAX(SUMIFS('RC Template'!$AW:$AW,'RC Template'!$B:$B,$A69,'RC Template'!$C:$C,T$6),T68*$E$3)</f>
        <v>9.9808405353221303</v>
      </c>
      <c r="U69" s="115">
        <f ca="1">MAX(SUMIFS('RC Template'!$AW:$AW,'RC Template'!$B:$B,$A69,'RC Template'!$C:$C,U$6),U68*$E$3)</f>
        <v>95.581833234088108</v>
      </c>
      <c r="V69" s="115">
        <f ca="1">MAX(SUMIFS('RC Template'!$AW:$AW,'RC Template'!$B:$B,$A69,'RC Template'!$C:$C,V$6),V68*$E$3)</f>
        <v>78.674370484109687</v>
      </c>
      <c r="W69" s="115">
        <f ca="1">MAX(SUMIFS('RC Template'!$AW:$AW,'RC Template'!$B:$B,$A69,'RC Template'!$C:$C,W$6),W68*$E$3)</f>
        <v>13.686756192647749</v>
      </c>
      <c r="X69" s="115">
        <f ca="1">MAX(SUMIFS('RC Template'!$AW:$AW,'RC Template'!$B:$B,$A69,'RC Template'!$C:$C,X$6),X68*$E$3)</f>
        <v>74.672601368352346</v>
      </c>
      <c r="Y69" s="115">
        <f ca="1">MAX(SUMIFS('RC Template'!$AW:$AW,'RC Template'!$B:$B,$A69,'RC Template'!$C:$C,Y$6),Y68*$E$3)</f>
        <v>138.38116333173295</v>
      </c>
      <c r="Z69" s="115">
        <f ca="1">MAX(SUMIFS('RC Template'!$AW:$AW,'RC Template'!$B:$B,$A69,'RC Template'!$C:$C,Z$6),Z68*$E$3)</f>
        <v>34.624604868750005</v>
      </c>
      <c r="AA69" s="115">
        <f ca="1">MAX(SUMIFS('RC Template'!$AW:$AW,'RC Template'!$B:$B,$A69,'RC Template'!$C:$C,AA$6),AA68*$E$3)</f>
        <v>0</v>
      </c>
      <c r="AB69" s="115">
        <f ca="1">MAX(SUMIFS('RC Template'!$AW:$AW,'RC Template'!$B:$B,$A69,'RC Template'!$C:$C,AB$6),AB68*$E$3)</f>
        <v>0</v>
      </c>
      <c r="AC69" s="115">
        <f ca="1">MAX(SUMIFS('RC Template'!$AW:$AW,'RC Template'!$B:$B,$A69,'RC Template'!$C:$C,AC$6),AC68*$E$3)</f>
        <v>0</v>
      </c>
      <c r="AD69" s="115">
        <f ca="1">MAX(SUMIFS('RC Template'!$AW:$AW,'RC Template'!$B:$B,$A69,'RC Template'!$C:$C,AD$6),AD68*$E$3)</f>
        <v>0</v>
      </c>
    </row>
    <row r="70" spans="1:30" x14ac:dyDescent="0.3">
      <c r="A70" s="1">
        <v>43169</v>
      </c>
      <c r="B70" s="115">
        <f t="shared" ca="1" si="5"/>
        <v>840.07676966522115</v>
      </c>
      <c r="C70" s="115" t="e">
        <f>IF(SUMIFS('RC Template'!$AW:$AW,'RC Template'!$B:$B,$A70,'RC Template'!$C:$C,C$6)=0,#N/A,SUMIFS('RC Template'!$AW:$AW,'RC Template'!$B:$B,$A70,'RC Template'!$C:$C,C$6))</f>
        <v>#N/A</v>
      </c>
      <c r="D70" s="115" t="e">
        <f>IF(SUMIFS('RC Template'!$AW:$AW,'RC Template'!$B:$B,$A70,'RC Template'!$C:$C,D$6)=0,#N/A,SUMIFS('RC Template'!$AW:$AW,'RC Template'!$B:$B,$A70,'RC Template'!$C:$C,D$6))</f>
        <v>#N/A</v>
      </c>
      <c r="E70" s="115" t="e">
        <f>IF(SUMIFS('RC Template'!$AW:$AW,'RC Template'!$B:$B,$A70,'RC Template'!$C:$C,E$6)=0,#N/A,SUMIFS('RC Template'!$AW:$AW,'RC Template'!$B:$B,$A70,'RC Template'!$C:$C,E$6))</f>
        <v>#N/A</v>
      </c>
      <c r="F70" s="115" t="e">
        <f>IF(SUMIFS('RC Template'!$AW:$AW,'RC Template'!$B:$B,$A70,'RC Template'!$C:$C,F$6)=0,#N/A,SUMIFS('RC Template'!$AW:$AW,'RC Template'!$B:$B,$A70,'RC Template'!$C:$C,F$6))</f>
        <v>#N/A</v>
      </c>
      <c r="G70" s="115" t="e">
        <f>IF(SUMIFS('RC Template'!$AW:$AW,'RC Template'!$B:$B,$A70,'RC Template'!$C:$C,G$6)=0,#N/A,SUMIFS('RC Template'!$AW:$AW,'RC Template'!$B:$B,$A70,'RC Template'!$C:$C,G$6))</f>
        <v>#N/A</v>
      </c>
      <c r="H70" s="115" t="e">
        <f>IF(SUMIFS('RC Template'!$AW:$AW,'RC Template'!$B:$B,$A70,'RC Template'!$C:$C,H$6)=0,#N/A,SUMIFS('RC Template'!$AW:$AW,'RC Template'!$B:$B,$A70,'RC Template'!$C:$C,H$6))</f>
        <v>#N/A</v>
      </c>
      <c r="I70" s="115" t="e">
        <f>IF(SUMIFS('RC Template'!$AW:$AW,'RC Template'!$B:$B,$A70,'RC Template'!$C:$C,I$6)=0,#N/A,SUMIFS('RC Template'!$AW:$AW,'RC Template'!$B:$B,$A70,'RC Template'!$C:$C,I$6))</f>
        <v>#N/A</v>
      </c>
      <c r="J70" s="115" t="e">
        <f>IF(SUMIFS('RC Template'!$AW:$AW,'RC Template'!$B:$B,$A70,'RC Template'!$C:$C,J$6)=0,#N/A,SUMIFS('RC Template'!$AW:$AW,'RC Template'!$B:$B,$A70,'RC Template'!$C:$C,J$6))</f>
        <v>#N/A</v>
      </c>
      <c r="K70" s="115" t="e">
        <f>IF(SUMIFS('RC Template'!$AW:$AW,'RC Template'!$B:$B,$A70,'RC Template'!$C:$C,K$6)=0,#N/A,SUMIFS('RC Template'!$AW:$AW,'RC Template'!$B:$B,$A70,'RC Template'!$C:$C,K$6))</f>
        <v>#N/A</v>
      </c>
      <c r="L70" s="115" t="e">
        <f>IF(SUMIFS('RC Template'!$AW:$AW,'RC Template'!$B:$B,$A70,'RC Template'!$C:$C,L$6)=0,#N/A,SUMIFS('RC Template'!$AW:$AW,'RC Template'!$B:$B,$A70,'RC Template'!$C:$C,L$6))</f>
        <v>#N/A</v>
      </c>
      <c r="M70" s="115" t="e">
        <f>IF(SUMIFS('RC Template'!$AW:$AW,'RC Template'!$B:$B,$A70,'RC Template'!$C:$C,M$6)=0,#N/A,SUMIFS('RC Template'!$AW:$AW,'RC Template'!$B:$B,$A70,'RC Template'!$C:$C,M$6))</f>
        <v>#N/A</v>
      </c>
      <c r="N70" s="115" t="e">
        <f>IF(SUMIFS('RC Template'!$AW:$AW,'RC Template'!$B:$B,$A70,'RC Template'!$C:$C,N$6)=0,#N/A,SUMIFS('RC Template'!$AW:$AW,'RC Template'!$B:$B,$A70,'RC Template'!$C:$C,N$6))</f>
        <v>#N/A</v>
      </c>
      <c r="O70" s="115" t="e">
        <f>IF(SUMIFS('RC Template'!$AW:$AW,'RC Template'!$B:$B,$A70,'RC Template'!$C:$C,O$6)=0,#N/A,SUMIFS('RC Template'!$AW:$AW,'RC Template'!$B:$B,$A70,'RC Template'!$C:$C,O$6))</f>
        <v>#N/A</v>
      </c>
      <c r="P70" s="115" t="e">
        <f>IF(SUMIFS('RC Template'!$AW:$AW,'RC Template'!$B:$B,$A70,'RC Template'!$C:$C,P$6)=0,#N/A,SUMIFS('RC Template'!$AW:$AW,'RC Template'!$B:$B,$A70,'RC Template'!$C:$C,P$6))</f>
        <v>#N/A</v>
      </c>
      <c r="Q70" s="115">
        <f ca="1">MAX(SUMIFS('RC Template'!$AW:$AW,'RC Template'!$B:$B,$A70,'RC Template'!$C:$C,Q$6),Q69*$E$3)</f>
        <v>227.69424252817154</v>
      </c>
      <c r="R70" s="115">
        <f ca="1">MAX(SUMIFS('RC Template'!$AW:$AW,'RC Template'!$B:$B,$A70,'RC Template'!$C:$C,R$6),R69*$E$3)</f>
        <v>78.348468480844815</v>
      </c>
      <c r="S70" s="115">
        <f ca="1">MAX(SUMIFS('RC Template'!$AW:$AW,'RC Template'!$B:$B,$A70,'RC Template'!$C:$C,S$6),S69*$E$3)</f>
        <v>99.571942891576853</v>
      </c>
      <c r="T70" s="115">
        <f ca="1">MAX(SUMIFS('RC Template'!$AW:$AW,'RC Template'!$B:$B,$A70,'RC Template'!$C:$C,T$6),T69*$E$3)</f>
        <v>9.731319521939076</v>
      </c>
      <c r="U70" s="115">
        <f ca="1">MAX(SUMIFS('RC Template'!$AW:$AW,'RC Template'!$B:$B,$A70,'RC Template'!$C:$C,U$6),U69*$E$3)</f>
        <v>93.192287403235909</v>
      </c>
      <c r="V70" s="115">
        <f ca="1">MAX(SUMIFS('RC Template'!$AW:$AW,'RC Template'!$B:$B,$A70,'RC Template'!$C:$C,V$6),V69*$E$3)</f>
        <v>76.707511222006943</v>
      </c>
      <c r="W70" s="115">
        <f ca="1">MAX(SUMIFS('RC Template'!$AW:$AW,'RC Template'!$B:$B,$A70,'RC Template'!$C:$C,W$6),W69*$E$3)</f>
        <v>13.344587287831555</v>
      </c>
      <c r="X70" s="115">
        <f ca="1">MAX(SUMIFS('RC Template'!$AW:$AW,'RC Template'!$B:$B,$A70,'RC Template'!$C:$C,X$6),X69*$E$3)</f>
        <v>72.805786334143534</v>
      </c>
      <c r="Y70" s="115">
        <f ca="1">MAX(SUMIFS('RC Template'!$AW:$AW,'RC Template'!$B:$B,$A70,'RC Template'!$C:$C,Y$6),Y69*$E$3)</f>
        <v>134.92163424843963</v>
      </c>
      <c r="Z70" s="115">
        <f ca="1">MAX(SUMIFS('RC Template'!$AW:$AW,'RC Template'!$B:$B,$A70,'RC Template'!$C:$C,Z$6),Z69*$E$3)</f>
        <v>33.758989747031251</v>
      </c>
      <c r="AA70" s="115">
        <f ca="1">MAX(SUMIFS('RC Template'!$AW:$AW,'RC Template'!$B:$B,$A70,'RC Template'!$C:$C,AA$6),AA69*$E$3)</f>
        <v>0</v>
      </c>
      <c r="AB70" s="115">
        <f ca="1">MAX(SUMIFS('RC Template'!$AW:$AW,'RC Template'!$B:$B,$A70,'RC Template'!$C:$C,AB$6),AB69*$E$3)</f>
        <v>0</v>
      </c>
      <c r="AC70" s="115">
        <f ca="1">MAX(SUMIFS('RC Template'!$AW:$AW,'RC Template'!$B:$B,$A70,'RC Template'!$C:$C,AC$6),AC69*$E$3)</f>
        <v>0</v>
      </c>
      <c r="AD70" s="115">
        <f ca="1">MAX(SUMIFS('RC Template'!$AW:$AW,'RC Template'!$B:$B,$A70,'RC Template'!$C:$C,AD$6),AD69*$E$3)</f>
        <v>0</v>
      </c>
    </row>
    <row r="71" spans="1:30" x14ac:dyDescent="0.3">
      <c r="A71" s="1">
        <v>43170</v>
      </c>
      <c r="B71" s="115">
        <f t="shared" ca="1" si="5"/>
        <v>824.50033883865865</v>
      </c>
      <c r="C71" s="115">
        <f ca="1">IF(SUMIFS('RC Template'!$AW:$AW,'RC Template'!$B:$B,$A71,'RC Template'!$C:$C,C$6)=0,#N/A,SUMIFS('RC Template'!$AW:$AW,'RC Template'!$B:$B,$A71,'RC Template'!$C:$C,C$6))</f>
        <v>223.52817997907488</v>
      </c>
      <c r="D71" s="115" t="e">
        <f>IF(SUMIFS('RC Template'!$AW:$AW,'RC Template'!$B:$B,$A71,'RC Template'!$C:$C,D$6)=0,#N/A,SUMIFS('RC Template'!$AW:$AW,'RC Template'!$B:$B,$A71,'RC Template'!$C:$C,D$6))</f>
        <v>#N/A</v>
      </c>
      <c r="E71" s="115" t="e">
        <f>IF(SUMIFS('RC Template'!$AW:$AW,'RC Template'!$B:$B,$A71,'RC Template'!$C:$C,E$6)=0,#N/A,SUMIFS('RC Template'!$AW:$AW,'RC Template'!$B:$B,$A71,'RC Template'!$C:$C,E$6))</f>
        <v>#N/A</v>
      </c>
      <c r="F71" s="115" t="e">
        <f>IF(SUMIFS('RC Template'!$AW:$AW,'RC Template'!$B:$B,$A71,'RC Template'!$C:$C,F$6)=0,#N/A,SUMIFS('RC Template'!$AW:$AW,'RC Template'!$B:$B,$A71,'RC Template'!$C:$C,F$6))</f>
        <v>#N/A</v>
      </c>
      <c r="G71" s="115">
        <f ca="1">IF(SUMIFS('RC Template'!$AW:$AW,'RC Template'!$B:$B,$A71,'RC Template'!$C:$C,G$6)=0,#N/A,SUMIFS('RC Template'!$AW:$AW,'RC Template'!$B:$B,$A71,'RC Template'!$C:$C,G$6))</f>
        <v>94.761675119115466</v>
      </c>
      <c r="H71" s="115" t="e">
        <f>IF(SUMIFS('RC Template'!$AW:$AW,'RC Template'!$B:$B,$A71,'RC Template'!$C:$C,H$6)=0,#N/A,SUMIFS('RC Template'!$AW:$AW,'RC Template'!$B:$B,$A71,'RC Template'!$C:$C,H$6))</f>
        <v>#N/A</v>
      </c>
      <c r="I71" s="115" t="e">
        <f>IF(SUMIFS('RC Template'!$AW:$AW,'RC Template'!$B:$B,$A71,'RC Template'!$C:$C,I$6)=0,#N/A,SUMIFS('RC Template'!$AW:$AW,'RC Template'!$B:$B,$A71,'RC Template'!$C:$C,I$6))</f>
        <v>#N/A</v>
      </c>
      <c r="J71" s="115" t="e">
        <f>IF(SUMIFS('RC Template'!$AW:$AW,'RC Template'!$B:$B,$A71,'RC Template'!$C:$C,J$6)=0,#N/A,SUMIFS('RC Template'!$AW:$AW,'RC Template'!$B:$B,$A71,'RC Template'!$C:$C,J$6))</f>
        <v>#N/A</v>
      </c>
      <c r="K71" s="115" t="e">
        <f>IF(SUMIFS('RC Template'!$AW:$AW,'RC Template'!$B:$B,$A71,'RC Template'!$C:$C,K$6)=0,#N/A,SUMIFS('RC Template'!$AW:$AW,'RC Template'!$B:$B,$A71,'RC Template'!$C:$C,K$6))</f>
        <v>#N/A</v>
      </c>
      <c r="L71" s="115" t="e">
        <f>IF(SUMIFS('RC Template'!$AW:$AW,'RC Template'!$B:$B,$A71,'RC Template'!$C:$C,L$6)=0,#N/A,SUMIFS('RC Template'!$AW:$AW,'RC Template'!$B:$B,$A71,'RC Template'!$C:$C,L$6))</f>
        <v>#N/A</v>
      </c>
      <c r="M71" s="115" t="e">
        <f>IF(SUMIFS('RC Template'!$AW:$AW,'RC Template'!$B:$B,$A71,'RC Template'!$C:$C,M$6)=0,#N/A,SUMIFS('RC Template'!$AW:$AW,'RC Template'!$B:$B,$A71,'RC Template'!$C:$C,M$6))</f>
        <v>#N/A</v>
      </c>
      <c r="N71" s="115" t="e">
        <f>IF(SUMIFS('RC Template'!$AW:$AW,'RC Template'!$B:$B,$A71,'RC Template'!$C:$C,N$6)=0,#N/A,SUMIFS('RC Template'!$AW:$AW,'RC Template'!$B:$B,$A71,'RC Template'!$C:$C,N$6))</f>
        <v>#N/A</v>
      </c>
      <c r="O71" s="115" t="e">
        <f>IF(SUMIFS('RC Template'!$AW:$AW,'RC Template'!$B:$B,$A71,'RC Template'!$C:$C,O$6)=0,#N/A,SUMIFS('RC Template'!$AW:$AW,'RC Template'!$B:$B,$A71,'RC Template'!$C:$C,O$6))</f>
        <v>#N/A</v>
      </c>
      <c r="P71" s="115" t="e">
        <f>IF(SUMIFS('RC Template'!$AW:$AW,'RC Template'!$B:$B,$A71,'RC Template'!$C:$C,P$6)=0,#N/A,SUMIFS('RC Template'!$AW:$AW,'RC Template'!$B:$B,$A71,'RC Template'!$C:$C,P$6))</f>
        <v>#N/A</v>
      </c>
      <c r="Q71" s="115">
        <f ca="1">MAX(SUMIFS('RC Template'!$AW:$AW,'RC Template'!$B:$B,$A71,'RC Template'!$C:$C,Q$6),Q70*$E$3)</f>
        <v>223.52817997907488</v>
      </c>
      <c r="R71" s="115">
        <f ca="1">MAX(SUMIFS('RC Template'!$AW:$AW,'RC Template'!$B:$B,$A71,'RC Template'!$C:$C,R$6),R70*$E$3)</f>
        <v>76.389756768823688</v>
      </c>
      <c r="S71" s="115">
        <f ca="1">MAX(SUMIFS('RC Template'!$AW:$AW,'RC Template'!$B:$B,$A71,'RC Template'!$C:$C,S$6),S70*$E$3)</f>
        <v>97.082644319287425</v>
      </c>
      <c r="T71" s="115">
        <f ca="1">MAX(SUMIFS('RC Template'!$AW:$AW,'RC Template'!$B:$B,$A71,'RC Template'!$C:$C,T$6),T70*$E$3)</f>
        <v>9.4880365338905985</v>
      </c>
      <c r="U71" s="115">
        <f ca="1">MAX(SUMIFS('RC Template'!$AW:$AW,'RC Template'!$B:$B,$A71,'RC Template'!$C:$C,U$6),U70*$E$3)</f>
        <v>94.761675119115466</v>
      </c>
      <c r="V71" s="115">
        <f ca="1">MAX(SUMIFS('RC Template'!$AW:$AW,'RC Template'!$B:$B,$A71,'RC Template'!$C:$C,V$6),V70*$E$3)</f>
        <v>74.789823441456761</v>
      </c>
      <c r="W71" s="115">
        <f ca="1">MAX(SUMIFS('RC Template'!$AW:$AW,'RC Template'!$B:$B,$A71,'RC Template'!$C:$C,W$6),W70*$E$3)</f>
        <v>13.010972605635766</v>
      </c>
      <c r="X71" s="115">
        <f ca="1">MAX(SUMIFS('RC Template'!$AW:$AW,'RC Template'!$B:$B,$A71,'RC Template'!$C:$C,X$6),X70*$E$3)</f>
        <v>70.98564167578995</v>
      </c>
      <c r="Y71" s="115">
        <f ca="1">MAX(SUMIFS('RC Template'!$AW:$AW,'RC Template'!$B:$B,$A71,'RC Template'!$C:$C,Y$6),Y70*$E$3)</f>
        <v>131.54859339222864</v>
      </c>
      <c r="Z71" s="115">
        <f ca="1">MAX(SUMIFS('RC Template'!$AW:$AW,'RC Template'!$B:$B,$A71,'RC Template'!$C:$C,Z$6),Z70*$E$3)</f>
        <v>32.915015003355471</v>
      </c>
      <c r="AA71" s="115">
        <f ca="1">MAX(SUMIFS('RC Template'!$AW:$AW,'RC Template'!$B:$B,$A71,'RC Template'!$C:$C,AA$6),AA70*$E$3)</f>
        <v>0</v>
      </c>
      <c r="AB71" s="115">
        <f ca="1">MAX(SUMIFS('RC Template'!$AW:$AW,'RC Template'!$B:$B,$A71,'RC Template'!$C:$C,AB$6),AB70*$E$3)</f>
        <v>0</v>
      </c>
      <c r="AC71" s="115">
        <f ca="1">MAX(SUMIFS('RC Template'!$AW:$AW,'RC Template'!$B:$B,$A71,'RC Template'!$C:$C,AC$6),AC70*$E$3)</f>
        <v>0</v>
      </c>
      <c r="AD71" s="115">
        <f ca="1">MAX(SUMIFS('RC Template'!$AW:$AW,'RC Template'!$B:$B,$A71,'RC Template'!$C:$C,AD$6),AD70*$E$3)</f>
        <v>0</v>
      </c>
    </row>
    <row r="72" spans="1:30" x14ac:dyDescent="0.3">
      <c r="A72" s="1">
        <v>43171</v>
      </c>
      <c r="B72" s="115">
        <f t="shared" ca="1" si="5"/>
        <v>803.887830367692</v>
      </c>
      <c r="C72" s="115" t="e">
        <f>IF(SUMIFS('RC Template'!$AW:$AW,'RC Template'!$B:$B,$A72,'RC Template'!$C:$C,C$6)=0,#N/A,SUMIFS('RC Template'!$AW:$AW,'RC Template'!$B:$B,$A72,'RC Template'!$C:$C,C$6))</f>
        <v>#N/A</v>
      </c>
      <c r="D72" s="115" t="e">
        <f>IF(SUMIFS('RC Template'!$AW:$AW,'RC Template'!$B:$B,$A72,'RC Template'!$C:$C,D$6)=0,#N/A,SUMIFS('RC Template'!$AW:$AW,'RC Template'!$B:$B,$A72,'RC Template'!$C:$C,D$6))</f>
        <v>#N/A</v>
      </c>
      <c r="E72" s="115" t="e">
        <f>IF(SUMIFS('RC Template'!$AW:$AW,'RC Template'!$B:$B,$A72,'RC Template'!$C:$C,E$6)=0,#N/A,SUMIFS('RC Template'!$AW:$AW,'RC Template'!$B:$B,$A72,'RC Template'!$C:$C,E$6))</f>
        <v>#N/A</v>
      </c>
      <c r="F72" s="115" t="e">
        <f>IF(SUMIFS('RC Template'!$AW:$AW,'RC Template'!$B:$B,$A72,'RC Template'!$C:$C,F$6)=0,#N/A,SUMIFS('RC Template'!$AW:$AW,'RC Template'!$B:$B,$A72,'RC Template'!$C:$C,F$6))</f>
        <v>#N/A</v>
      </c>
      <c r="G72" s="115" t="e">
        <f>IF(SUMIFS('RC Template'!$AW:$AW,'RC Template'!$B:$B,$A72,'RC Template'!$C:$C,G$6)=0,#N/A,SUMIFS('RC Template'!$AW:$AW,'RC Template'!$B:$B,$A72,'RC Template'!$C:$C,G$6))</f>
        <v>#N/A</v>
      </c>
      <c r="H72" s="115" t="e">
        <f>IF(SUMIFS('RC Template'!$AW:$AW,'RC Template'!$B:$B,$A72,'RC Template'!$C:$C,H$6)=0,#N/A,SUMIFS('RC Template'!$AW:$AW,'RC Template'!$B:$B,$A72,'RC Template'!$C:$C,H$6))</f>
        <v>#N/A</v>
      </c>
      <c r="I72" s="115" t="e">
        <f>IF(SUMIFS('RC Template'!$AW:$AW,'RC Template'!$B:$B,$A72,'RC Template'!$C:$C,I$6)=0,#N/A,SUMIFS('RC Template'!$AW:$AW,'RC Template'!$B:$B,$A72,'RC Template'!$C:$C,I$6))</f>
        <v>#N/A</v>
      </c>
      <c r="J72" s="115" t="e">
        <f>IF(SUMIFS('RC Template'!$AW:$AW,'RC Template'!$B:$B,$A72,'RC Template'!$C:$C,J$6)=0,#N/A,SUMIFS('RC Template'!$AW:$AW,'RC Template'!$B:$B,$A72,'RC Template'!$C:$C,J$6))</f>
        <v>#N/A</v>
      </c>
      <c r="K72" s="115" t="e">
        <f>IF(SUMIFS('RC Template'!$AW:$AW,'RC Template'!$B:$B,$A72,'RC Template'!$C:$C,K$6)=0,#N/A,SUMIFS('RC Template'!$AW:$AW,'RC Template'!$B:$B,$A72,'RC Template'!$C:$C,K$6))</f>
        <v>#N/A</v>
      </c>
      <c r="L72" s="115" t="e">
        <f>IF(SUMIFS('RC Template'!$AW:$AW,'RC Template'!$B:$B,$A72,'RC Template'!$C:$C,L$6)=0,#N/A,SUMIFS('RC Template'!$AW:$AW,'RC Template'!$B:$B,$A72,'RC Template'!$C:$C,L$6))</f>
        <v>#N/A</v>
      </c>
      <c r="M72" s="115" t="e">
        <f>IF(SUMIFS('RC Template'!$AW:$AW,'RC Template'!$B:$B,$A72,'RC Template'!$C:$C,M$6)=0,#N/A,SUMIFS('RC Template'!$AW:$AW,'RC Template'!$B:$B,$A72,'RC Template'!$C:$C,M$6))</f>
        <v>#N/A</v>
      </c>
      <c r="N72" s="115" t="e">
        <f>IF(SUMIFS('RC Template'!$AW:$AW,'RC Template'!$B:$B,$A72,'RC Template'!$C:$C,N$6)=0,#N/A,SUMIFS('RC Template'!$AW:$AW,'RC Template'!$B:$B,$A72,'RC Template'!$C:$C,N$6))</f>
        <v>#N/A</v>
      </c>
      <c r="O72" s="115" t="e">
        <f>IF(SUMIFS('RC Template'!$AW:$AW,'RC Template'!$B:$B,$A72,'RC Template'!$C:$C,O$6)=0,#N/A,SUMIFS('RC Template'!$AW:$AW,'RC Template'!$B:$B,$A72,'RC Template'!$C:$C,O$6))</f>
        <v>#N/A</v>
      </c>
      <c r="P72" s="115" t="e">
        <f>IF(SUMIFS('RC Template'!$AW:$AW,'RC Template'!$B:$B,$A72,'RC Template'!$C:$C,P$6)=0,#N/A,SUMIFS('RC Template'!$AW:$AW,'RC Template'!$B:$B,$A72,'RC Template'!$C:$C,P$6))</f>
        <v>#N/A</v>
      </c>
      <c r="Q72" s="115">
        <f ca="1">MAX(SUMIFS('RC Template'!$AW:$AW,'RC Template'!$B:$B,$A72,'RC Template'!$C:$C,Q$6),Q71*$E$3)</f>
        <v>217.93997547959799</v>
      </c>
      <c r="R72" s="115">
        <f ca="1">MAX(SUMIFS('RC Template'!$AW:$AW,'RC Template'!$B:$B,$A72,'RC Template'!$C:$C,R$6),R71*$E$3)</f>
        <v>74.480012849603099</v>
      </c>
      <c r="S72" s="115">
        <f ca="1">MAX(SUMIFS('RC Template'!$AW:$AW,'RC Template'!$B:$B,$A72,'RC Template'!$C:$C,S$6),S71*$E$3)</f>
        <v>94.65557821130524</v>
      </c>
      <c r="T72" s="115">
        <f ca="1">MAX(SUMIFS('RC Template'!$AW:$AW,'RC Template'!$B:$B,$A72,'RC Template'!$C:$C,T$6),T71*$E$3)</f>
        <v>9.2508356205433326</v>
      </c>
      <c r="U72" s="115">
        <f ca="1">MAX(SUMIFS('RC Template'!$AW:$AW,'RC Template'!$B:$B,$A72,'RC Template'!$C:$C,U$6),U71*$E$3)</f>
        <v>92.392633241137574</v>
      </c>
      <c r="V72" s="115">
        <f ca="1">MAX(SUMIFS('RC Template'!$AW:$AW,'RC Template'!$B:$B,$A72,'RC Template'!$C:$C,V$6),V71*$E$3)</f>
        <v>72.920077855420345</v>
      </c>
      <c r="W72" s="115">
        <f ca="1">MAX(SUMIFS('RC Template'!$AW:$AW,'RC Template'!$B:$B,$A72,'RC Template'!$C:$C,W$6),W71*$E$3)</f>
        <v>12.685698290494871</v>
      </c>
      <c r="X72" s="115">
        <f ca="1">MAX(SUMIFS('RC Template'!$AW:$AW,'RC Template'!$B:$B,$A72,'RC Template'!$C:$C,X$6),X71*$E$3)</f>
        <v>69.211000633895196</v>
      </c>
      <c r="Y72" s="115">
        <f ca="1">MAX(SUMIFS('RC Template'!$AW:$AW,'RC Template'!$B:$B,$A72,'RC Template'!$C:$C,Y$6),Y71*$E$3)</f>
        <v>128.25987855742292</v>
      </c>
      <c r="Z72" s="115">
        <f ca="1">MAX(SUMIFS('RC Template'!$AW:$AW,'RC Template'!$B:$B,$A72,'RC Template'!$C:$C,Z$6),Z71*$E$3)</f>
        <v>32.092139628271582</v>
      </c>
      <c r="AA72" s="115">
        <f ca="1">MAX(SUMIFS('RC Template'!$AW:$AW,'RC Template'!$B:$B,$A72,'RC Template'!$C:$C,AA$6),AA71*$E$3)</f>
        <v>0</v>
      </c>
      <c r="AB72" s="115">
        <f ca="1">MAX(SUMIFS('RC Template'!$AW:$AW,'RC Template'!$B:$B,$A72,'RC Template'!$C:$C,AB$6),AB71*$E$3)</f>
        <v>0</v>
      </c>
      <c r="AC72" s="115">
        <f ca="1">MAX(SUMIFS('RC Template'!$AW:$AW,'RC Template'!$B:$B,$A72,'RC Template'!$C:$C,AC$6),AC71*$E$3)</f>
        <v>0</v>
      </c>
      <c r="AD72" s="115">
        <f ca="1">MAX(SUMIFS('RC Template'!$AW:$AW,'RC Template'!$B:$B,$A72,'RC Template'!$C:$C,AD$6),AD71*$E$3)</f>
        <v>0</v>
      </c>
    </row>
    <row r="73" spans="1:30" x14ac:dyDescent="0.3">
      <c r="A73" s="1">
        <v>43172</v>
      </c>
      <c r="B73" s="115">
        <f t="shared" ca="1" si="5"/>
        <v>783.79063460849966</v>
      </c>
      <c r="C73" s="115" t="e">
        <f>IF(SUMIFS('RC Template'!$AW:$AW,'RC Template'!$B:$B,$A73,'RC Template'!$C:$C,C$6)=0,#N/A,SUMIFS('RC Template'!$AW:$AW,'RC Template'!$B:$B,$A73,'RC Template'!$C:$C,C$6))</f>
        <v>#N/A</v>
      </c>
      <c r="D73" s="115" t="e">
        <f>IF(SUMIFS('RC Template'!$AW:$AW,'RC Template'!$B:$B,$A73,'RC Template'!$C:$C,D$6)=0,#N/A,SUMIFS('RC Template'!$AW:$AW,'RC Template'!$B:$B,$A73,'RC Template'!$C:$C,D$6))</f>
        <v>#N/A</v>
      </c>
      <c r="E73" s="115" t="e">
        <f>IF(SUMIFS('RC Template'!$AW:$AW,'RC Template'!$B:$B,$A73,'RC Template'!$C:$C,E$6)=0,#N/A,SUMIFS('RC Template'!$AW:$AW,'RC Template'!$B:$B,$A73,'RC Template'!$C:$C,E$6))</f>
        <v>#N/A</v>
      </c>
      <c r="F73" s="115" t="e">
        <f>IF(SUMIFS('RC Template'!$AW:$AW,'RC Template'!$B:$B,$A73,'RC Template'!$C:$C,F$6)=0,#N/A,SUMIFS('RC Template'!$AW:$AW,'RC Template'!$B:$B,$A73,'RC Template'!$C:$C,F$6))</f>
        <v>#N/A</v>
      </c>
      <c r="G73" s="115" t="e">
        <f>IF(SUMIFS('RC Template'!$AW:$AW,'RC Template'!$B:$B,$A73,'RC Template'!$C:$C,G$6)=0,#N/A,SUMIFS('RC Template'!$AW:$AW,'RC Template'!$B:$B,$A73,'RC Template'!$C:$C,G$6))</f>
        <v>#N/A</v>
      </c>
      <c r="H73" s="115" t="e">
        <f>IF(SUMIFS('RC Template'!$AW:$AW,'RC Template'!$B:$B,$A73,'RC Template'!$C:$C,H$6)=0,#N/A,SUMIFS('RC Template'!$AW:$AW,'RC Template'!$B:$B,$A73,'RC Template'!$C:$C,H$6))</f>
        <v>#N/A</v>
      </c>
      <c r="I73" s="115" t="e">
        <f>IF(SUMIFS('RC Template'!$AW:$AW,'RC Template'!$B:$B,$A73,'RC Template'!$C:$C,I$6)=0,#N/A,SUMIFS('RC Template'!$AW:$AW,'RC Template'!$B:$B,$A73,'RC Template'!$C:$C,I$6))</f>
        <v>#N/A</v>
      </c>
      <c r="J73" s="115" t="e">
        <f>IF(SUMIFS('RC Template'!$AW:$AW,'RC Template'!$B:$B,$A73,'RC Template'!$C:$C,J$6)=0,#N/A,SUMIFS('RC Template'!$AW:$AW,'RC Template'!$B:$B,$A73,'RC Template'!$C:$C,J$6))</f>
        <v>#N/A</v>
      </c>
      <c r="K73" s="115" t="e">
        <f>IF(SUMIFS('RC Template'!$AW:$AW,'RC Template'!$B:$B,$A73,'RC Template'!$C:$C,K$6)=0,#N/A,SUMIFS('RC Template'!$AW:$AW,'RC Template'!$B:$B,$A73,'RC Template'!$C:$C,K$6))</f>
        <v>#N/A</v>
      </c>
      <c r="L73" s="115" t="e">
        <f>IF(SUMIFS('RC Template'!$AW:$AW,'RC Template'!$B:$B,$A73,'RC Template'!$C:$C,L$6)=0,#N/A,SUMIFS('RC Template'!$AW:$AW,'RC Template'!$B:$B,$A73,'RC Template'!$C:$C,L$6))</f>
        <v>#N/A</v>
      </c>
      <c r="M73" s="115" t="e">
        <f>IF(SUMIFS('RC Template'!$AW:$AW,'RC Template'!$B:$B,$A73,'RC Template'!$C:$C,M$6)=0,#N/A,SUMIFS('RC Template'!$AW:$AW,'RC Template'!$B:$B,$A73,'RC Template'!$C:$C,M$6))</f>
        <v>#N/A</v>
      </c>
      <c r="N73" s="115" t="e">
        <f>IF(SUMIFS('RC Template'!$AW:$AW,'RC Template'!$B:$B,$A73,'RC Template'!$C:$C,N$6)=0,#N/A,SUMIFS('RC Template'!$AW:$AW,'RC Template'!$B:$B,$A73,'RC Template'!$C:$C,N$6))</f>
        <v>#N/A</v>
      </c>
      <c r="O73" s="115" t="e">
        <f>IF(SUMIFS('RC Template'!$AW:$AW,'RC Template'!$B:$B,$A73,'RC Template'!$C:$C,O$6)=0,#N/A,SUMIFS('RC Template'!$AW:$AW,'RC Template'!$B:$B,$A73,'RC Template'!$C:$C,O$6))</f>
        <v>#N/A</v>
      </c>
      <c r="P73" s="115" t="e">
        <f>IF(SUMIFS('RC Template'!$AW:$AW,'RC Template'!$B:$B,$A73,'RC Template'!$C:$C,P$6)=0,#N/A,SUMIFS('RC Template'!$AW:$AW,'RC Template'!$B:$B,$A73,'RC Template'!$C:$C,P$6))</f>
        <v>#N/A</v>
      </c>
      <c r="Q73" s="115">
        <f ca="1">MAX(SUMIFS('RC Template'!$AW:$AW,'RC Template'!$B:$B,$A73,'RC Template'!$C:$C,Q$6),Q72*$E$3)</f>
        <v>212.49147609260802</v>
      </c>
      <c r="R73" s="115">
        <f ca="1">MAX(SUMIFS('RC Template'!$AW:$AW,'RC Template'!$B:$B,$A73,'RC Template'!$C:$C,R$6),R72*$E$3)</f>
        <v>72.618012528363025</v>
      </c>
      <c r="S73" s="115">
        <f ca="1">MAX(SUMIFS('RC Template'!$AW:$AW,'RC Template'!$B:$B,$A73,'RC Template'!$C:$C,S$6),S72*$E$3)</f>
        <v>92.289188756022611</v>
      </c>
      <c r="T73" s="115">
        <f ca="1">MAX(SUMIFS('RC Template'!$AW:$AW,'RC Template'!$B:$B,$A73,'RC Template'!$C:$C,T$6),T72*$E$3)</f>
        <v>9.0195647300297495</v>
      </c>
      <c r="U73" s="115">
        <f ca="1">MAX(SUMIFS('RC Template'!$AW:$AW,'RC Template'!$B:$B,$A73,'RC Template'!$C:$C,U$6),U72*$E$3)</f>
        <v>90.082817410109129</v>
      </c>
      <c r="V73" s="115">
        <f ca="1">MAX(SUMIFS('RC Template'!$AW:$AW,'RC Template'!$B:$B,$A73,'RC Template'!$C:$C,V$6),V72*$E$3)</f>
        <v>71.097075909034828</v>
      </c>
      <c r="W73" s="115">
        <f ca="1">MAX(SUMIFS('RC Template'!$AW:$AW,'RC Template'!$B:$B,$A73,'RC Template'!$C:$C,W$6),W72*$E$3)</f>
        <v>12.368555833232499</v>
      </c>
      <c r="X73" s="115">
        <f ca="1">MAX(SUMIFS('RC Template'!$AW:$AW,'RC Template'!$B:$B,$A73,'RC Template'!$C:$C,X$6),X72*$E$3)</f>
        <v>67.480725618047813</v>
      </c>
      <c r="Y73" s="115">
        <f ca="1">MAX(SUMIFS('RC Template'!$AW:$AW,'RC Template'!$B:$B,$A73,'RC Template'!$C:$C,Y$6),Y72*$E$3)</f>
        <v>125.05338159348734</v>
      </c>
      <c r="Z73" s="115">
        <f ca="1">MAX(SUMIFS('RC Template'!$AW:$AW,'RC Template'!$B:$B,$A73,'RC Template'!$C:$C,Z$6),Z72*$E$3)</f>
        <v>31.289836137564791</v>
      </c>
      <c r="AA73" s="115">
        <f ca="1">MAX(SUMIFS('RC Template'!$AW:$AW,'RC Template'!$B:$B,$A73,'RC Template'!$C:$C,AA$6),AA72*$E$3)</f>
        <v>0</v>
      </c>
      <c r="AB73" s="115">
        <f ca="1">MAX(SUMIFS('RC Template'!$AW:$AW,'RC Template'!$B:$B,$A73,'RC Template'!$C:$C,AB$6),AB72*$E$3)</f>
        <v>0</v>
      </c>
      <c r="AC73" s="115">
        <f ca="1">MAX(SUMIFS('RC Template'!$AW:$AW,'RC Template'!$B:$B,$A73,'RC Template'!$C:$C,AC$6),AC72*$E$3)</f>
        <v>0</v>
      </c>
      <c r="AD73" s="115">
        <f ca="1">MAX(SUMIFS('RC Template'!$AW:$AW,'RC Template'!$B:$B,$A73,'RC Template'!$C:$C,AD$6),AD72*$E$3)</f>
        <v>0</v>
      </c>
    </row>
    <row r="74" spans="1:30" x14ac:dyDescent="0.3">
      <c r="A74" s="1">
        <v>43173</v>
      </c>
      <c r="B74" s="115">
        <f t="shared" ca="1" si="5"/>
        <v>816.52113029830161</v>
      </c>
      <c r="C74" s="115">
        <f ca="1">IF(SUMIFS('RC Template'!$AW:$AW,'RC Template'!$B:$B,$A74,'RC Template'!$C:$C,C$6)=0,#N/A,SUMIFS('RC Template'!$AW:$AW,'RC Template'!$B:$B,$A74,'RC Template'!$C:$C,C$6))</f>
        <v>225.0820369387759</v>
      </c>
      <c r="D74" s="115" t="e">
        <f>IF(SUMIFS('RC Template'!$AW:$AW,'RC Template'!$B:$B,$A74,'RC Template'!$C:$C,D$6)=0,#N/A,SUMIFS('RC Template'!$AW:$AW,'RC Template'!$B:$B,$A74,'RC Template'!$C:$C,D$6))</f>
        <v>#N/A</v>
      </c>
      <c r="E74" s="115" t="e">
        <f>IF(SUMIFS('RC Template'!$AW:$AW,'RC Template'!$B:$B,$A74,'RC Template'!$C:$C,E$6)=0,#N/A,SUMIFS('RC Template'!$AW:$AW,'RC Template'!$B:$B,$A74,'RC Template'!$C:$C,E$6))</f>
        <v>#N/A</v>
      </c>
      <c r="F74" s="115" t="e">
        <f>IF(SUMIFS('RC Template'!$AW:$AW,'RC Template'!$B:$B,$A74,'RC Template'!$C:$C,F$6)=0,#N/A,SUMIFS('RC Template'!$AW:$AW,'RC Template'!$B:$B,$A74,'RC Template'!$C:$C,F$6))</f>
        <v>#N/A</v>
      </c>
      <c r="G74" s="115">
        <f ca="1">IF(SUMIFS('RC Template'!$AW:$AW,'RC Template'!$B:$B,$A74,'RC Template'!$C:$C,G$6)=0,#N/A,SUMIFS('RC Template'!$AW:$AW,'RC Template'!$B:$B,$A74,'RC Template'!$C:$C,G$6))</f>
        <v>97.530876774184151</v>
      </c>
      <c r="H74" s="115">
        <f ca="1">IF(SUMIFS('RC Template'!$AW:$AW,'RC Template'!$B:$B,$A74,'RC Template'!$C:$C,H$6)=0,#N/A,SUMIFS('RC Template'!$AW:$AW,'RC Template'!$B:$B,$A74,'RC Template'!$C:$C,H$6))</f>
        <v>60.007500000000007</v>
      </c>
      <c r="I74" s="115" t="e">
        <f>IF(SUMIFS('RC Template'!$AW:$AW,'RC Template'!$B:$B,$A74,'RC Template'!$C:$C,I$6)=0,#N/A,SUMIFS('RC Template'!$AW:$AW,'RC Template'!$B:$B,$A74,'RC Template'!$C:$C,I$6))</f>
        <v>#N/A</v>
      </c>
      <c r="J74" s="115">
        <f ca="1">IF(SUMIFS('RC Template'!$AW:$AW,'RC Template'!$B:$B,$A74,'RC Template'!$C:$C,J$6)=0,#N/A,SUMIFS('RC Template'!$AW:$AW,'RC Template'!$B:$B,$A74,'RC Template'!$C:$C,J$6))</f>
        <v>90.51599148480004</v>
      </c>
      <c r="K74" s="115" t="e">
        <f>IF(SUMIFS('RC Template'!$AW:$AW,'RC Template'!$B:$B,$A74,'RC Template'!$C:$C,K$6)=0,#N/A,SUMIFS('RC Template'!$AW:$AW,'RC Template'!$B:$B,$A74,'RC Template'!$C:$C,K$6))</f>
        <v>#N/A</v>
      </c>
      <c r="L74" s="115" t="e">
        <f>IF(SUMIFS('RC Template'!$AW:$AW,'RC Template'!$B:$B,$A74,'RC Template'!$C:$C,L$6)=0,#N/A,SUMIFS('RC Template'!$AW:$AW,'RC Template'!$B:$B,$A74,'RC Template'!$C:$C,L$6))</f>
        <v>#N/A</v>
      </c>
      <c r="M74" s="115" t="e">
        <f>IF(SUMIFS('RC Template'!$AW:$AW,'RC Template'!$B:$B,$A74,'RC Template'!$C:$C,M$6)=0,#N/A,SUMIFS('RC Template'!$AW:$AW,'RC Template'!$B:$B,$A74,'RC Template'!$C:$C,M$6))</f>
        <v>#N/A</v>
      </c>
      <c r="N74" s="115" t="e">
        <f>IF(SUMIFS('RC Template'!$AW:$AW,'RC Template'!$B:$B,$A74,'RC Template'!$C:$C,N$6)=0,#N/A,SUMIFS('RC Template'!$AW:$AW,'RC Template'!$B:$B,$A74,'RC Template'!$C:$C,N$6))</f>
        <v>#N/A</v>
      </c>
      <c r="O74" s="115" t="e">
        <f>IF(SUMIFS('RC Template'!$AW:$AW,'RC Template'!$B:$B,$A74,'RC Template'!$C:$C,O$6)=0,#N/A,SUMIFS('RC Template'!$AW:$AW,'RC Template'!$B:$B,$A74,'RC Template'!$C:$C,O$6))</f>
        <v>#N/A</v>
      </c>
      <c r="P74" s="115" t="e">
        <f>IF(SUMIFS('RC Template'!$AW:$AW,'RC Template'!$B:$B,$A74,'RC Template'!$C:$C,P$6)=0,#N/A,SUMIFS('RC Template'!$AW:$AW,'RC Template'!$B:$B,$A74,'RC Template'!$C:$C,P$6))</f>
        <v>#N/A</v>
      </c>
      <c r="Q74" s="115">
        <f ca="1">MAX(SUMIFS('RC Template'!$AW:$AW,'RC Template'!$B:$B,$A74,'RC Template'!$C:$C,Q$6),Q73*$E$3)</f>
        <v>225.0820369387759</v>
      </c>
      <c r="R74" s="115">
        <f ca="1">MAX(SUMIFS('RC Template'!$AW:$AW,'RC Template'!$B:$B,$A74,'RC Template'!$C:$C,R$6),R73*$E$3)</f>
        <v>70.802562215153941</v>
      </c>
      <c r="S74" s="115">
        <f ca="1">MAX(SUMIFS('RC Template'!$AW:$AW,'RC Template'!$B:$B,$A74,'RC Template'!$C:$C,S$6),S73*$E$3)</f>
        <v>89.981959037122039</v>
      </c>
      <c r="T74" s="115">
        <f ca="1">MAX(SUMIFS('RC Template'!$AW:$AW,'RC Template'!$B:$B,$A74,'RC Template'!$C:$C,T$6),T73*$E$3)</f>
        <v>8.7940756117790055</v>
      </c>
      <c r="U74" s="115">
        <f ca="1">MAX(SUMIFS('RC Template'!$AW:$AW,'RC Template'!$B:$B,$A74,'RC Template'!$C:$C,U$6),U73*$E$3)</f>
        <v>97.530876774184151</v>
      </c>
      <c r="V74" s="115">
        <f ca="1">MAX(SUMIFS('RC Template'!$AW:$AW,'RC Template'!$B:$B,$A74,'RC Template'!$C:$C,V$6),V73*$E$3)</f>
        <v>69.319649011308954</v>
      </c>
      <c r="W74" s="115">
        <f ca="1">MAX(SUMIFS('RC Template'!$AW:$AW,'RC Template'!$B:$B,$A74,'RC Template'!$C:$C,W$6),W73*$E$3)</f>
        <v>12.059341937401687</v>
      </c>
      <c r="X74" s="115">
        <f ca="1">MAX(SUMIFS('RC Template'!$AW:$AW,'RC Template'!$B:$B,$A74,'RC Template'!$C:$C,X$6),X73*$E$3)</f>
        <v>90.51599148480004</v>
      </c>
      <c r="Y74" s="115">
        <f ca="1">MAX(SUMIFS('RC Template'!$AW:$AW,'RC Template'!$B:$B,$A74,'RC Template'!$C:$C,Y$6),Y73*$E$3)</f>
        <v>121.92704705365016</v>
      </c>
      <c r="Z74" s="115">
        <f ca="1">MAX(SUMIFS('RC Template'!$AW:$AW,'RC Template'!$B:$B,$A74,'RC Template'!$C:$C,Z$6),Z73*$E$3)</f>
        <v>30.507590234125672</v>
      </c>
      <c r="AA74" s="115">
        <f ca="1">MAX(SUMIFS('RC Template'!$AW:$AW,'RC Template'!$B:$B,$A74,'RC Template'!$C:$C,AA$6),AA73*$E$3)</f>
        <v>0</v>
      </c>
      <c r="AB74" s="115">
        <f ca="1">MAX(SUMIFS('RC Template'!$AW:$AW,'RC Template'!$B:$B,$A74,'RC Template'!$C:$C,AB$6),AB73*$E$3)</f>
        <v>0</v>
      </c>
      <c r="AC74" s="115">
        <f ca="1">MAX(SUMIFS('RC Template'!$AW:$AW,'RC Template'!$B:$B,$A74,'RC Template'!$C:$C,AC$6),AC73*$E$3)</f>
        <v>0</v>
      </c>
      <c r="AD74" s="115">
        <f ca="1">MAX(SUMIFS('RC Template'!$AW:$AW,'RC Template'!$B:$B,$A74,'RC Template'!$C:$C,AD$6),AD73*$E$3)</f>
        <v>0</v>
      </c>
    </row>
    <row r="75" spans="1:30" x14ac:dyDescent="0.3">
      <c r="A75" s="1">
        <v>43174</v>
      </c>
      <c r="B75" s="115">
        <f ca="1">SUM(Q75:AD75)</f>
        <v>796.10810204084396</v>
      </c>
      <c r="C75" s="115" t="e">
        <f>IF(SUMIFS('RC Template'!$AW:$AW,'RC Template'!$B:$B,$A75,'RC Template'!$C:$C,C$6)=0,#N/A,SUMIFS('RC Template'!$AW:$AW,'RC Template'!$B:$B,$A75,'RC Template'!$C:$C,C$6))</f>
        <v>#N/A</v>
      </c>
      <c r="D75" s="115" t="e">
        <f>IF(SUMIFS('RC Template'!$AW:$AW,'RC Template'!$B:$B,$A75,'RC Template'!$C:$C,D$6)=0,#N/A,SUMIFS('RC Template'!$AW:$AW,'RC Template'!$B:$B,$A75,'RC Template'!$C:$C,D$6))</f>
        <v>#N/A</v>
      </c>
      <c r="E75" s="115" t="e">
        <f>IF(SUMIFS('RC Template'!$AW:$AW,'RC Template'!$B:$B,$A75,'RC Template'!$C:$C,E$6)=0,#N/A,SUMIFS('RC Template'!$AW:$AW,'RC Template'!$B:$B,$A75,'RC Template'!$C:$C,E$6))</f>
        <v>#N/A</v>
      </c>
      <c r="F75" s="115" t="e">
        <f>IF(SUMIFS('RC Template'!$AW:$AW,'RC Template'!$B:$B,$A75,'RC Template'!$C:$C,F$6)=0,#N/A,SUMIFS('RC Template'!$AW:$AW,'RC Template'!$B:$B,$A75,'RC Template'!$C:$C,F$6))</f>
        <v>#N/A</v>
      </c>
      <c r="G75" s="115" t="e">
        <f>IF(SUMIFS('RC Template'!$AW:$AW,'RC Template'!$B:$B,$A75,'RC Template'!$C:$C,G$6)=0,#N/A,SUMIFS('RC Template'!$AW:$AW,'RC Template'!$B:$B,$A75,'RC Template'!$C:$C,G$6))</f>
        <v>#N/A</v>
      </c>
      <c r="H75" s="115" t="e">
        <f>IF(SUMIFS('RC Template'!$AW:$AW,'RC Template'!$B:$B,$A75,'RC Template'!$C:$C,H$6)=0,#N/A,SUMIFS('RC Template'!$AW:$AW,'RC Template'!$B:$B,$A75,'RC Template'!$C:$C,H$6))</f>
        <v>#N/A</v>
      </c>
      <c r="I75" s="115" t="e">
        <f>IF(SUMIFS('RC Template'!$AW:$AW,'RC Template'!$B:$B,$A75,'RC Template'!$C:$C,I$6)=0,#N/A,SUMIFS('RC Template'!$AW:$AW,'RC Template'!$B:$B,$A75,'RC Template'!$C:$C,I$6))</f>
        <v>#N/A</v>
      </c>
      <c r="J75" s="115" t="e">
        <f>IF(SUMIFS('RC Template'!$AW:$AW,'RC Template'!$B:$B,$A75,'RC Template'!$C:$C,J$6)=0,#N/A,SUMIFS('RC Template'!$AW:$AW,'RC Template'!$B:$B,$A75,'RC Template'!$C:$C,J$6))</f>
        <v>#N/A</v>
      </c>
      <c r="K75" s="115" t="e">
        <f>IF(SUMIFS('RC Template'!$AW:$AW,'RC Template'!$B:$B,$A75,'RC Template'!$C:$C,K$6)=0,#N/A,SUMIFS('RC Template'!$AW:$AW,'RC Template'!$B:$B,$A75,'RC Template'!$C:$C,K$6))</f>
        <v>#N/A</v>
      </c>
      <c r="L75" s="115" t="e">
        <f>IF(SUMIFS('RC Template'!$AW:$AW,'RC Template'!$B:$B,$A75,'RC Template'!$C:$C,L$6)=0,#N/A,SUMIFS('RC Template'!$AW:$AW,'RC Template'!$B:$B,$A75,'RC Template'!$C:$C,L$6))</f>
        <v>#N/A</v>
      </c>
      <c r="M75" s="115" t="e">
        <f>IF(SUMIFS('RC Template'!$AW:$AW,'RC Template'!$B:$B,$A75,'RC Template'!$C:$C,M$6)=0,#N/A,SUMIFS('RC Template'!$AW:$AW,'RC Template'!$B:$B,$A75,'RC Template'!$C:$C,M$6))</f>
        <v>#N/A</v>
      </c>
      <c r="N75" s="115" t="e">
        <f>IF(SUMIFS('RC Template'!$AW:$AW,'RC Template'!$B:$B,$A75,'RC Template'!$C:$C,N$6)=0,#N/A,SUMIFS('RC Template'!$AW:$AW,'RC Template'!$B:$B,$A75,'RC Template'!$C:$C,N$6))</f>
        <v>#N/A</v>
      </c>
      <c r="O75" s="115" t="e">
        <f>IF(SUMIFS('RC Template'!$AW:$AW,'RC Template'!$B:$B,$A75,'RC Template'!$C:$C,O$6)=0,#N/A,SUMIFS('RC Template'!$AW:$AW,'RC Template'!$B:$B,$A75,'RC Template'!$C:$C,O$6))</f>
        <v>#N/A</v>
      </c>
      <c r="P75" s="115" t="e">
        <f>IF(SUMIFS('RC Template'!$AW:$AW,'RC Template'!$B:$B,$A75,'RC Template'!$C:$C,P$6)=0,#N/A,SUMIFS('RC Template'!$AW:$AW,'RC Template'!$B:$B,$A75,'RC Template'!$C:$C,P$6))</f>
        <v>#N/A</v>
      </c>
      <c r="Q75" s="115">
        <f ca="1">MAX(SUMIFS('RC Template'!$AW:$AW,'RC Template'!$B:$B,$A75,'RC Template'!$C:$C,Q$6),Q74*$E$3)</f>
        <v>219.4549860153065</v>
      </c>
      <c r="R75" s="115">
        <f ca="1">MAX(SUMIFS('RC Template'!$AW:$AW,'RC Template'!$B:$B,$A75,'RC Template'!$C:$C,R$6),R74*$E$3)</f>
        <v>69.032498159775088</v>
      </c>
      <c r="S75" s="115">
        <f ca="1">MAX(SUMIFS('RC Template'!$AW:$AW,'RC Template'!$B:$B,$A75,'RC Template'!$C:$C,S$6),S74*$E$3)</f>
        <v>87.732410061193988</v>
      </c>
      <c r="T75" s="115">
        <f ca="1">MAX(SUMIFS('RC Template'!$AW:$AW,'RC Template'!$B:$B,$A75,'RC Template'!$C:$C,T$6),T74*$E$3)</f>
        <v>8.5742237214845307</v>
      </c>
      <c r="U75" s="115">
        <f ca="1">MAX(SUMIFS('RC Template'!$AW:$AW,'RC Template'!$B:$B,$A75,'RC Template'!$C:$C,U$6),U74*$E$3)</f>
        <v>95.092604854829546</v>
      </c>
      <c r="V75" s="115">
        <f ca="1">MAX(SUMIFS('RC Template'!$AW:$AW,'RC Template'!$B:$B,$A75,'RC Template'!$C:$C,V$6),V74*$E$3)</f>
        <v>67.586657786026223</v>
      </c>
      <c r="W75" s="115">
        <f ca="1">MAX(SUMIFS('RC Template'!$AW:$AW,'RC Template'!$B:$B,$A75,'RC Template'!$C:$C,W$6),W74*$E$3)</f>
        <v>11.757858388966644</v>
      </c>
      <c r="X75" s="115">
        <f ca="1">MAX(SUMIFS('RC Template'!$AW:$AW,'RC Template'!$B:$B,$A75,'RC Template'!$C:$C,X$6),X74*$E$3)</f>
        <v>88.253091697680034</v>
      </c>
      <c r="Y75" s="115">
        <f ca="1">MAX(SUMIFS('RC Template'!$AW:$AW,'RC Template'!$B:$B,$A75,'RC Template'!$C:$C,Y$6),Y74*$E$3)</f>
        <v>118.8788708773089</v>
      </c>
      <c r="Z75" s="115">
        <f ca="1">MAX(SUMIFS('RC Template'!$AW:$AW,'RC Template'!$B:$B,$A75,'RC Template'!$C:$C,Z$6),Z74*$E$3)</f>
        <v>29.74490047827253</v>
      </c>
      <c r="AA75" s="115">
        <f ca="1">MAX(SUMIFS('RC Template'!$AW:$AW,'RC Template'!$B:$B,$A75,'RC Template'!$C:$C,AA$6),AA74*$E$3)</f>
        <v>0</v>
      </c>
      <c r="AB75" s="115">
        <f ca="1">MAX(SUMIFS('RC Template'!$AW:$AW,'RC Template'!$B:$B,$A75,'RC Template'!$C:$C,AB$6),AB74*$E$3)</f>
        <v>0</v>
      </c>
      <c r="AC75" s="115">
        <f ca="1">MAX(SUMIFS('RC Template'!$AW:$AW,'RC Template'!$B:$B,$A75,'RC Template'!$C:$C,AC$6),AC74*$E$3)</f>
        <v>0</v>
      </c>
      <c r="AD75" s="115">
        <f ca="1">MAX(SUMIFS('RC Template'!$AW:$AW,'RC Template'!$B:$B,$A75,'RC Template'!$C:$C,AD$6),AD74*$E$3)</f>
        <v>0</v>
      </c>
    </row>
    <row r="76" spans="1:30" x14ac:dyDescent="0.3">
      <c r="A76" s="1">
        <v>43175</v>
      </c>
      <c r="B76" s="115">
        <f ca="1">SUM(Q76:AD76)</f>
        <v>776.20539948982287</v>
      </c>
      <c r="C76" s="115" t="e">
        <f>IF(SUMIFS('RC Template'!$AW:$AW,'RC Template'!$B:$B,$A76,'RC Template'!$C:$C,C$6)=0,#N/A,SUMIFS('RC Template'!$AW:$AW,'RC Template'!$B:$B,$A76,'RC Template'!$C:$C,C$6))</f>
        <v>#N/A</v>
      </c>
      <c r="D76" s="115" t="e">
        <f>IF(SUMIFS('RC Template'!$AW:$AW,'RC Template'!$B:$B,$A76,'RC Template'!$C:$C,D$6)=0,#N/A,SUMIFS('RC Template'!$AW:$AW,'RC Template'!$B:$B,$A76,'RC Template'!$C:$C,D$6))</f>
        <v>#N/A</v>
      </c>
      <c r="E76" s="115" t="e">
        <f>IF(SUMIFS('RC Template'!$AW:$AW,'RC Template'!$B:$B,$A76,'RC Template'!$C:$C,E$6)=0,#N/A,SUMIFS('RC Template'!$AW:$AW,'RC Template'!$B:$B,$A76,'RC Template'!$C:$C,E$6))</f>
        <v>#N/A</v>
      </c>
      <c r="F76" s="115" t="e">
        <f>IF(SUMIFS('RC Template'!$AW:$AW,'RC Template'!$B:$B,$A76,'RC Template'!$C:$C,F$6)=0,#N/A,SUMIFS('RC Template'!$AW:$AW,'RC Template'!$B:$B,$A76,'RC Template'!$C:$C,F$6))</f>
        <v>#N/A</v>
      </c>
      <c r="G76" s="115" t="e">
        <f>IF(SUMIFS('RC Template'!$AW:$AW,'RC Template'!$B:$B,$A76,'RC Template'!$C:$C,G$6)=0,#N/A,SUMIFS('RC Template'!$AW:$AW,'RC Template'!$B:$B,$A76,'RC Template'!$C:$C,G$6))</f>
        <v>#N/A</v>
      </c>
      <c r="H76" s="115" t="e">
        <f>IF(SUMIFS('RC Template'!$AW:$AW,'RC Template'!$B:$B,$A76,'RC Template'!$C:$C,H$6)=0,#N/A,SUMIFS('RC Template'!$AW:$AW,'RC Template'!$B:$B,$A76,'RC Template'!$C:$C,H$6))</f>
        <v>#N/A</v>
      </c>
      <c r="I76" s="115" t="e">
        <f>IF(SUMIFS('RC Template'!$AW:$AW,'RC Template'!$B:$B,$A76,'RC Template'!$C:$C,I$6)=0,#N/A,SUMIFS('RC Template'!$AW:$AW,'RC Template'!$B:$B,$A76,'RC Template'!$C:$C,I$6))</f>
        <v>#N/A</v>
      </c>
      <c r="J76" s="115" t="e">
        <f>IF(SUMIFS('RC Template'!$AW:$AW,'RC Template'!$B:$B,$A76,'RC Template'!$C:$C,J$6)=0,#N/A,SUMIFS('RC Template'!$AW:$AW,'RC Template'!$B:$B,$A76,'RC Template'!$C:$C,J$6))</f>
        <v>#N/A</v>
      </c>
      <c r="K76" s="115" t="e">
        <f>IF(SUMIFS('RC Template'!$AW:$AW,'RC Template'!$B:$B,$A76,'RC Template'!$C:$C,K$6)=0,#N/A,SUMIFS('RC Template'!$AW:$AW,'RC Template'!$B:$B,$A76,'RC Template'!$C:$C,K$6))</f>
        <v>#N/A</v>
      </c>
      <c r="L76" s="115" t="e">
        <f>IF(SUMIFS('RC Template'!$AW:$AW,'RC Template'!$B:$B,$A76,'RC Template'!$C:$C,L$6)=0,#N/A,SUMIFS('RC Template'!$AW:$AW,'RC Template'!$B:$B,$A76,'RC Template'!$C:$C,L$6))</f>
        <v>#N/A</v>
      </c>
      <c r="M76" s="115" t="e">
        <f>IF(SUMIFS('RC Template'!$AW:$AW,'RC Template'!$B:$B,$A76,'RC Template'!$C:$C,M$6)=0,#N/A,SUMIFS('RC Template'!$AW:$AW,'RC Template'!$B:$B,$A76,'RC Template'!$C:$C,M$6))</f>
        <v>#N/A</v>
      </c>
      <c r="N76" s="115" t="e">
        <f>IF(SUMIFS('RC Template'!$AW:$AW,'RC Template'!$B:$B,$A76,'RC Template'!$C:$C,N$6)=0,#N/A,SUMIFS('RC Template'!$AW:$AW,'RC Template'!$B:$B,$A76,'RC Template'!$C:$C,N$6))</f>
        <v>#N/A</v>
      </c>
      <c r="O76" s="115" t="e">
        <f>IF(SUMIFS('RC Template'!$AW:$AW,'RC Template'!$B:$B,$A76,'RC Template'!$C:$C,O$6)=0,#N/A,SUMIFS('RC Template'!$AW:$AW,'RC Template'!$B:$B,$A76,'RC Template'!$C:$C,O$6))</f>
        <v>#N/A</v>
      </c>
      <c r="P76" s="115" t="e">
        <f>IF(SUMIFS('RC Template'!$AW:$AW,'RC Template'!$B:$B,$A76,'RC Template'!$C:$C,P$6)=0,#N/A,SUMIFS('RC Template'!$AW:$AW,'RC Template'!$B:$B,$A76,'RC Template'!$C:$C,P$6))</f>
        <v>#N/A</v>
      </c>
      <c r="Q76" s="115">
        <f ca="1">MAX(SUMIFS('RC Template'!$AW:$AW,'RC Template'!$B:$B,$A76,'RC Template'!$C:$C,Q$6),Q75*$E$3)</f>
        <v>213.96861136492385</v>
      </c>
      <c r="R76" s="115">
        <f ca="1">MAX(SUMIFS('RC Template'!$AW:$AW,'RC Template'!$B:$B,$A76,'RC Template'!$C:$C,R$6),R75*$E$3)</f>
        <v>67.306685705780708</v>
      </c>
      <c r="S76" s="115">
        <f ca="1">MAX(SUMIFS('RC Template'!$AW:$AW,'RC Template'!$B:$B,$A76,'RC Template'!$C:$C,S$6),S75*$E$3)</f>
        <v>85.539099809664137</v>
      </c>
      <c r="T76" s="115">
        <f ca="1">MAX(SUMIFS('RC Template'!$AW:$AW,'RC Template'!$B:$B,$A76,'RC Template'!$C:$C,T$6),T75*$E$3)</f>
        <v>8.3598681284474168</v>
      </c>
      <c r="U76" s="115">
        <f ca="1">MAX(SUMIFS('RC Template'!$AW:$AW,'RC Template'!$B:$B,$A76,'RC Template'!$C:$C,U$6),U75*$E$3)</f>
        <v>92.715289733458803</v>
      </c>
      <c r="V76" s="115">
        <f ca="1">MAX(SUMIFS('RC Template'!$AW:$AW,'RC Template'!$B:$B,$A76,'RC Template'!$C:$C,V$6),V75*$E$3)</f>
        <v>65.896991341375568</v>
      </c>
      <c r="W76" s="115">
        <f ca="1">MAX(SUMIFS('RC Template'!$AW:$AW,'RC Template'!$B:$B,$A76,'RC Template'!$C:$C,W$6),W75*$E$3)</f>
        <v>11.463911929242478</v>
      </c>
      <c r="X76" s="115">
        <f ca="1">MAX(SUMIFS('RC Template'!$AW:$AW,'RC Template'!$B:$B,$A76,'RC Template'!$C:$C,X$6),X75*$E$3)</f>
        <v>86.046764405238036</v>
      </c>
      <c r="Y76" s="115">
        <f ca="1">MAX(SUMIFS('RC Template'!$AW:$AW,'RC Template'!$B:$B,$A76,'RC Template'!$C:$C,Y$6),Y75*$E$3)</f>
        <v>115.90689910537617</v>
      </c>
      <c r="Z76" s="115">
        <f ca="1">MAX(SUMIFS('RC Template'!$AW:$AW,'RC Template'!$B:$B,$A76,'RC Template'!$C:$C,Z$6),Z75*$E$3)</f>
        <v>29.001277966315715</v>
      </c>
      <c r="AA76" s="115">
        <f ca="1">MAX(SUMIFS('RC Template'!$AW:$AW,'RC Template'!$B:$B,$A76,'RC Template'!$C:$C,AA$6),AA75*$E$3)</f>
        <v>0</v>
      </c>
      <c r="AB76" s="115">
        <f ca="1">MAX(SUMIFS('RC Template'!$AW:$AW,'RC Template'!$B:$B,$A76,'RC Template'!$C:$C,AB$6),AB75*$E$3)</f>
        <v>0</v>
      </c>
      <c r="AC76" s="115">
        <f ca="1">MAX(SUMIFS('RC Template'!$AW:$AW,'RC Template'!$B:$B,$A76,'RC Template'!$C:$C,AC$6),AC75*$E$3)</f>
        <v>0</v>
      </c>
      <c r="AD76" s="115">
        <f ca="1">MAX(SUMIFS('RC Template'!$AW:$AW,'RC Template'!$B:$B,$A76,'RC Template'!$C:$C,AD$6),AD75*$E$3)</f>
        <v>0</v>
      </c>
    </row>
    <row r="77" spans="1:30" x14ac:dyDescent="0.3">
      <c r="A77" s="1">
        <v>43176</v>
      </c>
      <c r="B77" s="115">
        <f ca="1">SUM(Q77:AD77)</f>
        <v>860.08372183081917</v>
      </c>
      <c r="C77" s="115" t="e">
        <f>IF(SUMIFS('RC Template'!$AW:$AW,'RC Template'!$B:$B,$A77,'RC Template'!$C:$C,C$6)=0,#N/A,SUMIFS('RC Template'!$AW:$AW,'RC Template'!$B:$B,$A77,'RC Template'!$C:$C,C$6))</f>
        <v>#N/A</v>
      </c>
      <c r="D77" s="115" t="e">
        <f>IF(SUMIFS('RC Template'!$AW:$AW,'RC Template'!$B:$B,$A77,'RC Template'!$C:$C,D$6)=0,#N/A,SUMIFS('RC Template'!$AW:$AW,'RC Template'!$B:$B,$A77,'RC Template'!$C:$C,D$6))</f>
        <v>#N/A</v>
      </c>
      <c r="E77" s="115" t="e">
        <f>IF(SUMIFS('RC Template'!$AW:$AW,'RC Template'!$B:$B,$A77,'RC Template'!$C:$C,E$6)=0,#N/A,SUMIFS('RC Template'!$AW:$AW,'RC Template'!$B:$B,$A77,'RC Template'!$C:$C,E$6))</f>
        <v>#N/A</v>
      </c>
      <c r="F77" s="115" t="e">
        <f>IF(SUMIFS('RC Template'!$AW:$AW,'RC Template'!$B:$B,$A77,'RC Template'!$C:$C,F$6)=0,#N/A,SUMIFS('RC Template'!$AW:$AW,'RC Template'!$B:$B,$A77,'RC Template'!$C:$C,F$6))</f>
        <v>#N/A</v>
      </c>
      <c r="G77" s="115">
        <f ca="1">IF(SUMIFS('RC Template'!$AW:$AW,'RC Template'!$B:$B,$A77,'RC Template'!$C:$C,G$6)=0,#N/A,SUMIFS('RC Template'!$AW:$AW,'RC Template'!$B:$B,$A77,'RC Template'!$C:$C,G$6))</f>
        <v>128.08468294187779</v>
      </c>
      <c r="H77" s="115">
        <f ca="1">IF(SUMIFS('RC Template'!$AW:$AW,'RC Template'!$B:$B,$A77,'RC Template'!$C:$C,H$6)=0,#N/A,SUMIFS('RC Template'!$AW:$AW,'RC Template'!$B:$B,$A77,'RC Template'!$C:$C,H$6))</f>
        <v>89.193081665866458</v>
      </c>
      <c r="I77" s="115" t="e">
        <f>IF(SUMIFS('RC Template'!$AW:$AW,'RC Template'!$B:$B,$A77,'RC Template'!$C:$C,I$6)=0,#N/A,SUMIFS('RC Template'!$AW:$AW,'RC Template'!$B:$B,$A77,'RC Template'!$C:$C,I$6))</f>
        <v>#N/A</v>
      </c>
      <c r="J77" s="115">
        <f ca="1">IF(SUMIFS('RC Template'!$AW:$AW,'RC Template'!$B:$B,$A77,'RC Template'!$C:$C,J$6)=0,#N/A,SUMIFS('RC Template'!$AW:$AW,'RC Template'!$B:$B,$A77,'RC Template'!$C:$C,J$6))</f>
        <v>124.54826206356827</v>
      </c>
      <c r="K77" s="115" t="e">
        <f>IF(SUMIFS('RC Template'!$AW:$AW,'RC Template'!$B:$B,$A77,'RC Template'!$C:$C,K$6)=0,#N/A,SUMIFS('RC Template'!$AW:$AW,'RC Template'!$B:$B,$A77,'RC Template'!$C:$C,K$6))</f>
        <v>#N/A</v>
      </c>
      <c r="L77" s="115" t="e">
        <f>IF(SUMIFS('RC Template'!$AW:$AW,'RC Template'!$B:$B,$A77,'RC Template'!$C:$C,L$6)=0,#N/A,SUMIFS('RC Template'!$AW:$AW,'RC Template'!$B:$B,$A77,'RC Template'!$C:$C,L$6))</f>
        <v>#N/A</v>
      </c>
      <c r="M77" s="115" t="e">
        <f>IF(SUMIFS('RC Template'!$AW:$AW,'RC Template'!$B:$B,$A77,'RC Template'!$C:$C,M$6)=0,#N/A,SUMIFS('RC Template'!$AW:$AW,'RC Template'!$B:$B,$A77,'RC Template'!$C:$C,M$6))</f>
        <v>#N/A</v>
      </c>
      <c r="N77" s="115" t="e">
        <f>IF(SUMIFS('RC Template'!$AW:$AW,'RC Template'!$B:$B,$A77,'RC Template'!$C:$C,N$6)=0,#N/A,SUMIFS('RC Template'!$AW:$AW,'RC Template'!$B:$B,$A77,'RC Template'!$C:$C,N$6))</f>
        <v>#N/A</v>
      </c>
      <c r="O77" s="115" t="e">
        <f>IF(SUMIFS('RC Template'!$AW:$AW,'RC Template'!$B:$B,$A77,'RC Template'!$C:$C,O$6)=0,#N/A,SUMIFS('RC Template'!$AW:$AW,'RC Template'!$B:$B,$A77,'RC Template'!$C:$C,O$6))</f>
        <v>#N/A</v>
      </c>
      <c r="P77" s="115" t="e">
        <f>IF(SUMIFS('RC Template'!$AW:$AW,'RC Template'!$B:$B,$A77,'RC Template'!$C:$C,P$6)=0,#N/A,SUMIFS('RC Template'!$AW:$AW,'RC Template'!$B:$B,$A77,'RC Template'!$C:$C,P$6))</f>
        <v>#N/A</v>
      </c>
      <c r="Q77" s="115">
        <f ca="1">MAX(SUMIFS('RC Template'!$AW:$AW,'RC Template'!$B:$B,$A77,'RC Template'!$C:$C,Q$6),Q76*$E$3)</f>
        <v>208.61939608080075</v>
      </c>
      <c r="R77" s="115">
        <f ca="1">MAX(SUMIFS('RC Template'!$AW:$AW,'RC Template'!$B:$B,$A77,'RC Template'!$C:$C,R$6),R76*$E$3)</f>
        <v>65.62401856313619</v>
      </c>
      <c r="S77" s="115">
        <f ca="1">MAX(SUMIFS('RC Template'!$AW:$AW,'RC Template'!$B:$B,$A77,'RC Template'!$C:$C,S$6),S76*$E$3)</f>
        <v>83.400622314422534</v>
      </c>
      <c r="T77" s="115">
        <f ca="1">MAX(SUMIFS('RC Template'!$AW:$AW,'RC Template'!$B:$B,$A77,'RC Template'!$C:$C,T$6),T76*$E$3)</f>
        <v>8.1508714252362306</v>
      </c>
      <c r="U77" s="115">
        <f ca="1">MAX(SUMIFS('RC Template'!$AW:$AW,'RC Template'!$B:$B,$A77,'RC Template'!$C:$C,U$6),U76*$E$3)</f>
        <v>128.08468294187779</v>
      </c>
      <c r="V77" s="115">
        <f ca="1">MAX(SUMIFS('RC Template'!$AW:$AW,'RC Template'!$B:$B,$A77,'RC Template'!$C:$C,V$6),V76*$E$3)</f>
        <v>89.193081665866458</v>
      </c>
      <c r="W77" s="115">
        <f ca="1">MAX(SUMIFS('RC Template'!$AW:$AW,'RC Template'!$B:$B,$A77,'RC Template'!$C:$C,W$6),W76*$E$3)</f>
        <v>11.177314131011416</v>
      </c>
      <c r="X77" s="115">
        <f ca="1">MAX(SUMIFS('RC Template'!$AW:$AW,'RC Template'!$B:$B,$A77,'RC Template'!$C:$C,X$6),X76*$E$3)</f>
        <v>124.54826206356827</v>
      </c>
      <c r="Y77" s="115">
        <f ca="1">MAX(SUMIFS('RC Template'!$AW:$AW,'RC Template'!$B:$B,$A77,'RC Template'!$C:$C,Y$6),Y76*$E$3)</f>
        <v>113.00922662774177</v>
      </c>
      <c r="Z77" s="115">
        <f ca="1">MAX(SUMIFS('RC Template'!$AW:$AW,'RC Template'!$B:$B,$A77,'RC Template'!$C:$C,Z$6),Z76*$E$3)</f>
        <v>28.27624601715782</v>
      </c>
      <c r="AA77" s="115">
        <f ca="1">MAX(SUMIFS('RC Template'!$AW:$AW,'RC Template'!$B:$B,$A77,'RC Template'!$C:$C,AA$6),AA76*$E$3)</f>
        <v>0</v>
      </c>
      <c r="AB77" s="115">
        <f ca="1">MAX(SUMIFS('RC Template'!$AW:$AW,'RC Template'!$B:$B,$A77,'RC Template'!$C:$C,AB$6),AB76*$E$3)</f>
        <v>0</v>
      </c>
      <c r="AC77" s="115">
        <f ca="1">MAX(SUMIFS('RC Template'!$AW:$AW,'RC Template'!$B:$B,$A77,'RC Template'!$C:$C,AC$6),AC76*$E$3)</f>
        <v>0</v>
      </c>
      <c r="AD77" s="115">
        <f ca="1">MAX(SUMIFS('RC Template'!$AW:$AW,'RC Template'!$B:$B,$A77,'RC Template'!$C:$C,AD$6),AD76*$E$3)</f>
        <v>0</v>
      </c>
    </row>
    <row r="78" spans="1:30" x14ac:dyDescent="0.3">
      <c r="A78" s="1">
        <v>43177</v>
      </c>
      <c r="B78" s="115">
        <f ca="1">SUM(Q78:AD78)</f>
        <v>838.58162878504879</v>
      </c>
      <c r="C78" s="115" t="e">
        <f>IF(SUMIFS('RC Template'!$AW:$AW,'RC Template'!$B:$B,$A78,'RC Template'!$C:$C,C$6)=0,#N/A,SUMIFS('RC Template'!$AW:$AW,'RC Template'!$B:$B,$A78,'RC Template'!$C:$C,C$6))</f>
        <v>#N/A</v>
      </c>
      <c r="D78" s="115" t="e">
        <f>IF(SUMIFS('RC Template'!$AW:$AW,'RC Template'!$B:$B,$A78,'RC Template'!$C:$C,D$6)=0,#N/A,SUMIFS('RC Template'!$AW:$AW,'RC Template'!$B:$B,$A78,'RC Template'!$C:$C,D$6))</f>
        <v>#N/A</v>
      </c>
      <c r="E78" s="115" t="e">
        <f>IF(SUMIFS('RC Template'!$AW:$AW,'RC Template'!$B:$B,$A78,'RC Template'!$C:$C,E$6)=0,#N/A,SUMIFS('RC Template'!$AW:$AW,'RC Template'!$B:$B,$A78,'RC Template'!$C:$C,E$6))</f>
        <v>#N/A</v>
      </c>
      <c r="F78" s="115" t="e">
        <f>IF(SUMIFS('RC Template'!$AW:$AW,'RC Template'!$B:$B,$A78,'RC Template'!$C:$C,F$6)=0,#N/A,SUMIFS('RC Template'!$AW:$AW,'RC Template'!$B:$B,$A78,'RC Template'!$C:$C,F$6))</f>
        <v>#N/A</v>
      </c>
      <c r="G78" s="115" t="e">
        <f>IF(SUMIFS('RC Template'!$AW:$AW,'RC Template'!$B:$B,$A78,'RC Template'!$C:$C,G$6)=0,#N/A,SUMIFS('RC Template'!$AW:$AW,'RC Template'!$B:$B,$A78,'RC Template'!$C:$C,G$6))</f>
        <v>#N/A</v>
      </c>
      <c r="H78" s="115" t="e">
        <f>IF(SUMIFS('RC Template'!$AW:$AW,'RC Template'!$B:$B,$A78,'RC Template'!$C:$C,H$6)=0,#N/A,SUMIFS('RC Template'!$AW:$AW,'RC Template'!$B:$B,$A78,'RC Template'!$C:$C,H$6))</f>
        <v>#N/A</v>
      </c>
      <c r="I78" s="115" t="e">
        <f>IF(SUMIFS('RC Template'!$AW:$AW,'RC Template'!$B:$B,$A78,'RC Template'!$C:$C,I$6)=0,#N/A,SUMIFS('RC Template'!$AW:$AW,'RC Template'!$B:$B,$A78,'RC Template'!$C:$C,I$6))</f>
        <v>#N/A</v>
      </c>
      <c r="J78" s="115" t="e">
        <f>IF(SUMIFS('RC Template'!$AW:$AW,'RC Template'!$B:$B,$A78,'RC Template'!$C:$C,J$6)=0,#N/A,SUMIFS('RC Template'!$AW:$AW,'RC Template'!$B:$B,$A78,'RC Template'!$C:$C,J$6))</f>
        <v>#N/A</v>
      </c>
      <c r="K78" s="115" t="e">
        <f>IF(SUMIFS('RC Template'!$AW:$AW,'RC Template'!$B:$B,$A78,'RC Template'!$C:$C,K$6)=0,#N/A,SUMIFS('RC Template'!$AW:$AW,'RC Template'!$B:$B,$A78,'RC Template'!$C:$C,K$6))</f>
        <v>#N/A</v>
      </c>
      <c r="L78" s="115" t="e">
        <f>IF(SUMIFS('RC Template'!$AW:$AW,'RC Template'!$B:$B,$A78,'RC Template'!$C:$C,L$6)=0,#N/A,SUMIFS('RC Template'!$AW:$AW,'RC Template'!$B:$B,$A78,'RC Template'!$C:$C,L$6))</f>
        <v>#N/A</v>
      </c>
      <c r="M78" s="115" t="e">
        <f>IF(SUMIFS('RC Template'!$AW:$AW,'RC Template'!$B:$B,$A78,'RC Template'!$C:$C,M$6)=0,#N/A,SUMIFS('RC Template'!$AW:$AW,'RC Template'!$B:$B,$A78,'RC Template'!$C:$C,M$6))</f>
        <v>#N/A</v>
      </c>
      <c r="N78" s="115" t="e">
        <f>IF(SUMIFS('RC Template'!$AW:$AW,'RC Template'!$B:$B,$A78,'RC Template'!$C:$C,N$6)=0,#N/A,SUMIFS('RC Template'!$AW:$AW,'RC Template'!$B:$B,$A78,'RC Template'!$C:$C,N$6))</f>
        <v>#N/A</v>
      </c>
      <c r="O78" s="115" t="e">
        <f>IF(SUMIFS('RC Template'!$AW:$AW,'RC Template'!$B:$B,$A78,'RC Template'!$C:$C,O$6)=0,#N/A,SUMIFS('RC Template'!$AW:$AW,'RC Template'!$B:$B,$A78,'RC Template'!$C:$C,O$6))</f>
        <v>#N/A</v>
      </c>
      <c r="P78" s="115" t="e">
        <f>IF(SUMIFS('RC Template'!$AW:$AW,'RC Template'!$B:$B,$A78,'RC Template'!$C:$C,P$6)=0,#N/A,SUMIFS('RC Template'!$AW:$AW,'RC Template'!$B:$B,$A78,'RC Template'!$C:$C,P$6))</f>
        <v>#N/A</v>
      </c>
      <c r="Q78" s="115">
        <f ca="1">MAX(SUMIFS('RC Template'!$AW:$AW,'RC Template'!$B:$B,$A78,'RC Template'!$C:$C,Q$6),Q77*$E$3)</f>
        <v>203.40391117878073</v>
      </c>
      <c r="R78" s="115">
        <f ca="1">MAX(SUMIFS('RC Template'!$AW:$AW,'RC Template'!$B:$B,$A78,'RC Template'!$C:$C,R$6),R77*$E$3)</f>
        <v>63.983418099057786</v>
      </c>
      <c r="S78" s="115">
        <f ca="1">MAX(SUMIFS('RC Template'!$AW:$AW,'RC Template'!$B:$B,$A78,'RC Template'!$C:$C,S$6),S77*$E$3)</f>
        <v>81.315606756561962</v>
      </c>
      <c r="T78" s="115">
        <f ca="1">MAX(SUMIFS('RC Template'!$AW:$AW,'RC Template'!$B:$B,$A78,'RC Template'!$C:$C,T$6),T77*$E$3)</f>
        <v>7.9470996396053248</v>
      </c>
      <c r="U78" s="115">
        <f ca="1">MAX(SUMIFS('RC Template'!$AW:$AW,'RC Template'!$B:$B,$A78,'RC Template'!$C:$C,U$6),U77*$E$3)</f>
        <v>124.88256586833084</v>
      </c>
      <c r="V78" s="115">
        <f ca="1">MAX(SUMIFS('RC Template'!$AW:$AW,'RC Template'!$B:$B,$A78,'RC Template'!$C:$C,V$6),V77*$E$3)</f>
        <v>86.9632546242198</v>
      </c>
      <c r="W78" s="115">
        <f ca="1">MAX(SUMIFS('RC Template'!$AW:$AW,'RC Template'!$B:$B,$A78,'RC Template'!$C:$C,W$6),W77*$E$3)</f>
        <v>10.897881277736131</v>
      </c>
      <c r="X78" s="115">
        <f ca="1">MAX(SUMIFS('RC Template'!$AW:$AW,'RC Template'!$B:$B,$A78,'RC Template'!$C:$C,X$6),X77*$E$3)</f>
        <v>121.43455551197907</v>
      </c>
      <c r="Y78" s="115">
        <f ca="1">MAX(SUMIFS('RC Template'!$AW:$AW,'RC Template'!$B:$B,$A78,'RC Template'!$C:$C,Y$6),Y77*$E$3)</f>
        <v>110.18399596204821</v>
      </c>
      <c r="Z78" s="115">
        <f ca="1">MAX(SUMIFS('RC Template'!$AW:$AW,'RC Template'!$B:$B,$A78,'RC Template'!$C:$C,Z$6),Z77*$E$3)</f>
        <v>27.569339866728875</v>
      </c>
      <c r="AA78" s="115">
        <f ca="1">MAX(SUMIFS('RC Template'!$AW:$AW,'RC Template'!$B:$B,$A78,'RC Template'!$C:$C,AA$6),AA77*$E$3)</f>
        <v>0</v>
      </c>
      <c r="AB78" s="115">
        <f ca="1">MAX(SUMIFS('RC Template'!$AW:$AW,'RC Template'!$B:$B,$A78,'RC Template'!$C:$C,AB$6),AB77*$E$3)</f>
        <v>0</v>
      </c>
      <c r="AC78" s="115">
        <f ca="1">MAX(SUMIFS('RC Template'!$AW:$AW,'RC Template'!$B:$B,$A78,'RC Template'!$C:$C,AC$6),AC77*$E$3)</f>
        <v>0</v>
      </c>
      <c r="AD78" s="115">
        <f ca="1">MAX(SUMIFS('RC Template'!$AW:$AW,'RC Template'!$B:$B,$A78,'RC Template'!$C:$C,AD$6),AD77*$E$3)</f>
        <v>0</v>
      </c>
    </row>
    <row r="79" spans="1:30" x14ac:dyDescent="0.3">
      <c r="A79" s="1">
        <v>43178</v>
      </c>
      <c r="B79" s="115">
        <f ca="1">SUM(Q79:AD79)</f>
        <v>882.04458024919575</v>
      </c>
      <c r="C79" s="115">
        <f ca="1">IF(SUMIFS('RC Template'!$AW:$AW,'RC Template'!$B:$B,$A79,'RC Template'!$C:$C,C$6)=0,#N/A,SUMIFS('RC Template'!$AW:$AW,'RC Template'!$B:$B,$A79,'RC Template'!$C:$C,C$6))</f>
        <v>250.00460206751447</v>
      </c>
      <c r="D79" s="115" t="e">
        <f>IF(SUMIFS('RC Template'!$AW:$AW,'RC Template'!$B:$B,$A79,'RC Template'!$C:$C,D$6)=0,#N/A,SUMIFS('RC Template'!$AW:$AW,'RC Template'!$B:$B,$A79,'RC Template'!$C:$C,D$6))</f>
        <v>#N/A</v>
      </c>
      <c r="E79" s="115" t="e">
        <f>IF(SUMIFS('RC Template'!$AW:$AW,'RC Template'!$B:$B,$A79,'RC Template'!$C:$C,E$6)=0,#N/A,SUMIFS('RC Template'!$AW:$AW,'RC Template'!$B:$B,$A79,'RC Template'!$C:$C,E$6))</f>
        <v>#N/A</v>
      </c>
      <c r="F79" s="115" t="e">
        <f>IF(SUMIFS('RC Template'!$AW:$AW,'RC Template'!$B:$B,$A79,'RC Template'!$C:$C,F$6)=0,#N/A,SUMIFS('RC Template'!$AW:$AW,'RC Template'!$B:$B,$A79,'RC Template'!$C:$C,F$6))</f>
        <v>#N/A</v>
      </c>
      <c r="G79" s="115">
        <f ca="1">IF(SUMIFS('RC Template'!$AW:$AW,'RC Template'!$B:$B,$A79,'RC Template'!$C:$C,G$6)=0,#N/A,SUMIFS('RC Template'!$AW:$AW,'RC Template'!$B:$B,$A79,'RC Template'!$C:$C,G$6))</f>
        <v>113.54159543575551</v>
      </c>
      <c r="H79" s="115">
        <f ca="1">IF(SUMIFS('RC Template'!$AW:$AW,'RC Template'!$B:$B,$A79,'RC Template'!$C:$C,H$6)=0,#N/A,SUMIFS('RC Template'!$AW:$AW,'RC Template'!$B:$B,$A79,'RC Template'!$C:$C,H$6))</f>
        <v>97.530876774184151</v>
      </c>
      <c r="I79" s="115" t="e">
        <f>IF(SUMIFS('RC Template'!$AW:$AW,'RC Template'!$B:$B,$A79,'RC Template'!$C:$C,I$6)=0,#N/A,SUMIFS('RC Template'!$AW:$AW,'RC Template'!$B:$B,$A79,'RC Template'!$C:$C,I$6))</f>
        <v>#N/A</v>
      </c>
      <c r="J79" s="115">
        <f ca="1">IF(SUMIFS('RC Template'!$AW:$AW,'RC Template'!$B:$B,$A79,'RC Template'!$C:$C,J$6)=0,#N/A,SUMIFS('RC Template'!$AW:$AW,'RC Template'!$B:$B,$A79,'RC Template'!$C:$C,J$6))</f>
        <v>115.04147098357274</v>
      </c>
      <c r="K79" s="115" t="e">
        <f>IF(SUMIFS('RC Template'!$AW:$AW,'RC Template'!$B:$B,$A79,'RC Template'!$C:$C,K$6)=0,#N/A,SUMIFS('RC Template'!$AW:$AW,'RC Template'!$B:$B,$A79,'RC Template'!$C:$C,K$6))</f>
        <v>#N/A</v>
      </c>
      <c r="L79" s="115" t="e">
        <f>IF(SUMIFS('RC Template'!$AW:$AW,'RC Template'!$B:$B,$A79,'RC Template'!$C:$C,L$6)=0,#N/A,SUMIFS('RC Template'!$AW:$AW,'RC Template'!$B:$B,$A79,'RC Template'!$C:$C,L$6))</f>
        <v>#N/A</v>
      </c>
      <c r="M79" s="115" t="e">
        <f>IF(SUMIFS('RC Template'!$AW:$AW,'RC Template'!$B:$B,$A79,'RC Template'!$C:$C,M$6)=0,#N/A,SUMIFS('RC Template'!$AW:$AW,'RC Template'!$B:$B,$A79,'RC Template'!$C:$C,M$6))</f>
        <v>#N/A</v>
      </c>
      <c r="N79" s="115" t="e">
        <f>IF(SUMIFS('RC Template'!$AW:$AW,'RC Template'!$B:$B,$A79,'RC Template'!$C:$C,N$6)=0,#N/A,SUMIFS('RC Template'!$AW:$AW,'RC Template'!$B:$B,$A79,'RC Template'!$C:$C,N$6))</f>
        <v>#N/A</v>
      </c>
      <c r="O79" s="115" t="e">
        <f>IF(SUMIFS('RC Template'!$AW:$AW,'RC Template'!$B:$B,$A79,'RC Template'!$C:$C,O$6)=0,#N/A,SUMIFS('RC Template'!$AW:$AW,'RC Template'!$B:$B,$A79,'RC Template'!$C:$C,O$6))</f>
        <v>#N/A</v>
      </c>
      <c r="P79" s="115" t="e">
        <f>IF(SUMIFS('RC Template'!$AW:$AW,'RC Template'!$B:$B,$A79,'RC Template'!$C:$C,P$6)=0,#N/A,SUMIFS('RC Template'!$AW:$AW,'RC Template'!$B:$B,$A79,'RC Template'!$C:$C,P$6))</f>
        <v>#N/A</v>
      </c>
      <c r="Q79" s="115">
        <f ca="1">MAX(SUMIFS('RC Template'!$AW:$AW,'RC Template'!$B:$B,$A79,'RC Template'!$C:$C,Q$6),Q78*$E$3)</f>
        <v>250.00460206751447</v>
      </c>
      <c r="R79" s="115">
        <f ca="1">MAX(SUMIFS('RC Template'!$AW:$AW,'RC Template'!$B:$B,$A79,'RC Template'!$C:$C,R$6),R78*$E$3)</f>
        <v>62.38383264658134</v>
      </c>
      <c r="S79" s="115">
        <f ca="1">MAX(SUMIFS('RC Template'!$AW:$AW,'RC Template'!$B:$B,$A79,'RC Template'!$C:$C,S$6),S78*$E$3)</f>
        <v>79.282716587647911</v>
      </c>
      <c r="T79" s="115">
        <f ca="1">MAX(SUMIFS('RC Template'!$AW:$AW,'RC Template'!$B:$B,$A79,'RC Template'!$C:$C,T$6),T78*$E$3)</f>
        <v>7.7484221486151919</v>
      </c>
      <c r="U79" s="115">
        <f ca="1">MAX(SUMIFS('RC Template'!$AW:$AW,'RC Template'!$B:$B,$A79,'RC Template'!$C:$C,U$6),U78*$E$3)</f>
        <v>121.76050172162257</v>
      </c>
      <c r="V79" s="115">
        <f ca="1">MAX(SUMIFS('RC Template'!$AW:$AW,'RC Template'!$B:$B,$A79,'RC Template'!$C:$C,V$6),V78*$E$3)</f>
        <v>97.530876774184151</v>
      </c>
      <c r="W79" s="115">
        <f ca="1">MAX(SUMIFS('RC Template'!$AW:$AW,'RC Template'!$B:$B,$A79,'RC Template'!$C:$C,W$6),W78*$E$3)</f>
        <v>10.625434245792727</v>
      </c>
      <c r="X79" s="115">
        <f ca="1">MAX(SUMIFS('RC Template'!$AW:$AW,'RC Template'!$B:$B,$A79,'RC Template'!$C:$C,X$6),X78*$E$3)</f>
        <v>118.39869162417959</v>
      </c>
      <c r="Y79" s="115">
        <f ca="1">MAX(SUMIFS('RC Template'!$AW:$AW,'RC Template'!$B:$B,$A79,'RC Template'!$C:$C,Y$6),Y78*$E$3)</f>
        <v>107.429396062997</v>
      </c>
      <c r="Z79" s="115">
        <f ca="1">MAX(SUMIFS('RC Template'!$AW:$AW,'RC Template'!$B:$B,$A79,'RC Template'!$C:$C,Z$6),Z78*$E$3)</f>
        <v>26.880106370060652</v>
      </c>
      <c r="AA79" s="115">
        <f ca="1">MAX(SUMIFS('RC Template'!$AW:$AW,'RC Template'!$B:$B,$A79,'RC Template'!$C:$C,AA$6),AA78*$E$3)</f>
        <v>0</v>
      </c>
      <c r="AB79" s="115">
        <f ca="1">MAX(SUMIFS('RC Template'!$AW:$AW,'RC Template'!$B:$B,$A79,'RC Template'!$C:$C,AB$6),AB78*$E$3)</f>
        <v>0</v>
      </c>
      <c r="AC79" s="115">
        <f ca="1">MAX(SUMIFS('RC Template'!$AW:$AW,'RC Template'!$B:$B,$A79,'RC Template'!$C:$C,AC$6),AC78*$E$3)</f>
        <v>0</v>
      </c>
      <c r="AD79" s="115">
        <f ca="1">MAX(SUMIFS('RC Template'!$AW:$AW,'RC Template'!$B:$B,$A79,'RC Template'!$C:$C,AD$6),AD78*$E$3)</f>
        <v>0</v>
      </c>
    </row>
    <row r="80" spans="1:30" x14ac:dyDescent="0.3">
      <c r="A80" s="1">
        <v>43179</v>
      </c>
      <c r="B80" s="115">
        <f t="shared" ref="B80:B83" ca="1" si="6">SUM(Q80:AD80)</f>
        <v>859.99346574296578</v>
      </c>
      <c r="C80" s="115" t="e">
        <f>IF(SUMIFS('RC Template'!$AW:$AW,'RC Template'!$B:$B,$A80,'RC Template'!$C:$C,C$6)=0,#N/A,SUMIFS('RC Template'!$AW:$AW,'RC Template'!$B:$B,$A80,'RC Template'!$C:$C,C$6))</f>
        <v>#N/A</v>
      </c>
      <c r="D80" s="115" t="e">
        <f>IF(SUMIFS('RC Template'!$AW:$AW,'RC Template'!$B:$B,$A80,'RC Template'!$C:$C,D$6)=0,#N/A,SUMIFS('RC Template'!$AW:$AW,'RC Template'!$B:$B,$A80,'RC Template'!$C:$C,D$6))</f>
        <v>#N/A</v>
      </c>
      <c r="E80" s="115" t="e">
        <f>IF(SUMIFS('RC Template'!$AW:$AW,'RC Template'!$B:$B,$A80,'RC Template'!$C:$C,E$6)=0,#N/A,SUMIFS('RC Template'!$AW:$AW,'RC Template'!$B:$B,$A80,'RC Template'!$C:$C,E$6))</f>
        <v>#N/A</v>
      </c>
      <c r="F80" s="115" t="e">
        <f>IF(SUMIFS('RC Template'!$AW:$AW,'RC Template'!$B:$B,$A80,'RC Template'!$C:$C,F$6)=0,#N/A,SUMIFS('RC Template'!$AW:$AW,'RC Template'!$B:$B,$A80,'RC Template'!$C:$C,F$6))</f>
        <v>#N/A</v>
      </c>
      <c r="G80" s="115" t="e">
        <f>IF(SUMIFS('RC Template'!$AW:$AW,'RC Template'!$B:$B,$A80,'RC Template'!$C:$C,G$6)=0,#N/A,SUMIFS('RC Template'!$AW:$AW,'RC Template'!$B:$B,$A80,'RC Template'!$C:$C,G$6))</f>
        <v>#N/A</v>
      </c>
      <c r="H80" s="115" t="e">
        <f>IF(SUMIFS('RC Template'!$AW:$AW,'RC Template'!$B:$B,$A80,'RC Template'!$C:$C,H$6)=0,#N/A,SUMIFS('RC Template'!$AW:$AW,'RC Template'!$B:$B,$A80,'RC Template'!$C:$C,H$6))</f>
        <v>#N/A</v>
      </c>
      <c r="I80" s="115" t="e">
        <f>IF(SUMIFS('RC Template'!$AW:$AW,'RC Template'!$B:$B,$A80,'RC Template'!$C:$C,I$6)=0,#N/A,SUMIFS('RC Template'!$AW:$AW,'RC Template'!$B:$B,$A80,'RC Template'!$C:$C,I$6))</f>
        <v>#N/A</v>
      </c>
      <c r="J80" s="115" t="e">
        <f>IF(SUMIFS('RC Template'!$AW:$AW,'RC Template'!$B:$B,$A80,'RC Template'!$C:$C,J$6)=0,#N/A,SUMIFS('RC Template'!$AW:$AW,'RC Template'!$B:$B,$A80,'RC Template'!$C:$C,J$6))</f>
        <v>#N/A</v>
      </c>
      <c r="K80" s="115" t="e">
        <f>IF(SUMIFS('RC Template'!$AW:$AW,'RC Template'!$B:$B,$A80,'RC Template'!$C:$C,K$6)=0,#N/A,SUMIFS('RC Template'!$AW:$AW,'RC Template'!$B:$B,$A80,'RC Template'!$C:$C,K$6))</f>
        <v>#N/A</v>
      </c>
      <c r="L80" s="115" t="e">
        <f>IF(SUMIFS('RC Template'!$AW:$AW,'RC Template'!$B:$B,$A80,'RC Template'!$C:$C,L$6)=0,#N/A,SUMIFS('RC Template'!$AW:$AW,'RC Template'!$B:$B,$A80,'RC Template'!$C:$C,L$6))</f>
        <v>#N/A</v>
      </c>
      <c r="M80" s="115" t="e">
        <f>IF(SUMIFS('RC Template'!$AW:$AW,'RC Template'!$B:$B,$A80,'RC Template'!$C:$C,M$6)=0,#N/A,SUMIFS('RC Template'!$AW:$AW,'RC Template'!$B:$B,$A80,'RC Template'!$C:$C,M$6))</f>
        <v>#N/A</v>
      </c>
      <c r="N80" s="115" t="e">
        <f>IF(SUMIFS('RC Template'!$AW:$AW,'RC Template'!$B:$B,$A80,'RC Template'!$C:$C,N$6)=0,#N/A,SUMIFS('RC Template'!$AW:$AW,'RC Template'!$B:$B,$A80,'RC Template'!$C:$C,N$6))</f>
        <v>#N/A</v>
      </c>
      <c r="O80" s="115" t="e">
        <f>IF(SUMIFS('RC Template'!$AW:$AW,'RC Template'!$B:$B,$A80,'RC Template'!$C:$C,O$6)=0,#N/A,SUMIFS('RC Template'!$AW:$AW,'RC Template'!$B:$B,$A80,'RC Template'!$C:$C,O$6))</f>
        <v>#N/A</v>
      </c>
      <c r="P80" s="115" t="e">
        <f>IF(SUMIFS('RC Template'!$AW:$AW,'RC Template'!$B:$B,$A80,'RC Template'!$C:$C,P$6)=0,#N/A,SUMIFS('RC Template'!$AW:$AW,'RC Template'!$B:$B,$A80,'RC Template'!$C:$C,P$6))</f>
        <v>#N/A</v>
      </c>
      <c r="Q80" s="115">
        <f ca="1">MAX(SUMIFS('RC Template'!$AW:$AW,'RC Template'!$B:$B,$A80,'RC Template'!$C:$C,Q$6),Q79*$E$3)</f>
        <v>243.75448701582661</v>
      </c>
      <c r="R80" s="115">
        <f ca="1">MAX(SUMIFS('RC Template'!$AW:$AW,'RC Template'!$B:$B,$A80,'RC Template'!$C:$C,R$6),R79*$E$3)</f>
        <v>60.824236830416808</v>
      </c>
      <c r="S80" s="115">
        <f ca="1">MAX(SUMIFS('RC Template'!$AW:$AW,'RC Template'!$B:$B,$A80,'RC Template'!$C:$C,S$6),S79*$E$3)</f>
        <v>77.300648672956711</v>
      </c>
      <c r="T80" s="115">
        <f ca="1">MAX(SUMIFS('RC Template'!$AW:$AW,'RC Template'!$B:$B,$A80,'RC Template'!$C:$C,T$6),T79*$E$3)</f>
        <v>7.5547115948998123</v>
      </c>
      <c r="U80" s="115">
        <f ca="1">MAX(SUMIFS('RC Template'!$AW:$AW,'RC Template'!$B:$B,$A80,'RC Template'!$C:$C,U$6),U79*$E$3)</f>
        <v>118.71648917858201</v>
      </c>
      <c r="V80" s="115">
        <f ca="1">MAX(SUMIFS('RC Template'!$AW:$AW,'RC Template'!$B:$B,$A80,'RC Template'!$C:$C,V$6),V79*$E$3)</f>
        <v>95.092604854829546</v>
      </c>
      <c r="W80" s="115">
        <f ca="1">MAX(SUMIFS('RC Template'!$AW:$AW,'RC Template'!$B:$B,$A80,'RC Template'!$C:$C,W$6),W79*$E$3)</f>
        <v>10.359798389647908</v>
      </c>
      <c r="X80" s="115">
        <f ca="1">MAX(SUMIFS('RC Template'!$AW:$AW,'RC Template'!$B:$B,$A80,'RC Template'!$C:$C,X$6),X79*$E$3)</f>
        <v>115.4387243335751</v>
      </c>
      <c r="Y80" s="115">
        <f ca="1">MAX(SUMIFS('RC Template'!$AW:$AW,'RC Template'!$B:$B,$A80,'RC Template'!$C:$C,Y$6),Y79*$E$3)</f>
        <v>104.74366116142207</v>
      </c>
      <c r="Z80" s="115">
        <f ca="1">MAX(SUMIFS('RC Template'!$AW:$AW,'RC Template'!$B:$B,$A80,'RC Template'!$C:$C,Z$6),Z79*$E$3)</f>
        <v>26.208103710809134</v>
      </c>
      <c r="AA80" s="115">
        <f ca="1">MAX(SUMIFS('RC Template'!$AW:$AW,'RC Template'!$B:$B,$A80,'RC Template'!$C:$C,AA$6),AA79*$E$3)</f>
        <v>0</v>
      </c>
      <c r="AB80" s="115">
        <f ca="1">MAX(SUMIFS('RC Template'!$AW:$AW,'RC Template'!$B:$B,$A80,'RC Template'!$C:$C,AB$6),AB79*$E$3)</f>
        <v>0</v>
      </c>
      <c r="AC80" s="115">
        <f ca="1">MAX(SUMIFS('RC Template'!$AW:$AW,'RC Template'!$B:$B,$A80,'RC Template'!$C:$C,AC$6),AC79*$E$3)</f>
        <v>0</v>
      </c>
      <c r="AD80" s="115">
        <f ca="1">MAX(SUMIFS('RC Template'!$AW:$AW,'RC Template'!$B:$B,$A80,'RC Template'!$C:$C,AD$6),AD79*$E$3)</f>
        <v>0</v>
      </c>
    </row>
    <row r="81" spans="1:30" x14ac:dyDescent="0.3">
      <c r="A81" s="1">
        <v>43180</v>
      </c>
      <c r="B81" s="115">
        <f t="shared" ca="1" si="6"/>
        <v>838.49362909939157</v>
      </c>
      <c r="C81" s="115" t="e">
        <f>IF(SUMIFS('RC Template'!$AW:$AW,'RC Template'!$B:$B,$A81,'RC Template'!$C:$C,C$6)=0,#N/A,SUMIFS('RC Template'!$AW:$AW,'RC Template'!$B:$B,$A81,'RC Template'!$C:$C,C$6))</f>
        <v>#N/A</v>
      </c>
      <c r="D81" s="115" t="e">
        <f>IF(SUMIFS('RC Template'!$AW:$AW,'RC Template'!$B:$B,$A81,'RC Template'!$C:$C,D$6)=0,#N/A,SUMIFS('RC Template'!$AW:$AW,'RC Template'!$B:$B,$A81,'RC Template'!$C:$C,D$6))</f>
        <v>#N/A</v>
      </c>
      <c r="E81" s="115" t="e">
        <f>IF(SUMIFS('RC Template'!$AW:$AW,'RC Template'!$B:$B,$A81,'RC Template'!$C:$C,E$6)=0,#N/A,SUMIFS('RC Template'!$AW:$AW,'RC Template'!$B:$B,$A81,'RC Template'!$C:$C,E$6))</f>
        <v>#N/A</v>
      </c>
      <c r="F81" s="115" t="e">
        <f>IF(SUMIFS('RC Template'!$AW:$AW,'RC Template'!$B:$B,$A81,'RC Template'!$C:$C,F$6)=0,#N/A,SUMIFS('RC Template'!$AW:$AW,'RC Template'!$B:$B,$A81,'RC Template'!$C:$C,F$6))</f>
        <v>#N/A</v>
      </c>
      <c r="G81" s="115" t="e">
        <f>IF(SUMIFS('RC Template'!$AW:$AW,'RC Template'!$B:$B,$A81,'RC Template'!$C:$C,G$6)=0,#N/A,SUMIFS('RC Template'!$AW:$AW,'RC Template'!$B:$B,$A81,'RC Template'!$C:$C,G$6))</f>
        <v>#N/A</v>
      </c>
      <c r="H81" s="115" t="e">
        <f>IF(SUMIFS('RC Template'!$AW:$AW,'RC Template'!$B:$B,$A81,'RC Template'!$C:$C,H$6)=0,#N/A,SUMIFS('RC Template'!$AW:$AW,'RC Template'!$B:$B,$A81,'RC Template'!$C:$C,H$6))</f>
        <v>#N/A</v>
      </c>
      <c r="I81" s="115" t="e">
        <f>IF(SUMIFS('RC Template'!$AW:$AW,'RC Template'!$B:$B,$A81,'RC Template'!$C:$C,I$6)=0,#N/A,SUMIFS('RC Template'!$AW:$AW,'RC Template'!$B:$B,$A81,'RC Template'!$C:$C,I$6))</f>
        <v>#N/A</v>
      </c>
      <c r="J81" s="115" t="e">
        <f>IF(SUMIFS('RC Template'!$AW:$AW,'RC Template'!$B:$B,$A81,'RC Template'!$C:$C,J$6)=0,#N/A,SUMIFS('RC Template'!$AW:$AW,'RC Template'!$B:$B,$A81,'RC Template'!$C:$C,J$6))</f>
        <v>#N/A</v>
      </c>
      <c r="K81" s="115" t="e">
        <f>IF(SUMIFS('RC Template'!$AW:$AW,'RC Template'!$B:$B,$A81,'RC Template'!$C:$C,K$6)=0,#N/A,SUMIFS('RC Template'!$AW:$AW,'RC Template'!$B:$B,$A81,'RC Template'!$C:$C,K$6))</f>
        <v>#N/A</v>
      </c>
      <c r="L81" s="115" t="e">
        <f>IF(SUMIFS('RC Template'!$AW:$AW,'RC Template'!$B:$B,$A81,'RC Template'!$C:$C,L$6)=0,#N/A,SUMIFS('RC Template'!$AW:$AW,'RC Template'!$B:$B,$A81,'RC Template'!$C:$C,L$6))</f>
        <v>#N/A</v>
      </c>
      <c r="M81" s="115" t="e">
        <f>IF(SUMIFS('RC Template'!$AW:$AW,'RC Template'!$B:$B,$A81,'RC Template'!$C:$C,M$6)=0,#N/A,SUMIFS('RC Template'!$AW:$AW,'RC Template'!$B:$B,$A81,'RC Template'!$C:$C,M$6))</f>
        <v>#N/A</v>
      </c>
      <c r="N81" s="115" t="e">
        <f>IF(SUMIFS('RC Template'!$AW:$AW,'RC Template'!$B:$B,$A81,'RC Template'!$C:$C,N$6)=0,#N/A,SUMIFS('RC Template'!$AW:$AW,'RC Template'!$B:$B,$A81,'RC Template'!$C:$C,N$6))</f>
        <v>#N/A</v>
      </c>
      <c r="O81" s="115" t="e">
        <f>IF(SUMIFS('RC Template'!$AW:$AW,'RC Template'!$B:$B,$A81,'RC Template'!$C:$C,O$6)=0,#N/A,SUMIFS('RC Template'!$AW:$AW,'RC Template'!$B:$B,$A81,'RC Template'!$C:$C,O$6))</f>
        <v>#N/A</v>
      </c>
      <c r="P81" s="115" t="e">
        <f>IF(SUMIFS('RC Template'!$AW:$AW,'RC Template'!$B:$B,$A81,'RC Template'!$C:$C,P$6)=0,#N/A,SUMIFS('RC Template'!$AW:$AW,'RC Template'!$B:$B,$A81,'RC Template'!$C:$C,P$6))</f>
        <v>#N/A</v>
      </c>
      <c r="Q81" s="115">
        <f ca="1">MAX(SUMIFS('RC Template'!$AW:$AW,'RC Template'!$B:$B,$A81,'RC Template'!$C:$C,Q$6),Q80*$E$3)</f>
        <v>237.66062484043096</v>
      </c>
      <c r="R81" s="115">
        <f ca="1">MAX(SUMIFS('RC Template'!$AW:$AW,'RC Template'!$B:$B,$A81,'RC Template'!$C:$C,R$6),R80*$E$3)</f>
        <v>59.303630909656384</v>
      </c>
      <c r="S81" s="115">
        <f ca="1">MAX(SUMIFS('RC Template'!$AW:$AW,'RC Template'!$B:$B,$A81,'RC Template'!$C:$C,S$6),S80*$E$3)</f>
        <v>75.368132456132798</v>
      </c>
      <c r="T81" s="115">
        <f ca="1">MAX(SUMIFS('RC Template'!$AW:$AW,'RC Template'!$B:$B,$A81,'RC Template'!$C:$C,T$6),T80*$E$3)</f>
        <v>7.3658438050273167</v>
      </c>
      <c r="U81" s="115">
        <f ca="1">MAX(SUMIFS('RC Template'!$AW:$AW,'RC Template'!$B:$B,$A81,'RC Template'!$C:$C,U$6),U80*$E$3)</f>
        <v>115.74857694911745</v>
      </c>
      <c r="V81" s="115">
        <f ca="1">MAX(SUMIFS('RC Template'!$AW:$AW,'RC Template'!$B:$B,$A81,'RC Template'!$C:$C,V$6),V80*$E$3)</f>
        <v>92.715289733458803</v>
      </c>
      <c r="W81" s="115">
        <f ca="1">MAX(SUMIFS('RC Template'!$AW:$AW,'RC Template'!$B:$B,$A81,'RC Template'!$C:$C,W$6),W80*$E$3)</f>
        <v>10.10080342990671</v>
      </c>
      <c r="X81" s="115">
        <f ca="1">MAX(SUMIFS('RC Template'!$AW:$AW,'RC Template'!$B:$B,$A81,'RC Template'!$C:$C,X$6),X80*$E$3)</f>
        <v>112.55275622523571</v>
      </c>
      <c r="Y81" s="115">
        <f ca="1">MAX(SUMIFS('RC Template'!$AW:$AW,'RC Template'!$B:$B,$A81,'RC Template'!$C:$C,Y$6),Y80*$E$3)</f>
        <v>102.12506963238651</v>
      </c>
      <c r="Z81" s="115">
        <f ca="1">MAX(SUMIFS('RC Template'!$AW:$AW,'RC Template'!$B:$B,$A81,'RC Template'!$C:$C,Z$6),Z80*$E$3)</f>
        <v>25.552901118038903</v>
      </c>
      <c r="AA81" s="115">
        <f ca="1">MAX(SUMIFS('RC Template'!$AW:$AW,'RC Template'!$B:$B,$A81,'RC Template'!$C:$C,AA$6),AA80*$E$3)</f>
        <v>0</v>
      </c>
      <c r="AB81" s="115">
        <f ca="1">MAX(SUMIFS('RC Template'!$AW:$AW,'RC Template'!$B:$B,$A81,'RC Template'!$C:$C,AB$6),AB80*$E$3)</f>
        <v>0</v>
      </c>
      <c r="AC81" s="115">
        <f ca="1">MAX(SUMIFS('RC Template'!$AW:$AW,'RC Template'!$B:$B,$A81,'RC Template'!$C:$C,AC$6),AC80*$E$3)</f>
        <v>0</v>
      </c>
      <c r="AD81" s="115">
        <f ca="1">MAX(SUMIFS('RC Template'!$AW:$AW,'RC Template'!$B:$B,$A81,'RC Template'!$C:$C,AD$6),AD80*$E$3)</f>
        <v>0</v>
      </c>
    </row>
    <row r="82" spans="1:30" x14ac:dyDescent="0.3">
      <c r="A82" s="1">
        <v>43181</v>
      </c>
      <c r="B82" s="115">
        <f t="shared" ca="1" si="6"/>
        <v>817.53128837190684</v>
      </c>
      <c r="C82" s="115" t="e">
        <f>IF(SUMIFS('RC Template'!$AW:$AW,'RC Template'!$B:$B,$A82,'RC Template'!$C:$C,C$6)=0,#N/A,SUMIFS('RC Template'!$AW:$AW,'RC Template'!$B:$B,$A82,'RC Template'!$C:$C,C$6))</f>
        <v>#N/A</v>
      </c>
      <c r="D82" s="115" t="e">
        <f>IF(SUMIFS('RC Template'!$AW:$AW,'RC Template'!$B:$B,$A82,'RC Template'!$C:$C,D$6)=0,#N/A,SUMIFS('RC Template'!$AW:$AW,'RC Template'!$B:$B,$A82,'RC Template'!$C:$C,D$6))</f>
        <v>#N/A</v>
      </c>
      <c r="E82" s="115" t="e">
        <f>IF(SUMIFS('RC Template'!$AW:$AW,'RC Template'!$B:$B,$A82,'RC Template'!$C:$C,E$6)=0,#N/A,SUMIFS('RC Template'!$AW:$AW,'RC Template'!$B:$B,$A82,'RC Template'!$C:$C,E$6))</f>
        <v>#N/A</v>
      </c>
      <c r="F82" s="115" t="e">
        <f>IF(SUMIFS('RC Template'!$AW:$AW,'RC Template'!$B:$B,$A82,'RC Template'!$C:$C,F$6)=0,#N/A,SUMIFS('RC Template'!$AW:$AW,'RC Template'!$B:$B,$A82,'RC Template'!$C:$C,F$6))</f>
        <v>#N/A</v>
      </c>
      <c r="G82" s="115" t="e">
        <f>IF(SUMIFS('RC Template'!$AW:$AW,'RC Template'!$B:$B,$A82,'RC Template'!$C:$C,G$6)=0,#N/A,SUMIFS('RC Template'!$AW:$AW,'RC Template'!$B:$B,$A82,'RC Template'!$C:$C,G$6))</f>
        <v>#N/A</v>
      </c>
      <c r="H82" s="115" t="e">
        <f>IF(SUMIFS('RC Template'!$AW:$AW,'RC Template'!$B:$B,$A82,'RC Template'!$C:$C,H$6)=0,#N/A,SUMIFS('RC Template'!$AW:$AW,'RC Template'!$B:$B,$A82,'RC Template'!$C:$C,H$6))</f>
        <v>#N/A</v>
      </c>
      <c r="I82" s="115" t="e">
        <f>IF(SUMIFS('RC Template'!$AW:$AW,'RC Template'!$B:$B,$A82,'RC Template'!$C:$C,I$6)=0,#N/A,SUMIFS('RC Template'!$AW:$AW,'RC Template'!$B:$B,$A82,'RC Template'!$C:$C,I$6))</f>
        <v>#N/A</v>
      </c>
      <c r="J82" s="115" t="e">
        <f>IF(SUMIFS('RC Template'!$AW:$AW,'RC Template'!$B:$B,$A82,'RC Template'!$C:$C,J$6)=0,#N/A,SUMIFS('RC Template'!$AW:$AW,'RC Template'!$B:$B,$A82,'RC Template'!$C:$C,J$6))</f>
        <v>#N/A</v>
      </c>
      <c r="K82" s="115" t="e">
        <f>IF(SUMIFS('RC Template'!$AW:$AW,'RC Template'!$B:$B,$A82,'RC Template'!$C:$C,K$6)=0,#N/A,SUMIFS('RC Template'!$AW:$AW,'RC Template'!$B:$B,$A82,'RC Template'!$C:$C,K$6))</f>
        <v>#N/A</v>
      </c>
      <c r="L82" s="115" t="e">
        <f>IF(SUMIFS('RC Template'!$AW:$AW,'RC Template'!$B:$B,$A82,'RC Template'!$C:$C,L$6)=0,#N/A,SUMIFS('RC Template'!$AW:$AW,'RC Template'!$B:$B,$A82,'RC Template'!$C:$C,L$6))</f>
        <v>#N/A</v>
      </c>
      <c r="M82" s="115" t="e">
        <f>IF(SUMIFS('RC Template'!$AW:$AW,'RC Template'!$B:$B,$A82,'RC Template'!$C:$C,M$6)=0,#N/A,SUMIFS('RC Template'!$AW:$AW,'RC Template'!$B:$B,$A82,'RC Template'!$C:$C,M$6))</f>
        <v>#N/A</v>
      </c>
      <c r="N82" s="115" t="e">
        <f>IF(SUMIFS('RC Template'!$AW:$AW,'RC Template'!$B:$B,$A82,'RC Template'!$C:$C,N$6)=0,#N/A,SUMIFS('RC Template'!$AW:$AW,'RC Template'!$B:$B,$A82,'RC Template'!$C:$C,N$6))</f>
        <v>#N/A</v>
      </c>
      <c r="O82" s="115" t="e">
        <f>IF(SUMIFS('RC Template'!$AW:$AW,'RC Template'!$B:$B,$A82,'RC Template'!$C:$C,O$6)=0,#N/A,SUMIFS('RC Template'!$AW:$AW,'RC Template'!$B:$B,$A82,'RC Template'!$C:$C,O$6))</f>
        <v>#N/A</v>
      </c>
      <c r="P82" s="115" t="e">
        <f>IF(SUMIFS('RC Template'!$AW:$AW,'RC Template'!$B:$B,$A82,'RC Template'!$C:$C,P$6)=0,#N/A,SUMIFS('RC Template'!$AW:$AW,'RC Template'!$B:$B,$A82,'RC Template'!$C:$C,P$6))</f>
        <v>#N/A</v>
      </c>
      <c r="Q82" s="115">
        <f ca="1">MAX(SUMIFS('RC Template'!$AW:$AW,'RC Template'!$B:$B,$A82,'RC Template'!$C:$C,Q$6),Q81*$E$3)</f>
        <v>231.71910921942018</v>
      </c>
      <c r="R82" s="115">
        <f ca="1">MAX(SUMIFS('RC Template'!$AW:$AW,'RC Template'!$B:$B,$A82,'RC Template'!$C:$C,R$6),R81*$E$3)</f>
        <v>57.821040136914974</v>
      </c>
      <c r="S82" s="115">
        <f ca="1">MAX(SUMIFS('RC Template'!$AW:$AW,'RC Template'!$B:$B,$A82,'RC Template'!$C:$C,S$6),S81*$E$3)</f>
        <v>73.483929144729473</v>
      </c>
      <c r="T82" s="115">
        <f ca="1">MAX(SUMIFS('RC Template'!$AW:$AW,'RC Template'!$B:$B,$A82,'RC Template'!$C:$C,T$6),T81*$E$3)</f>
        <v>7.1816977099016333</v>
      </c>
      <c r="U82" s="115">
        <f ca="1">MAX(SUMIFS('RC Template'!$AW:$AW,'RC Template'!$B:$B,$A82,'RC Template'!$C:$C,U$6),U81*$E$3)</f>
        <v>112.85486252538951</v>
      </c>
      <c r="V82" s="115">
        <f ca="1">MAX(SUMIFS('RC Template'!$AW:$AW,'RC Template'!$B:$B,$A82,'RC Template'!$C:$C,V$6),V81*$E$3)</f>
        <v>90.397407490122333</v>
      </c>
      <c r="W82" s="115">
        <f ca="1">MAX(SUMIFS('RC Template'!$AW:$AW,'RC Template'!$B:$B,$A82,'RC Template'!$C:$C,W$6),W81*$E$3)</f>
        <v>9.8482833441590429</v>
      </c>
      <c r="X82" s="115">
        <f ca="1">MAX(SUMIFS('RC Template'!$AW:$AW,'RC Template'!$B:$B,$A82,'RC Template'!$C:$C,X$6),X81*$E$3)</f>
        <v>109.73893731960482</v>
      </c>
      <c r="Y82" s="115">
        <f ca="1">MAX(SUMIFS('RC Template'!$AW:$AW,'RC Template'!$B:$B,$A82,'RC Template'!$C:$C,Y$6),Y81*$E$3)</f>
        <v>99.571942891576853</v>
      </c>
      <c r="Z82" s="115">
        <f ca="1">MAX(SUMIFS('RC Template'!$AW:$AW,'RC Template'!$B:$B,$A82,'RC Template'!$C:$C,Z$6),Z81*$E$3)</f>
        <v>24.914078590087929</v>
      </c>
      <c r="AA82" s="115">
        <f ca="1">MAX(SUMIFS('RC Template'!$AW:$AW,'RC Template'!$B:$B,$A82,'RC Template'!$C:$C,AA$6),AA81*$E$3)</f>
        <v>0</v>
      </c>
      <c r="AB82" s="115">
        <f ca="1">MAX(SUMIFS('RC Template'!$AW:$AW,'RC Template'!$B:$B,$A82,'RC Template'!$C:$C,AB$6),AB81*$E$3)</f>
        <v>0</v>
      </c>
      <c r="AC82" s="115">
        <f ca="1">MAX(SUMIFS('RC Template'!$AW:$AW,'RC Template'!$B:$B,$A82,'RC Template'!$C:$C,AC$6),AC81*$E$3)</f>
        <v>0</v>
      </c>
      <c r="AD82" s="115">
        <f ca="1">MAX(SUMIFS('RC Template'!$AW:$AW,'RC Template'!$B:$B,$A82,'RC Template'!$C:$C,AD$6),AD81*$E$3)</f>
        <v>0</v>
      </c>
    </row>
    <row r="83" spans="1:30" x14ac:dyDescent="0.3">
      <c r="A83" s="1">
        <v>43182</v>
      </c>
      <c r="B83" s="115">
        <f t="shared" ca="1" si="6"/>
        <v>797.09300616260907</v>
      </c>
      <c r="C83" s="115" t="e">
        <f>IF(SUMIFS('RC Template'!$AW:$AW,'RC Template'!$B:$B,$A83,'RC Template'!$C:$C,C$6)=0,#N/A,SUMIFS('RC Template'!$AW:$AW,'RC Template'!$B:$B,$A83,'RC Template'!$C:$C,C$6))</f>
        <v>#N/A</v>
      </c>
      <c r="D83" s="115" t="e">
        <f>IF(SUMIFS('RC Template'!$AW:$AW,'RC Template'!$B:$B,$A83,'RC Template'!$C:$C,D$6)=0,#N/A,SUMIFS('RC Template'!$AW:$AW,'RC Template'!$B:$B,$A83,'RC Template'!$C:$C,D$6))</f>
        <v>#N/A</v>
      </c>
      <c r="E83" s="115" t="e">
        <f>IF(SUMIFS('RC Template'!$AW:$AW,'RC Template'!$B:$B,$A83,'RC Template'!$C:$C,E$6)=0,#N/A,SUMIFS('RC Template'!$AW:$AW,'RC Template'!$B:$B,$A83,'RC Template'!$C:$C,E$6))</f>
        <v>#N/A</v>
      </c>
      <c r="F83" s="115" t="e">
        <f>IF(SUMIFS('RC Template'!$AW:$AW,'RC Template'!$B:$B,$A83,'RC Template'!$C:$C,F$6)=0,#N/A,SUMIFS('RC Template'!$AW:$AW,'RC Template'!$B:$B,$A83,'RC Template'!$C:$C,F$6))</f>
        <v>#N/A</v>
      </c>
      <c r="G83" s="115">
        <f ca="1">IF(SUMIFS('RC Template'!$AW:$AW,'RC Template'!$B:$B,$A83,'RC Template'!$C:$C,G$6)=0,#N/A,SUMIFS('RC Template'!$AW:$AW,'RC Template'!$B:$B,$A83,'RC Template'!$C:$C,G$6))</f>
        <v>105.77023722720006</v>
      </c>
      <c r="H83" s="115" t="e">
        <f>IF(SUMIFS('RC Template'!$AW:$AW,'RC Template'!$B:$B,$A83,'RC Template'!$C:$C,H$6)=0,#N/A,SUMIFS('RC Template'!$AW:$AW,'RC Template'!$B:$B,$A83,'RC Template'!$C:$C,H$6))</f>
        <v>#N/A</v>
      </c>
      <c r="I83" s="115" t="e">
        <f>IF(SUMIFS('RC Template'!$AW:$AW,'RC Template'!$B:$B,$A83,'RC Template'!$C:$C,I$6)=0,#N/A,SUMIFS('RC Template'!$AW:$AW,'RC Template'!$B:$B,$A83,'RC Template'!$C:$C,I$6))</f>
        <v>#N/A</v>
      </c>
      <c r="J83" s="115">
        <f ca="1">IF(SUMIFS('RC Template'!$AW:$AW,'RC Template'!$B:$B,$A83,'RC Template'!$C:$C,J$6)=0,#N/A,SUMIFS('RC Template'!$AW:$AW,'RC Template'!$B:$B,$A83,'RC Template'!$C:$C,J$6))</f>
        <v>105.77023722720006</v>
      </c>
      <c r="K83" s="115" t="e">
        <f>IF(SUMIFS('RC Template'!$AW:$AW,'RC Template'!$B:$B,$A83,'RC Template'!$C:$C,K$6)=0,#N/A,SUMIFS('RC Template'!$AW:$AW,'RC Template'!$B:$B,$A83,'RC Template'!$C:$C,K$6))</f>
        <v>#N/A</v>
      </c>
      <c r="L83" s="115" t="e">
        <f>IF(SUMIFS('RC Template'!$AW:$AW,'RC Template'!$B:$B,$A83,'RC Template'!$C:$C,L$6)=0,#N/A,SUMIFS('RC Template'!$AW:$AW,'RC Template'!$B:$B,$A83,'RC Template'!$C:$C,L$6))</f>
        <v>#N/A</v>
      </c>
      <c r="M83" s="115" t="e">
        <f>IF(SUMIFS('RC Template'!$AW:$AW,'RC Template'!$B:$B,$A83,'RC Template'!$C:$C,M$6)=0,#N/A,SUMIFS('RC Template'!$AW:$AW,'RC Template'!$B:$B,$A83,'RC Template'!$C:$C,M$6))</f>
        <v>#N/A</v>
      </c>
      <c r="N83" s="115" t="e">
        <f>IF(SUMIFS('RC Template'!$AW:$AW,'RC Template'!$B:$B,$A83,'RC Template'!$C:$C,N$6)=0,#N/A,SUMIFS('RC Template'!$AW:$AW,'RC Template'!$B:$B,$A83,'RC Template'!$C:$C,N$6))</f>
        <v>#N/A</v>
      </c>
      <c r="O83" s="115" t="e">
        <f>IF(SUMIFS('RC Template'!$AW:$AW,'RC Template'!$B:$B,$A83,'RC Template'!$C:$C,O$6)=0,#N/A,SUMIFS('RC Template'!$AW:$AW,'RC Template'!$B:$B,$A83,'RC Template'!$C:$C,O$6))</f>
        <v>#N/A</v>
      </c>
      <c r="P83" s="115" t="e">
        <f>IF(SUMIFS('RC Template'!$AW:$AW,'RC Template'!$B:$B,$A83,'RC Template'!$C:$C,P$6)=0,#N/A,SUMIFS('RC Template'!$AW:$AW,'RC Template'!$B:$B,$A83,'RC Template'!$C:$C,P$6))</f>
        <v>#N/A</v>
      </c>
      <c r="Q83" s="115">
        <f ca="1">MAX(SUMIFS('RC Template'!$AW:$AW,'RC Template'!$B:$B,$A83,'RC Template'!$C:$C,Q$6),Q82*$E$3)</f>
        <v>225.92613148893466</v>
      </c>
      <c r="R83" s="115">
        <f ca="1">MAX(SUMIFS('RC Template'!$AW:$AW,'RC Template'!$B:$B,$A83,'RC Template'!$C:$C,R$6),R82*$E$3)</f>
        <v>56.375514133492096</v>
      </c>
      <c r="S83" s="115">
        <f ca="1">MAX(SUMIFS('RC Template'!$AW:$AW,'RC Template'!$B:$B,$A83,'RC Template'!$C:$C,S$6),S82*$E$3)</f>
        <v>71.646830916111227</v>
      </c>
      <c r="T83" s="115">
        <f ca="1">MAX(SUMIFS('RC Template'!$AW:$AW,'RC Template'!$B:$B,$A83,'RC Template'!$C:$C,T$6),T82*$E$3)</f>
        <v>7.0021552671540919</v>
      </c>
      <c r="U83" s="115">
        <f ca="1">MAX(SUMIFS('RC Template'!$AW:$AW,'RC Template'!$B:$B,$A83,'RC Template'!$C:$C,U$6),U82*$E$3)</f>
        <v>110.03349096225476</v>
      </c>
      <c r="V83" s="115">
        <f ca="1">MAX(SUMIFS('RC Template'!$AW:$AW,'RC Template'!$B:$B,$A83,'RC Template'!$C:$C,V$6),V82*$E$3)</f>
        <v>88.13747230286927</v>
      </c>
      <c r="W83" s="115">
        <f ca="1">MAX(SUMIFS('RC Template'!$AW:$AW,'RC Template'!$B:$B,$A83,'RC Template'!$C:$C,W$6),W82*$E$3)</f>
        <v>9.6020762605550658</v>
      </c>
      <c r="X83" s="115">
        <f ca="1">MAX(SUMIFS('RC Template'!$AW:$AW,'RC Template'!$B:$B,$A83,'RC Template'!$C:$C,X$6),X82*$E$3)</f>
        <v>106.99546388661469</v>
      </c>
      <c r="Y83" s="115">
        <f ca="1">MAX(SUMIFS('RC Template'!$AW:$AW,'RC Template'!$B:$B,$A83,'RC Template'!$C:$C,Y$6),Y82*$E$3)</f>
        <v>97.082644319287425</v>
      </c>
      <c r="Z83" s="115">
        <f ca="1">MAX(SUMIFS('RC Template'!$AW:$AW,'RC Template'!$B:$B,$A83,'RC Template'!$C:$C,Z$6),Z82*$E$3)</f>
        <v>24.291226625335732</v>
      </c>
      <c r="AA83" s="115">
        <f ca="1">MAX(SUMIFS('RC Template'!$AW:$AW,'RC Template'!$B:$B,$A83,'RC Template'!$C:$C,AA$6),AA82*$E$3)</f>
        <v>0</v>
      </c>
      <c r="AB83" s="115">
        <f ca="1">MAX(SUMIFS('RC Template'!$AW:$AW,'RC Template'!$B:$B,$A83,'RC Template'!$C:$C,AB$6),AB82*$E$3)</f>
        <v>0</v>
      </c>
      <c r="AC83" s="115">
        <f ca="1">MAX(SUMIFS('RC Template'!$AW:$AW,'RC Template'!$B:$B,$A83,'RC Template'!$C:$C,AC$6),AC82*$E$3)</f>
        <v>0</v>
      </c>
      <c r="AD83" s="115">
        <f ca="1">MAX(SUMIFS('RC Template'!$AW:$AW,'RC Template'!$B:$B,$A83,'RC Template'!$C:$C,AD$6),AD82*$E$3)</f>
        <v>0</v>
      </c>
    </row>
    <row r="84" spans="1:30" x14ac:dyDescent="0.3">
      <c r="A84" s="1">
        <v>43183</v>
      </c>
      <c r="B84" s="115">
        <f t="shared" ref="B84:B90" ca="1" si="7">SUM(Q84:AD84)</f>
        <v>777.16568100854386</v>
      </c>
      <c r="C84" s="115" t="e">
        <f>IF(SUMIFS('RC Template'!$AW:$AW,'RC Template'!$B:$B,$A84,'RC Template'!$C:$C,C$6)=0,#N/A,SUMIFS('RC Template'!$AW:$AW,'RC Template'!$B:$B,$A84,'RC Template'!$C:$C,C$6))</f>
        <v>#N/A</v>
      </c>
      <c r="D84" s="115" t="e">
        <f>IF(SUMIFS('RC Template'!$AW:$AW,'RC Template'!$B:$B,$A84,'RC Template'!$C:$C,D$6)=0,#N/A,SUMIFS('RC Template'!$AW:$AW,'RC Template'!$B:$B,$A84,'RC Template'!$C:$C,D$6))</f>
        <v>#N/A</v>
      </c>
      <c r="E84" s="115" t="e">
        <f>IF(SUMIFS('RC Template'!$AW:$AW,'RC Template'!$B:$B,$A84,'RC Template'!$C:$C,E$6)=0,#N/A,SUMIFS('RC Template'!$AW:$AW,'RC Template'!$B:$B,$A84,'RC Template'!$C:$C,E$6))</f>
        <v>#N/A</v>
      </c>
      <c r="F84" s="115" t="e">
        <f>IF(SUMIFS('RC Template'!$AW:$AW,'RC Template'!$B:$B,$A84,'RC Template'!$C:$C,F$6)=0,#N/A,SUMIFS('RC Template'!$AW:$AW,'RC Template'!$B:$B,$A84,'RC Template'!$C:$C,F$6))</f>
        <v>#N/A</v>
      </c>
      <c r="G84" s="115" t="e">
        <f>IF(SUMIFS('RC Template'!$AW:$AW,'RC Template'!$B:$B,$A84,'RC Template'!$C:$C,G$6)=0,#N/A,SUMIFS('RC Template'!$AW:$AW,'RC Template'!$B:$B,$A84,'RC Template'!$C:$C,G$6))</f>
        <v>#N/A</v>
      </c>
      <c r="H84" s="115" t="e">
        <f>IF(SUMIFS('RC Template'!$AW:$AW,'RC Template'!$B:$B,$A84,'RC Template'!$C:$C,H$6)=0,#N/A,SUMIFS('RC Template'!$AW:$AW,'RC Template'!$B:$B,$A84,'RC Template'!$C:$C,H$6))</f>
        <v>#N/A</v>
      </c>
      <c r="I84" s="115" t="e">
        <f>IF(SUMIFS('RC Template'!$AW:$AW,'RC Template'!$B:$B,$A84,'RC Template'!$C:$C,I$6)=0,#N/A,SUMIFS('RC Template'!$AW:$AW,'RC Template'!$B:$B,$A84,'RC Template'!$C:$C,I$6))</f>
        <v>#N/A</v>
      </c>
      <c r="J84" s="115" t="e">
        <f>IF(SUMIFS('RC Template'!$AW:$AW,'RC Template'!$B:$B,$A84,'RC Template'!$C:$C,J$6)=0,#N/A,SUMIFS('RC Template'!$AW:$AW,'RC Template'!$B:$B,$A84,'RC Template'!$C:$C,J$6))</f>
        <v>#N/A</v>
      </c>
      <c r="K84" s="115" t="e">
        <f>IF(SUMIFS('RC Template'!$AW:$AW,'RC Template'!$B:$B,$A84,'RC Template'!$C:$C,K$6)=0,#N/A,SUMIFS('RC Template'!$AW:$AW,'RC Template'!$B:$B,$A84,'RC Template'!$C:$C,K$6))</f>
        <v>#N/A</v>
      </c>
      <c r="L84" s="115" t="e">
        <f>IF(SUMIFS('RC Template'!$AW:$AW,'RC Template'!$B:$B,$A84,'RC Template'!$C:$C,L$6)=0,#N/A,SUMIFS('RC Template'!$AW:$AW,'RC Template'!$B:$B,$A84,'RC Template'!$C:$C,L$6))</f>
        <v>#N/A</v>
      </c>
      <c r="M84" s="115" t="e">
        <f>IF(SUMIFS('RC Template'!$AW:$AW,'RC Template'!$B:$B,$A84,'RC Template'!$C:$C,M$6)=0,#N/A,SUMIFS('RC Template'!$AW:$AW,'RC Template'!$B:$B,$A84,'RC Template'!$C:$C,M$6))</f>
        <v>#N/A</v>
      </c>
      <c r="N84" s="115" t="e">
        <f>IF(SUMIFS('RC Template'!$AW:$AW,'RC Template'!$B:$B,$A84,'RC Template'!$C:$C,N$6)=0,#N/A,SUMIFS('RC Template'!$AW:$AW,'RC Template'!$B:$B,$A84,'RC Template'!$C:$C,N$6))</f>
        <v>#N/A</v>
      </c>
      <c r="O84" s="115" t="e">
        <f>IF(SUMIFS('RC Template'!$AW:$AW,'RC Template'!$B:$B,$A84,'RC Template'!$C:$C,O$6)=0,#N/A,SUMIFS('RC Template'!$AW:$AW,'RC Template'!$B:$B,$A84,'RC Template'!$C:$C,O$6))</f>
        <v>#N/A</v>
      </c>
      <c r="P84" s="115" t="e">
        <f>IF(SUMIFS('RC Template'!$AW:$AW,'RC Template'!$B:$B,$A84,'RC Template'!$C:$C,P$6)=0,#N/A,SUMIFS('RC Template'!$AW:$AW,'RC Template'!$B:$B,$A84,'RC Template'!$C:$C,P$6))</f>
        <v>#N/A</v>
      </c>
      <c r="Q84" s="115">
        <f ca="1">MAX(SUMIFS('RC Template'!$AW:$AW,'RC Template'!$B:$B,$A84,'RC Template'!$C:$C,Q$6),Q83*$E$3)</f>
        <v>220.27797820171128</v>
      </c>
      <c r="R84" s="115">
        <f ca="1">MAX(SUMIFS('RC Template'!$AW:$AW,'RC Template'!$B:$B,$A84,'RC Template'!$C:$C,R$6),R83*$E$3)</f>
        <v>54.966126280154789</v>
      </c>
      <c r="S84" s="115">
        <f ca="1">MAX(SUMIFS('RC Template'!$AW:$AW,'RC Template'!$B:$B,$A84,'RC Template'!$C:$C,S$6),S83*$E$3)</f>
        <v>69.855660143208439</v>
      </c>
      <c r="T84" s="115">
        <f ca="1">MAX(SUMIFS('RC Template'!$AW:$AW,'RC Template'!$B:$B,$A84,'RC Template'!$C:$C,T$6),T83*$E$3)</f>
        <v>6.8271013854752391</v>
      </c>
      <c r="U84" s="115">
        <f ca="1">MAX(SUMIFS('RC Template'!$AW:$AW,'RC Template'!$B:$B,$A84,'RC Template'!$C:$C,U$6),U83*$E$3)</f>
        <v>107.28265368819839</v>
      </c>
      <c r="V84" s="115">
        <f ca="1">MAX(SUMIFS('RC Template'!$AW:$AW,'RC Template'!$B:$B,$A84,'RC Template'!$C:$C,V$6),V83*$E$3)</f>
        <v>85.934035495297536</v>
      </c>
      <c r="W84" s="115">
        <f ca="1">MAX(SUMIFS('RC Template'!$AW:$AW,'RC Template'!$B:$B,$A84,'RC Template'!$C:$C,W$6),W83*$E$3)</f>
        <v>9.3620243540411892</v>
      </c>
      <c r="X84" s="115">
        <f ca="1">MAX(SUMIFS('RC Template'!$AW:$AW,'RC Template'!$B:$B,$A84,'RC Template'!$C:$C,X$6),X83*$E$3)</f>
        <v>104.32057728944932</v>
      </c>
      <c r="Y84" s="115">
        <f ca="1">MAX(SUMIFS('RC Template'!$AW:$AW,'RC Template'!$B:$B,$A84,'RC Template'!$C:$C,Y$6),Y83*$E$3)</f>
        <v>94.65557821130524</v>
      </c>
      <c r="Z84" s="115">
        <f ca="1">MAX(SUMIFS('RC Template'!$AW:$AW,'RC Template'!$B:$B,$A84,'RC Template'!$C:$C,Z$6),Z83*$E$3)</f>
        <v>23.683945959702339</v>
      </c>
      <c r="AA84" s="115">
        <f ca="1">MAX(SUMIFS('RC Template'!$AW:$AW,'RC Template'!$B:$B,$A84,'RC Template'!$C:$C,AA$6),AA83*$E$3)</f>
        <v>0</v>
      </c>
      <c r="AB84" s="115">
        <f ca="1">MAX(SUMIFS('RC Template'!$AW:$AW,'RC Template'!$B:$B,$A84,'RC Template'!$C:$C,AB$6),AB83*$E$3)</f>
        <v>0</v>
      </c>
      <c r="AC84" s="115">
        <f ca="1">MAX(SUMIFS('RC Template'!$AW:$AW,'RC Template'!$B:$B,$A84,'RC Template'!$C:$C,AC$6),AC83*$E$3)</f>
        <v>0</v>
      </c>
      <c r="AD84" s="115">
        <f ca="1">MAX(SUMIFS('RC Template'!$AW:$AW,'RC Template'!$B:$B,$A84,'RC Template'!$C:$C,AD$6),AD83*$E$3)</f>
        <v>0</v>
      </c>
    </row>
    <row r="85" spans="1:30" x14ac:dyDescent="0.3">
      <c r="A85" s="1">
        <v>43184</v>
      </c>
      <c r="B85" s="115">
        <f t="shared" ca="1" si="7"/>
        <v>757.73653898333021</v>
      </c>
      <c r="C85" s="115" t="e">
        <f>IF(SUMIFS('RC Template'!$AW:$AW,'RC Template'!$B:$B,$A85,'RC Template'!$C:$C,C$6)=0,#N/A,SUMIFS('RC Template'!$AW:$AW,'RC Template'!$B:$B,$A85,'RC Template'!$C:$C,C$6))</f>
        <v>#N/A</v>
      </c>
      <c r="D85" s="115" t="e">
        <f>IF(SUMIFS('RC Template'!$AW:$AW,'RC Template'!$B:$B,$A85,'RC Template'!$C:$C,D$6)=0,#N/A,SUMIFS('RC Template'!$AW:$AW,'RC Template'!$B:$B,$A85,'RC Template'!$C:$C,D$6))</f>
        <v>#N/A</v>
      </c>
      <c r="E85" s="115" t="e">
        <f>IF(SUMIFS('RC Template'!$AW:$AW,'RC Template'!$B:$B,$A85,'RC Template'!$C:$C,E$6)=0,#N/A,SUMIFS('RC Template'!$AW:$AW,'RC Template'!$B:$B,$A85,'RC Template'!$C:$C,E$6))</f>
        <v>#N/A</v>
      </c>
      <c r="F85" s="115" t="e">
        <f>IF(SUMIFS('RC Template'!$AW:$AW,'RC Template'!$B:$B,$A85,'RC Template'!$C:$C,F$6)=0,#N/A,SUMIFS('RC Template'!$AW:$AW,'RC Template'!$B:$B,$A85,'RC Template'!$C:$C,F$6))</f>
        <v>#N/A</v>
      </c>
      <c r="G85" s="115" t="e">
        <f>IF(SUMIFS('RC Template'!$AW:$AW,'RC Template'!$B:$B,$A85,'RC Template'!$C:$C,G$6)=0,#N/A,SUMIFS('RC Template'!$AW:$AW,'RC Template'!$B:$B,$A85,'RC Template'!$C:$C,G$6))</f>
        <v>#N/A</v>
      </c>
      <c r="H85" s="115" t="e">
        <f>IF(SUMIFS('RC Template'!$AW:$AW,'RC Template'!$B:$B,$A85,'RC Template'!$C:$C,H$6)=0,#N/A,SUMIFS('RC Template'!$AW:$AW,'RC Template'!$B:$B,$A85,'RC Template'!$C:$C,H$6))</f>
        <v>#N/A</v>
      </c>
      <c r="I85" s="115" t="e">
        <f>IF(SUMIFS('RC Template'!$AW:$AW,'RC Template'!$B:$B,$A85,'RC Template'!$C:$C,I$6)=0,#N/A,SUMIFS('RC Template'!$AW:$AW,'RC Template'!$B:$B,$A85,'RC Template'!$C:$C,I$6))</f>
        <v>#N/A</v>
      </c>
      <c r="J85" s="115" t="e">
        <f>IF(SUMIFS('RC Template'!$AW:$AW,'RC Template'!$B:$B,$A85,'RC Template'!$C:$C,J$6)=0,#N/A,SUMIFS('RC Template'!$AW:$AW,'RC Template'!$B:$B,$A85,'RC Template'!$C:$C,J$6))</f>
        <v>#N/A</v>
      </c>
      <c r="K85" s="115" t="e">
        <f>IF(SUMIFS('RC Template'!$AW:$AW,'RC Template'!$B:$B,$A85,'RC Template'!$C:$C,K$6)=0,#N/A,SUMIFS('RC Template'!$AW:$AW,'RC Template'!$B:$B,$A85,'RC Template'!$C:$C,K$6))</f>
        <v>#N/A</v>
      </c>
      <c r="L85" s="115" t="e">
        <f>IF(SUMIFS('RC Template'!$AW:$AW,'RC Template'!$B:$B,$A85,'RC Template'!$C:$C,L$6)=0,#N/A,SUMIFS('RC Template'!$AW:$AW,'RC Template'!$B:$B,$A85,'RC Template'!$C:$C,L$6))</f>
        <v>#N/A</v>
      </c>
      <c r="M85" s="115" t="e">
        <f>IF(SUMIFS('RC Template'!$AW:$AW,'RC Template'!$B:$B,$A85,'RC Template'!$C:$C,M$6)=0,#N/A,SUMIFS('RC Template'!$AW:$AW,'RC Template'!$B:$B,$A85,'RC Template'!$C:$C,M$6))</f>
        <v>#N/A</v>
      </c>
      <c r="N85" s="115" t="e">
        <f>IF(SUMIFS('RC Template'!$AW:$AW,'RC Template'!$B:$B,$A85,'RC Template'!$C:$C,N$6)=0,#N/A,SUMIFS('RC Template'!$AW:$AW,'RC Template'!$B:$B,$A85,'RC Template'!$C:$C,N$6))</f>
        <v>#N/A</v>
      </c>
      <c r="O85" s="115" t="e">
        <f>IF(SUMIFS('RC Template'!$AW:$AW,'RC Template'!$B:$B,$A85,'RC Template'!$C:$C,O$6)=0,#N/A,SUMIFS('RC Template'!$AW:$AW,'RC Template'!$B:$B,$A85,'RC Template'!$C:$C,O$6))</f>
        <v>#N/A</v>
      </c>
      <c r="P85" s="115" t="e">
        <f>IF(SUMIFS('RC Template'!$AW:$AW,'RC Template'!$B:$B,$A85,'RC Template'!$C:$C,P$6)=0,#N/A,SUMIFS('RC Template'!$AW:$AW,'RC Template'!$B:$B,$A85,'RC Template'!$C:$C,P$6))</f>
        <v>#N/A</v>
      </c>
      <c r="Q85" s="115">
        <f ca="1">MAX(SUMIFS('RC Template'!$AW:$AW,'RC Template'!$B:$B,$A85,'RC Template'!$C:$C,Q$6),Q84*$E$3)</f>
        <v>214.77102874666849</v>
      </c>
      <c r="R85" s="115">
        <f ca="1">MAX(SUMIFS('RC Template'!$AW:$AW,'RC Template'!$B:$B,$A85,'RC Template'!$C:$C,R$6),R84*$E$3)</f>
        <v>53.591973123150922</v>
      </c>
      <c r="S85" s="115">
        <f ca="1">MAX(SUMIFS('RC Template'!$AW:$AW,'RC Template'!$B:$B,$A85,'RC Template'!$C:$C,S$6),S84*$E$3)</f>
        <v>68.109268639628226</v>
      </c>
      <c r="T85" s="115">
        <f ca="1">MAX(SUMIFS('RC Template'!$AW:$AW,'RC Template'!$B:$B,$A85,'RC Template'!$C:$C,T$6),T84*$E$3)</f>
        <v>6.6564238508383582</v>
      </c>
      <c r="U85" s="115">
        <f ca="1">MAX(SUMIFS('RC Template'!$AW:$AW,'RC Template'!$B:$B,$A85,'RC Template'!$C:$C,U$6),U84*$E$3)</f>
        <v>104.60058734599343</v>
      </c>
      <c r="V85" s="115">
        <f ca="1">MAX(SUMIFS('RC Template'!$AW:$AW,'RC Template'!$B:$B,$A85,'RC Template'!$C:$C,V$6),V84*$E$3)</f>
        <v>83.785684607915101</v>
      </c>
      <c r="W85" s="115">
        <f ca="1">MAX(SUMIFS('RC Template'!$AW:$AW,'RC Template'!$B:$B,$A85,'RC Template'!$C:$C,W$6),W84*$E$3)</f>
        <v>9.1279737451901592</v>
      </c>
      <c r="X85" s="115">
        <f ca="1">MAX(SUMIFS('RC Template'!$AW:$AW,'RC Template'!$B:$B,$A85,'RC Template'!$C:$C,X$6),X84*$E$3)</f>
        <v>101.71256285721309</v>
      </c>
      <c r="Y85" s="115">
        <f ca="1">MAX(SUMIFS('RC Template'!$AW:$AW,'RC Template'!$B:$B,$A85,'RC Template'!$C:$C,Y$6),Y84*$E$3)</f>
        <v>92.289188756022611</v>
      </c>
      <c r="Z85" s="115">
        <f ca="1">MAX(SUMIFS('RC Template'!$AW:$AW,'RC Template'!$B:$B,$A85,'RC Template'!$C:$C,Z$6),Z84*$E$3)</f>
        <v>23.091847310709781</v>
      </c>
      <c r="AA85" s="115">
        <f ca="1">MAX(SUMIFS('RC Template'!$AW:$AW,'RC Template'!$B:$B,$A85,'RC Template'!$C:$C,AA$6),AA84*$E$3)</f>
        <v>0</v>
      </c>
      <c r="AB85" s="115">
        <f ca="1">MAX(SUMIFS('RC Template'!$AW:$AW,'RC Template'!$B:$B,$A85,'RC Template'!$C:$C,AB$6),AB84*$E$3)</f>
        <v>0</v>
      </c>
      <c r="AC85" s="115">
        <f ca="1">MAX(SUMIFS('RC Template'!$AW:$AW,'RC Template'!$B:$B,$A85,'RC Template'!$C:$C,AC$6),AC84*$E$3)</f>
        <v>0</v>
      </c>
      <c r="AD85" s="115">
        <f ca="1">MAX(SUMIFS('RC Template'!$AW:$AW,'RC Template'!$B:$B,$A85,'RC Template'!$C:$C,AD$6),AD84*$E$3)</f>
        <v>0</v>
      </c>
    </row>
    <row r="86" spans="1:30" x14ac:dyDescent="0.3">
      <c r="A86" s="1">
        <v>43185</v>
      </c>
      <c r="B86" s="115">
        <f t="shared" ca="1" si="7"/>
        <v>738.79312550874681</v>
      </c>
      <c r="C86" s="115" t="e">
        <f>IF(SUMIFS('RC Template'!$AW:$AW,'RC Template'!$B:$B,$A86,'RC Template'!$C:$C,C$6)=0,#N/A,SUMIFS('RC Template'!$AW:$AW,'RC Template'!$B:$B,$A86,'RC Template'!$C:$C,C$6))</f>
        <v>#N/A</v>
      </c>
      <c r="D86" s="115" t="e">
        <f>IF(SUMIFS('RC Template'!$AW:$AW,'RC Template'!$B:$B,$A86,'RC Template'!$C:$C,D$6)=0,#N/A,SUMIFS('RC Template'!$AW:$AW,'RC Template'!$B:$B,$A86,'RC Template'!$C:$C,D$6))</f>
        <v>#N/A</v>
      </c>
      <c r="E86" s="115" t="e">
        <f>IF(SUMIFS('RC Template'!$AW:$AW,'RC Template'!$B:$B,$A86,'RC Template'!$C:$C,E$6)=0,#N/A,SUMIFS('RC Template'!$AW:$AW,'RC Template'!$B:$B,$A86,'RC Template'!$C:$C,E$6))</f>
        <v>#N/A</v>
      </c>
      <c r="F86" s="115" t="e">
        <f>IF(SUMIFS('RC Template'!$AW:$AW,'RC Template'!$B:$B,$A86,'RC Template'!$C:$C,F$6)=0,#N/A,SUMIFS('RC Template'!$AW:$AW,'RC Template'!$B:$B,$A86,'RC Template'!$C:$C,F$6))</f>
        <v>#N/A</v>
      </c>
      <c r="G86" s="115" t="e">
        <f>IF(SUMIFS('RC Template'!$AW:$AW,'RC Template'!$B:$B,$A86,'RC Template'!$C:$C,G$6)=0,#N/A,SUMIFS('RC Template'!$AW:$AW,'RC Template'!$B:$B,$A86,'RC Template'!$C:$C,G$6))</f>
        <v>#N/A</v>
      </c>
      <c r="H86" s="115">
        <f ca="1">IF(SUMIFS('RC Template'!$AW:$AW,'RC Template'!$B:$B,$A86,'RC Template'!$C:$C,H$6)=0,#N/A,SUMIFS('RC Template'!$AW:$AW,'RC Template'!$B:$B,$A86,'RC Template'!$C:$C,H$6))</f>
        <v>51.502499999999998</v>
      </c>
      <c r="I86" s="115" t="e">
        <f>IF(SUMIFS('RC Template'!$AW:$AW,'RC Template'!$B:$B,$A86,'RC Template'!$C:$C,I$6)=0,#N/A,SUMIFS('RC Template'!$AW:$AW,'RC Template'!$B:$B,$A86,'RC Template'!$C:$C,I$6))</f>
        <v>#N/A</v>
      </c>
      <c r="J86" s="115" t="e">
        <f>IF(SUMIFS('RC Template'!$AW:$AW,'RC Template'!$B:$B,$A86,'RC Template'!$C:$C,J$6)=0,#N/A,SUMIFS('RC Template'!$AW:$AW,'RC Template'!$B:$B,$A86,'RC Template'!$C:$C,J$6))</f>
        <v>#N/A</v>
      </c>
      <c r="K86" s="115" t="e">
        <f>IF(SUMIFS('RC Template'!$AW:$AW,'RC Template'!$B:$B,$A86,'RC Template'!$C:$C,K$6)=0,#N/A,SUMIFS('RC Template'!$AW:$AW,'RC Template'!$B:$B,$A86,'RC Template'!$C:$C,K$6))</f>
        <v>#N/A</v>
      </c>
      <c r="L86" s="115" t="e">
        <f>IF(SUMIFS('RC Template'!$AW:$AW,'RC Template'!$B:$B,$A86,'RC Template'!$C:$C,L$6)=0,#N/A,SUMIFS('RC Template'!$AW:$AW,'RC Template'!$B:$B,$A86,'RC Template'!$C:$C,L$6))</f>
        <v>#N/A</v>
      </c>
      <c r="M86" s="115" t="e">
        <f>IF(SUMIFS('RC Template'!$AW:$AW,'RC Template'!$B:$B,$A86,'RC Template'!$C:$C,M$6)=0,#N/A,SUMIFS('RC Template'!$AW:$AW,'RC Template'!$B:$B,$A86,'RC Template'!$C:$C,M$6))</f>
        <v>#N/A</v>
      </c>
      <c r="N86" s="115" t="e">
        <f>IF(SUMIFS('RC Template'!$AW:$AW,'RC Template'!$B:$B,$A86,'RC Template'!$C:$C,N$6)=0,#N/A,SUMIFS('RC Template'!$AW:$AW,'RC Template'!$B:$B,$A86,'RC Template'!$C:$C,N$6))</f>
        <v>#N/A</v>
      </c>
      <c r="O86" s="115" t="e">
        <f>IF(SUMIFS('RC Template'!$AW:$AW,'RC Template'!$B:$B,$A86,'RC Template'!$C:$C,O$6)=0,#N/A,SUMIFS('RC Template'!$AW:$AW,'RC Template'!$B:$B,$A86,'RC Template'!$C:$C,O$6))</f>
        <v>#N/A</v>
      </c>
      <c r="P86" s="115" t="e">
        <f>IF(SUMIFS('RC Template'!$AW:$AW,'RC Template'!$B:$B,$A86,'RC Template'!$C:$C,P$6)=0,#N/A,SUMIFS('RC Template'!$AW:$AW,'RC Template'!$B:$B,$A86,'RC Template'!$C:$C,P$6))</f>
        <v>#N/A</v>
      </c>
      <c r="Q86" s="115">
        <f ca="1">MAX(SUMIFS('RC Template'!$AW:$AW,'RC Template'!$B:$B,$A86,'RC Template'!$C:$C,Q$6),Q85*$E$3)</f>
        <v>209.40175302800176</v>
      </c>
      <c r="R86" s="115">
        <f ca="1">MAX(SUMIFS('RC Template'!$AW:$AW,'RC Template'!$B:$B,$A86,'RC Template'!$C:$C,R$6),R85*$E$3)</f>
        <v>52.252173795072146</v>
      </c>
      <c r="S86" s="115">
        <f ca="1">MAX(SUMIFS('RC Template'!$AW:$AW,'RC Template'!$B:$B,$A86,'RC Template'!$C:$C,S$6),S85*$E$3)</f>
        <v>66.406536923637518</v>
      </c>
      <c r="T86" s="115">
        <f ca="1">MAX(SUMIFS('RC Template'!$AW:$AW,'RC Template'!$B:$B,$A86,'RC Template'!$C:$C,T$6),T85*$E$3)</f>
        <v>6.4900132545673994</v>
      </c>
      <c r="U86" s="115">
        <f ca="1">MAX(SUMIFS('RC Template'!$AW:$AW,'RC Template'!$B:$B,$A86,'RC Template'!$C:$C,U$6),U85*$E$3)</f>
        <v>101.9855726623436</v>
      </c>
      <c r="V86" s="115">
        <f ca="1">MAX(SUMIFS('RC Template'!$AW:$AW,'RC Template'!$B:$B,$A86,'RC Template'!$C:$C,V$6),V85*$E$3)</f>
        <v>81.691042492717216</v>
      </c>
      <c r="W86" s="115">
        <f ca="1">MAX(SUMIFS('RC Template'!$AW:$AW,'RC Template'!$B:$B,$A86,'RC Template'!$C:$C,W$6),W85*$E$3)</f>
        <v>8.8997744015604052</v>
      </c>
      <c r="X86" s="115">
        <f ca="1">MAX(SUMIFS('RC Template'!$AW:$AW,'RC Template'!$B:$B,$A86,'RC Template'!$C:$C,X$6),X85*$E$3)</f>
        <v>99.169748785782758</v>
      </c>
      <c r="Y86" s="115">
        <f ca="1">MAX(SUMIFS('RC Template'!$AW:$AW,'RC Template'!$B:$B,$A86,'RC Template'!$C:$C,Y$6),Y85*$E$3)</f>
        <v>89.981959037122039</v>
      </c>
      <c r="Z86" s="115">
        <f ca="1">MAX(SUMIFS('RC Template'!$AW:$AW,'RC Template'!$B:$B,$A86,'RC Template'!$C:$C,Z$6),Z85*$E$3)</f>
        <v>22.514551127942035</v>
      </c>
      <c r="AA86" s="115">
        <f ca="1">MAX(SUMIFS('RC Template'!$AW:$AW,'RC Template'!$B:$B,$A86,'RC Template'!$C:$C,AA$6),AA85*$E$3)</f>
        <v>0</v>
      </c>
      <c r="AB86" s="115">
        <f ca="1">MAX(SUMIFS('RC Template'!$AW:$AW,'RC Template'!$B:$B,$A86,'RC Template'!$C:$C,AB$6),AB85*$E$3)</f>
        <v>0</v>
      </c>
      <c r="AC86" s="115">
        <f ca="1">MAX(SUMIFS('RC Template'!$AW:$AW,'RC Template'!$B:$B,$A86,'RC Template'!$C:$C,AC$6),AC85*$E$3)</f>
        <v>0</v>
      </c>
      <c r="AD86" s="115">
        <f ca="1">MAX(SUMIFS('RC Template'!$AW:$AW,'RC Template'!$B:$B,$A86,'RC Template'!$C:$C,AD$6),AD85*$E$3)</f>
        <v>0</v>
      </c>
    </row>
    <row r="87" spans="1:30" x14ac:dyDescent="0.3">
      <c r="A87" s="1">
        <v>43186</v>
      </c>
      <c r="B87" s="115">
        <f t="shared" ca="1" si="7"/>
        <v>720.32329737102816</v>
      </c>
      <c r="C87" s="115" t="e">
        <f>IF(SUMIFS('RC Template'!$AW:$AW,'RC Template'!$B:$B,$A87,'RC Template'!$C:$C,C$6)=0,#N/A,SUMIFS('RC Template'!$AW:$AW,'RC Template'!$B:$B,$A87,'RC Template'!$C:$C,C$6))</f>
        <v>#N/A</v>
      </c>
      <c r="D87" s="115" t="e">
        <f>IF(SUMIFS('RC Template'!$AW:$AW,'RC Template'!$B:$B,$A87,'RC Template'!$C:$C,D$6)=0,#N/A,SUMIFS('RC Template'!$AW:$AW,'RC Template'!$B:$B,$A87,'RC Template'!$C:$C,D$6))</f>
        <v>#N/A</v>
      </c>
      <c r="E87" s="115" t="e">
        <f>IF(SUMIFS('RC Template'!$AW:$AW,'RC Template'!$B:$B,$A87,'RC Template'!$C:$C,E$6)=0,#N/A,SUMIFS('RC Template'!$AW:$AW,'RC Template'!$B:$B,$A87,'RC Template'!$C:$C,E$6))</f>
        <v>#N/A</v>
      </c>
      <c r="F87" s="115" t="e">
        <f>IF(SUMIFS('RC Template'!$AW:$AW,'RC Template'!$B:$B,$A87,'RC Template'!$C:$C,F$6)=0,#N/A,SUMIFS('RC Template'!$AW:$AW,'RC Template'!$B:$B,$A87,'RC Template'!$C:$C,F$6))</f>
        <v>#N/A</v>
      </c>
      <c r="G87" s="115" t="e">
        <f>IF(SUMIFS('RC Template'!$AW:$AW,'RC Template'!$B:$B,$A87,'RC Template'!$C:$C,G$6)=0,#N/A,SUMIFS('RC Template'!$AW:$AW,'RC Template'!$B:$B,$A87,'RC Template'!$C:$C,G$6))</f>
        <v>#N/A</v>
      </c>
      <c r="H87" s="115" t="e">
        <f>IF(SUMIFS('RC Template'!$AW:$AW,'RC Template'!$B:$B,$A87,'RC Template'!$C:$C,H$6)=0,#N/A,SUMIFS('RC Template'!$AW:$AW,'RC Template'!$B:$B,$A87,'RC Template'!$C:$C,H$6))</f>
        <v>#N/A</v>
      </c>
      <c r="I87" s="115" t="e">
        <f>IF(SUMIFS('RC Template'!$AW:$AW,'RC Template'!$B:$B,$A87,'RC Template'!$C:$C,I$6)=0,#N/A,SUMIFS('RC Template'!$AW:$AW,'RC Template'!$B:$B,$A87,'RC Template'!$C:$C,I$6))</f>
        <v>#N/A</v>
      </c>
      <c r="J87" s="115" t="e">
        <f>IF(SUMIFS('RC Template'!$AW:$AW,'RC Template'!$B:$B,$A87,'RC Template'!$C:$C,J$6)=0,#N/A,SUMIFS('RC Template'!$AW:$AW,'RC Template'!$B:$B,$A87,'RC Template'!$C:$C,J$6))</f>
        <v>#N/A</v>
      </c>
      <c r="K87" s="115" t="e">
        <f>IF(SUMIFS('RC Template'!$AW:$AW,'RC Template'!$B:$B,$A87,'RC Template'!$C:$C,K$6)=0,#N/A,SUMIFS('RC Template'!$AW:$AW,'RC Template'!$B:$B,$A87,'RC Template'!$C:$C,K$6))</f>
        <v>#N/A</v>
      </c>
      <c r="L87" s="115" t="e">
        <f>IF(SUMIFS('RC Template'!$AW:$AW,'RC Template'!$B:$B,$A87,'RC Template'!$C:$C,L$6)=0,#N/A,SUMIFS('RC Template'!$AW:$AW,'RC Template'!$B:$B,$A87,'RC Template'!$C:$C,L$6))</f>
        <v>#N/A</v>
      </c>
      <c r="M87" s="115" t="e">
        <f>IF(SUMIFS('RC Template'!$AW:$AW,'RC Template'!$B:$B,$A87,'RC Template'!$C:$C,M$6)=0,#N/A,SUMIFS('RC Template'!$AW:$AW,'RC Template'!$B:$B,$A87,'RC Template'!$C:$C,M$6))</f>
        <v>#N/A</v>
      </c>
      <c r="N87" s="115" t="e">
        <f>IF(SUMIFS('RC Template'!$AW:$AW,'RC Template'!$B:$B,$A87,'RC Template'!$C:$C,N$6)=0,#N/A,SUMIFS('RC Template'!$AW:$AW,'RC Template'!$B:$B,$A87,'RC Template'!$C:$C,N$6))</f>
        <v>#N/A</v>
      </c>
      <c r="O87" s="115" t="e">
        <f>IF(SUMIFS('RC Template'!$AW:$AW,'RC Template'!$B:$B,$A87,'RC Template'!$C:$C,O$6)=0,#N/A,SUMIFS('RC Template'!$AW:$AW,'RC Template'!$B:$B,$A87,'RC Template'!$C:$C,O$6))</f>
        <v>#N/A</v>
      </c>
      <c r="P87" s="115" t="e">
        <f>IF(SUMIFS('RC Template'!$AW:$AW,'RC Template'!$B:$B,$A87,'RC Template'!$C:$C,P$6)=0,#N/A,SUMIFS('RC Template'!$AW:$AW,'RC Template'!$B:$B,$A87,'RC Template'!$C:$C,P$6))</f>
        <v>#N/A</v>
      </c>
      <c r="Q87" s="115">
        <f ca="1">MAX(SUMIFS('RC Template'!$AW:$AW,'RC Template'!$B:$B,$A87,'RC Template'!$C:$C,Q$6),Q86*$E$3)</f>
        <v>204.16670920230172</v>
      </c>
      <c r="R87" s="115">
        <f ca="1">MAX(SUMIFS('RC Template'!$AW:$AW,'RC Template'!$B:$B,$A87,'RC Template'!$C:$C,R$6),R86*$E$3)</f>
        <v>50.945869450195339</v>
      </c>
      <c r="S87" s="115">
        <f ca="1">MAX(SUMIFS('RC Template'!$AW:$AW,'RC Template'!$B:$B,$A87,'RC Template'!$C:$C,S$6),S86*$E$3)</f>
        <v>64.746373500546582</v>
      </c>
      <c r="T87" s="115">
        <f ca="1">MAX(SUMIFS('RC Template'!$AW:$AW,'RC Template'!$B:$B,$A87,'RC Template'!$C:$C,T$6),T86*$E$3)</f>
        <v>6.3277629232032142</v>
      </c>
      <c r="U87" s="115">
        <f ca="1">MAX(SUMIFS('RC Template'!$AW:$AW,'RC Template'!$B:$B,$A87,'RC Template'!$C:$C,U$6),U86*$E$3)</f>
        <v>99.435933345785003</v>
      </c>
      <c r="V87" s="115">
        <f ca="1">MAX(SUMIFS('RC Template'!$AW:$AW,'RC Template'!$B:$B,$A87,'RC Template'!$C:$C,V$6),V86*$E$3)</f>
        <v>79.648766430399277</v>
      </c>
      <c r="W87" s="115">
        <f ca="1">MAX(SUMIFS('RC Template'!$AW:$AW,'RC Template'!$B:$B,$A87,'RC Template'!$C:$C,W$6),W86*$E$3)</f>
        <v>8.6772800415213958</v>
      </c>
      <c r="X87" s="115">
        <f ca="1">MAX(SUMIFS('RC Template'!$AW:$AW,'RC Template'!$B:$B,$A87,'RC Template'!$C:$C,X$6),X86*$E$3)</f>
        <v>96.690505066138186</v>
      </c>
      <c r="Y87" s="115">
        <f ca="1">MAX(SUMIFS('RC Template'!$AW:$AW,'RC Template'!$B:$B,$A87,'RC Template'!$C:$C,Y$6),Y86*$E$3)</f>
        <v>87.732410061193988</v>
      </c>
      <c r="Z87" s="115">
        <f ca="1">MAX(SUMIFS('RC Template'!$AW:$AW,'RC Template'!$B:$B,$A87,'RC Template'!$C:$C,Z$6),Z86*$E$3)</f>
        <v>21.951687349743484</v>
      </c>
      <c r="AA87" s="115">
        <f ca="1">MAX(SUMIFS('RC Template'!$AW:$AW,'RC Template'!$B:$B,$A87,'RC Template'!$C:$C,AA$6),AA86*$E$3)</f>
        <v>0</v>
      </c>
      <c r="AB87" s="115">
        <f ca="1">MAX(SUMIFS('RC Template'!$AW:$AW,'RC Template'!$B:$B,$A87,'RC Template'!$C:$C,AB$6),AB86*$E$3)</f>
        <v>0</v>
      </c>
      <c r="AC87" s="115">
        <f ca="1">MAX(SUMIFS('RC Template'!$AW:$AW,'RC Template'!$B:$B,$A87,'RC Template'!$C:$C,AC$6),AC86*$E$3)</f>
        <v>0</v>
      </c>
      <c r="AD87" s="115">
        <f ca="1">MAX(SUMIFS('RC Template'!$AW:$AW,'RC Template'!$B:$B,$A87,'RC Template'!$C:$C,AD$6),AD86*$E$3)</f>
        <v>0</v>
      </c>
    </row>
    <row r="88" spans="1:30" x14ac:dyDescent="0.3">
      <c r="A88" s="1">
        <v>43187</v>
      </c>
      <c r="B88" s="115">
        <f t="shared" ca="1" si="7"/>
        <v>896.01451175537875</v>
      </c>
      <c r="C88" s="115">
        <f ca="1">IF(SUMIFS('RC Template'!$AW:$AW,'RC Template'!$B:$B,$A88,'RC Template'!$C:$C,C$6)=0,#N/A,SUMIFS('RC Template'!$AW:$AW,'RC Template'!$B:$B,$A88,'RC Template'!$C:$C,C$6))</f>
        <v>318.80189462676492</v>
      </c>
      <c r="D88" s="115" t="e">
        <f>IF(SUMIFS('RC Template'!$AW:$AW,'RC Template'!$B:$B,$A88,'RC Template'!$C:$C,D$6)=0,#N/A,SUMIFS('RC Template'!$AW:$AW,'RC Template'!$B:$B,$A88,'RC Template'!$C:$C,D$6))</f>
        <v>#N/A</v>
      </c>
      <c r="E88" s="115" t="e">
        <f>IF(SUMIFS('RC Template'!$AW:$AW,'RC Template'!$B:$B,$A88,'RC Template'!$C:$C,E$6)=0,#N/A,SUMIFS('RC Template'!$AW:$AW,'RC Template'!$B:$B,$A88,'RC Template'!$C:$C,E$6))</f>
        <v>#N/A</v>
      </c>
      <c r="F88" s="115" t="e">
        <f>IF(SUMIFS('RC Template'!$AW:$AW,'RC Template'!$B:$B,$A88,'RC Template'!$C:$C,F$6)=0,#N/A,SUMIFS('RC Template'!$AW:$AW,'RC Template'!$B:$B,$A88,'RC Template'!$C:$C,F$6))</f>
        <v>#N/A</v>
      </c>
      <c r="G88" s="115">
        <f ca="1">IF(SUMIFS('RC Template'!$AW:$AW,'RC Template'!$B:$B,$A88,'RC Template'!$C:$C,G$6)=0,#N/A,SUMIFS('RC Template'!$AW:$AW,'RC Template'!$B:$B,$A88,'RC Template'!$C:$C,G$6))</f>
        <v>133.25766388937112</v>
      </c>
      <c r="H88" s="115" t="e">
        <f>IF(SUMIFS('RC Template'!$AW:$AW,'RC Template'!$B:$B,$A88,'RC Template'!$C:$C,H$6)=0,#N/A,SUMIFS('RC Template'!$AW:$AW,'RC Template'!$B:$B,$A88,'RC Template'!$C:$C,H$6))</f>
        <v>#N/A</v>
      </c>
      <c r="I88" s="115" t="e">
        <f>IF(SUMIFS('RC Template'!$AW:$AW,'RC Template'!$B:$B,$A88,'RC Template'!$C:$C,I$6)=0,#N/A,SUMIFS('RC Template'!$AW:$AW,'RC Template'!$B:$B,$A88,'RC Template'!$C:$C,I$6))</f>
        <v>#N/A</v>
      </c>
      <c r="J88" s="115">
        <f ca="1">IF(SUMIFS('RC Template'!$AW:$AW,'RC Template'!$B:$B,$A88,'RC Template'!$C:$C,J$6)=0,#N/A,SUMIFS('RC Template'!$AW:$AW,'RC Template'!$B:$B,$A88,'RC Template'!$C:$C,J$6))</f>
        <v>131.92555722635953</v>
      </c>
      <c r="K88" s="115" t="e">
        <f>IF(SUMIFS('RC Template'!$AW:$AW,'RC Template'!$B:$B,$A88,'RC Template'!$C:$C,K$6)=0,#N/A,SUMIFS('RC Template'!$AW:$AW,'RC Template'!$B:$B,$A88,'RC Template'!$C:$C,K$6))</f>
        <v>#N/A</v>
      </c>
      <c r="L88" s="115" t="e">
        <f>IF(SUMIFS('RC Template'!$AW:$AW,'RC Template'!$B:$B,$A88,'RC Template'!$C:$C,L$6)=0,#N/A,SUMIFS('RC Template'!$AW:$AW,'RC Template'!$B:$B,$A88,'RC Template'!$C:$C,L$6))</f>
        <v>#N/A</v>
      </c>
      <c r="M88" s="115" t="e">
        <f>IF(SUMIFS('RC Template'!$AW:$AW,'RC Template'!$B:$B,$A88,'RC Template'!$C:$C,M$6)=0,#N/A,SUMIFS('RC Template'!$AW:$AW,'RC Template'!$B:$B,$A88,'RC Template'!$C:$C,M$6))</f>
        <v>#N/A</v>
      </c>
      <c r="N88" s="115" t="e">
        <f>IF(SUMIFS('RC Template'!$AW:$AW,'RC Template'!$B:$B,$A88,'RC Template'!$C:$C,N$6)=0,#N/A,SUMIFS('RC Template'!$AW:$AW,'RC Template'!$B:$B,$A88,'RC Template'!$C:$C,N$6))</f>
        <v>#N/A</v>
      </c>
      <c r="O88" s="115" t="e">
        <f>IF(SUMIFS('RC Template'!$AW:$AW,'RC Template'!$B:$B,$A88,'RC Template'!$C:$C,O$6)=0,#N/A,SUMIFS('RC Template'!$AW:$AW,'RC Template'!$B:$B,$A88,'RC Template'!$C:$C,O$6))</f>
        <v>#N/A</v>
      </c>
      <c r="P88" s="115" t="e">
        <f>IF(SUMIFS('RC Template'!$AW:$AW,'RC Template'!$B:$B,$A88,'RC Template'!$C:$C,P$6)=0,#N/A,SUMIFS('RC Template'!$AW:$AW,'RC Template'!$B:$B,$A88,'RC Template'!$C:$C,P$6))</f>
        <v>#N/A</v>
      </c>
      <c r="Q88" s="115">
        <f ca="1">MAX(SUMIFS('RC Template'!$AW:$AW,'RC Template'!$B:$B,$A88,'RC Template'!$C:$C,Q$6),Q87*$E$3)</f>
        <v>318.80189462676492</v>
      </c>
      <c r="R88" s="115">
        <f ca="1">MAX(SUMIFS('RC Template'!$AW:$AW,'RC Template'!$B:$B,$A88,'RC Template'!$C:$C,R$6),R87*$E$3)</f>
        <v>49.672222713940457</v>
      </c>
      <c r="S88" s="115">
        <f ca="1">MAX(SUMIFS('RC Template'!$AW:$AW,'RC Template'!$B:$B,$A88,'RC Template'!$C:$C,S$6),S87*$E$3)</f>
        <v>63.127714163032913</v>
      </c>
      <c r="T88" s="115">
        <f ca="1">MAX(SUMIFS('RC Template'!$AW:$AW,'RC Template'!$B:$B,$A88,'RC Template'!$C:$C,T$6),T87*$E$3)</f>
        <v>6.1695688501231336</v>
      </c>
      <c r="U88" s="115">
        <f ca="1">MAX(SUMIFS('RC Template'!$AW:$AW,'RC Template'!$B:$B,$A88,'RC Template'!$C:$C,U$6),U87*$E$3)</f>
        <v>133.25766388937112</v>
      </c>
      <c r="V88" s="115">
        <f ca="1">MAX(SUMIFS('RC Template'!$AW:$AW,'RC Template'!$B:$B,$A88,'RC Template'!$C:$C,V$6),V87*$E$3)</f>
        <v>77.657547269639295</v>
      </c>
      <c r="W88" s="115">
        <f ca="1">MAX(SUMIFS('RC Template'!$AW:$AW,'RC Template'!$B:$B,$A88,'RC Template'!$C:$C,W$6),W87*$E$3)</f>
        <v>8.4603480404833604</v>
      </c>
      <c r="X88" s="115">
        <f ca="1">MAX(SUMIFS('RC Template'!$AW:$AW,'RC Template'!$B:$B,$A88,'RC Template'!$C:$C,X$6),X87*$E$3)</f>
        <v>131.92555722635953</v>
      </c>
      <c r="Y88" s="115">
        <f ca="1">MAX(SUMIFS('RC Template'!$AW:$AW,'RC Template'!$B:$B,$A88,'RC Template'!$C:$C,Y$6),Y87*$E$3)</f>
        <v>85.539099809664137</v>
      </c>
      <c r="Z88" s="115">
        <f ca="1">MAX(SUMIFS('RC Template'!$AW:$AW,'RC Template'!$B:$B,$A88,'RC Template'!$C:$C,Z$6),Z87*$E$3)</f>
        <v>21.402895165999897</v>
      </c>
      <c r="AA88" s="115">
        <f ca="1">MAX(SUMIFS('RC Template'!$AW:$AW,'RC Template'!$B:$B,$A88,'RC Template'!$C:$C,AA$6),AA87*$E$3)</f>
        <v>0</v>
      </c>
      <c r="AB88" s="115">
        <f ca="1">MAX(SUMIFS('RC Template'!$AW:$AW,'RC Template'!$B:$B,$A88,'RC Template'!$C:$C,AB$6),AB87*$E$3)</f>
        <v>0</v>
      </c>
      <c r="AC88" s="115">
        <f ca="1">MAX(SUMIFS('RC Template'!$AW:$AW,'RC Template'!$B:$B,$A88,'RC Template'!$C:$C,AC$6),AC87*$E$3)</f>
        <v>0</v>
      </c>
      <c r="AD88" s="115">
        <f ca="1">MAX(SUMIFS('RC Template'!$AW:$AW,'RC Template'!$B:$B,$A88,'RC Template'!$C:$C,AD$6),AD87*$E$3)</f>
        <v>0</v>
      </c>
    </row>
    <row r="89" spans="1:30" x14ac:dyDescent="0.3">
      <c r="A89" s="1">
        <v>43188</v>
      </c>
      <c r="B89" s="115">
        <f t="shared" ca="1" si="7"/>
        <v>873.61414896149427</v>
      </c>
      <c r="C89" s="115" t="e">
        <f>IF(SUMIFS('RC Template'!$AW:$AW,'RC Template'!$B:$B,$A89,'RC Template'!$C:$C,C$6)=0,#N/A,SUMIFS('RC Template'!$AW:$AW,'RC Template'!$B:$B,$A89,'RC Template'!$C:$C,C$6))</f>
        <v>#N/A</v>
      </c>
      <c r="D89" s="115" t="e">
        <f>IF(SUMIFS('RC Template'!$AW:$AW,'RC Template'!$B:$B,$A89,'RC Template'!$C:$C,D$6)=0,#N/A,SUMIFS('RC Template'!$AW:$AW,'RC Template'!$B:$B,$A89,'RC Template'!$C:$C,D$6))</f>
        <v>#N/A</v>
      </c>
      <c r="E89" s="115" t="e">
        <f>IF(SUMIFS('RC Template'!$AW:$AW,'RC Template'!$B:$B,$A89,'RC Template'!$C:$C,E$6)=0,#N/A,SUMIFS('RC Template'!$AW:$AW,'RC Template'!$B:$B,$A89,'RC Template'!$C:$C,E$6))</f>
        <v>#N/A</v>
      </c>
      <c r="F89" s="115" t="e">
        <f>IF(SUMIFS('RC Template'!$AW:$AW,'RC Template'!$B:$B,$A89,'RC Template'!$C:$C,F$6)=0,#N/A,SUMIFS('RC Template'!$AW:$AW,'RC Template'!$B:$B,$A89,'RC Template'!$C:$C,F$6))</f>
        <v>#N/A</v>
      </c>
      <c r="G89" s="115" t="e">
        <f>IF(SUMIFS('RC Template'!$AW:$AW,'RC Template'!$B:$B,$A89,'RC Template'!$C:$C,G$6)=0,#N/A,SUMIFS('RC Template'!$AW:$AW,'RC Template'!$B:$B,$A89,'RC Template'!$C:$C,G$6))</f>
        <v>#N/A</v>
      </c>
      <c r="H89" s="115" t="e">
        <f>IF(SUMIFS('RC Template'!$AW:$AW,'RC Template'!$B:$B,$A89,'RC Template'!$C:$C,H$6)=0,#N/A,SUMIFS('RC Template'!$AW:$AW,'RC Template'!$B:$B,$A89,'RC Template'!$C:$C,H$6))</f>
        <v>#N/A</v>
      </c>
      <c r="I89" s="115" t="e">
        <f>IF(SUMIFS('RC Template'!$AW:$AW,'RC Template'!$B:$B,$A89,'RC Template'!$C:$C,I$6)=0,#N/A,SUMIFS('RC Template'!$AW:$AW,'RC Template'!$B:$B,$A89,'RC Template'!$C:$C,I$6))</f>
        <v>#N/A</v>
      </c>
      <c r="J89" s="115" t="e">
        <f>IF(SUMIFS('RC Template'!$AW:$AW,'RC Template'!$B:$B,$A89,'RC Template'!$C:$C,J$6)=0,#N/A,SUMIFS('RC Template'!$AW:$AW,'RC Template'!$B:$B,$A89,'RC Template'!$C:$C,J$6))</f>
        <v>#N/A</v>
      </c>
      <c r="K89" s="115" t="e">
        <f>IF(SUMIFS('RC Template'!$AW:$AW,'RC Template'!$B:$B,$A89,'RC Template'!$C:$C,K$6)=0,#N/A,SUMIFS('RC Template'!$AW:$AW,'RC Template'!$B:$B,$A89,'RC Template'!$C:$C,K$6))</f>
        <v>#N/A</v>
      </c>
      <c r="L89" s="115" t="e">
        <f>IF(SUMIFS('RC Template'!$AW:$AW,'RC Template'!$B:$B,$A89,'RC Template'!$C:$C,L$6)=0,#N/A,SUMIFS('RC Template'!$AW:$AW,'RC Template'!$B:$B,$A89,'RC Template'!$C:$C,L$6))</f>
        <v>#N/A</v>
      </c>
      <c r="M89" s="115" t="e">
        <f>IF(SUMIFS('RC Template'!$AW:$AW,'RC Template'!$B:$B,$A89,'RC Template'!$C:$C,M$6)=0,#N/A,SUMIFS('RC Template'!$AW:$AW,'RC Template'!$B:$B,$A89,'RC Template'!$C:$C,M$6))</f>
        <v>#N/A</v>
      </c>
      <c r="N89" s="115" t="e">
        <f>IF(SUMIFS('RC Template'!$AW:$AW,'RC Template'!$B:$B,$A89,'RC Template'!$C:$C,N$6)=0,#N/A,SUMIFS('RC Template'!$AW:$AW,'RC Template'!$B:$B,$A89,'RC Template'!$C:$C,N$6))</f>
        <v>#N/A</v>
      </c>
      <c r="O89" s="115" t="e">
        <f>IF(SUMIFS('RC Template'!$AW:$AW,'RC Template'!$B:$B,$A89,'RC Template'!$C:$C,O$6)=0,#N/A,SUMIFS('RC Template'!$AW:$AW,'RC Template'!$B:$B,$A89,'RC Template'!$C:$C,O$6))</f>
        <v>#N/A</v>
      </c>
      <c r="P89" s="115" t="e">
        <f>IF(SUMIFS('RC Template'!$AW:$AW,'RC Template'!$B:$B,$A89,'RC Template'!$C:$C,P$6)=0,#N/A,SUMIFS('RC Template'!$AW:$AW,'RC Template'!$B:$B,$A89,'RC Template'!$C:$C,P$6))</f>
        <v>#N/A</v>
      </c>
      <c r="Q89" s="115">
        <f ca="1">MAX(SUMIFS('RC Template'!$AW:$AW,'RC Template'!$B:$B,$A89,'RC Template'!$C:$C,Q$6),Q88*$E$3)</f>
        <v>310.83184726109579</v>
      </c>
      <c r="R89" s="115">
        <f ca="1">MAX(SUMIFS('RC Template'!$AW:$AW,'RC Template'!$B:$B,$A89,'RC Template'!$C:$C,R$6),R88*$E$3)</f>
        <v>48.430417146091941</v>
      </c>
      <c r="S89" s="115">
        <f ca="1">MAX(SUMIFS('RC Template'!$AW:$AW,'RC Template'!$B:$B,$A89,'RC Template'!$C:$C,S$6),S88*$E$3)</f>
        <v>61.54952130895709</v>
      </c>
      <c r="T89" s="115">
        <f ca="1">MAX(SUMIFS('RC Template'!$AW:$AW,'RC Template'!$B:$B,$A89,'RC Template'!$C:$C,T$6),T88*$E$3)</f>
        <v>6.0153296288700551</v>
      </c>
      <c r="U89" s="115">
        <f ca="1">MAX(SUMIFS('RC Template'!$AW:$AW,'RC Template'!$B:$B,$A89,'RC Template'!$C:$C,U$6),U88*$E$3)</f>
        <v>129.92622229213683</v>
      </c>
      <c r="V89" s="115">
        <f ca="1">MAX(SUMIFS('RC Template'!$AW:$AW,'RC Template'!$B:$B,$A89,'RC Template'!$C:$C,V$6),V88*$E$3)</f>
        <v>75.716108587898304</v>
      </c>
      <c r="W89" s="115">
        <f ca="1">MAX(SUMIFS('RC Template'!$AW:$AW,'RC Template'!$B:$B,$A89,'RC Template'!$C:$C,W$6),W88*$E$3)</f>
        <v>8.2488393394712762</v>
      </c>
      <c r="X89" s="115">
        <f ca="1">MAX(SUMIFS('RC Template'!$AW:$AW,'RC Template'!$B:$B,$A89,'RC Template'!$C:$C,X$6),X88*$E$3)</f>
        <v>128.62741829570055</v>
      </c>
      <c r="Y89" s="115">
        <f ca="1">MAX(SUMIFS('RC Template'!$AW:$AW,'RC Template'!$B:$B,$A89,'RC Template'!$C:$C,Y$6),Y88*$E$3)</f>
        <v>83.400622314422534</v>
      </c>
      <c r="Z89" s="115">
        <f ca="1">MAX(SUMIFS('RC Template'!$AW:$AW,'RC Template'!$B:$B,$A89,'RC Template'!$C:$C,Z$6),Z88*$E$3)</f>
        <v>20.867822786849899</v>
      </c>
      <c r="AA89" s="115">
        <f ca="1">MAX(SUMIFS('RC Template'!$AW:$AW,'RC Template'!$B:$B,$A89,'RC Template'!$C:$C,AA$6),AA88*$E$3)</f>
        <v>0</v>
      </c>
      <c r="AB89" s="115">
        <f ca="1">MAX(SUMIFS('RC Template'!$AW:$AW,'RC Template'!$B:$B,$A89,'RC Template'!$C:$C,AB$6),AB88*$E$3)</f>
        <v>0</v>
      </c>
      <c r="AC89" s="115">
        <f ca="1">MAX(SUMIFS('RC Template'!$AW:$AW,'RC Template'!$B:$B,$A89,'RC Template'!$C:$C,AC$6),AC88*$E$3)</f>
        <v>0</v>
      </c>
      <c r="AD89" s="115">
        <f ca="1">MAX(SUMIFS('RC Template'!$AW:$AW,'RC Template'!$B:$B,$A89,'RC Template'!$C:$C,AD$6),AD88*$E$3)</f>
        <v>0</v>
      </c>
    </row>
    <row r="90" spans="1:30" x14ac:dyDescent="0.3">
      <c r="A90" s="1">
        <v>43189</v>
      </c>
      <c r="B90" s="115">
        <f t="shared" ca="1" si="7"/>
        <v>987.11341264020848</v>
      </c>
      <c r="C90" s="115">
        <f ca="1">IF(SUMIFS('RC Template'!$AW:$AW,'RC Template'!$B:$B,$A90,'RC Template'!$C:$C,C$6)=0,#N/A,SUMIFS('RC Template'!$AW:$AW,'RC Template'!$B:$B,$A90,'RC Template'!$C:$C,C$6))</f>
        <v>347.34832130930022</v>
      </c>
      <c r="D90" s="115" t="e">
        <f>IF(SUMIFS('RC Template'!$AW:$AW,'RC Template'!$B:$B,$A90,'RC Template'!$C:$C,D$6)=0,#N/A,SUMIFS('RC Template'!$AW:$AW,'RC Template'!$B:$B,$A90,'RC Template'!$C:$C,D$6))</f>
        <v>#N/A</v>
      </c>
      <c r="E90" s="115" t="e">
        <f>IF(SUMIFS('RC Template'!$AW:$AW,'RC Template'!$B:$B,$A90,'RC Template'!$C:$C,E$6)=0,#N/A,SUMIFS('RC Template'!$AW:$AW,'RC Template'!$B:$B,$A90,'RC Template'!$C:$C,E$6))</f>
        <v>#N/A</v>
      </c>
      <c r="F90" s="115" t="e">
        <f>IF(SUMIFS('RC Template'!$AW:$AW,'RC Template'!$B:$B,$A90,'RC Template'!$C:$C,F$6)=0,#N/A,SUMIFS('RC Template'!$AW:$AW,'RC Template'!$B:$B,$A90,'RC Template'!$C:$C,F$6))</f>
        <v>#N/A</v>
      </c>
      <c r="G90" s="115">
        <f ca="1">IF(SUMIFS('RC Template'!$AW:$AW,'RC Template'!$B:$B,$A90,'RC Template'!$C:$C,G$6)=0,#N/A,SUMIFS('RC Template'!$AW:$AW,'RC Template'!$B:$B,$A90,'RC Template'!$C:$C,G$6))</f>
        <v>133.81949581994093</v>
      </c>
      <c r="H90" s="115" t="e">
        <f>IF(SUMIFS('RC Template'!$AW:$AW,'RC Template'!$B:$B,$A90,'RC Template'!$C:$C,H$6)=0,#N/A,SUMIFS('RC Template'!$AW:$AW,'RC Template'!$B:$B,$A90,'RC Template'!$C:$C,H$6))</f>
        <v>#N/A</v>
      </c>
      <c r="I90" s="115" t="e">
        <f>IF(SUMIFS('RC Template'!$AW:$AW,'RC Template'!$B:$B,$A90,'RC Template'!$C:$C,I$6)=0,#N/A,SUMIFS('RC Template'!$AW:$AW,'RC Template'!$B:$B,$A90,'RC Template'!$C:$C,I$6))</f>
        <v>#N/A</v>
      </c>
      <c r="J90" s="115">
        <f ca="1">IF(SUMIFS('RC Template'!$AW:$AW,'RC Template'!$B:$B,$A90,'RC Template'!$C:$C,J$6)=0,#N/A,SUMIFS('RC Template'!$AW:$AW,'RC Template'!$B:$B,$A90,'RC Template'!$C:$C,J$6))</f>
        <v>137.87811629646592</v>
      </c>
      <c r="K90" s="115" t="e">
        <f>IF(SUMIFS('RC Template'!$AW:$AW,'RC Template'!$B:$B,$A90,'RC Template'!$C:$C,K$6)=0,#N/A,SUMIFS('RC Template'!$AW:$AW,'RC Template'!$B:$B,$A90,'RC Template'!$C:$C,K$6))</f>
        <v>#N/A</v>
      </c>
      <c r="L90" s="115">
        <f ca="1">IF(SUMIFS('RC Template'!$AW:$AW,'RC Template'!$B:$B,$A90,'RC Template'!$C:$C,L$6)=0,#N/A,SUMIFS('RC Template'!$AW:$AW,'RC Template'!$B:$B,$A90,'RC Template'!$C:$C,L$6))</f>
        <v>91.790661846932892</v>
      </c>
      <c r="M90" s="115" t="e">
        <f>IF(SUMIFS('RC Template'!$AW:$AW,'RC Template'!$B:$B,$A90,'RC Template'!$C:$C,M$6)=0,#N/A,SUMIFS('RC Template'!$AW:$AW,'RC Template'!$B:$B,$A90,'RC Template'!$C:$C,M$6))</f>
        <v>#N/A</v>
      </c>
      <c r="N90" s="115" t="e">
        <f>IF(SUMIFS('RC Template'!$AW:$AW,'RC Template'!$B:$B,$A90,'RC Template'!$C:$C,N$6)=0,#N/A,SUMIFS('RC Template'!$AW:$AW,'RC Template'!$B:$B,$A90,'RC Template'!$C:$C,N$6))</f>
        <v>#N/A</v>
      </c>
      <c r="O90" s="115" t="e">
        <f>IF(SUMIFS('RC Template'!$AW:$AW,'RC Template'!$B:$B,$A90,'RC Template'!$C:$C,O$6)=0,#N/A,SUMIFS('RC Template'!$AW:$AW,'RC Template'!$B:$B,$A90,'RC Template'!$C:$C,O$6))</f>
        <v>#N/A</v>
      </c>
      <c r="P90" s="115" t="e">
        <f>IF(SUMIFS('RC Template'!$AW:$AW,'RC Template'!$B:$B,$A90,'RC Template'!$C:$C,P$6)=0,#N/A,SUMIFS('RC Template'!$AW:$AW,'RC Template'!$B:$B,$A90,'RC Template'!$C:$C,P$6))</f>
        <v>#N/A</v>
      </c>
      <c r="Q90" s="115">
        <f ca="1">MAX(SUMIFS('RC Template'!$AW:$AW,'RC Template'!$B:$B,$A90,'RC Template'!$C:$C,Q$6),Q89*$E$3)</f>
        <v>347.34832130930022</v>
      </c>
      <c r="R90" s="115">
        <f ca="1">MAX(SUMIFS('RC Template'!$AW:$AW,'RC Template'!$B:$B,$A90,'RC Template'!$C:$C,R$6),R89*$E$3)</f>
        <v>47.219656717439641</v>
      </c>
      <c r="S90" s="115">
        <f ca="1">MAX(SUMIFS('RC Template'!$AW:$AW,'RC Template'!$B:$B,$A90,'RC Template'!$C:$C,S$6),S89*$E$3)</f>
        <v>60.010783276233163</v>
      </c>
      <c r="T90" s="115">
        <f ca="1">MAX(SUMIFS('RC Template'!$AW:$AW,'RC Template'!$B:$B,$A90,'RC Template'!$C:$C,T$6),T89*$E$3)</f>
        <v>5.8649463881483035</v>
      </c>
      <c r="U90" s="115">
        <f ca="1">MAX(SUMIFS('RC Template'!$AW:$AW,'RC Template'!$B:$B,$A90,'RC Template'!$C:$C,U$6),U89*$E$3)</f>
        <v>133.81949581994093</v>
      </c>
      <c r="V90" s="115">
        <f ca="1">MAX(SUMIFS('RC Template'!$AW:$AW,'RC Template'!$B:$B,$A90,'RC Template'!$C:$C,V$6),V89*$E$3)</f>
        <v>73.823205873200848</v>
      </c>
      <c r="W90" s="115">
        <f ca="1">MAX(SUMIFS('RC Template'!$AW:$AW,'RC Template'!$B:$B,$A90,'RC Template'!$C:$C,W$6),W89*$E$3)</f>
        <v>8.0426183559844944</v>
      </c>
      <c r="X90" s="115">
        <f ca="1">MAX(SUMIFS('RC Template'!$AW:$AW,'RC Template'!$B:$B,$A90,'RC Template'!$C:$C,X$6),X89*$E$3)</f>
        <v>137.87811629646592</v>
      </c>
      <c r="Y90" s="115">
        <f ca="1">MAX(SUMIFS('RC Template'!$AW:$AW,'RC Template'!$B:$B,$A90,'RC Template'!$C:$C,Y$6),Y89*$E$3)</f>
        <v>81.315606756561962</v>
      </c>
      <c r="Z90" s="115">
        <f ca="1">MAX(SUMIFS('RC Template'!$AW:$AW,'RC Template'!$B:$B,$A90,'RC Template'!$C:$C,Z$6),Z89*$E$3)</f>
        <v>91.790661846932892</v>
      </c>
      <c r="AA90" s="115">
        <f ca="1">MAX(SUMIFS('RC Template'!$AW:$AW,'RC Template'!$B:$B,$A90,'RC Template'!$C:$C,AA$6),AA89*$E$3)</f>
        <v>0</v>
      </c>
      <c r="AB90" s="115">
        <f ca="1">MAX(SUMIFS('RC Template'!$AW:$AW,'RC Template'!$B:$B,$A90,'RC Template'!$C:$C,AB$6),AB89*$E$3)</f>
        <v>0</v>
      </c>
      <c r="AC90" s="115">
        <f ca="1">MAX(SUMIFS('RC Template'!$AW:$AW,'RC Template'!$B:$B,$A90,'RC Template'!$C:$C,AC$6),AC89*$E$3)</f>
        <v>0</v>
      </c>
      <c r="AD90" s="115">
        <f ca="1">MAX(SUMIFS('RC Template'!$AW:$AW,'RC Template'!$B:$B,$A90,'RC Template'!$C:$C,AD$6),AD89*$E$3)</f>
        <v>0</v>
      </c>
    </row>
    <row r="91" spans="1:30" x14ac:dyDescent="0.3">
      <c r="A91" s="1">
        <v>43191</v>
      </c>
      <c r="B91" s="115">
        <f ca="1">SUM(Q91:AD91)</f>
        <v>962.43557732420322</v>
      </c>
      <c r="C91" s="115" t="e">
        <f>IF(SUMIFS('RC Template'!$AW:$AW,'RC Template'!$B:$B,$A91,'RC Template'!$C:$C,C$6)=0,#N/A,SUMIFS('RC Template'!$AW:$AW,'RC Template'!$B:$B,$A91,'RC Template'!$C:$C,C$6))</f>
        <v>#N/A</v>
      </c>
      <c r="D91" s="115" t="e">
        <f>IF(SUMIFS('RC Template'!$AW:$AW,'RC Template'!$B:$B,$A91,'RC Template'!$C:$C,D$6)=0,#N/A,SUMIFS('RC Template'!$AW:$AW,'RC Template'!$B:$B,$A91,'RC Template'!$C:$C,D$6))</f>
        <v>#N/A</v>
      </c>
      <c r="E91" s="115" t="e">
        <f>IF(SUMIFS('RC Template'!$AW:$AW,'RC Template'!$B:$B,$A91,'RC Template'!$C:$C,E$6)=0,#N/A,SUMIFS('RC Template'!$AW:$AW,'RC Template'!$B:$B,$A91,'RC Template'!$C:$C,E$6))</f>
        <v>#N/A</v>
      </c>
      <c r="F91" s="115" t="e">
        <f>IF(SUMIFS('RC Template'!$AW:$AW,'RC Template'!$B:$B,$A91,'RC Template'!$C:$C,F$6)=0,#N/A,SUMIFS('RC Template'!$AW:$AW,'RC Template'!$B:$B,$A91,'RC Template'!$C:$C,F$6))</f>
        <v>#N/A</v>
      </c>
      <c r="G91" s="115" t="e">
        <f>IF(SUMIFS('RC Template'!$AW:$AW,'RC Template'!$B:$B,$A91,'RC Template'!$C:$C,G$6)=0,#N/A,SUMIFS('RC Template'!$AW:$AW,'RC Template'!$B:$B,$A91,'RC Template'!$C:$C,G$6))</f>
        <v>#N/A</v>
      </c>
      <c r="H91" s="115" t="e">
        <f>IF(SUMIFS('RC Template'!$AW:$AW,'RC Template'!$B:$B,$A91,'RC Template'!$C:$C,H$6)=0,#N/A,SUMIFS('RC Template'!$AW:$AW,'RC Template'!$B:$B,$A91,'RC Template'!$C:$C,H$6))</f>
        <v>#N/A</v>
      </c>
      <c r="I91" s="115" t="e">
        <f>IF(SUMIFS('RC Template'!$AW:$AW,'RC Template'!$B:$B,$A91,'RC Template'!$C:$C,I$6)=0,#N/A,SUMIFS('RC Template'!$AW:$AW,'RC Template'!$B:$B,$A91,'RC Template'!$C:$C,I$6))</f>
        <v>#N/A</v>
      </c>
      <c r="J91" s="115" t="e">
        <f>IF(SUMIFS('RC Template'!$AW:$AW,'RC Template'!$B:$B,$A91,'RC Template'!$C:$C,J$6)=0,#N/A,SUMIFS('RC Template'!$AW:$AW,'RC Template'!$B:$B,$A91,'RC Template'!$C:$C,J$6))</f>
        <v>#N/A</v>
      </c>
      <c r="K91" s="115" t="e">
        <f>IF(SUMIFS('RC Template'!$AW:$AW,'RC Template'!$B:$B,$A91,'RC Template'!$C:$C,K$6)=0,#N/A,SUMIFS('RC Template'!$AW:$AW,'RC Template'!$B:$B,$A91,'RC Template'!$C:$C,K$6))</f>
        <v>#N/A</v>
      </c>
      <c r="L91" s="115" t="e">
        <f>IF(SUMIFS('RC Template'!$AW:$AW,'RC Template'!$B:$B,$A91,'RC Template'!$C:$C,L$6)=0,#N/A,SUMIFS('RC Template'!$AW:$AW,'RC Template'!$B:$B,$A91,'RC Template'!$C:$C,L$6))</f>
        <v>#N/A</v>
      </c>
      <c r="M91" s="115" t="e">
        <f>IF(SUMIFS('RC Template'!$AW:$AW,'RC Template'!$B:$B,$A91,'RC Template'!$C:$C,M$6)=0,#N/A,SUMIFS('RC Template'!$AW:$AW,'RC Template'!$B:$B,$A91,'RC Template'!$C:$C,M$6))</f>
        <v>#N/A</v>
      </c>
      <c r="N91" s="115" t="e">
        <f>IF(SUMIFS('RC Template'!$AW:$AW,'RC Template'!$B:$B,$A91,'RC Template'!$C:$C,N$6)=0,#N/A,SUMIFS('RC Template'!$AW:$AW,'RC Template'!$B:$B,$A91,'RC Template'!$C:$C,N$6))</f>
        <v>#N/A</v>
      </c>
      <c r="O91" s="115" t="e">
        <f>IF(SUMIFS('RC Template'!$AW:$AW,'RC Template'!$B:$B,$A91,'RC Template'!$C:$C,O$6)=0,#N/A,SUMIFS('RC Template'!$AW:$AW,'RC Template'!$B:$B,$A91,'RC Template'!$C:$C,O$6))</f>
        <v>#N/A</v>
      </c>
      <c r="P91" s="115" t="e">
        <f>IF(SUMIFS('RC Template'!$AW:$AW,'RC Template'!$B:$B,$A91,'RC Template'!$C:$C,P$6)=0,#N/A,SUMIFS('RC Template'!$AW:$AW,'RC Template'!$B:$B,$A91,'RC Template'!$C:$C,P$6))</f>
        <v>#N/A</v>
      </c>
      <c r="Q91" s="115">
        <f ca="1">MAX(SUMIFS('RC Template'!$AW:$AW,'RC Template'!$B:$B,$A91,'RC Template'!$C:$C,Q$6),Q90*$E$3)</f>
        <v>338.66461327656771</v>
      </c>
      <c r="R91" s="115">
        <f ca="1">MAX(SUMIFS('RC Template'!$AW:$AW,'RC Template'!$B:$B,$A91,'RC Template'!$C:$C,R$6),R90*$E$3)</f>
        <v>46.039165299503651</v>
      </c>
      <c r="S91" s="115">
        <f ca="1">MAX(SUMIFS('RC Template'!$AW:$AW,'RC Template'!$B:$B,$A91,'RC Template'!$C:$C,S$6),S90*$E$3)</f>
        <v>58.510513694327329</v>
      </c>
      <c r="T91" s="115">
        <f ca="1">MAX(SUMIFS('RC Template'!$AW:$AW,'RC Template'!$B:$B,$A91,'RC Template'!$C:$C,T$6),T90*$E$3)</f>
        <v>5.7183227284445959</v>
      </c>
      <c r="U91" s="115">
        <f ca="1">MAX(SUMIFS('RC Template'!$AW:$AW,'RC Template'!$B:$B,$A91,'RC Template'!$C:$C,U$6),U90*$E$3)</f>
        <v>130.47400842444239</v>
      </c>
      <c r="V91" s="115">
        <f ca="1">MAX(SUMIFS('RC Template'!$AW:$AW,'RC Template'!$B:$B,$A91,'RC Template'!$C:$C,V$6),V90*$E$3)</f>
        <v>71.977625726370832</v>
      </c>
      <c r="W91" s="115">
        <f ca="1">MAX(SUMIFS('RC Template'!$AW:$AW,'RC Template'!$B:$B,$A91,'RC Template'!$C:$C,W$6),W90*$E$3)</f>
        <v>7.841552897084882</v>
      </c>
      <c r="X91" s="115">
        <f ca="1">MAX(SUMIFS('RC Template'!$AW:$AW,'RC Template'!$B:$B,$A91,'RC Template'!$C:$C,X$6),X90*$E$3)</f>
        <v>134.43116338905426</v>
      </c>
      <c r="Y91" s="115">
        <f ca="1">MAX(SUMIFS('RC Template'!$AW:$AW,'RC Template'!$B:$B,$A91,'RC Template'!$C:$C,Y$6),Y90*$E$3)</f>
        <v>79.282716587647911</v>
      </c>
      <c r="Z91" s="115">
        <f ca="1">MAX(SUMIFS('RC Template'!$AW:$AW,'RC Template'!$B:$B,$A91,'RC Template'!$C:$C,Z$6),Z90*$E$3)</f>
        <v>89.495895300759571</v>
      </c>
      <c r="AA91" s="115">
        <f ca="1">MAX(SUMIFS('RC Template'!$AW:$AW,'RC Template'!$B:$B,$A91,'RC Template'!$C:$C,AA$6),AA90*$E$3)</f>
        <v>0</v>
      </c>
      <c r="AB91" s="115">
        <f ca="1">MAX(SUMIFS('RC Template'!$AW:$AW,'RC Template'!$B:$B,$A91,'RC Template'!$C:$C,AB$6),AB90*$E$3)</f>
        <v>0</v>
      </c>
      <c r="AC91" s="115">
        <f ca="1">MAX(SUMIFS('RC Template'!$AW:$AW,'RC Template'!$B:$B,$A91,'RC Template'!$C:$C,AC$6),AC90*$E$3)</f>
        <v>0</v>
      </c>
      <c r="AD91" s="115">
        <f ca="1">MAX(SUMIFS('RC Template'!$AW:$AW,'RC Template'!$B:$B,$A91,'RC Template'!$C:$C,AD$6),AD90*$E$3)</f>
        <v>0</v>
      </c>
    </row>
    <row r="92" spans="1:30" x14ac:dyDescent="0.3">
      <c r="A92" s="1">
        <v>43192</v>
      </c>
      <c r="B92" s="115">
        <f ca="1">SUM(Q92:AD92)</f>
        <v>938.37468789109812</v>
      </c>
      <c r="C92" s="115" t="e">
        <f>IF(SUMIFS('RC Template'!$AW:$AW,'RC Template'!$B:$B,$A92,'RC Template'!$C:$C,C$6)=0,#N/A,SUMIFS('RC Template'!$AW:$AW,'RC Template'!$B:$B,$A92,'RC Template'!$C:$C,C$6))</f>
        <v>#N/A</v>
      </c>
      <c r="D92" s="115" t="e">
        <f>IF(SUMIFS('RC Template'!$AW:$AW,'RC Template'!$B:$B,$A92,'RC Template'!$C:$C,D$6)=0,#N/A,SUMIFS('RC Template'!$AW:$AW,'RC Template'!$B:$B,$A92,'RC Template'!$C:$C,D$6))</f>
        <v>#N/A</v>
      </c>
      <c r="E92" s="115" t="e">
        <f>IF(SUMIFS('RC Template'!$AW:$AW,'RC Template'!$B:$B,$A92,'RC Template'!$C:$C,E$6)=0,#N/A,SUMIFS('RC Template'!$AW:$AW,'RC Template'!$B:$B,$A92,'RC Template'!$C:$C,E$6))</f>
        <v>#N/A</v>
      </c>
      <c r="F92" s="115" t="e">
        <f>IF(SUMIFS('RC Template'!$AW:$AW,'RC Template'!$B:$B,$A92,'RC Template'!$C:$C,F$6)=0,#N/A,SUMIFS('RC Template'!$AW:$AW,'RC Template'!$B:$B,$A92,'RC Template'!$C:$C,F$6))</f>
        <v>#N/A</v>
      </c>
      <c r="G92" s="115" t="e">
        <f>IF(SUMIFS('RC Template'!$AW:$AW,'RC Template'!$B:$B,$A92,'RC Template'!$C:$C,G$6)=0,#N/A,SUMIFS('RC Template'!$AW:$AW,'RC Template'!$B:$B,$A92,'RC Template'!$C:$C,G$6))</f>
        <v>#N/A</v>
      </c>
      <c r="H92" s="115" t="e">
        <f>IF(SUMIFS('RC Template'!$AW:$AW,'RC Template'!$B:$B,$A92,'RC Template'!$C:$C,H$6)=0,#N/A,SUMIFS('RC Template'!$AW:$AW,'RC Template'!$B:$B,$A92,'RC Template'!$C:$C,H$6))</f>
        <v>#N/A</v>
      </c>
      <c r="I92" s="115" t="e">
        <f>IF(SUMIFS('RC Template'!$AW:$AW,'RC Template'!$B:$B,$A92,'RC Template'!$C:$C,I$6)=0,#N/A,SUMIFS('RC Template'!$AW:$AW,'RC Template'!$B:$B,$A92,'RC Template'!$C:$C,I$6))</f>
        <v>#N/A</v>
      </c>
      <c r="J92" s="115" t="e">
        <f>IF(SUMIFS('RC Template'!$AW:$AW,'RC Template'!$B:$B,$A92,'RC Template'!$C:$C,J$6)=0,#N/A,SUMIFS('RC Template'!$AW:$AW,'RC Template'!$B:$B,$A92,'RC Template'!$C:$C,J$6))</f>
        <v>#N/A</v>
      </c>
      <c r="K92" s="115" t="e">
        <f>IF(SUMIFS('RC Template'!$AW:$AW,'RC Template'!$B:$B,$A92,'RC Template'!$C:$C,K$6)=0,#N/A,SUMIFS('RC Template'!$AW:$AW,'RC Template'!$B:$B,$A92,'RC Template'!$C:$C,K$6))</f>
        <v>#N/A</v>
      </c>
      <c r="L92" s="115" t="e">
        <f>IF(SUMIFS('RC Template'!$AW:$AW,'RC Template'!$B:$B,$A92,'RC Template'!$C:$C,L$6)=0,#N/A,SUMIFS('RC Template'!$AW:$AW,'RC Template'!$B:$B,$A92,'RC Template'!$C:$C,L$6))</f>
        <v>#N/A</v>
      </c>
      <c r="M92" s="115" t="e">
        <f>IF(SUMIFS('RC Template'!$AW:$AW,'RC Template'!$B:$B,$A92,'RC Template'!$C:$C,M$6)=0,#N/A,SUMIFS('RC Template'!$AW:$AW,'RC Template'!$B:$B,$A92,'RC Template'!$C:$C,M$6))</f>
        <v>#N/A</v>
      </c>
      <c r="N92" s="115" t="e">
        <f>IF(SUMIFS('RC Template'!$AW:$AW,'RC Template'!$B:$B,$A92,'RC Template'!$C:$C,N$6)=0,#N/A,SUMIFS('RC Template'!$AW:$AW,'RC Template'!$B:$B,$A92,'RC Template'!$C:$C,N$6))</f>
        <v>#N/A</v>
      </c>
      <c r="O92" s="115" t="e">
        <f>IF(SUMIFS('RC Template'!$AW:$AW,'RC Template'!$B:$B,$A92,'RC Template'!$C:$C,O$6)=0,#N/A,SUMIFS('RC Template'!$AW:$AW,'RC Template'!$B:$B,$A92,'RC Template'!$C:$C,O$6))</f>
        <v>#N/A</v>
      </c>
      <c r="P92" s="115" t="e">
        <f>IF(SUMIFS('RC Template'!$AW:$AW,'RC Template'!$B:$B,$A92,'RC Template'!$C:$C,P$6)=0,#N/A,SUMIFS('RC Template'!$AW:$AW,'RC Template'!$B:$B,$A92,'RC Template'!$C:$C,P$6))</f>
        <v>#N/A</v>
      </c>
      <c r="Q92" s="115">
        <f ca="1">MAX(SUMIFS('RC Template'!$AW:$AW,'RC Template'!$B:$B,$A92,'RC Template'!$C:$C,Q$6),Q91*$E$3)</f>
        <v>330.19799794465348</v>
      </c>
      <c r="R92" s="115">
        <f ca="1">MAX(SUMIFS('RC Template'!$AW:$AW,'RC Template'!$B:$B,$A92,'RC Template'!$C:$C,R$6),R91*$E$3)</f>
        <v>44.888186167016059</v>
      </c>
      <c r="S92" s="115">
        <f ca="1">MAX(SUMIFS('RC Template'!$AW:$AW,'RC Template'!$B:$B,$A92,'RC Template'!$C:$C,S$6),S91*$E$3)</f>
        <v>57.047750851969148</v>
      </c>
      <c r="T92" s="115">
        <f ca="1">MAX(SUMIFS('RC Template'!$AW:$AW,'RC Template'!$B:$B,$A92,'RC Template'!$C:$C,T$6),T91*$E$3)</f>
        <v>5.5753646602334808</v>
      </c>
      <c r="U92" s="115">
        <f ca="1">MAX(SUMIFS('RC Template'!$AW:$AW,'RC Template'!$B:$B,$A92,'RC Template'!$C:$C,U$6),U91*$E$3)</f>
        <v>127.21215821383133</v>
      </c>
      <c r="V92" s="115">
        <f ca="1">MAX(SUMIFS('RC Template'!$AW:$AW,'RC Template'!$B:$B,$A92,'RC Template'!$C:$C,V$6),V91*$E$3)</f>
        <v>70.178185083211559</v>
      </c>
      <c r="W92" s="115">
        <f ca="1">MAX(SUMIFS('RC Template'!$AW:$AW,'RC Template'!$B:$B,$A92,'RC Template'!$C:$C,W$6),W91*$E$3)</f>
        <v>7.6455140746577595</v>
      </c>
      <c r="X92" s="115">
        <f ca="1">MAX(SUMIFS('RC Template'!$AW:$AW,'RC Template'!$B:$B,$A92,'RC Template'!$C:$C,X$6),X91*$E$3)</f>
        <v>131.07038430432792</v>
      </c>
      <c r="Y92" s="115">
        <f ca="1">MAX(SUMIFS('RC Template'!$AW:$AW,'RC Template'!$B:$B,$A92,'RC Template'!$C:$C,Y$6),Y91*$E$3)</f>
        <v>77.300648672956711</v>
      </c>
      <c r="Z92" s="115">
        <f ca="1">MAX(SUMIFS('RC Template'!$AW:$AW,'RC Template'!$B:$B,$A92,'RC Template'!$C:$C,Z$6),Z91*$E$3)</f>
        <v>87.258497918240579</v>
      </c>
      <c r="AA92" s="115">
        <f ca="1">MAX(SUMIFS('RC Template'!$AW:$AW,'RC Template'!$B:$B,$A92,'RC Template'!$C:$C,AA$6),AA91*$E$3)</f>
        <v>0</v>
      </c>
      <c r="AB92" s="115">
        <f ca="1">MAX(SUMIFS('RC Template'!$AW:$AW,'RC Template'!$B:$B,$A92,'RC Template'!$C:$C,AB$6),AB91*$E$3)</f>
        <v>0</v>
      </c>
      <c r="AC92" s="115">
        <f ca="1">MAX(SUMIFS('RC Template'!$AW:$AW,'RC Template'!$B:$B,$A92,'RC Template'!$C:$C,AC$6),AC91*$E$3)</f>
        <v>0</v>
      </c>
      <c r="AD92" s="115">
        <f ca="1">MAX(SUMIFS('RC Template'!$AW:$AW,'RC Template'!$B:$B,$A92,'RC Template'!$C:$C,AD$6),AD91*$E$3)</f>
        <v>0</v>
      </c>
    </row>
    <row r="93" spans="1:30" x14ac:dyDescent="0.3">
      <c r="A93" s="1">
        <v>43193</v>
      </c>
      <c r="B93" s="115">
        <f t="shared" ref="B93:B105" ca="1" si="8">SUM(Q93:AD93)</f>
        <v>914.91532069382038</v>
      </c>
      <c r="C93" s="115" t="e">
        <f>IF(SUMIFS('RC Template'!$AW:$AW,'RC Template'!$B:$B,$A93,'RC Template'!$C:$C,C$6)=0,#N/A,SUMIFS('RC Template'!$AW:$AW,'RC Template'!$B:$B,$A93,'RC Template'!$C:$C,C$6))</f>
        <v>#N/A</v>
      </c>
      <c r="D93" s="115" t="e">
        <f>IF(SUMIFS('RC Template'!$AW:$AW,'RC Template'!$B:$B,$A93,'RC Template'!$C:$C,D$6)=0,#N/A,SUMIFS('RC Template'!$AW:$AW,'RC Template'!$B:$B,$A93,'RC Template'!$C:$C,D$6))</f>
        <v>#N/A</v>
      </c>
      <c r="E93" s="115" t="e">
        <f>IF(SUMIFS('RC Template'!$AW:$AW,'RC Template'!$B:$B,$A93,'RC Template'!$C:$C,E$6)=0,#N/A,SUMIFS('RC Template'!$AW:$AW,'RC Template'!$B:$B,$A93,'RC Template'!$C:$C,E$6))</f>
        <v>#N/A</v>
      </c>
      <c r="F93" s="115" t="e">
        <f>IF(SUMIFS('RC Template'!$AW:$AW,'RC Template'!$B:$B,$A93,'RC Template'!$C:$C,F$6)=0,#N/A,SUMIFS('RC Template'!$AW:$AW,'RC Template'!$B:$B,$A93,'RC Template'!$C:$C,F$6))</f>
        <v>#N/A</v>
      </c>
      <c r="G93" s="115" t="e">
        <f>IF(SUMIFS('RC Template'!$AW:$AW,'RC Template'!$B:$B,$A93,'RC Template'!$C:$C,G$6)=0,#N/A,SUMIFS('RC Template'!$AW:$AW,'RC Template'!$B:$B,$A93,'RC Template'!$C:$C,G$6))</f>
        <v>#N/A</v>
      </c>
      <c r="H93" s="115" t="e">
        <f>IF(SUMIFS('RC Template'!$AW:$AW,'RC Template'!$B:$B,$A93,'RC Template'!$C:$C,H$6)=0,#N/A,SUMIFS('RC Template'!$AW:$AW,'RC Template'!$B:$B,$A93,'RC Template'!$C:$C,H$6))</f>
        <v>#N/A</v>
      </c>
      <c r="I93" s="115" t="e">
        <f>IF(SUMIFS('RC Template'!$AW:$AW,'RC Template'!$B:$B,$A93,'RC Template'!$C:$C,I$6)=0,#N/A,SUMIFS('RC Template'!$AW:$AW,'RC Template'!$B:$B,$A93,'RC Template'!$C:$C,I$6))</f>
        <v>#N/A</v>
      </c>
      <c r="J93" s="115" t="e">
        <f>IF(SUMIFS('RC Template'!$AW:$AW,'RC Template'!$B:$B,$A93,'RC Template'!$C:$C,J$6)=0,#N/A,SUMIFS('RC Template'!$AW:$AW,'RC Template'!$B:$B,$A93,'RC Template'!$C:$C,J$6))</f>
        <v>#N/A</v>
      </c>
      <c r="K93" s="115" t="e">
        <f>IF(SUMIFS('RC Template'!$AW:$AW,'RC Template'!$B:$B,$A93,'RC Template'!$C:$C,K$6)=0,#N/A,SUMIFS('RC Template'!$AW:$AW,'RC Template'!$B:$B,$A93,'RC Template'!$C:$C,K$6))</f>
        <v>#N/A</v>
      </c>
      <c r="L93" s="115" t="e">
        <f>IF(SUMIFS('RC Template'!$AW:$AW,'RC Template'!$B:$B,$A93,'RC Template'!$C:$C,L$6)=0,#N/A,SUMIFS('RC Template'!$AW:$AW,'RC Template'!$B:$B,$A93,'RC Template'!$C:$C,L$6))</f>
        <v>#N/A</v>
      </c>
      <c r="M93" s="115" t="e">
        <f>IF(SUMIFS('RC Template'!$AW:$AW,'RC Template'!$B:$B,$A93,'RC Template'!$C:$C,M$6)=0,#N/A,SUMIFS('RC Template'!$AW:$AW,'RC Template'!$B:$B,$A93,'RC Template'!$C:$C,M$6))</f>
        <v>#N/A</v>
      </c>
      <c r="N93" s="115" t="e">
        <f>IF(SUMIFS('RC Template'!$AW:$AW,'RC Template'!$B:$B,$A93,'RC Template'!$C:$C,N$6)=0,#N/A,SUMIFS('RC Template'!$AW:$AW,'RC Template'!$B:$B,$A93,'RC Template'!$C:$C,N$6))</f>
        <v>#N/A</v>
      </c>
      <c r="O93" s="115" t="e">
        <f>IF(SUMIFS('RC Template'!$AW:$AW,'RC Template'!$B:$B,$A93,'RC Template'!$C:$C,O$6)=0,#N/A,SUMIFS('RC Template'!$AW:$AW,'RC Template'!$B:$B,$A93,'RC Template'!$C:$C,O$6))</f>
        <v>#N/A</v>
      </c>
      <c r="P93" s="115" t="e">
        <f>IF(SUMIFS('RC Template'!$AW:$AW,'RC Template'!$B:$B,$A93,'RC Template'!$C:$C,P$6)=0,#N/A,SUMIFS('RC Template'!$AW:$AW,'RC Template'!$B:$B,$A93,'RC Template'!$C:$C,P$6))</f>
        <v>#N/A</v>
      </c>
      <c r="Q93" s="115">
        <f ca="1">MAX(SUMIFS('RC Template'!$AW:$AW,'RC Template'!$B:$B,$A93,'RC Template'!$C:$C,Q$6),Q92*$E$3)</f>
        <v>321.94304799603714</v>
      </c>
      <c r="R93" s="115">
        <f ca="1">MAX(SUMIFS('RC Template'!$AW:$AW,'RC Template'!$B:$B,$A93,'RC Template'!$C:$C,R$6),R92*$E$3)</f>
        <v>43.765981512840654</v>
      </c>
      <c r="S93" s="115">
        <f ca="1">MAX(SUMIFS('RC Template'!$AW:$AW,'RC Template'!$B:$B,$A93,'RC Template'!$C:$C,S$6),S92*$E$3)</f>
        <v>55.621557080669916</v>
      </c>
      <c r="T93" s="115">
        <f ca="1">MAX(SUMIFS('RC Template'!$AW:$AW,'RC Template'!$B:$B,$A93,'RC Template'!$C:$C,T$6),T92*$E$3)</f>
        <v>5.4359805437276441</v>
      </c>
      <c r="U93" s="115">
        <f ca="1">MAX(SUMIFS('RC Template'!$AW:$AW,'RC Template'!$B:$B,$A93,'RC Template'!$C:$C,U$6),U92*$E$3)</f>
        <v>124.03185425848554</v>
      </c>
      <c r="V93" s="115">
        <f ca="1">MAX(SUMIFS('RC Template'!$AW:$AW,'RC Template'!$B:$B,$A93,'RC Template'!$C:$C,V$6),V92*$E$3)</f>
        <v>68.423730456131267</v>
      </c>
      <c r="W93" s="115">
        <f ca="1">MAX(SUMIFS('RC Template'!$AW:$AW,'RC Template'!$B:$B,$A93,'RC Template'!$C:$C,W$6),W92*$E$3)</f>
        <v>7.4543762227913151</v>
      </c>
      <c r="X93" s="115">
        <f ca="1">MAX(SUMIFS('RC Template'!$AW:$AW,'RC Template'!$B:$B,$A93,'RC Template'!$C:$C,X$6),X92*$E$3)</f>
        <v>127.79362469671972</v>
      </c>
      <c r="Y93" s="115">
        <f ca="1">MAX(SUMIFS('RC Template'!$AW:$AW,'RC Template'!$B:$B,$A93,'RC Template'!$C:$C,Y$6),Y92*$E$3)</f>
        <v>75.368132456132798</v>
      </c>
      <c r="Z93" s="115">
        <f ca="1">MAX(SUMIFS('RC Template'!$AW:$AW,'RC Template'!$B:$B,$A93,'RC Template'!$C:$C,Z$6),Z92*$E$3)</f>
        <v>85.077035470284557</v>
      </c>
      <c r="AA93" s="115">
        <f ca="1">MAX(SUMIFS('RC Template'!$AW:$AW,'RC Template'!$B:$B,$A93,'RC Template'!$C:$C,AA$6),AA92*$E$3)</f>
        <v>0</v>
      </c>
      <c r="AB93" s="115">
        <f ca="1">MAX(SUMIFS('RC Template'!$AW:$AW,'RC Template'!$B:$B,$A93,'RC Template'!$C:$C,AB$6),AB92*$E$3)</f>
        <v>0</v>
      </c>
      <c r="AC93" s="115">
        <f ca="1">MAX(SUMIFS('RC Template'!$AW:$AW,'RC Template'!$B:$B,$A93,'RC Template'!$C:$C,AC$6),AC92*$E$3)</f>
        <v>0</v>
      </c>
      <c r="AD93" s="115">
        <f ca="1">MAX(SUMIFS('RC Template'!$AW:$AW,'RC Template'!$B:$B,$A93,'RC Template'!$C:$C,AD$6),AD92*$E$3)</f>
        <v>0</v>
      </c>
    </row>
    <row r="94" spans="1:30" x14ac:dyDescent="0.3">
      <c r="A94" s="1">
        <v>43194</v>
      </c>
      <c r="B94" s="115">
        <f t="shared" ca="1" si="8"/>
        <v>892.04243767647506</v>
      </c>
      <c r="C94" s="115" t="e">
        <f>IF(SUMIFS('RC Template'!$AW:$AW,'RC Template'!$B:$B,$A94,'RC Template'!$C:$C,C$6)=0,#N/A,SUMIFS('RC Template'!$AW:$AW,'RC Template'!$B:$B,$A94,'RC Template'!$C:$C,C$6))</f>
        <v>#N/A</v>
      </c>
      <c r="D94" s="115" t="e">
        <f>IF(SUMIFS('RC Template'!$AW:$AW,'RC Template'!$B:$B,$A94,'RC Template'!$C:$C,D$6)=0,#N/A,SUMIFS('RC Template'!$AW:$AW,'RC Template'!$B:$B,$A94,'RC Template'!$C:$C,D$6))</f>
        <v>#N/A</v>
      </c>
      <c r="E94" s="115" t="e">
        <f>IF(SUMIFS('RC Template'!$AW:$AW,'RC Template'!$B:$B,$A94,'RC Template'!$C:$C,E$6)=0,#N/A,SUMIFS('RC Template'!$AW:$AW,'RC Template'!$B:$B,$A94,'RC Template'!$C:$C,E$6))</f>
        <v>#N/A</v>
      </c>
      <c r="F94" s="115" t="e">
        <f>IF(SUMIFS('RC Template'!$AW:$AW,'RC Template'!$B:$B,$A94,'RC Template'!$C:$C,F$6)=0,#N/A,SUMIFS('RC Template'!$AW:$AW,'RC Template'!$B:$B,$A94,'RC Template'!$C:$C,F$6))</f>
        <v>#N/A</v>
      </c>
      <c r="G94" s="115" t="e">
        <f>IF(SUMIFS('RC Template'!$AW:$AW,'RC Template'!$B:$B,$A94,'RC Template'!$C:$C,G$6)=0,#N/A,SUMIFS('RC Template'!$AW:$AW,'RC Template'!$B:$B,$A94,'RC Template'!$C:$C,G$6))</f>
        <v>#N/A</v>
      </c>
      <c r="H94" s="115" t="e">
        <f>IF(SUMIFS('RC Template'!$AW:$AW,'RC Template'!$B:$B,$A94,'RC Template'!$C:$C,H$6)=0,#N/A,SUMIFS('RC Template'!$AW:$AW,'RC Template'!$B:$B,$A94,'RC Template'!$C:$C,H$6))</f>
        <v>#N/A</v>
      </c>
      <c r="I94" s="115" t="e">
        <f>IF(SUMIFS('RC Template'!$AW:$AW,'RC Template'!$B:$B,$A94,'RC Template'!$C:$C,I$6)=0,#N/A,SUMIFS('RC Template'!$AW:$AW,'RC Template'!$B:$B,$A94,'RC Template'!$C:$C,I$6))</f>
        <v>#N/A</v>
      </c>
      <c r="J94" s="115" t="e">
        <f>IF(SUMIFS('RC Template'!$AW:$AW,'RC Template'!$B:$B,$A94,'RC Template'!$C:$C,J$6)=0,#N/A,SUMIFS('RC Template'!$AW:$AW,'RC Template'!$B:$B,$A94,'RC Template'!$C:$C,J$6))</f>
        <v>#N/A</v>
      </c>
      <c r="K94" s="115" t="e">
        <f>IF(SUMIFS('RC Template'!$AW:$AW,'RC Template'!$B:$B,$A94,'RC Template'!$C:$C,K$6)=0,#N/A,SUMIFS('RC Template'!$AW:$AW,'RC Template'!$B:$B,$A94,'RC Template'!$C:$C,K$6))</f>
        <v>#N/A</v>
      </c>
      <c r="L94" s="115" t="e">
        <f>IF(SUMIFS('RC Template'!$AW:$AW,'RC Template'!$B:$B,$A94,'RC Template'!$C:$C,L$6)=0,#N/A,SUMIFS('RC Template'!$AW:$AW,'RC Template'!$B:$B,$A94,'RC Template'!$C:$C,L$6))</f>
        <v>#N/A</v>
      </c>
      <c r="M94" s="115" t="e">
        <f>IF(SUMIFS('RC Template'!$AW:$AW,'RC Template'!$B:$B,$A94,'RC Template'!$C:$C,M$6)=0,#N/A,SUMIFS('RC Template'!$AW:$AW,'RC Template'!$B:$B,$A94,'RC Template'!$C:$C,M$6))</f>
        <v>#N/A</v>
      </c>
      <c r="N94" s="115" t="e">
        <f>IF(SUMIFS('RC Template'!$AW:$AW,'RC Template'!$B:$B,$A94,'RC Template'!$C:$C,N$6)=0,#N/A,SUMIFS('RC Template'!$AW:$AW,'RC Template'!$B:$B,$A94,'RC Template'!$C:$C,N$6))</f>
        <v>#N/A</v>
      </c>
      <c r="O94" s="115" t="e">
        <f>IF(SUMIFS('RC Template'!$AW:$AW,'RC Template'!$B:$B,$A94,'RC Template'!$C:$C,O$6)=0,#N/A,SUMIFS('RC Template'!$AW:$AW,'RC Template'!$B:$B,$A94,'RC Template'!$C:$C,O$6))</f>
        <v>#N/A</v>
      </c>
      <c r="P94" s="115" t="e">
        <f>IF(SUMIFS('RC Template'!$AW:$AW,'RC Template'!$B:$B,$A94,'RC Template'!$C:$C,P$6)=0,#N/A,SUMIFS('RC Template'!$AW:$AW,'RC Template'!$B:$B,$A94,'RC Template'!$C:$C,P$6))</f>
        <v>#N/A</v>
      </c>
      <c r="Q94" s="115">
        <f ca="1">MAX(SUMIFS('RC Template'!$AW:$AW,'RC Template'!$B:$B,$A94,'RC Template'!$C:$C,Q$6),Q93*$E$3)</f>
        <v>313.8944717961362</v>
      </c>
      <c r="R94" s="115">
        <f ca="1">MAX(SUMIFS('RC Template'!$AW:$AW,'RC Template'!$B:$B,$A94,'RC Template'!$C:$C,R$6),R93*$E$3)</f>
        <v>42.671831975019636</v>
      </c>
      <c r="S94" s="115">
        <f ca="1">MAX(SUMIFS('RC Template'!$AW:$AW,'RC Template'!$B:$B,$A94,'RC Template'!$C:$C,S$6),S93*$E$3)</f>
        <v>54.231018153653167</v>
      </c>
      <c r="T94" s="115">
        <f ca="1">MAX(SUMIFS('RC Template'!$AW:$AW,'RC Template'!$B:$B,$A94,'RC Template'!$C:$C,T$6),T93*$E$3)</f>
        <v>5.3000810301344528</v>
      </c>
      <c r="U94" s="115">
        <f ca="1">MAX(SUMIFS('RC Template'!$AW:$AW,'RC Template'!$B:$B,$A94,'RC Template'!$C:$C,U$6),U93*$E$3)</f>
        <v>120.9310579020234</v>
      </c>
      <c r="V94" s="115">
        <f ca="1">MAX(SUMIFS('RC Template'!$AW:$AW,'RC Template'!$B:$B,$A94,'RC Template'!$C:$C,V$6),V93*$E$3)</f>
        <v>66.713137194727977</v>
      </c>
      <c r="W94" s="115">
        <f ca="1">MAX(SUMIFS('RC Template'!$AW:$AW,'RC Template'!$B:$B,$A94,'RC Template'!$C:$C,W$6),W93*$E$3)</f>
        <v>7.2680168172215316</v>
      </c>
      <c r="X94" s="115">
        <f ca="1">MAX(SUMIFS('RC Template'!$AW:$AW,'RC Template'!$B:$B,$A94,'RC Template'!$C:$C,X$6),X93*$E$3)</f>
        <v>124.59878407930172</v>
      </c>
      <c r="Y94" s="115">
        <f ca="1">MAX(SUMIFS('RC Template'!$AW:$AW,'RC Template'!$B:$B,$A94,'RC Template'!$C:$C,Y$6),Y93*$E$3)</f>
        <v>73.483929144729473</v>
      </c>
      <c r="Z94" s="115">
        <f ca="1">MAX(SUMIFS('RC Template'!$AW:$AW,'RC Template'!$B:$B,$A94,'RC Template'!$C:$C,Z$6),Z93*$E$3)</f>
        <v>82.950109583527436</v>
      </c>
      <c r="AA94" s="115">
        <f ca="1">MAX(SUMIFS('RC Template'!$AW:$AW,'RC Template'!$B:$B,$A94,'RC Template'!$C:$C,AA$6),AA93*$E$3)</f>
        <v>0</v>
      </c>
      <c r="AB94" s="115">
        <f ca="1">MAX(SUMIFS('RC Template'!$AW:$AW,'RC Template'!$B:$B,$A94,'RC Template'!$C:$C,AB$6),AB93*$E$3)</f>
        <v>0</v>
      </c>
      <c r="AC94" s="115">
        <f ca="1">MAX(SUMIFS('RC Template'!$AW:$AW,'RC Template'!$B:$B,$A94,'RC Template'!$C:$C,AC$6),AC93*$E$3)</f>
        <v>0</v>
      </c>
      <c r="AD94" s="115">
        <f ca="1">MAX(SUMIFS('RC Template'!$AW:$AW,'RC Template'!$B:$B,$A94,'RC Template'!$C:$C,AD$6),AD93*$E$3)</f>
        <v>0</v>
      </c>
    </row>
    <row r="95" spans="1:30" x14ac:dyDescent="0.3">
      <c r="A95" s="1">
        <v>43195</v>
      </c>
      <c r="B95" s="115">
        <f t="shared" ca="1" si="8"/>
        <v>869.741376734563</v>
      </c>
      <c r="C95" s="115" t="e">
        <f>IF(SUMIFS('RC Template'!$AW:$AW,'RC Template'!$B:$B,$A95,'RC Template'!$C:$C,C$6)=0,#N/A,SUMIFS('RC Template'!$AW:$AW,'RC Template'!$B:$B,$A95,'RC Template'!$C:$C,C$6))</f>
        <v>#N/A</v>
      </c>
      <c r="D95" s="115" t="e">
        <f>IF(SUMIFS('RC Template'!$AW:$AW,'RC Template'!$B:$B,$A95,'RC Template'!$C:$C,D$6)=0,#N/A,SUMIFS('RC Template'!$AW:$AW,'RC Template'!$B:$B,$A95,'RC Template'!$C:$C,D$6))</f>
        <v>#N/A</v>
      </c>
      <c r="E95" s="115" t="e">
        <f>IF(SUMIFS('RC Template'!$AW:$AW,'RC Template'!$B:$B,$A95,'RC Template'!$C:$C,E$6)=0,#N/A,SUMIFS('RC Template'!$AW:$AW,'RC Template'!$B:$B,$A95,'RC Template'!$C:$C,E$6))</f>
        <v>#N/A</v>
      </c>
      <c r="F95" s="115" t="e">
        <f>IF(SUMIFS('RC Template'!$AW:$AW,'RC Template'!$B:$B,$A95,'RC Template'!$C:$C,F$6)=0,#N/A,SUMIFS('RC Template'!$AW:$AW,'RC Template'!$B:$B,$A95,'RC Template'!$C:$C,F$6))</f>
        <v>#N/A</v>
      </c>
      <c r="G95" s="115" t="e">
        <f>IF(SUMIFS('RC Template'!$AW:$AW,'RC Template'!$B:$B,$A95,'RC Template'!$C:$C,G$6)=0,#N/A,SUMIFS('RC Template'!$AW:$AW,'RC Template'!$B:$B,$A95,'RC Template'!$C:$C,G$6))</f>
        <v>#N/A</v>
      </c>
      <c r="H95" s="115" t="e">
        <f>IF(SUMIFS('RC Template'!$AW:$AW,'RC Template'!$B:$B,$A95,'RC Template'!$C:$C,H$6)=0,#N/A,SUMIFS('RC Template'!$AW:$AW,'RC Template'!$B:$B,$A95,'RC Template'!$C:$C,H$6))</f>
        <v>#N/A</v>
      </c>
      <c r="I95" s="115" t="e">
        <f>IF(SUMIFS('RC Template'!$AW:$AW,'RC Template'!$B:$B,$A95,'RC Template'!$C:$C,I$6)=0,#N/A,SUMIFS('RC Template'!$AW:$AW,'RC Template'!$B:$B,$A95,'RC Template'!$C:$C,I$6))</f>
        <v>#N/A</v>
      </c>
      <c r="J95" s="115" t="e">
        <f>IF(SUMIFS('RC Template'!$AW:$AW,'RC Template'!$B:$B,$A95,'RC Template'!$C:$C,J$6)=0,#N/A,SUMIFS('RC Template'!$AW:$AW,'RC Template'!$B:$B,$A95,'RC Template'!$C:$C,J$6))</f>
        <v>#N/A</v>
      </c>
      <c r="K95" s="115" t="e">
        <f>IF(SUMIFS('RC Template'!$AW:$AW,'RC Template'!$B:$B,$A95,'RC Template'!$C:$C,K$6)=0,#N/A,SUMIFS('RC Template'!$AW:$AW,'RC Template'!$B:$B,$A95,'RC Template'!$C:$C,K$6))</f>
        <v>#N/A</v>
      </c>
      <c r="L95" s="115" t="e">
        <f>IF(SUMIFS('RC Template'!$AW:$AW,'RC Template'!$B:$B,$A95,'RC Template'!$C:$C,L$6)=0,#N/A,SUMIFS('RC Template'!$AW:$AW,'RC Template'!$B:$B,$A95,'RC Template'!$C:$C,L$6))</f>
        <v>#N/A</v>
      </c>
      <c r="M95" s="115" t="e">
        <f>IF(SUMIFS('RC Template'!$AW:$AW,'RC Template'!$B:$B,$A95,'RC Template'!$C:$C,M$6)=0,#N/A,SUMIFS('RC Template'!$AW:$AW,'RC Template'!$B:$B,$A95,'RC Template'!$C:$C,M$6))</f>
        <v>#N/A</v>
      </c>
      <c r="N95" s="115" t="e">
        <f>IF(SUMIFS('RC Template'!$AW:$AW,'RC Template'!$B:$B,$A95,'RC Template'!$C:$C,N$6)=0,#N/A,SUMIFS('RC Template'!$AW:$AW,'RC Template'!$B:$B,$A95,'RC Template'!$C:$C,N$6))</f>
        <v>#N/A</v>
      </c>
      <c r="O95" s="115" t="e">
        <f>IF(SUMIFS('RC Template'!$AW:$AW,'RC Template'!$B:$B,$A95,'RC Template'!$C:$C,O$6)=0,#N/A,SUMIFS('RC Template'!$AW:$AW,'RC Template'!$B:$B,$A95,'RC Template'!$C:$C,O$6))</f>
        <v>#N/A</v>
      </c>
      <c r="P95" s="115" t="e">
        <f>IF(SUMIFS('RC Template'!$AW:$AW,'RC Template'!$B:$B,$A95,'RC Template'!$C:$C,P$6)=0,#N/A,SUMIFS('RC Template'!$AW:$AW,'RC Template'!$B:$B,$A95,'RC Template'!$C:$C,P$6))</f>
        <v>#N/A</v>
      </c>
      <c r="Q95" s="115">
        <f ca="1">MAX(SUMIFS('RC Template'!$AW:$AW,'RC Template'!$B:$B,$A95,'RC Template'!$C:$C,Q$6),Q94*$E$3)</f>
        <v>306.0471100012328</v>
      </c>
      <c r="R95" s="115">
        <f ca="1">MAX(SUMIFS('RC Template'!$AW:$AW,'RC Template'!$B:$B,$A95,'RC Template'!$C:$C,R$6),R94*$E$3)</f>
        <v>41.605036175644145</v>
      </c>
      <c r="S95" s="115">
        <f ca="1">MAX(SUMIFS('RC Template'!$AW:$AW,'RC Template'!$B:$B,$A95,'RC Template'!$C:$C,S$6),S94*$E$3)</f>
        <v>52.875242699811835</v>
      </c>
      <c r="T95" s="115">
        <f ca="1">MAX(SUMIFS('RC Template'!$AW:$AW,'RC Template'!$B:$B,$A95,'RC Template'!$C:$C,T$6),T94*$E$3)</f>
        <v>5.167579004381091</v>
      </c>
      <c r="U95" s="115">
        <f ca="1">MAX(SUMIFS('RC Template'!$AW:$AW,'RC Template'!$B:$B,$A95,'RC Template'!$C:$C,U$6),U94*$E$3)</f>
        <v>117.90778145447281</v>
      </c>
      <c r="V95" s="115">
        <f ca="1">MAX(SUMIFS('RC Template'!$AW:$AW,'RC Template'!$B:$B,$A95,'RC Template'!$C:$C,V$6),V94*$E$3)</f>
        <v>65.045308764859783</v>
      </c>
      <c r="W95" s="115">
        <f ca="1">MAX(SUMIFS('RC Template'!$AW:$AW,'RC Template'!$B:$B,$A95,'RC Template'!$C:$C,W$6),W94*$E$3)</f>
        <v>7.086316396790993</v>
      </c>
      <c r="X95" s="115">
        <f ca="1">MAX(SUMIFS('RC Template'!$AW:$AW,'RC Template'!$B:$B,$A95,'RC Template'!$C:$C,X$6),X94*$E$3)</f>
        <v>121.48381447731917</v>
      </c>
      <c r="Y95" s="115">
        <f ca="1">MAX(SUMIFS('RC Template'!$AW:$AW,'RC Template'!$B:$B,$A95,'RC Template'!$C:$C,Y$6),Y94*$E$3)</f>
        <v>71.646830916111227</v>
      </c>
      <c r="Z95" s="115">
        <f ca="1">MAX(SUMIFS('RC Template'!$AW:$AW,'RC Template'!$B:$B,$A95,'RC Template'!$C:$C,Z$6),Z94*$E$3)</f>
        <v>80.876356843939249</v>
      </c>
      <c r="AA95" s="115">
        <f ca="1">MAX(SUMIFS('RC Template'!$AW:$AW,'RC Template'!$B:$B,$A95,'RC Template'!$C:$C,AA$6),AA94*$E$3)</f>
        <v>0</v>
      </c>
      <c r="AB95" s="115">
        <f ca="1">MAX(SUMIFS('RC Template'!$AW:$AW,'RC Template'!$B:$B,$A95,'RC Template'!$C:$C,AB$6),AB94*$E$3)</f>
        <v>0</v>
      </c>
      <c r="AC95" s="115">
        <f ca="1">MAX(SUMIFS('RC Template'!$AW:$AW,'RC Template'!$B:$B,$A95,'RC Template'!$C:$C,AC$6),AC94*$E$3)</f>
        <v>0</v>
      </c>
      <c r="AD95" s="115">
        <f ca="1">MAX(SUMIFS('RC Template'!$AW:$AW,'RC Template'!$B:$B,$A95,'RC Template'!$C:$C,AD$6),AD94*$E$3)</f>
        <v>0</v>
      </c>
    </row>
    <row r="96" spans="1:30" x14ac:dyDescent="0.3">
      <c r="A96" s="1">
        <v>43196</v>
      </c>
      <c r="B96" s="115">
        <f t="shared" ca="1" si="8"/>
        <v>847.9978423161989</v>
      </c>
      <c r="C96" s="115" t="e">
        <f>IF(SUMIFS('RC Template'!$AW:$AW,'RC Template'!$B:$B,$A96,'RC Template'!$C:$C,C$6)=0,#N/A,SUMIFS('RC Template'!$AW:$AW,'RC Template'!$B:$B,$A96,'RC Template'!$C:$C,C$6))</f>
        <v>#N/A</v>
      </c>
      <c r="D96" s="115" t="e">
        <f>IF(SUMIFS('RC Template'!$AW:$AW,'RC Template'!$B:$B,$A96,'RC Template'!$C:$C,D$6)=0,#N/A,SUMIFS('RC Template'!$AW:$AW,'RC Template'!$B:$B,$A96,'RC Template'!$C:$C,D$6))</f>
        <v>#N/A</v>
      </c>
      <c r="E96" s="115" t="e">
        <f>IF(SUMIFS('RC Template'!$AW:$AW,'RC Template'!$B:$B,$A96,'RC Template'!$C:$C,E$6)=0,#N/A,SUMIFS('RC Template'!$AW:$AW,'RC Template'!$B:$B,$A96,'RC Template'!$C:$C,E$6))</f>
        <v>#N/A</v>
      </c>
      <c r="F96" s="115" t="e">
        <f>IF(SUMIFS('RC Template'!$AW:$AW,'RC Template'!$B:$B,$A96,'RC Template'!$C:$C,F$6)=0,#N/A,SUMIFS('RC Template'!$AW:$AW,'RC Template'!$B:$B,$A96,'RC Template'!$C:$C,F$6))</f>
        <v>#N/A</v>
      </c>
      <c r="G96" s="115" t="e">
        <f>IF(SUMIFS('RC Template'!$AW:$AW,'RC Template'!$B:$B,$A96,'RC Template'!$C:$C,G$6)=0,#N/A,SUMIFS('RC Template'!$AW:$AW,'RC Template'!$B:$B,$A96,'RC Template'!$C:$C,G$6))</f>
        <v>#N/A</v>
      </c>
      <c r="H96" s="115" t="e">
        <f>IF(SUMIFS('RC Template'!$AW:$AW,'RC Template'!$B:$B,$A96,'RC Template'!$C:$C,H$6)=0,#N/A,SUMIFS('RC Template'!$AW:$AW,'RC Template'!$B:$B,$A96,'RC Template'!$C:$C,H$6))</f>
        <v>#N/A</v>
      </c>
      <c r="I96" s="115" t="e">
        <f>IF(SUMIFS('RC Template'!$AW:$AW,'RC Template'!$B:$B,$A96,'RC Template'!$C:$C,I$6)=0,#N/A,SUMIFS('RC Template'!$AW:$AW,'RC Template'!$B:$B,$A96,'RC Template'!$C:$C,I$6))</f>
        <v>#N/A</v>
      </c>
      <c r="J96" s="115" t="e">
        <f>IF(SUMIFS('RC Template'!$AW:$AW,'RC Template'!$B:$B,$A96,'RC Template'!$C:$C,J$6)=0,#N/A,SUMIFS('RC Template'!$AW:$AW,'RC Template'!$B:$B,$A96,'RC Template'!$C:$C,J$6))</f>
        <v>#N/A</v>
      </c>
      <c r="K96" s="115" t="e">
        <f>IF(SUMIFS('RC Template'!$AW:$AW,'RC Template'!$B:$B,$A96,'RC Template'!$C:$C,K$6)=0,#N/A,SUMIFS('RC Template'!$AW:$AW,'RC Template'!$B:$B,$A96,'RC Template'!$C:$C,K$6))</f>
        <v>#N/A</v>
      </c>
      <c r="L96" s="115" t="e">
        <f>IF(SUMIFS('RC Template'!$AW:$AW,'RC Template'!$B:$B,$A96,'RC Template'!$C:$C,L$6)=0,#N/A,SUMIFS('RC Template'!$AW:$AW,'RC Template'!$B:$B,$A96,'RC Template'!$C:$C,L$6))</f>
        <v>#N/A</v>
      </c>
      <c r="M96" s="115" t="e">
        <f>IF(SUMIFS('RC Template'!$AW:$AW,'RC Template'!$B:$B,$A96,'RC Template'!$C:$C,M$6)=0,#N/A,SUMIFS('RC Template'!$AW:$AW,'RC Template'!$B:$B,$A96,'RC Template'!$C:$C,M$6))</f>
        <v>#N/A</v>
      </c>
      <c r="N96" s="115" t="e">
        <f>IF(SUMIFS('RC Template'!$AW:$AW,'RC Template'!$B:$B,$A96,'RC Template'!$C:$C,N$6)=0,#N/A,SUMIFS('RC Template'!$AW:$AW,'RC Template'!$B:$B,$A96,'RC Template'!$C:$C,N$6))</f>
        <v>#N/A</v>
      </c>
      <c r="O96" s="115" t="e">
        <f>IF(SUMIFS('RC Template'!$AW:$AW,'RC Template'!$B:$B,$A96,'RC Template'!$C:$C,O$6)=0,#N/A,SUMIFS('RC Template'!$AW:$AW,'RC Template'!$B:$B,$A96,'RC Template'!$C:$C,O$6))</f>
        <v>#N/A</v>
      </c>
      <c r="P96" s="115" t="e">
        <f>IF(SUMIFS('RC Template'!$AW:$AW,'RC Template'!$B:$B,$A96,'RC Template'!$C:$C,P$6)=0,#N/A,SUMIFS('RC Template'!$AW:$AW,'RC Template'!$B:$B,$A96,'RC Template'!$C:$C,P$6))</f>
        <v>#N/A</v>
      </c>
      <c r="Q96" s="115">
        <f ca="1">MAX(SUMIFS('RC Template'!$AW:$AW,'RC Template'!$B:$B,$A96,'RC Template'!$C:$C,Q$6),Q95*$E$3)</f>
        <v>298.39593225120194</v>
      </c>
      <c r="R96" s="115">
        <f ca="1">MAX(SUMIFS('RC Template'!$AW:$AW,'RC Template'!$B:$B,$A96,'RC Template'!$C:$C,R$6),R95*$E$3)</f>
        <v>40.564910271253041</v>
      </c>
      <c r="S96" s="115">
        <f ca="1">MAX(SUMIFS('RC Template'!$AW:$AW,'RC Template'!$B:$B,$A96,'RC Template'!$C:$C,S$6),S95*$E$3)</f>
        <v>51.553361632316538</v>
      </c>
      <c r="T96" s="115">
        <f ca="1">MAX(SUMIFS('RC Template'!$AW:$AW,'RC Template'!$B:$B,$A96,'RC Template'!$C:$C,T$6),T95*$E$3)</f>
        <v>5.0383895292715639</v>
      </c>
      <c r="U96" s="115">
        <f ca="1">MAX(SUMIFS('RC Template'!$AW:$AW,'RC Template'!$B:$B,$A96,'RC Template'!$C:$C,U$6),U95*$E$3)</f>
        <v>114.96008691811099</v>
      </c>
      <c r="V96" s="115">
        <f ca="1">MAX(SUMIFS('RC Template'!$AW:$AW,'RC Template'!$B:$B,$A96,'RC Template'!$C:$C,V$6),V95*$E$3)</f>
        <v>63.41917604573829</v>
      </c>
      <c r="W96" s="115">
        <f ca="1">MAX(SUMIFS('RC Template'!$AW:$AW,'RC Template'!$B:$B,$A96,'RC Template'!$C:$C,W$6),W95*$E$3)</f>
        <v>6.9091584868712177</v>
      </c>
      <c r="X96" s="115">
        <f ca="1">MAX(SUMIFS('RC Template'!$AW:$AW,'RC Template'!$B:$B,$A96,'RC Template'!$C:$C,X$6),X95*$E$3)</f>
        <v>118.44671911538619</v>
      </c>
      <c r="Y96" s="115">
        <f ca="1">MAX(SUMIFS('RC Template'!$AW:$AW,'RC Template'!$B:$B,$A96,'RC Template'!$C:$C,Y$6),Y95*$E$3)</f>
        <v>69.855660143208439</v>
      </c>
      <c r="Z96" s="115">
        <f ca="1">MAX(SUMIFS('RC Template'!$AW:$AW,'RC Template'!$B:$B,$A96,'RC Template'!$C:$C,Z$6),Z95*$E$3)</f>
        <v>78.854447922840762</v>
      </c>
      <c r="AA96" s="115">
        <f ca="1">MAX(SUMIFS('RC Template'!$AW:$AW,'RC Template'!$B:$B,$A96,'RC Template'!$C:$C,AA$6),AA95*$E$3)</f>
        <v>0</v>
      </c>
      <c r="AB96" s="115">
        <f ca="1">MAX(SUMIFS('RC Template'!$AW:$AW,'RC Template'!$B:$B,$A96,'RC Template'!$C:$C,AB$6),AB95*$E$3)</f>
        <v>0</v>
      </c>
      <c r="AC96" s="115">
        <f ca="1">MAX(SUMIFS('RC Template'!$AW:$AW,'RC Template'!$B:$B,$A96,'RC Template'!$C:$C,AC$6),AC95*$E$3)</f>
        <v>0</v>
      </c>
      <c r="AD96" s="115">
        <f ca="1">MAX(SUMIFS('RC Template'!$AW:$AW,'RC Template'!$B:$B,$A96,'RC Template'!$C:$C,AD$6),AD95*$E$3)</f>
        <v>0</v>
      </c>
    </row>
    <row r="97" spans="1:30" x14ac:dyDescent="0.3">
      <c r="A97" s="1">
        <v>43197</v>
      </c>
      <c r="B97" s="115">
        <f t="shared" ca="1" si="8"/>
        <v>826.79789625829403</v>
      </c>
      <c r="C97" s="115" t="e">
        <f>IF(SUMIFS('RC Template'!$AW:$AW,'RC Template'!$B:$B,$A97,'RC Template'!$C:$C,C$6)=0,#N/A,SUMIFS('RC Template'!$AW:$AW,'RC Template'!$B:$B,$A97,'RC Template'!$C:$C,C$6))</f>
        <v>#N/A</v>
      </c>
      <c r="D97" s="115" t="e">
        <f>IF(SUMIFS('RC Template'!$AW:$AW,'RC Template'!$B:$B,$A97,'RC Template'!$C:$C,D$6)=0,#N/A,SUMIFS('RC Template'!$AW:$AW,'RC Template'!$B:$B,$A97,'RC Template'!$C:$C,D$6))</f>
        <v>#N/A</v>
      </c>
      <c r="E97" s="115" t="e">
        <f>IF(SUMIFS('RC Template'!$AW:$AW,'RC Template'!$B:$B,$A97,'RC Template'!$C:$C,E$6)=0,#N/A,SUMIFS('RC Template'!$AW:$AW,'RC Template'!$B:$B,$A97,'RC Template'!$C:$C,E$6))</f>
        <v>#N/A</v>
      </c>
      <c r="F97" s="115" t="e">
        <f>IF(SUMIFS('RC Template'!$AW:$AW,'RC Template'!$B:$B,$A97,'RC Template'!$C:$C,F$6)=0,#N/A,SUMIFS('RC Template'!$AW:$AW,'RC Template'!$B:$B,$A97,'RC Template'!$C:$C,F$6))</f>
        <v>#N/A</v>
      </c>
      <c r="G97" s="115" t="e">
        <f>IF(SUMIFS('RC Template'!$AW:$AW,'RC Template'!$B:$B,$A97,'RC Template'!$C:$C,G$6)=0,#N/A,SUMIFS('RC Template'!$AW:$AW,'RC Template'!$B:$B,$A97,'RC Template'!$C:$C,G$6))</f>
        <v>#N/A</v>
      </c>
      <c r="H97" s="115" t="e">
        <f>IF(SUMIFS('RC Template'!$AW:$AW,'RC Template'!$B:$B,$A97,'RC Template'!$C:$C,H$6)=0,#N/A,SUMIFS('RC Template'!$AW:$AW,'RC Template'!$B:$B,$A97,'RC Template'!$C:$C,H$6))</f>
        <v>#N/A</v>
      </c>
      <c r="I97" s="115" t="e">
        <f>IF(SUMIFS('RC Template'!$AW:$AW,'RC Template'!$B:$B,$A97,'RC Template'!$C:$C,I$6)=0,#N/A,SUMIFS('RC Template'!$AW:$AW,'RC Template'!$B:$B,$A97,'RC Template'!$C:$C,I$6))</f>
        <v>#N/A</v>
      </c>
      <c r="J97" s="115" t="e">
        <f>IF(SUMIFS('RC Template'!$AW:$AW,'RC Template'!$B:$B,$A97,'RC Template'!$C:$C,J$6)=0,#N/A,SUMIFS('RC Template'!$AW:$AW,'RC Template'!$B:$B,$A97,'RC Template'!$C:$C,J$6))</f>
        <v>#N/A</v>
      </c>
      <c r="K97" s="115" t="e">
        <f>IF(SUMIFS('RC Template'!$AW:$AW,'RC Template'!$B:$B,$A97,'RC Template'!$C:$C,K$6)=0,#N/A,SUMIFS('RC Template'!$AW:$AW,'RC Template'!$B:$B,$A97,'RC Template'!$C:$C,K$6))</f>
        <v>#N/A</v>
      </c>
      <c r="L97" s="115" t="e">
        <f>IF(SUMIFS('RC Template'!$AW:$AW,'RC Template'!$B:$B,$A97,'RC Template'!$C:$C,L$6)=0,#N/A,SUMIFS('RC Template'!$AW:$AW,'RC Template'!$B:$B,$A97,'RC Template'!$C:$C,L$6))</f>
        <v>#N/A</v>
      </c>
      <c r="M97" s="115" t="e">
        <f>IF(SUMIFS('RC Template'!$AW:$AW,'RC Template'!$B:$B,$A97,'RC Template'!$C:$C,M$6)=0,#N/A,SUMIFS('RC Template'!$AW:$AW,'RC Template'!$B:$B,$A97,'RC Template'!$C:$C,M$6))</f>
        <v>#N/A</v>
      </c>
      <c r="N97" s="115" t="e">
        <f>IF(SUMIFS('RC Template'!$AW:$AW,'RC Template'!$B:$B,$A97,'RC Template'!$C:$C,N$6)=0,#N/A,SUMIFS('RC Template'!$AW:$AW,'RC Template'!$B:$B,$A97,'RC Template'!$C:$C,N$6))</f>
        <v>#N/A</v>
      </c>
      <c r="O97" s="115" t="e">
        <f>IF(SUMIFS('RC Template'!$AW:$AW,'RC Template'!$B:$B,$A97,'RC Template'!$C:$C,O$6)=0,#N/A,SUMIFS('RC Template'!$AW:$AW,'RC Template'!$B:$B,$A97,'RC Template'!$C:$C,O$6))</f>
        <v>#N/A</v>
      </c>
      <c r="P97" s="115" t="e">
        <f>IF(SUMIFS('RC Template'!$AW:$AW,'RC Template'!$B:$B,$A97,'RC Template'!$C:$C,P$6)=0,#N/A,SUMIFS('RC Template'!$AW:$AW,'RC Template'!$B:$B,$A97,'RC Template'!$C:$C,P$6))</f>
        <v>#N/A</v>
      </c>
      <c r="Q97" s="115">
        <f ca="1">MAX(SUMIFS('RC Template'!$AW:$AW,'RC Template'!$B:$B,$A97,'RC Template'!$C:$C,Q$6),Q96*$E$3)</f>
        <v>290.93603394492186</v>
      </c>
      <c r="R97" s="115">
        <f ca="1">MAX(SUMIFS('RC Template'!$AW:$AW,'RC Template'!$B:$B,$A97,'RC Template'!$C:$C,R$6),R96*$E$3)</f>
        <v>39.550787514471715</v>
      </c>
      <c r="S97" s="115">
        <f ca="1">MAX(SUMIFS('RC Template'!$AW:$AW,'RC Template'!$B:$B,$A97,'RC Template'!$C:$C,S$6),S96*$E$3)</f>
        <v>50.264527591508624</v>
      </c>
      <c r="T97" s="115">
        <f ca="1">MAX(SUMIFS('RC Template'!$AW:$AW,'RC Template'!$B:$B,$A97,'RC Template'!$C:$C,T$6),T96*$E$3)</f>
        <v>4.9124297910397745</v>
      </c>
      <c r="U97" s="115">
        <f ca="1">MAX(SUMIFS('RC Template'!$AW:$AW,'RC Template'!$B:$B,$A97,'RC Template'!$C:$C,U$6),U96*$E$3)</f>
        <v>112.08608474515822</v>
      </c>
      <c r="V97" s="115">
        <f ca="1">MAX(SUMIFS('RC Template'!$AW:$AW,'RC Template'!$B:$B,$A97,'RC Template'!$C:$C,V$6),V96*$E$3)</f>
        <v>61.833696644594831</v>
      </c>
      <c r="W97" s="115">
        <f ca="1">MAX(SUMIFS('RC Template'!$AW:$AW,'RC Template'!$B:$B,$A97,'RC Template'!$C:$C,W$6),W96*$E$3)</f>
        <v>6.736429524699437</v>
      </c>
      <c r="X97" s="115">
        <f ca="1">MAX(SUMIFS('RC Template'!$AW:$AW,'RC Template'!$B:$B,$A97,'RC Template'!$C:$C,X$6),X96*$E$3)</f>
        <v>115.48555113750153</v>
      </c>
      <c r="Y97" s="115">
        <f ca="1">MAX(SUMIFS('RC Template'!$AW:$AW,'RC Template'!$B:$B,$A97,'RC Template'!$C:$C,Y$6),Y96*$E$3)</f>
        <v>68.109268639628226</v>
      </c>
      <c r="Z97" s="115">
        <f ca="1">MAX(SUMIFS('RC Template'!$AW:$AW,'RC Template'!$B:$B,$A97,'RC Template'!$C:$C,Z$6),Z96*$E$3)</f>
        <v>76.88308672476974</v>
      </c>
      <c r="AA97" s="115">
        <f ca="1">MAX(SUMIFS('RC Template'!$AW:$AW,'RC Template'!$B:$B,$A97,'RC Template'!$C:$C,AA$6),AA96*$E$3)</f>
        <v>0</v>
      </c>
      <c r="AB97" s="115">
        <f ca="1">MAX(SUMIFS('RC Template'!$AW:$AW,'RC Template'!$B:$B,$A97,'RC Template'!$C:$C,AB$6),AB96*$E$3)</f>
        <v>0</v>
      </c>
      <c r="AC97" s="115">
        <f ca="1">MAX(SUMIFS('RC Template'!$AW:$AW,'RC Template'!$B:$B,$A97,'RC Template'!$C:$C,AC$6),AC96*$E$3)</f>
        <v>0</v>
      </c>
      <c r="AD97" s="115">
        <f ca="1">MAX(SUMIFS('RC Template'!$AW:$AW,'RC Template'!$B:$B,$A97,'RC Template'!$C:$C,AD$6),AD96*$E$3)</f>
        <v>0</v>
      </c>
    </row>
    <row r="98" spans="1:30" x14ac:dyDescent="0.3">
      <c r="A98" s="1">
        <v>43198</v>
      </c>
      <c r="B98" s="115">
        <f t="shared" ca="1" si="8"/>
        <v>806.12794885183678</v>
      </c>
      <c r="C98" s="115" t="e">
        <f>IF(SUMIFS('RC Template'!$AW:$AW,'RC Template'!$B:$B,$A98,'RC Template'!$C:$C,C$6)=0,#N/A,SUMIFS('RC Template'!$AW:$AW,'RC Template'!$B:$B,$A98,'RC Template'!$C:$C,C$6))</f>
        <v>#N/A</v>
      </c>
      <c r="D98" s="115" t="e">
        <f>IF(SUMIFS('RC Template'!$AW:$AW,'RC Template'!$B:$B,$A98,'RC Template'!$C:$C,D$6)=0,#N/A,SUMIFS('RC Template'!$AW:$AW,'RC Template'!$B:$B,$A98,'RC Template'!$C:$C,D$6))</f>
        <v>#N/A</v>
      </c>
      <c r="E98" s="115" t="e">
        <f>IF(SUMIFS('RC Template'!$AW:$AW,'RC Template'!$B:$B,$A98,'RC Template'!$C:$C,E$6)=0,#N/A,SUMIFS('RC Template'!$AW:$AW,'RC Template'!$B:$B,$A98,'RC Template'!$C:$C,E$6))</f>
        <v>#N/A</v>
      </c>
      <c r="F98" s="115" t="e">
        <f>IF(SUMIFS('RC Template'!$AW:$AW,'RC Template'!$B:$B,$A98,'RC Template'!$C:$C,F$6)=0,#N/A,SUMIFS('RC Template'!$AW:$AW,'RC Template'!$B:$B,$A98,'RC Template'!$C:$C,F$6))</f>
        <v>#N/A</v>
      </c>
      <c r="G98" s="115" t="e">
        <f>IF(SUMIFS('RC Template'!$AW:$AW,'RC Template'!$B:$B,$A98,'RC Template'!$C:$C,G$6)=0,#N/A,SUMIFS('RC Template'!$AW:$AW,'RC Template'!$B:$B,$A98,'RC Template'!$C:$C,G$6))</f>
        <v>#N/A</v>
      </c>
      <c r="H98" s="115" t="e">
        <f>IF(SUMIFS('RC Template'!$AW:$AW,'RC Template'!$B:$B,$A98,'RC Template'!$C:$C,H$6)=0,#N/A,SUMIFS('RC Template'!$AW:$AW,'RC Template'!$B:$B,$A98,'RC Template'!$C:$C,H$6))</f>
        <v>#N/A</v>
      </c>
      <c r="I98" s="115" t="e">
        <f>IF(SUMIFS('RC Template'!$AW:$AW,'RC Template'!$B:$B,$A98,'RC Template'!$C:$C,I$6)=0,#N/A,SUMIFS('RC Template'!$AW:$AW,'RC Template'!$B:$B,$A98,'RC Template'!$C:$C,I$6))</f>
        <v>#N/A</v>
      </c>
      <c r="J98" s="115" t="e">
        <f>IF(SUMIFS('RC Template'!$AW:$AW,'RC Template'!$B:$B,$A98,'RC Template'!$C:$C,J$6)=0,#N/A,SUMIFS('RC Template'!$AW:$AW,'RC Template'!$B:$B,$A98,'RC Template'!$C:$C,J$6))</f>
        <v>#N/A</v>
      </c>
      <c r="K98" s="115" t="e">
        <f>IF(SUMIFS('RC Template'!$AW:$AW,'RC Template'!$B:$B,$A98,'RC Template'!$C:$C,K$6)=0,#N/A,SUMIFS('RC Template'!$AW:$AW,'RC Template'!$B:$B,$A98,'RC Template'!$C:$C,K$6))</f>
        <v>#N/A</v>
      </c>
      <c r="L98" s="115" t="e">
        <f>IF(SUMIFS('RC Template'!$AW:$AW,'RC Template'!$B:$B,$A98,'RC Template'!$C:$C,L$6)=0,#N/A,SUMIFS('RC Template'!$AW:$AW,'RC Template'!$B:$B,$A98,'RC Template'!$C:$C,L$6))</f>
        <v>#N/A</v>
      </c>
      <c r="M98" s="115" t="e">
        <f>IF(SUMIFS('RC Template'!$AW:$AW,'RC Template'!$B:$B,$A98,'RC Template'!$C:$C,M$6)=0,#N/A,SUMIFS('RC Template'!$AW:$AW,'RC Template'!$B:$B,$A98,'RC Template'!$C:$C,M$6))</f>
        <v>#N/A</v>
      </c>
      <c r="N98" s="115" t="e">
        <f>IF(SUMIFS('RC Template'!$AW:$AW,'RC Template'!$B:$B,$A98,'RC Template'!$C:$C,N$6)=0,#N/A,SUMIFS('RC Template'!$AW:$AW,'RC Template'!$B:$B,$A98,'RC Template'!$C:$C,N$6))</f>
        <v>#N/A</v>
      </c>
      <c r="O98" s="115" t="e">
        <f>IF(SUMIFS('RC Template'!$AW:$AW,'RC Template'!$B:$B,$A98,'RC Template'!$C:$C,O$6)=0,#N/A,SUMIFS('RC Template'!$AW:$AW,'RC Template'!$B:$B,$A98,'RC Template'!$C:$C,O$6))</f>
        <v>#N/A</v>
      </c>
      <c r="P98" s="115" t="e">
        <f>IF(SUMIFS('RC Template'!$AW:$AW,'RC Template'!$B:$B,$A98,'RC Template'!$C:$C,P$6)=0,#N/A,SUMIFS('RC Template'!$AW:$AW,'RC Template'!$B:$B,$A98,'RC Template'!$C:$C,P$6))</f>
        <v>#N/A</v>
      </c>
      <c r="Q98" s="115">
        <f ca="1">MAX(SUMIFS('RC Template'!$AW:$AW,'RC Template'!$B:$B,$A98,'RC Template'!$C:$C,Q$6),Q97*$E$3)</f>
        <v>283.6626330962988</v>
      </c>
      <c r="R98" s="115">
        <f ca="1">MAX(SUMIFS('RC Template'!$AW:$AW,'RC Template'!$B:$B,$A98,'RC Template'!$C:$C,R$6),R97*$E$3)</f>
        <v>38.562017826609924</v>
      </c>
      <c r="S98" s="115">
        <f ca="1">MAX(SUMIFS('RC Template'!$AW:$AW,'RC Template'!$B:$B,$A98,'RC Template'!$C:$C,S$6),S97*$E$3)</f>
        <v>49.00791440172091</v>
      </c>
      <c r="T98" s="115">
        <f ca="1">MAX(SUMIFS('RC Template'!$AW:$AW,'RC Template'!$B:$B,$A98,'RC Template'!$C:$C,T$6),T97*$E$3)</f>
        <v>4.7896190462637804</v>
      </c>
      <c r="U98" s="115">
        <f ca="1">MAX(SUMIFS('RC Template'!$AW:$AW,'RC Template'!$B:$B,$A98,'RC Template'!$C:$C,U$6),U97*$E$3)</f>
        <v>109.28393262652926</v>
      </c>
      <c r="V98" s="115">
        <f ca="1">MAX(SUMIFS('RC Template'!$AW:$AW,'RC Template'!$B:$B,$A98,'RC Template'!$C:$C,V$6),V97*$E$3)</f>
        <v>60.287854228479958</v>
      </c>
      <c r="W98" s="115">
        <f ca="1">MAX(SUMIFS('RC Template'!$AW:$AW,'RC Template'!$B:$B,$A98,'RC Template'!$C:$C,W$6),W97*$E$3)</f>
        <v>6.568018786581951</v>
      </c>
      <c r="X98" s="115">
        <f ca="1">MAX(SUMIFS('RC Template'!$AW:$AW,'RC Template'!$B:$B,$A98,'RC Template'!$C:$C,X$6),X97*$E$3)</f>
        <v>112.59841235906399</v>
      </c>
      <c r="Y98" s="115">
        <f ca="1">MAX(SUMIFS('RC Template'!$AW:$AW,'RC Template'!$B:$B,$A98,'RC Template'!$C:$C,Y$6),Y97*$E$3)</f>
        <v>66.406536923637518</v>
      </c>
      <c r="Z98" s="115">
        <f ca="1">MAX(SUMIFS('RC Template'!$AW:$AW,'RC Template'!$B:$B,$A98,'RC Template'!$C:$C,Z$6),Z97*$E$3)</f>
        <v>74.961009556650495</v>
      </c>
      <c r="AA98" s="115">
        <f ca="1">MAX(SUMIFS('RC Template'!$AW:$AW,'RC Template'!$B:$B,$A98,'RC Template'!$C:$C,AA$6),AA97*$E$3)</f>
        <v>0</v>
      </c>
      <c r="AB98" s="115">
        <f ca="1">MAX(SUMIFS('RC Template'!$AW:$AW,'RC Template'!$B:$B,$A98,'RC Template'!$C:$C,AB$6),AB97*$E$3)</f>
        <v>0</v>
      </c>
      <c r="AC98" s="115">
        <f ca="1">MAX(SUMIFS('RC Template'!$AW:$AW,'RC Template'!$B:$B,$A98,'RC Template'!$C:$C,AC$6),AC97*$E$3)</f>
        <v>0</v>
      </c>
      <c r="AD98" s="115">
        <f ca="1">MAX(SUMIFS('RC Template'!$AW:$AW,'RC Template'!$B:$B,$A98,'RC Template'!$C:$C,AD$6),AD97*$E$3)</f>
        <v>0</v>
      </c>
    </row>
    <row r="99" spans="1:30" x14ac:dyDescent="0.3">
      <c r="A99" s="1">
        <v>43199</v>
      </c>
      <c r="B99" s="115">
        <f t="shared" ca="1" si="8"/>
        <v>785.97475013054077</v>
      </c>
      <c r="C99" s="115" t="e">
        <f>IF(SUMIFS('RC Template'!$AW:$AW,'RC Template'!$B:$B,$A99,'RC Template'!$C:$C,C$6)=0,#N/A,SUMIFS('RC Template'!$AW:$AW,'RC Template'!$B:$B,$A99,'RC Template'!$C:$C,C$6))</f>
        <v>#N/A</v>
      </c>
      <c r="D99" s="115" t="e">
        <f>IF(SUMIFS('RC Template'!$AW:$AW,'RC Template'!$B:$B,$A99,'RC Template'!$C:$C,D$6)=0,#N/A,SUMIFS('RC Template'!$AW:$AW,'RC Template'!$B:$B,$A99,'RC Template'!$C:$C,D$6))</f>
        <v>#N/A</v>
      </c>
      <c r="E99" s="115" t="e">
        <f>IF(SUMIFS('RC Template'!$AW:$AW,'RC Template'!$B:$B,$A99,'RC Template'!$C:$C,E$6)=0,#N/A,SUMIFS('RC Template'!$AW:$AW,'RC Template'!$B:$B,$A99,'RC Template'!$C:$C,E$6))</f>
        <v>#N/A</v>
      </c>
      <c r="F99" s="115" t="e">
        <f>IF(SUMIFS('RC Template'!$AW:$AW,'RC Template'!$B:$B,$A99,'RC Template'!$C:$C,F$6)=0,#N/A,SUMIFS('RC Template'!$AW:$AW,'RC Template'!$B:$B,$A99,'RC Template'!$C:$C,F$6))</f>
        <v>#N/A</v>
      </c>
      <c r="G99" s="115" t="e">
        <f>IF(SUMIFS('RC Template'!$AW:$AW,'RC Template'!$B:$B,$A99,'RC Template'!$C:$C,G$6)=0,#N/A,SUMIFS('RC Template'!$AW:$AW,'RC Template'!$B:$B,$A99,'RC Template'!$C:$C,G$6))</f>
        <v>#N/A</v>
      </c>
      <c r="H99" s="115" t="e">
        <f>IF(SUMIFS('RC Template'!$AW:$AW,'RC Template'!$B:$B,$A99,'RC Template'!$C:$C,H$6)=0,#N/A,SUMIFS('RC Template'!$AW:$AW,'RC Template'!$B:$B,$A99,'RC Template'!$C:$C,H$6))</f>
        <v>#N/A</v>
      </c>
      <c r="I99" s="115" t="e">
        <f>IF(SUMIFS('RC Template'!$AW:$AW,'RC Template'!$B:$B,$A99,'RC Template'!$C:$C,I$6)=0,#N/A,SUMIFS('RC Template'!$AW:$AW,'RC Template'!$B:$B,$A99,'RC Template'!$C:$C,I$6))</f>
        <v>#N/A</v>
      </c>
      <c r="J99" s="115" t="e">
        <f>IF(SUMIFS('RC Template'!$AW:$AW,'RC Template'!$B:$B,$A99,'RC Template'!$C:$C,J$6)=0,#N/A,SUMIFS('RC Template'!$AW:$AW,'RC Template'!$B:$B,$A99,'RC Template'!$C:$C,J$6))</f>
        <v>#N/A</v>
      </c>
      <c r="K99" s="115" t="e">
        <f>IF(SUMIFS('RC Template'!$AW:$AW,'RC Template'!$B:$B,$A99,'RC Template'!$C:$C,K$6)=0,#N/A,SUMIFS('RC Template'!$AW:$AW,'RC Template'!$B:$B,$A99,'RC Template'!$C:$C,K$6))</f>
        <v>#N/A</v>
      </c>
      <c r="L99" s="115" t="e">
        <f>IF(SUMIFS('RC Template'!$AW:$AW,'RC Template'!$B:$B,$A99,'RC Template'!$C:$C,L$6)=0,#N/A,SUMIFS('RC Template'!$AW:$AW,'RC Template'!$B:$B,$A99,'RC Template'!$C:$C,L$6))</f>
        <v>#N/A</v>
      </c>
      <c r="M99" s="115" t="e">
        <f>IF(SUMIFS('RC Template'!$AW:$AW,'RC Template'!$B:$B,$A99,'RC Template'!$C:$C,M$6)=0,#N/A,SUMIFS('RC Template'!$AW:$AW,'RC Template'!$B:$B,$A99,'RC Template'!$C:$C,M$6))</f>
        <v>#N/A</v>
      </c>
      <c r="N99" s="115" t="e">
        <f>IF(SUMIFS('RC Template'!$AW:$AW,'RC Template'!$B:$B,$A99,'RC Template'!$C:$C,N$6)=0,#N/A,SUMIFS('RC Template'!$AW:$AW,'RC Template'!$B:$B,$A99,'RC Template'!$C:$C,N$6))</f>
        <v>#N/A</v>
      </c>
      <c r="O99" s="115" t="e">
        <f>IF(SUMIFS('RC Template'!$AW:$AW,'RC Template'!$B:$B,$A99,'RC Template'!$C:$C,O$6)=0,#N/A,SUMIFS('RC Template'!$AW:$AW,'RC Template'!$B:$B,$A99,'RC Template'!$C:$C,O$6))</f>
        <v>#N/A</v>
      </c>
      <c r="P99" s="115" t="e">
        <f>IF(SUMIFS('RC Template'!$AW:$AW,'RC Template'!$B:$B,$A99,'RC Template'!$C:$C,P$6)=0,#N/A,SUMIFS('RC Template'!$AW:$AW,'RC Template'!$B:$B,$A99,'RC Template'!$C:$C,P$6))</f>
        <v>#N/A</v>
      </c>
      <c r="Q99" s="115">
        <f ca="1">MAX(SUMIFS('RC Template'!$AW:$AW,'RC Template'!$B:$B,$A99,'RC Template'!$C:$C,Q$6),Q98*$E$3)</f>
        <v>276.57106726889134</v>
      </c>
      <c r="R99" s="115">
        <f ca="1">MAX(SUMIFS('RC Template'!$AW:$AW,'RC Template'!$B:$B,$A99,'RC Template'!$C:$C,R$6),R98*$E$3)</f>
        <v>37.597967380944674</v>
      </c>
      <c r="S99" s="115">
        <f ca="1">MAX(SUMIFS('RC Template'!$AW:$AW,'RC Template'!$B:$B,$A99,'RC Template'!$C:$C,S$6),S98*$E$3)</f>
        <v>47.782716541677885</v>
      </c>
      <c r="T99" s="115">
        <f ca="1">MAX(SUMIFS('RC Template'!$AW:$AW,'RC Template'!$B:$B,$A99,'RC Template'!$C:$C,T$6),T98*$E$3)</f>
        <v>4.6698785701071861</v>
      </c>
      <c r="U99" s="115">
        <f ca="1">MAX(SUMIFS('RC Template'!$AW:$AW,'RC Template'!$B:$B,$A99,'RC Template'!$C:$C,U$6),U98*$E$3)</f>
        <v>106.55183431086603</v>
      </c>
      <c r="V99" s="115">
        <f ca="1">MAX(SUMIFS('RC Template'!$AW:$AW,'RC Template'!$B:$B,$A99,'RC Template'!$C:$C,V$6),V98*$E$3)</f>
        <v>58.780657872767961</v>
      </c>
      <c r="W99" s="115">
        <f ca="1">MAX(SUMIFS('RC Template'!$AW:$AW,'RC Template'!$B:$B,$A99,'RC Template'!$C:$C,W$6),W98*$E$3)</f>
        <v>6.4038183169174019</v>
      </c>
      <c r="X99" s="115">
        <f ca="1">MAX(SUMIFS('RC Template'!$AW:$AW,'RC Template'!$B:$B,$A99,'RC Template'!$C:$C,X$6),X98*$E$3)</f>
        <v>109.78345205008738</v>
      </c>
      <c r="Y99" s="115">
        <f ca="1">MAX(SUMIFS('RC Template'!$AW:$AW,'RC Template'!$B:$B,$A99,'RC Template'!$C:$C,Y$6),Y98*$E$3)</f>
        <v>64.746373500546582</v>
      </c>
      <c r="Z99" s="115">
        <f ca="1">MAX(SUMIFS('RC Template'!$AW:$AW,'RC Template'!$B:$B,$A99,'RC Template'!$C:$C,Z$6),Z98*$E$3)</f>
        <v>73.086984317734235</v>
      </c>
      <c r="AA99" s="115">
        <f ca="1">MAX(SUMIFS('RC Template'!$AW:$AW,'RC Template'!$B:$B,$A99,'RC Template'!$C:$C,AA$6),AA98*$E$3)</f>
        <v>0</v>
      </c>
      <c r="AB99" s="115">
        <f ca="1">MAX(SUMIFS('RC Template'!$AW:$AW,'RC Template'!$B:$B,$A99,'RC Template'!$C:$C,AB$6),AB98*$E$3)</f>
        <v>0</v>
      </c>
      <c r="AC99" s="115">
        <f ca="1">MAX(SUMIFS('RC Template'!$AW:$AW,'RC Template'!$B:$B,$A99,'RC Template'!$C:$C,AC$6),AC98*$E$3)</f>
        <v>0</v>
      </c>
      <c r="AD99" s="115">
        <f ca="1">MAX(SUMIFS('RC Template'!$AW:$AW,'RC Template'!$B:$B,$A99,'RC Template'!$C:$C,AD$6),AD98*$E$3)</f>
        <v>0</v>
      </c>
    </row>
    <row r="100" spans="1:30" x14ac:dyDescent="0.3">
      <c r="A100" s="1">
        <v>43200</v>
      </c>
      <c r="B100" s="115">
        <f t="shared" ca="1" si="8"/>
        <v>766.32538137727704</v>
      </c>
      <c r="C100" s="115" t="e">
        <f>IF(SUMIFS('RC Template'!$AW:$AW,'RC Template'!$B:$B,$A100,'RC Template'!$C:$C,C$6)=0,#N/A,SUMIFS('RC Template'!$AW:$AW,'RC Template'!$B:$B,$A100,'RC Template'!$C:$C,C$6))</f>
        <v>#N/A</v>
      </c>
      <c r="D100" s="115" t="e">
        <f>IF(SUMIFS('RC Template'!$AW:$AW,'RC Template'!$B:$B,$A100,'RC Template'!$C:$C,D$6)=0,#N/A,SUMIFS('RC Template'!$AW:$AW,'RC Template'!$B:$B,$A100,'RC Template'!$C:$C,D$6))</f>
        <v>#N/A</v>
      </c>
      <c r="E100" s="115" t="e">
        <f>IF(SUMIFS('RC Template'!$AW:$AW,'RC Template'!$B:$B,$A100,'RC Template'!$C:$C,E$6)=0,#N/A,SUMIFS('RC Template'!$AW:$AW,'RC Template'!$B:$B,$A100,'RC Template'!$C:$C,E$6))</f>
        <v>#N/A</v>
      </c>
      <c r="F100" s="115" t="e">
        <f>IF(SUMIFS('RC Template'!$AW:$AW,'RC Template'!$B:$B,$A100,'RC Template'!$C:$C,F$6)=0,#N/A,SUMIFS('RC Template'!$AW:$AW,'RC Template'!$B:$B,$A100,'RC Template'!$C:$C,F$6))</f>
        <v>#N/A</v>
      </c>
      <c r="G100" s="115" t="e">
        <f>IF(SUMIFS('RC Template'!$AW:$AW,'RC Template'!$B:$B,$A100,'RC Template'!$C:$C,G$6)=0,#N/A,SUMIFS('RC Template'!$AW:$AW,'RC Template'!$B:$B,$A100,'RC Template'!$C:$C,G$6))</f>
        <v>#N/A</v>
      </c>
      <c r="H100" s="115" t="e">
        <f>IF(SUMIFS('RC Template'!$AW:$AW,'RC Template'!$B:$B,$A100,'RC Template'!$C:$C,H$6)=0,#N/A,SUMIFS('RC Template'!$AW:$AW,'RC Template'!$B:$B,$A100,'RC Template'!$C:$C,H$6))</f>
        <v>#N/A</v>
      </c>
      <c r="I100" s="115" t="e">
        <f>IF(SUMIFS('RC Template'!$AW:$AW,'RC Template'!$B:$B,$A100,'RC Template'!$C:$C,I$6)=0,#N/A,SUMIFS('RC Template'!$AW:$AW,'RC Template'!$B:$B,$A100,'RC Template'!$C:$C,I$6))</f>
        <v>#N/A</v>
      </c>
      <c r="J100" s="115" t="e">
        <f>IF(SUMIFS('RC Template'!$AW:$AW,'RC Template'!$B:$B,$A100,'RC Template'!$C:$C,J$6)=0,#N/A,SUMIFS('RC Template'!$AW:$AW,'RC Template'!$B:$B,$A100,'RC Template'!$C:$C,J$6))</f>
        <v>#N/A</v>
      </c>
      <c r="K100" s="115" t="e">
        <f>IF(SUMIFS('RC Template'!$AW:$AW,'RC Template'!$B:$B,$A100,'RC Template'!$C:$C,K$6)=0,#N/A,SUMIFS('RC Template'!$AW:$AW,'RC Template'!$B:$B,$A100,'RC Template'!$C:$C,K$6))</f>
        <v>#N/A</v>
      </c>
      <c r="L100" s="115" t="e">
        <f>IF(SUMIFS('RC Template'!$AW:$AW,'RC Template'!$B:$B,$A100,'RC Template'!$C:$C,L$6)=0,#N/A,SUMIFS('RC Template'!$AW:$AW,'RC Template'!$B:$B,$A100,'RC Template'!$C:$C,L$6))</f>
        <v>#N/A</v>
      </c>
      <c r="M100" s="115" t="e">
        <f>IF(SUMIFS('RC Template'!$AW:$AW,'RC Template'!$B:$B,$A100,'RC Template'!$C:$C,M$6)=0,#N/A,SUMIFS('RC Template'!$AW:$AW,'RC Template'!$B:$B,$A100,'RC Template'!$C:$C,M$6))</f>
        <v>#N/A</v>
      </c>
      <c r="N100" s="115" t="e">
        <f>IF(SUMIFS('RC Template'!$AW:$AW,'RC Template'!$B:$B,$A100,'RC Template'!$C:$C,N$6)=0,#N/A,SUMIFS('RC Template'!$AW:$AW,'RC Template'!$B:$B,$A100,'RC Template'!$C:$C,N$6))</f>
        <v>#N/A</v>
      </c>
      <c r="O100" s="115" t="e">
        <f>IF(SUMIFS('RC Template'!$AW:$AW,'RC Template'!$B:$B,$A100,'RC Template'!$C:$C,O$6)=0,#N/A,SUMIFS('RC Template'!$AW:$AW,'RC Template'!$B:$B,$A100,'RC Template'!$C:$C,O$6))</f>
        <v>#N/A</v>
      </c>
      <c r="P100" s="115" t="e">
        <f>IF(SUMIFS('RC Template'!$AW:$AW,'RC Template'!$B:$B,$A100,'RC Template'!$C:$C,P$6)=0,#N/A,SUMIFS('RC Template'!$AW:$AW,'RC Template'!$B:$B,$A100,'RC Template'!$C:$C,P$6))</f>
        <v>#N/A</v>
      </c>
      <c r="Q100" s="115">
        <f ca="1">MAX(SUMIFS('RC Template'!$AW:$AW,'RC Template'!$B:$B,$A100,'RC Template'!$C:$C,Q$6),Q99*$E$3)</f>
        <v>269.65679058716904</v>
      </c>
      <c r="R100" s="115">
        <f ca="1">MAX(SUMIFS('RC Template'!$AW:$AW,'RC Template'!$B:$B,$A100,'RC Template'!$C:$C,R$6),R99*$E$3)</f>
        <v>36.658018196421054</v>
      </c>
      <c r="S100" s="115">
        <f ca="1">MAX(SUMIFS('RC Template'!$AW:$AW,'RC Template'!$B:$B,$A100,'RC Template'!$C:$C,S$6),S99*$E$3)</f>
        <v>46.58814862813594</v>
      </c>
      <c r="T100" s="115">
        <f ca="1">MAX(SUMIFS('RC Template'!$AW:$AW,'RC Template'!$B:$B,$A100,'RC Template'!$C:$C,T$6),T99*$E$3)</f>
        <v>4.5531316058545066</v>
      </c>
      <c r="U100" s="115">
        <f ca="1">MAX(SUMIFS('RC Template'!$AW:$AW,'RC Template'!$B:$B,$A100,'RC Template'!$C:$C,U$6),U99*$E$3)</f>
        <v>103.88803845309438</v>
      </c>
      <c r="V100" s="115">
        <f ca="1">MAX(SUMIFS('RC Template'!$AW:$AW,'RC Template'!$B:$B,$A100,'RC Template'!$C:$C,V$6),V99*$E$3)</f>
        <v>57.311141425948762</v>
      </c>
      <c r="W100" s="115">
        <f ca="1">MAX(SUMIFS('RC Template'!$AW:$AW,'RC Template'!$B:$B,$A100,'RC Template'!$C:$C,W$6),W99*$E$3)</f>
        <v>6.2437228589944667</v>
      </c>
      <c r="X100" s="115">
        <f ca="1">MAX(SUMIFS('RC Template'!$AW:$AW,'RC Template'!$B:$B,$A100,'RC Template'!$C:$C,X$6),X99*$E$3)</f>
        <v>107.03886574883519</v>
      </c>
      <c r="Y100" s="115">
        <f ca="1">MAX(SUMIFS('RC Template'!$AW:$AW,'RC Template'!$B:$B,$A100,'RC Template'!$C:$C,Y$6),Y99*$E$3)</f>
        <v>63.127714163032913</v>
      </c>
      <c r="Z100" s="115">
        <f ca="1">MAX(SUMIFS('RC Template'!$AW:$AW,'RC Template'!$B:$B,$A100,'RC Template'!$C:$C,Z$6),Z99*$E$3)</f>
        <v>71.259809709790872</v>
      </c>
      <c r="AA100" s="115">
        <f ca="1">MAX(SUMIFS('RC Template'!$AW:$AW,'RC Template'!$B:$B,$A100,'RC Template'!$C:$C,AA$6),AA99*$E$3)</f>
        <v>0</v>
      </c>
      <c r="AB100" s="115">
        <f ca="1">MAX(SUMIFS('RC Template'!$AW:$AW,'RC Template'!$B:$B,$A100,'RC Template'!$C:$C,AB$6),AB99*$E$3)</f>
        <v>0</v>
      </c>
      <c r="AC100" s="115">
        <f ca="1">MAX(SUMIFS('RC Template'!$AW:$AW,'RC Template'!$B:$B,$A100,'RC Template'!$C:$C,AC$6),AC99*$E$3)</f>
        <v>0</v>
      </c>
      <c r="AD100" s="115">
        <f ca="1">MAX(SUMIFS('RC Template'!$AW:$AW,'RC Template'!$B:$B,$A100,'RC Template'!$C:$C,AD$6),AD99*$E$3)</f>
        <v>0</v>
      </c>
    </row>
    <row r="101" spans="1:30" x14ac:dyDescent="0.3">
      <c r="A101" s="1">
        <v>43201</v>
      </c>
      <c r="B101" s="115">
        <f t="shared" ca="1" si="8"/>
        <v>747.1672468428452</v>
      </c>
      <c r="C101" s="115" t="e">
        <f>IF(SUMIFS('RC Template'!$AW:$AW,'RC Template'!$B:$B,$A101,'RC Template'!$C:$C,C$6)=0,#N/A,SUMIFS('RC Template'!$AW:$AW,'RC Template'!$B:$B,$A101,'RC Template'!$C:$C,C$6))</f>
        <v>#N/A</v>
      </c>
      <c r="D101" s="115" t="e">
        <f>IF(SUMIFS('RC Template'!$AW:$AW,'RC Template'!$B:$B,$A101,'RC Template'!$C:$C,D$6)=0,#N/A,SUMIFS('RC Template'!$AW:$AW,'RC Template'!$B:$B,$A101,'RC Template'!$C:$C,D$6))</f>
        <v>#N/A</v>
      </c>
      <c r="E101" s="115" t="e">
        <f>IF(SUMIFS('RC Template'!$AW:$AW,'RC Template'!$B:$B,$A101,'RC Template'!$C:$C,E$6)=0,#N/A,SUMIFS('RC Template'!$AW:$AW,'RC Template'!$B:$B,$A101,'RC Template'!$C:$C,E$6))</f>
        <v>#N/A</v>
      </c>
      <c r="F101" s="115" t="e">
        <f>IF(SUMIFS('RC Template'!$AW:$AW,'RC Template'!$B:$B,$A101,'RC Template'!$C:$C,F$6)=0,#N/A,SUMIFS('RC Template'!$AW:$AW,'RC Template'!$B:$B,$A101,'RC Template'!$C:$C,F$6))</f>
        <v>#N/A</v>
      </c>
      <c r="G101" s="115" t="e">
        <f>IF(SUMIFS('RC Template'!$AW:$AW,'RC Template'!$B:$B,$A101,'RC Template'!$C:$C,G$6)=0,#N/A,SUMIFS('RC Template'!$AW:$AW,'RC Template'!$B:$B,$A101,'RC Template'!$C:$C,G$6))</f>
        <v>#N/A</v>
      </c>
      <c r="H101" s="115" t="e">
        <f>IF(SUMIFS('RC Template'!$AW:$AW,'RC Template'!$B:$B,$A101,'RC Template'!$C:$C,H$6)=0,#N/A,SUMIFS('RC Template'!$AW:$AW,'RC Template'!$B:$B,$A101,'RC Template'!$C:$C,H$6))</f>
        <v>#N/A</v>
      </c>
      <c r="I101" s="115" t="e">
        <f>IF(SUMIFS('RC Template'!$AW:$AW,'RC Template'!$B:$B,$A101,'RC Template'!$C:$C,I$6)=0,#N/A,SUMIFS('RC Template'!$AW:$AW,'RC Template'!$B:$B,$A101,'RC Template'!$C:$C,I$6))</f>
        <v>#N/A</v>
      </c>
      <c r="J101" s="115" t="e">
        <f>IF(SUMIFS('RC Template'!$AW:$AW,'RC Template'!$B:$B,$A101,'RC Template'!$C:$C,J$6)=0,#N/A,SUMIFS('RC Template'!$AW:$AW,'RC Template'!$B:$B,$A101,'RC Template'!$C:$C,J$6))</f>
        <v>#N/A</v>
      </c>
      <c r="K101" s="115" t="e">
        <f>IF(SUMIFS('RC Template'!$AW:$AW,'RC Template'!$B:$B,$A101,'RC Template'!$C:$C,K$6)=0,#N/A,SUMIFS('RC Template'!$AW:$AW,'RC Template'!$B:$B,$A101,'RC Template'!$C:$C,K$6))</f>
        <v>#N/A</v>
      </c>
      <c r="L101" s="115" t="e">
        <f>IF(SUMIFS('RC Template'!$AW:$AW,'RC Template'!$B:$B,$A101,'RC Template'!$C:$C,L$6)=0,#N/A,SUMIFS('RC Template'!$AW:$AW,'RC Template'!$B:$B,$A101,'RC Template'!$C:$C,L$6))</f>
        <v>#N/A</v>
      </c>
      <c r="M101" s="115" t="e">
        <f>IF(SUMIFS('RC Template'!$AW:$AW,'RC Template'!$B:$B,$A101,'RC Template'!$C:$C,M$6)=0,#N/A,SUMIFS('RC Template'!$AW:$AW,'RC Template'!$B:$B,$A101,'RC Template'!$C:$C,M$6))</f>
        <v>#N/A</v>
      </c>
      <c r="N101" s="115" t="e">
        <f>IF(SUMIFS('RC Template'!$AW:$AW,'RC Template'!$B:$B,$A101,'RC Template'!$C:$C,N$6)=0,#N/A,SUMIFS('RC Template'!$AW:$AW,'RC Template'!$B:$B,$A101,'RC Template'!$C:$C,N$6))</f>
        <v>#N/A</v>
      </c>
      <c r="O101" s="115" t="e">
        <f>IF(SUMIFS('RC Template'!$AW:$AW,'RC Template'!$B:$B,$A101,'RC Template'!$C:$C,O$6)=0,#N/A,SUMIFS('RC Template'!$AW:$AW,'RC Template'!$B:$B,$A101,'RC Template'!$C:$C,O$6))</f>
        <v>#N/A</v>
      </c>
      <c r="P101" s="115" t="e">
        <f>IF(SUMIFS('RC Template'!$AW:$AW,'RC Template'!$B:$B,$A101,'RC Template'!$C:$C,P$6)=0,#N/A,SUMIFS('RC Template'!$AW:$AW,'RC Template'!$B:$B,$A101,'RC Template'!$C:$C,P$6))</f>
        <v>#N/A</v>
      </c>
      <c r="Q101" s="115">
        <f ca="1">MAX(SUMIFS('RC Template'!$AW:$AW,'RC Template'!$B:$B,$A101,'RC Template'!$C:$C,Q$6),Q100*$E$3)</f>
        <v>262.91537082248982</v>
      </c>
      <c r="R101" s="115">
        <f ca="1">MAX(SUMIFS('RC Template'!$AW:$AW,'RC Template'!$B:$B,$A101,'RC Template'!$C:$C,R$6),R100*$E$3)</f>
        <v>35.741567741510529</v>
      </c>
      <c r="S101" s="115">
        <f ca="1">MAX(SUMIFS('RC Template'!$AW:$AW,'RC Template'!$B:$B,$A101,'RC Template'!$C:$C,S$6),S100*$E$3)</f>
        <v>45.423444912432544</v>
      </c>
      <c r="T101" s="115">
        <f ca="1">MAX(SUMIFS('RC Template'!$AW:$AW,'RC Template'!$B:$B,$A101,'RC Template'!$C:$C,T$6),T100*$E$3)</f>
        <v>4.4393033157081438</v>
      </c>
      <c r="U101" s="115">
        <f ca="1">MAX(SUMIFS('RC Template'!$AW:$AW,'RC Template'!$B:$B,$A101,'RC Template'!$C:$C,U$6),U100*$E$3)</f>
        <v>101.29083749176702</v>
      </c>
      <c r="V101" s="115">
        <f ca="1">MAX(SUMIFS('RC Template'!$AW:$AW,'RC Template'!$B:$B,$A101,'RC Template'!$C:$C,V$6),V100*$E$3)</f>
        <v>55.878362890300039</v>
      </c>
      <c r="W101" s="115">
        <f ca="1">MAX(SUMIFS('RC Template'!$AW:$AW,'RC Template'!$B:$B,$A101,'RC Template'!$C:$C,W$6),W100*$E$3)</f>
        <v>6.0876297875196048</v>
      </c>
      <c r="X101" s="115">
        <f ca="1">MAX(SUMIFS('RC Template'!$AW:$AW,'RC Template'!$B:$B,$A101,'RC Template'!$C:$C,X$6),X100*$E$3)</f>
        <v>104.36289410511431</v>
      </c>
      <c r="Y101" s="115">
        <f ca="1">MAX(SUMIFS('RC Template'!$AW:$AW,'RC Template'!$B:$B,$A101,'RC Template'!$C:$C,Y$6),Y100*$E$3)</f>
        <v>61.54952130895709</v>
      </c>
      <c r="Z101" s="115">
        <f ca="1">MAX(SUMIFS('RC Template'!$AW:$AW,'RC Template'!$B:$B,$A101,'RC Template'!$C:$C,Z$6),Z100*$E$3)</f>
        <v>69.478314467046104</v>
      </c>
      <c r="AA101" s="115">
        <f ca="1">MAX(SUMIFS('RC Template'!$AW:$AW,'RC Template'!$B:$B,$A101,'RC Template'!$C:$C,AA$6),AA100*$E$3)</f>
        <v>0</v>
      </c>
      <c r="AB101" s="115">
        <f ca="1">MAX(SUMIFS('RC Template'!$AW:$AW,'RC Template'!$B:$B,$A101,'RC Template'!$C:$C,AB$6),AB100*$E$3)</f>
        <v>0</v>
      </c>
      <c r="AC101" s="115">
        <f ca="1">MAX(SUMIFS('RC Template'!$AW:$AW,'RC Template'!$B:$B,$A101,'RC Template'!$C:$C,AC$6),AC100*$E$3)</f>
        <v>0</v>
      </c>
      <c r="AD101" s="115">
        <f ca="1">MAX(SUMIFS('RC Template'!$AW:$AW,'RC Template'!$B:$B,$A101,'RC Template'!$C:$C,AD$6),AD100*$E$3)</f>
        <v>0</v>
      </c>
    </row>
    <row r="102" spans="1:30" x14ac:dyDescent="0.3">
      <c r="A102" s="1">
        <v>43202</v>
      </c>
      <c r="B102" s="115">
        <f t="shared" ca="1" si="8"/>
        <v>728.48806567177405</v>
      </c>
      <c r="C102" s="115" t="e">
        <f>IF(SUMIFS('RC Template'!$AW:$AW,'RC Template'!$B:$B,$A102,'RC Template'!$C:$C,C$6)=0,#N/A,SUMIFS('RC Template'!$AW:$AW,'RC Template'!$B:$B,$A102,'RC Template'!$C:$C,C$6))</f>
        <v>#N/A</v>
      </c>
      <c r="D102" s="115" t="e">
        <f>IF(SUMIFS('RC Template'!$AW:$AW,'RC Template'!$B:$B,$A102,'RC Template'!$C:$C,D$6)=0,#N/A,SUMIFS('RC Template'!$AW:$AW,'RC Template'!$B:$B,$A102,'RC Template'!$C:$C,D$6))</f>
        <v>#N/A</v>
      </c>
      <c r="E102" s="115" t="e">
        <f>IF(SUMIFS('RC Template'!$AW:$AW,'RC Template'!$B:$B,$A102,'RC Template'!$C:$C,E$6)=0,#N/A,SUMIFS('RC Template'!$AW:$AW,'RC Template'!$B:$B,$A102,'RC Template'!$C:$C,E$6))</f>
        <v>#N/A</v>
      </c>
      <c r="F102" s="115" t="e">
        <f>IF(SUMIFS('RC Template'!$AW:$AW,'RC Template'!$B:$B,$A102,'RC Template'!$C:$C,F$6)=0,#N/A,SUMIFS('RC Template'!$AW:$AW,'RC Template'!$B:$B,$A102,'RC Template'!$C:$C,F$6))</f>
        <v>#N/A</v>
      </c>
      <c r="G102" s="115" t="e">
        <f>IF(SUMIFS('RC Template'!$AW:$AW,'RC Template'!$B:$B,$A102,'RC Template'!$C:$C,G$6)=0,#N/A,SUMIFS('RC Template'!$AW:$AW,'RC Template'!$B:$B,$A102,'RC Template'!$C:$C,G$6))</f>
        <v>#N/A</v>
      </c>
      <c r="H102" s="115" t="e">
        <f>IF(SUMIFS('RC Template'!$AW:$AW,'RC Template'!$B:$B,$A102,'RC Template'!$C:$C,H$6)=0,#N/A,SUMIFS('RC Template'!$AW:$AW,'RC Template'!$B:$B,$A102,'RC Template'!$C:$C,H$6))</f>
        <v>#N/A</v>
      </c>
      <c r="I102" s="115" t="e">
        <f>IF(SUMIFS('RC Template'!$AW:$AW,'RC Template'!$B:$B,$A102,'RC Template'!$C:$C,I$6)=0,#N/A,SUMIFS('RC Template'!$AW:$AW,'RC Template'!$B:$B,$A102,'RC Template'!$C:$C,I$6))</f>
        <v>#N/A</v>
      </c>
      <c r="J102" s="115" t="e">
        <f>IF(SUMIFS('RC Template'!$AW:$AW,'RC Template'!$B:$B,$A102,'RC Template'!$C:$C,J$6)=0,#N/A,SUMIFS('RC Template'!$AW:$AW,'RC Template'!$B:$B,$A102,'RC Template'!$C:$C,J$6))</f>
        <v>#N/A</v>
      </c>
      <c r="K102" s="115" t="e">
        <f>IF(SUMIFS('RC Template'!$AW:$AW,'RC Template'!$B:$B,$A102,'RC Template'!$C:$C,K$6)=0,#N/A,SUMIFS('RC Template'!$AW:$AW,'RC Template'!$B:$B,$A102,'RC Template'!$C:$C,K$6))</f>
        <v>#N/A</v>
      </c>
      <c r="L102" s="115" t="e">
        <f>IF(SUMIFS('RC Template'!$AW:$AW,'RC Template'!$B:$B,$A102,'RC Template'!$C:$C,L$6)=0,#N/A,SUMIFS('RC Template'!$AW:$AW,'RC Template'!$B:$B,$A102,'RC Template'!$C:$C,L$6))</f>
        <v>#N/A</v>
      </c>
      <c r="M102" s="115" t="e">
        <f>IF(SUMIFS('RC Template'!$AW:$AW,'RC Template'!$B:$B,$A102,'RC Template'!$C:$C,M$6)=0,#N/A,SUMIFS('RC Template'!$AW:$AW,'RC Template'!$B:$B,$A102,'RC Template'!$C:$C,M$6))</f>
        <v>#N/A</v>
      </c>
      <c r="N102" s="115" t="e">
        <f>IF(SUMIFS('RC Template'!$AW:$AW,'RC Template'!$B:$B,$A102,'RC Template'!$C:$C,N$6)=0,#N/A,SUMIFS('RC Template'!$AW:$AW,'RC Template'!$B:$B,$A102,'RC Template'!$C:$C,N$6))</f>
        <v>#N/A</v>
      </c>
      <c r="O102" s="115" t="e">
        <f>IF(SUMIFS('RC Template'!$AW:$AW,'RC Template'!$B:$B,$A102,'RC Template'!$C:$C,O$6)=0,#N/A,SUMIFS('RC Template'!$AW:$AW,'RC Template'!$B:$B,$A102,'RC Template'!$C:$C,O$6))</f>
        <v>#N/A</v>
      </c>
      <c r="P102" s="115" t="e">
        <f>IF(SUMIFS('RC Template'!$AW:$AW,'RC Template'!$B:$B,$A102,'RC Template'!$C:$C,P$6)=0,#N/A,SUMIFS('RC Template'!$AW:$AW,'RC Template'!$B:$B,$A102,'RC Template'!$C:$C,P$6))</f>
        <v>#N/A</v>
      </c>
      <c r="Q102" s="115">
        <f ca="1">MAX(SUMIFS('RC Template'!$AW:$AW,'RC Template'!$B:$B,$A102,'RC Template'!$C:$C,Q$6),Q101*$E$3)</f>
        <v>256.34248655192755</v>
      </c>
      <c r="R102" s="115">
        <f ca="1">MAX(SUMIFS('RC Template'!$AW:$AW,'RC Template'!$B:$B,$A102,'RC Template'!$C:$C,R$6),R101*$E$3)</f>
        <v>34.848028547972767</v>
      </c>
      <c r="S102" s="115">
        <f ca="1">MAX(SUMIFS('RC Template'!$AW:$AW,'RC Template'!$B:$B,$A102,'RC Template'!$C:$C,S$6),S101*$E$3)</f>
        <v>44.28785878962173</v>
      </c>
      <c r="T102" s="115">
        <f ca="1">MAX(SUMIFS('RC Template'!$AW:$AW,'RC Template'!$B:$B,$A102,'RC Template'!$C:$C,T$6),T101*$E$3)</f>
        <v>4.3283207328154401</v>
      </c>
      <c r="U102" s="115">
        <f ca="1">MAX(SUMIFS('RC Template'!$AW:$AW,'RC Template'!$B:$B,$A102,'RC Template'!$C:$C,U$6),U101*$E$3)</f>
        <v>98.75856655447285</v>
      </c>
      <c r="V102" s="115">
        <f ca="1">MAX(SUMIFS('RC Template'!$AW:$AW,'RC Template'!$B:$B,$A102,'RC Template'!$C:$C,V$6),V101*$E$3)</f>
        <v>54.481403818042537</v>
      </c>
      <c r="W102" s="115">
        <f ca="1">MAX(SUMIFS('RC Template'!$AW:$AW,'RC Template'!$B:$B,$A102,'RC Template'!$C:$C,W$6),W101*$E$3)</f>
        <v>5.9354390428316144</v>
      </c>
      <c r="X102" s="115">
        <f ca="1">MAX(SUMIFS('RC Template'!$AW:$AW,'RC Template'!$B:$B,$A102,'RC Template'!$C:$C,X$6),X101*$E$3)</f>
        <v>101.75382175248645</v>
      </c>
      <c r="Y102" s="115">
        <f ca="1">MAX(SUMIFS('RC Template'!$AW:$AW,'RC Template'!$B:$B,$A102,'RC Template'!$C:$C,Y$6),Y101*$E$3)</f>
        <v>60.010783276233163</v>
      </c>
      <c r="Z102" s="115">
        <f ca="1">MAX(SUMIFS('RC Template'!$AW:$AW,'RC Template'!$B:$B,$A102,'RC Template'!$C:$C,Z$6),Z101*$E$3)</f>
        <v>67.741356605369944</v>
      </c>
      <c r="AA102" s="115">
        <f ca="1">MAX(SUMIFS('RC Template'!$AW:$AW,'RC Template'!$B:$B,$A102,'RC Template'!$C:$C,AA$6),AA101*$E$3)</f>
        <v>0</v>
      </c>
      <c r="AB102" s="115">
        <f ca="1">MAX(SUMIFS('RC Template'!$AW:$AW,'RC Template'!$B:$B,$A102,'RC Template'!$C:$C,AB$6),AB101*$E$3)</f>
        <v>0</v>
      </c>
      <c r="AC102" s="115">
        <f ca="1">MAX(SUMIFS('RC Template'!$AW:$AW,'RC Template'!$B:$B,$A102,'RC Template'!$C:$C,AC$6),AC101*$E$3)</f>
        <v>0</v>
      </c>
      <c r="AD102" s="115">
        <f ca="1">MAX(SUMIFS('RC Template'!$AW:$AW,'RC Template'!$B:$B,$A102,'RC Template'!$C:$C,AD$6),AD101*$E$3)</f>
        <v>0</v>
      </c>
    </row>
    <row r="103" spans="1:30" x14ac:dyDescent="0.3">
      <c r="A103" s="1">
        <v>43203</v>
      </c>
      <c r="B103" s="115">
        <f t="shared" ca="1" si="8"/>
        <v>710.27586402997963</v>
      </c>
      <c r="C103" s="115" t="e">
        <f>IF(SUMIFS('RC Template'!$AW:$AW,'RC Template'!$B:$B,$A103,'RC Template'!$C:$C,C$6)=0,#N/A,SUMIFS('RC Template'!$AW:$AW,'RC Template'!$B:$B,$A103,'RC Template'!$C:$C,C$6))</f>
        <v>#N/A</v>
      </c>
      <c r="D103" s="115" t="e">
        <f>IF(SUMIFS('RC Template'!$AW:$AW,'RC Template'!$B:$B,$A103,'RC Template'!$C:$C,D$6)=0,#N/A,SUMIFS('RC Template'!$AW:$AW,'RC Template'!$B:$B,$A103,'RC Template'!$C:$C,D$6))</f>
        <v>#N/A</v>
      </c>
      <c r="E103" s="115" t="e">
        <f>IF(SUMIFS('RC Template'!$AW:$AW,'RC Template'!$B:$B,$A103,'RC Template'!$C:$C,E$6)=0,#N/A,SUMIFS('RC Template'!$AW:$AW,'RC Template'!$B:$B,$A103,'RC Template'!$C:$C,E$6))</f>
        <v>#N/A</v>
      </c>
      <c r="F103" s="115" t="e">
        <f>IF(SUMIFS('RC Template'!$AW:$AW,'RC Template'!$B:$B,$A103,'RC Template'!$C:$C,F$6)=0,#N/A,SUMIFS('RC Template'!$AW:$AW,'RC Template'!$B:$B,$A103,'RC Template'!$C:$C,F$6))</f>
        <v>#N/A</v>
      </c>
      <c r="G103" s="115" t="e">
        <f>IF(SUMIFS('RC Template'!$AW:$AW,'RC Template'!$B:$B,$A103,'RC Template'!$C:$C,G$6)=0,#N/A,SUMIFS('RC Template'!$AW:$AW,'RC Template'!$B:$B,$A103,'RC Template'!$C:$C,G$6))</f>
        <v>#N/A</v>
      </c>
      <c r="H103" s="115" t="e">
        <f>IF(SUMIFS('RC Template'!$AW:$AW,'RC Template'!$B:$B,$A103,'RC Template'!$C:$C,H$6)=0,#N/A,SUMIFS('RC Template'!$AW:$AW,'RC Template'!$B:$B,$A103,'RC Template'!$C:$C,H$6))</f>
        <v>#N/A</v>
      </c>
      <c r="I103" s="115" t="e">
        <f>IF(SUMIFS('RC Template'!$AW:$AW,'RC Template'!$B:$B,$A103,'RC Template'!$C:$C,I$6)=0,#N/A,SUMIFS('RC Template'!$AW:$AW,'RC Template'!$B:$B,$A103,'RC Template'!$C:$C,I$6))</f>
        <v>#N/A</v>
      </c>
      <c r="J103" s="115" t="e">
        <f>IF(SUMIFS('RC Template'!$AW:$AW,'RC Template'!$B:$B,$A103,'RC Template'!$C:$C,J$6)=0,#N/A,SUMIFS('RC Template'!$AW:$AW,'RC Template'!$B:$B,$A103,'RC Template'!$C:$C,J$6))</f>
        <v>#N/A</v>
      </c>
      <c r="K103" s="115" t="e">
        <f>IF(SUMIFS('RC Template'!$AW:$AW,'RC Template'!$B:$B,$A103,'RC Template'!$C:$C,K$6)=0,#N/A,SUMIFS('RC Template'!$AW:$AW,'RC Template'!$B:$B,$A103,'RC Template'!$C:$C,K$6))</f>
        <v>#N/A</v>
      </c>
      <c r="L103" s="115" t="e">
        <f>IF(SUMIFS('RC Template'!$AW:$AW,'RC Template'!$B:$B,$A103,'RC Template'!$C:$C,L$6)=0,#N/A,SUMIFS('RC Template'!$AW:$AW,'RC Template'!$B:$B,$A103,'RC Template'!$C:$C,L$6))</f>
        <v>#N/A</v>
      </c>
      <c r="M103" s="115" t="e">
        <f>IF(SUMIFS('RC Template'!$AW:$AW,'RC Template'!$B:$B,$A103,'RC Template'!$C:$C,M$6)=0,#N/A,SUMIFS('RC Template'!$AW:$AW,'RC Template'!$B:$B,$A103,'RC Template'!$C:$C,M$6))</f>
        <v>#N/A</v>
      </c>
      <c r="N103" s="115" t="e">
        <f>IF(SUMIFS('RC Template'!$AW:$AW,'RC Template'!$B:$B,$A103,'RC Template'!$C:$C,N$6)=0,#N/A,SUMIFS('RC Template'!$AW:$AW,'RC Template'!$B:$B,$A103,'RC Template'!$C:$C,N$6))</f>
        <v>#N/A</v>
      </c>
      <c r="O103" s="115" t="e">
        <f>IF(SUMIFS('RC Template'!$AW:$AW,'RC Template'!$B:$B,$A103,'RC Template'!$C:$C,O$6)=0,#N/A,SUMIFS('RC Template'!$AW:$AW,'RC Template'!$B:$B,$A103,'RC Template'!$C:$C,O$6))</f>
        <v>#N/A</v>
      </c>
      <c r="P103" s="115" t="e">
        <f>IF(SUMIFS('RC Template'!$AW:$AW,'RC Template'!$B:$B,$A103,'RC Template'!$C:$C,P$6)=0,#N/A,SUMIFS('RC Template'!$AW:$AW,'RC Template'!$B:$B,$A103,'RC Template'!$C:$C,P$6))</f>
        <v>#N/A</v>
      </c>
      <c r="Q103" s="115">
        <f ca="1">MAX(SUMIFS('RC Template'!$AW:$AW,'RC Template'!$B:$B,$A103,'RC Template'!$C:$C,Q$6),Q102*$E$3)</f>
        <v>249.93392438812936</v>
      </c>
      <c r="R103" s="115">
        <f ca="1">MAX(SUMIFS('RC Template'!$AW:$AW,'RC Template'!$B:$B,$A103,'RC Template'!$C:$C,R$6),R102*$E$3)</f>
        <v>33.97682783427345</v>
      </c>
      <c r="S103" s="115">
        <f ca="1">MAX(SUMIFS('RC Template'!$AW:$AW,'RC Template'!$B:$B,$A103,'RC Template'!$C:$C,S$6),S102*$E$3)</f>
        <v>43.180662319881186</v>
      </c>
      <c r="T103" s="115">
        <f ca="1">MAX(SUMIFS('RC Template'!$AW:$AW,'RC Template'!$B:$B,$A103,'RC Template'!$C:$C,T$6),T102*$E$3)</f>
        <v>4.2201127144950537</v>
      </c>
      <c r="U103" s="115">
        <f ca="1">MAX(SUMIFS('RC Template'!$AW:$AW,'RC Template'!$B:$B,$A103,'RC Template'!$C:$C,U$6),U102*$E$3)</f>
        <v>96.289602390611023</v>
      </c>
      <c r="V103" s="115">
        <f ca="1">MAX(SUMIFS('RC Template'!$AW:$AW,'RC Template'!$B:$B,$A103,'RC Template'!$C:$C,V$6),V102*$E$3)</f>
        <v>53.119368722591474</v>
      </c>
      <c r="W103" s="115">
        <f ca="1">MAX(SUMIFS('RC Template'!$AW:$AW,'RC Template'!$B:$B,$A103,'RC Template'!$C:$C,W$6),W102*$E$3)</f>
        <v>5.7870530667608238</v>
      </c>
      <c r="X103" s="115">
        <f ca="1">MAX(SUMIFS('RC Template'!$AW:$AW,'RC Template'!$B:$B,$A103,'RC Template'!$C:$C,X$6),X102*$E$3)</f>
        <v>99.209976208674277</v>
      </c>
      <c r="Y103" s="115">
        <f ca="1">MAX(SUMIFS('RC Template'!$AW:$AW,'RC Template'!$B:$B,$A103,'RC Template'!$C:$C,Y$6),Y102*$E$3)</f>
        <v>58.510513694327329</v>
      </c>
      <c r="Z103" s="115">
        <f ca="1">MAX(SUMIFS('RC Template'!$AW:$AW,'RC Template'!$B:$B,$A103,'RC Template'!$C:$C,Z$6),Z102*$E$3)</f>
        <v>66.047822690235691</v>
      </c>
      <c r="AA103" s="115">
        <f ca="1">MAX(SUMIFS('RC Template'!$AW:$AW,'RC Template'!$B:$B,$A103,'RC Template'!$C:$C,AA$6),AA102*$E$3)</f>
        <v>0</v>
      </c>
      <c r="AB103" s="115">
        <f ca="1">MAX(SUMIFS('RC Template'!$AW:$AW,'RC Template'!$B:$B,$A103,'RC Template'!$C:$C,AB$6),AB102*$E$3)</f>
        <v>0</v>
      </c>
      <c r="AC103" s="115">
        <f ca="1">MAX(SUMIFS('RC Template'!$AW:$AW,'RC Template'!$B:$B,$A103,'RC Template'!$C:$C,AC$6),AC102*$E$3)</f>
        <v>0</v>
      </c>
      <c r="AD103" s="115">
        <f ca="1">MAX(SUMIFS('RC Template'!$AW:$AW,'RC Template'!$B:$B,$A103,'RC Template'!$C:$C,AD$6),AD102*$E$3)</f>
        <v>0</v>
      </c>
    </row>
    <row r="104" spans="1:30" x14ac:dyDescent="0.3">
      <c r="A104" s="1">
        <v>43204</v>
      </c>
      <c r="B104" s="115">
        <f t="shared" ca="1" si="8"/>
        <v>692.51896742923009</v>
      </c>
      <c r="C104" s="115" t="e">
        <f>IF(SUMIFS('RC Template'!$AW:$AW,'RC Template'!$B:$B,$A104,'RC Template'!$C:$C,C$6)=0,#N/A,SUMIFS('RC Template'!$AW:$AW,'RC Template'!$B:$B,$A104,'RC Template'!$C:$C,C$6))</f>
        <v>#N/A</v>
      </c>
      <c r="D104" s="115" t="e">
        <f>IF(SUMIFS('RC Template'!$AW:$AW,'RC Template'!$B:$B,$A104,'RC Template'!$C:$C,D$6)=0,#N/A,SUMIFS('RC Template'!$AW:$AW,'RC Template'!$B:$B,$A104,'RC Template'!$C:$C,D$6))</f>
        <v>#N/A</v>
      </c>
      <c r="E104" s="115" t="e">
        <f>IF(SUMIFS('RC Template'!$AW:$AW,'RC Template'!$B:$B,$A104,'RC Template'!$C:$C,E$6)=0,#N/A,SUMIFS('RC Template'!$AW:$AW,'RC Template'!$B:$B,$A104,'RC Template'!$C:$C,E$6))</f>
        <v>#N/A</v>
      </c>
      <c r="F104" s="115" t="e">
        <f>IF(SUMIFS('RC Template'!$AW:$AW,'RC Template'!$B:$B,$A104,'RC Template'!$C:$C,F$6)=0,#N/A,SUMIFS('RC Template'!$AW:$AW,'RC Template'!$B:$B,$A104,'RC Template'!$C:$C,F$6))</f>
        <v>#N/A</v>
      </c>
      <c r="G104" s="115" t="e">
        <f>IF(SUMIFS('RC Template'!$AW:$AW,'RC Template'!$B:$B,$A104,'RC Template'!$C:$C,G$6)=0,#N/A,SUMIFS('RC Template'!$AW:$AW,'RC Template'!$B:$B,$A104,'RC Template'!$C:$C,G$6))</f>
        <v>#N/A</v>
      </c>
      <c r="H104" s="115" t="e">
        <f>IF(SUMIFS('RC Template'!$AW:$AW,'RC Template'!$B:$B,$A104,'RC Template'!$C:$C,H$6)=0,#N/A,SUMIFS('RC Template'!$AW:$AW,'RC Template'!$B:$B,$A104,'RC Template'!$C:$C,H$6))</f>
        <v>#N/A</v>
      </c>
      <c r="I104" s="115" t="e">
        <f>IF(SUMIFS('RC Template'!$AW:$AW,'RC Template'!$B:$B,$A104,'RC Template'!$C:$C,I$6)=0,#N/A,SUMIFS('RC Template'!$AW:$AW,'RC Template'!$B:$B,$A104,'RC Template'!$C:$C,I$6))</f>
        <v>#N/A</v>
      </c>
      <c r="J104" s="115" t="e">
        <f>IF(SUMIFS('RC Template'!$AW:$AW,'RC Template'!$B:$B,$A104,'RC Template'!$C:$C,J$6)=0,#N/A,SUMIFS('RC Template'!$AW:$AW,'RC Template'!$B:$B,$A104,'RC Template'!$C:$C,J$6))</f>
        <v>#N/A</v>
      </c>
      <c r="K104" s="115" t="e">
        <f>IF(SUMIFS('RC Template'!$AW:$AW,'RC Template'!$B:$B,$A104,'RC Template'!$C:$C,K$6)=0,#N/A,SUMIFS('RC Template'!$AW:$AW,'RC Template'!$B:$B,$A104,'RC Template'!$C:$C,K$6))</f>
        <v>#N/A</v>
      </c>
      <c r="L104" s="115" t="e">
        <f>IF(SUMIFS('RC Template'!$AW:$AW,'RC Template'!$B:$B,$A104,'RC Template'!$C:$C,L$6)=0,#N/A,SUMIFS('RC Template'!$AW:$AW,'RC Template'!$B:$B,$A104,'RC Template'!$C:$C,L$6))</f>
        <v>#N/A</v>
      </c>
      <c r="M104" s="115" t="e">
        <f>IF(SUMIFS('RC Template'!$AW:$AW,'RC Template'!$B:$B,$A104,'RC Template'!$C:$C,M$6)=0,#N/A,SUMIFS('RC Template'!$AW:$AW,'RC Template'!$B:$B,$A104,'RC Template'!$C:$C,M$6))</f>
        <v>#N/A</v>
      </c>
      <c r="N104" s="115" t="e">
        <f>IF(SUMIFS('RC Template'!$AW:$AW,'RC Template'!$B:$B,$A104,'RC Template'!$C:$C,N$6)=0,#N/A,SUMIFS('RC Template'!$AW:$AW,'RC Template'!$B:$B,$A104,'RC Template'!$C:$C,N$6))</f>
        <v>#N/A</v>
      </c>
      <c r="O104" s="115" t="e">
        <f>IF(SUMIFS('RC Template'!$AW:$AW,'RC Template'!$B:$B,$A104,'RC Template'!$C:$C,O$6)=0,#N/A,SUMIFS('RC Template'!$AW:$AW,'RC Template'!$B:$B,$A104,'RC Template'!$C:$C,O$6))</f>
        <v>#N/A</v>
      </c>
      <c r="P104" s="115" t="e">
        <f>IF(SUMIFS('RC Template'!$AW:$AW,'RC Template'!$B:$B,$A104,'RC Template'!$C:$C,P$6)=0,#N/A,SUMIFS('RC Template'!$AW:$AW,'RC Template'!$B:$B,$A104,'RC Template'!$C:$C,P$6))</f>
        <v>#N/A</v>
      </c>
      <c r="Q104" s="115">
        <f ca="1">MAX(SUMIFS('RC Template'!$AW:$AW,'RC Template'!$B:$B,$A104,'RC Template'!$C:$C,Q$6),Q103*$E$3)</f>
        <v>243.68557627842611</v>
      </c>
      <c r="R104" s="115">
        <f ca="1">MAX(SUMIFS('RC Template'!$AW:$AW,'RC Template'!$B:$B,$A104,'RC Template'!$C:$C,R$6),R103*$E$3)</f>
        <v>33.127407138416615</v>
      </c>
      <c r="S104" s="115">
        <f ca="1">MAX(SUMIFS('RC Template'!$AW:$AW,'RC Template'!$B:$B,$A104,'RC Template'!$C:$C,S$6),S103*$E$3)</f>
        <v>42.101145761884155</v>
      </c>
      <c r="T104" s="115">
        <f ca="1">MAX(SUMIFS('RC Template'!$AW:$AW,'RC Template'!$B:$B,$A104,'RC Template'!$C:$C,T$6),T103*$E$3)</f>
        <v>4.1146098966326772</v>
      </c>
      <c r="U104" s="115">
        <f ca="1">MAX(SUMIFS('RC Template'!$AW:$AW,'RC Template'!$B:$B,$A104,'RC Template'!$C:$C,U$6),U103*$E$3)</f>
        <v>93.882362330845751</v>
      </c>
      <c r="V104" s="115">
        <f ca="1">MAX(SUMIFS('RC Template'!$AW:$AW,'RC Template'!$B:$B,$A104,'RC Template'!$C:$C,V$6),V103*$E$3)</f>
        <v>51.79138450452669</v>
      </c>
      <c r="W104" s="115">
        <f ca="1">MAX(SUMIFS('RC Template'!$AW:$AW,'RC Template'!$B:$B,$A104,'RC Template'!$C:$C,W$6),W103*$E$3)</f>
        <v>5.6423767400918035</v>
      </c>
      <c r="X104" s="115">
        <f ca="1">MAX(SUMIFS('RC Template'!$AW:$AW,'RC Template'!$B:$B,$A104,'RC Template'!$C:$C,X$6),X103*$E$3)</f>
        <v>96.729726803457424</v>
      </c>
      <c r="Y104" s="115">
        <f ca="1">MAX(SUMIFS('RC Template'!$AW:$AW,'RC Template'!$B:$B,$A104,'RC Template'!$C:$C,Y$6),Y103*$E$3)</f>
        <v>57.047750851969148</v>
      </c>
      <c r="Z104" s="115">
        <f ca="1">MAX(SUMIFS('RC Template'!$AW:$AW,'RC Template'!$B:$B,$A104,'RC Template'!$C:$C,Z$6),Z103*$E$3)</f>
        <v>64.396627122979794</v>
      </c>
      <c r="AA104" s="115">
        <f ca="1">MAX(SUMIFS('RC Template'!$AW:$AW,'RC Template'!$B:$B,$A104,'RC Template'!$C:$C,AA$6),AA103*$E$3)</f>
        <v>0</v>
      </c>
      <c r="AB104" s="115">
        <f ca="1">MAX(SUMIFS('RC Template'!$AW:$AW,'RC Template'!$B:$B,$A104,'RC Template'!$C:$C,AB$6),AB103*$E$3)</f>
        <v>0</v>
      </c>
      <c r="AC104" s="115">
        <f ca="1">MAX(SUMIFS('RC Template'!$AW:$AW,'RC Template'!$B:$B,$A104,'RC Template'!$C:$C,AC$6),AC103*$E$3)</f>
        <v>0</v>
      </c>
      <c r="AD104" s="115">
        <f ca="1">MAX(SUMIFS('RC Template'!$AW:$AW,'RC Template'!$B:$B,$A104,'RC Template'!$C:$C,AD$6),AD103*$E$3)</f>
        <v>0</v>
      </c>
    </row>
    <row r="105" spans="1:30" x14ac:dyDescent="0.3">
      <c r="A105" s="1">
        <v>43205</v>
      </c>
      <c r="B105" s="115">
        <f t="shared" ca="1" si="8"/>
        <v>675.20599324349951</v>
      </c>
      <c r="C105" s="115" t="e">
        <f>IF(SUMIFS('RC Template'!$AW:$AW,'RC Template'!$B:$B,$A105,'RC Template'!$C:$C,C$6)=0,#N/A,SUMIFS('RC Template'!$AW:$AW,'RC Template'!$B:$B,$A105,'RC Template'!$C:$C,C$6))</f>
        <v>#N/A</v>
      </c>
      <c r="D105" s="115" t="e">
        <f>IF(SUMIFS('RC Template'!$AW:$AW,'RC Template'!$B:$B,$A105,'RC Template'!$C:$C,D$6)=0,#N/A,SUMIFS('RC Template'!$AW:$AW,'RC Template'!$B:$B,$A105,'RC Template'!$C:$C,D$6))</f>
        <v>#N/A</v>
      </c>
      <c r="E105" s="115" t="e">
        <f>IF(SUMIFS('RC Template'!$AW:$AW,'RC Template'!$B:$B,$A105,'RC Template'!$C:$C,E$6)=0,#N/A,SUMIFS('RC Template'!$AW:$AW,'RC Template'!$B:$B,$A105,'RC Template'!$C:$C,E$6))</f>
        <v>#N/A</v>
      </c>
      <c r="F105" s="115" t="e">
        <f>IF(SUMIFS('RC Template'!$AW:$AW,'RC Template'!$B:$B,$A105,'RC Template'!$C:$C,F$6)=0,#N/A,SUMIFS('RC Template'!$AW:$AW,'RC Template'!$B:$B,$A105,'RC Template'!$C:$C,F$6))</f>
        <v>#N/A</v>
      </c>
      <c r="G105" s="115" t="e">
        <f>IF(SUMIFS('RC Template'!$AW:$AW,'RC Template'!$B:$B,$A105,'RC Template'!$C:$C,G$6)=0,#N/A,SUMIFS('RC Template'!$AW:$AW,'RC Template'!$B:$B,$A105,'RC Template'!$C:$C,G$6))</f>
        <v>#N/A</v>
      </c>
      <c r="H105" s="115" t="e">
        <f>IF(SUMIFS('RC Template'!$AW:$AW,'RC Template'!$B:$B,$A105,'RC Template'!$C:$C,H$6)=0,#N/A,SUMIFS('RC Template'!$AW:$AW,'RC Template'!$B:$B,$A105,'RC Template'!$C:$C,H$6))</f>
        <v>#N/A</v>
      </c>
      <c r="I105" s="115" t="e">
        <f>IF(SUMIFS('RC Template'!$AW:$AW,'RC Template'!$B:$B,$A105,'RC Template'!$C:$C,I$6)=0,#N/A,SUMIFS('RC Template'!$AW:$AW,'RC Template'!$B:$B,$A105,'RC Template'!$C:$C,I$6))</f>
        <v>#N/A</v>
      </c>
      <c r="J105" s="115" t="e">
        <f>IF(SUMIFS('RC Template'!$AW:$AW,'RC Template'!$B:$B,$A105,'RC Template'!$C:$C,J$6)=0,#N/A,SUMIFS('RC Template'!$AW:$AW,'RC Template'!$B:$B,$A105,'RC Template'!$C:$C,J$6))</f>
        <v>#N/A</v>
      </c>
      <c r="K105" s="115" t="e">
        <f>IF(SUMIFS('RC Template'!$AW:$AW,'RC Template'!$B:$B,$A105,'RC Template'!$C:$C,K$6)=0,#N/A,SUMIFS('RC Template'!$AW:$AW,'RC Template'!$B:$B,$A105,'RC Template'!$C:$C,K$6))</f>
        <v>#N/A</v>
      </c>
      <c r="L105" s="115" t="e">
        <f>IF(SUMIFS('RC Template'!$AW:$AW,'RC Template'!$B:$B,$A105,'RC Template'!$C:$C,L$6)=0,#N/A,SUMIFS('RC Template'!$AW:$AW,'RC Template'!$B:$B,$A105,'RC Template'!$C:$C,L$6))</f>
        <v>#N/A</v>
      </c>
      <c r="M105" s="115" t="e">
        <f>IF(SUMIFS('RC Template'!$AW:$AW,'RC Template'!$B:$B,$A105,'RC Template'!$C:$C,M$6)=0,#N/A,SUMIFS('RC Template'!$AW:$AW,'RC Template'!$B:$B,$A105,'RC Template'!$C:$C,M$6))</f>
        <v>#N/A</v>
      </c>
      <c r="N105" s="115" t="e">
        <f>IF(SUMIFS('RC Template'!$AW:$AW,'RC Template'!$B:$B,$A105,'RC Template'!$C:$C,N$6)=0,#N/A,SUMIFS('RC Template'!$AW:$AW,'RC Template'!$B:$B,$A105,'RC Template'!$C:$C,N$6))</f>
        <v>#N/A</v>
      </c>
      <c r="O105" s="115" t="e">
        <f>IF(SUMIFS('RC Template'!$AW:$AW,'RC Template'!$B:$B,$A105,'RC Template'!$C:$C,O$6)=0,#N/A,SUMIFS('RC Template'!$AW:$AW,'RC Template'!$B:$B,$A105,'RC Template'!$C:$C,O$6))</f>
        <v>#N/A</v>
      </c>
      <c r="P105" s="115" t="e">
        <f>IF(SUMIFS('RC Template'!$AW:$AW,'RC Template'!$B:$B,$A105,'RC Template'!$C:$C,P$6)=0,#N/A,SUMIFS('RC Template'!$AW:$AW,'RC Template'!$B:$B,$A105,'RC Template'!$C:$C,P$6))</f>
        <v>#N/A</v>
      </c>
      <c r="Q105" s="115">
        <f ca="1">MAX(SUMIFS('RC Template'!$AW:$AW,'RC Template'!$B:$B,$A105,'RC Template'!$C:$C,Q$6),Q104*$E$3)</f>
        <v>237.59343687146546</v>
      </c>
      <c r="R105" s="115">
        <f ca="1">MAX(SUMIFS('RC Template'!$AW:$AW,'RC Template'!$B:$B,$A105,'RC Template'!$C:$C,R$6),R104*$E$3)</f>
        <v>32.299221959956199</v>
      </c>
      <c r="S105" s="115">
        <f ca="1">MAX(SUMIFS('RC Template'!$AW:$AW,'RC Template'!$B:$B,$A105,'RC Template'!$C:$C,S$6),S104*$E$3)</f>
        <v>41.048617117837047</v>
      </c>
      <c r="T105" s="115">
        <f ca="1">MAX(SUMIFS('RC Template'!$AW:$AW,'RC Template'!$B:$B,$A105,'RC Template'!$C:$C,T$6),T104*$E$3)</f>
        <v>4.01174464921686</v>
      </c>
      <c r="U105" s="115">
        <f ca="1">MAX(SUMIFS('RC Template'!$AW:$AW,'RC Template'!$B:$B,$A105,'RC Template'!$C:$C,U$6),U104*$E$3)</f>
        <v>91.535303272574609</v>
      </c>
      <c r="V105" s="115">
        <f ca="1">MAX(SUMIFS('RC Template'!$AW:$AW,'RC Template'!$B:$B,$A105,'RC Template'!$C:$C,V$6),V104*$E$3)</f>
        <v>50.496599891913519</v>
      </c>
      <c r="W105" s="115">
        <f ca="1">MAX(SUMIFS('RC Template'!$AW:$AW,'RC Template'!$B:$B,$A105,'RC Template'!$C:$C,W$6),W104*$E$3)</f>
        <v>5.5013173215895081</v>
      </c>
      <c r="X105" s="115">
        <f ca="1">MAX(SUMIFS('RC Template'!$AW:$AW,'RC Template'!$B:$B,$A105,'RC Template'!$C:$C,X$6),X104*$E$3)</f>
        <v>94.311483633370983</v>
      </c>
      <c r="Y105" s="115">
        <f ca="1">MAX(SUMIFS('RC Template'!$AW:$AW,'RC Template'!$B:$B,$A105,'RC Template'!$C:$C,Y$6),Y104*$E$3)</f>
        <v>55.621557080669916</v>
      </c>
      <c r="Z105" s="115">
        <f ca="1">MAX(SUMIFS('RC Template'!$AW:$AW,'RC Template'!$B:$B,$A105,'RC Template'!$C:$C,Z$6),Z104*$E$3)</f>
        <v>62.786711444905301</v>
      </c>
      <c r="AA105" s="115">
        <f ca="1">MAX(SUMIFS('RC Template'!$AW:$AW,'RC Template'!$B:$B,$A105,'RC Template'!$C:$C,AA$6),AA104*$E$3)</f>
        <v>0</v>
      </c>
      <c r="AB105" s="115">
        <f ca="1">MAX(SUMIFS('RC Template'!$AW:$AW,'RC Template'!$B:$B,$A105,'RC Template'!$C:$C,AB$6),AB104*$E$3)</f>
        <v>0</v>
      </c>
      <c r="AC105" s="115">
        <f ca="1">MAX(SUMIFS('RC Template'!$AW:$AW,'RC Template'!$B:$B,$A105,'RC Template'!$C:$C,AC$6),AC104*$E$3)</f>
        <v>0</v>
      </c>
      <c r="AD105" s="115">
        <f ca="1">MAX(SUMIFS('RC Template'!$AW:$AW,'RC Template'!$B:$B,$A105,'RC Template'!$C:$C,AD$6),AD104*$E$3)</f>
        <v>0</v>
      </c>
    </row>
    <row r="106" spans="1:30" x14ac:dyDescent="0.3">
      <c r="A106" s="1">
        <v>43206</v>
      </c>
      <c r="B106" s="115">
        <f t="shared" ref="B106:B113" ca="1" si="9">SUM(Q106:AD106)</f>
        <v>658.32584341241193</v>
      </c>
      <c r="C106" s="115" t="e">
        <f>IF(SUMIFS('RC Template'!$AW:$AW,'RC Template'!$B:$B,$A106,'RC Template'!$C:$C,C$6)=0,#N/A,SUMIFS('RC Template'!$AW:$AW,'RC Template'!$B:$B,$A106,'RC Template'!$C:$C,C$6))</f>
        <v>#N/A</v>
      </c>
      <c r="D106" s="115" t="e">
        <f>IF(SUMIFS('RC Template'!$AW:$AW,'RC Template'!$B:$B,$A106,'RC Template'!$C:$C,D$6)=0,#N/A,SUMIFS('RC Template'!$AW:$AW,'RC Template'!$B:$B,$A106,'RC Template'!$C:$C,D$6))</f>
        <v>#N/A</v>
      </c>
      <c r="E106" s="115" t="e">
        <f>IF(SUMIFS('RC Template'!$AW:$AW,'RC Template'!$B:$B,$A106,'RC Template'!$C:$C,E$6)=0,#N/A,SUMIFS('RC Template'!$AW:$AW,'RC Template'!$B:$B,$A106,'RC Template'!$C:$C,E$6))</f>
        <v>#N/A</v>
      </c>
      <c r="F106" s="115" t="e">
        <f>IF(SUMIFS('RC Template'!$AW:$AW,'RC Template'!$B:$B,$A106,'RC Template'!$C:$C,F$6)=0,#N/A,SUMIFS('RC Template'!$AW:$AW,'RC Template'!$B:$B,$A106,'RC Template'!$C:$C,F$6))</f>
        <v>#N/A</v>
      </c>
      <c r="G106" s="115" t="e">
        <f>IF(SUMIFS('RC Template'!$AW:$AW,'RC Template'!$B:$B,$A106,'RC Template'!$C:$C,G$6)=0,#N/A,SUMIFS('RC Template'!$AW:$AW,'RC Template'!$B:$B,$A106,'RC Template'!$C:$C,G$6))</f>
        <v>#N/A</v>
      </c>
      <c r="H106" s="115" t="e">
        <f>IF(SUMIFS('RC Template'!$AW:$AW,'RC Template'!$B:$B,$A106,'RC Template'!$C:$C,H$6)=0,#N/A,SUMIFS('RC Template'!$AW:$AW,'RC Template'!$B:$B,$A106,'RC Template'!$C:$C,H$6))</f>
        <v>#N/A</v>
      </c>
      <c r="I106" s="115" t="e">
        <f>IF(SUMIFS('RC Template'!$AW:$AW,'RC Template'!$B:$B,$A106,'RC Template'!$C:$C,I$6)=0,#N/A,SUMIFS('RC Template'!$AW:$AW,'RC Template'!$B:$B,$A106,'RC Template'!$C:$C,I$6))</f>
        <v>#N/A</v>
      </c>
      <c r="J106" s="115" t="e">
        <f>IF(SUMIFS('RC Template'!$AW:$AW,'RC Template'!$B:$B,$A106,'RC Template'!$C:$C,J$6)=0,#N/A,SUMIFS('RC Template'!$AW:$AW,'RC Template'!$B:$B,$A106,'RC Template'!$C:$C,J$6))</f>
        <v>#N/A</v>
      </c>
      <c r="K106" s="115" t="e">
        <f>IF(SUMIFS('RC Template'!$AW:$AW,'RC Template'!$B:$B,$A106,'RC Template'!$C:$C,K$6)=0,#N/A,SUMIFS('RC Template'!$AW:$AW,'RC Template'!$B:$B,$A106,'RC Template'!$C:$C,K$6))</f>
        <v>#N/A</v>
      </c>
      <c r="L106" s="115" t="e">
        <f>IF(SUMIFS('RC Template'!$AW:$AW,'RC Template'!$B:$B,$A106,'RC Template'!$C:$C,L$6)=0,#N/A,SUMIFS('RC Template'!$AW:$AW,'RC Template'!$B:$B,$A106,'RC Template'!$C:$C,L$6))</f>
        <v>#N/A</v>
      </c>
      <c r="M106" s="115" t="e">
        <f>IF(SUMIFS('RC Template'!$AW:$AW,'RC Template'!$B:$B,$A106,'RC Template'!$C:$C,M$6)=0,#N/A,SUMIFS('RC Template'!$AW:$AW,'RC Template'!$B:$B,$A106,'RC Template'!$C:$C,M$6))</f>
        <v>#N/A</v>
      </c>
      <c r="N106" s="115" t="e">
        <f>IF(SUMIFS('RC Template'!$AW:$AW,'RC Template'!$B:$B,$A106,'RC Template'!$C:$C,N$6)=0,#N/A,SUMIFS('RC Template'!$AW:$AW,'RC Template'!$B:$B,$A106,'RC Template'!$C:$C,N$6))</f>
        <v>#N/A</v>
      </c>
      <c r="O106" s="115" t="e">
        <f>IF(SUMIFS('RC Template'!$AW:$AW,'RC Template'!$B:$B,$A106,'RC Template'!$C:$C,O$6)=0,#N/A,SUMIFS('RC Template'!$AW:$AW,'RC Template'!$B:$B,$A106,'RC Template'!$C:$C,O$6))</f>
        <v>#N/A</v>
      </c>
      <c r="P106" s="115" t="e">
        <f>IF(SUMIFS('RC Template'!$AW:$AW,'RC Template'!$B:$B,$A106,'RC Template'!$C:$C,P$6)=0,#N/A,SUMIFS('RC Template'!$AW:$AW,'RC Template'!$B:$B,$A106,'RC Template'!$C:$C,P$6))</f>
        <v>#N/A</v>
      </c>
      <c r="Q106" s="115">
        <f ca="1">MAX(SUMIFS('RC Template'!$AW:$AW,'RC Template'!$B:$B,$A106,'RC Template'!$C:$C,Q$6),Q105*$E$3)</f>
        <v>231.6536009496788</v>
      </c>
      <c r="R106" s="115">
        <f ca="1">MAX(SUMIFS('RC Template'!$AW:$AW,'RC Template'!$B:$B,$A106,'RC Template'!$C:$C,R$6),R105*$E$3)</f>
        <v>31.491741410957292</v>
      </c>
      <c r="S106" s="115">
        <f ca="1">MAX(SUMIFS('RC Template'!$AW:$AW,'RC Template'!$B:$B,$A106,'RC Template'!$C:$C,S$6),S105*$E$3)</f>
        <v>40.022401689891119</v>
      </c>
      <c r="T106" s="115">
        <f ca="1">MAX(SUMIFS('RC Template'!$AW:$AW,'RC Template'!$B:$B,$A106,'RC Template'!$C:$C,T$6),T105*$E$3)</f>
        <v>3.9114510329864385</v>
      </c>
      <c r="U106" s="115">
        <f ca="1">MAX(SUMIFS('RC Template'!$AW:$AW,'RC Template'!$B:$B,$A106,'RC Template'!$C:$C,U$6),U105*$E$3)</f>
        <v>89.246920690760248</v>
      </c>
      <c r="V106" s="115">
        <f ca="1">MAX(SUMIFS('RC Template'!$AW:$AW,'RC Template'!$B:$B,$A106,'RC Template'!$C:$C,V$6),V105*$E$3)</f>
        <v>49.23418489461568</v>
      </c>
      <c r="W106" s="115">
        <f ca="1">MAX(SUMIFS('RC Template'!$AW:$AW,'RC Template'!$B:$B,$A106,'RC Template'!$C:$C,W$6),W105*$E$3)</f>
        <v>5.36378438854977</v>
      </c>
      <c r="X106" s="115">
        <f ca="1">MAX(SUMIFS('RC Template'!$AW:$AW,'RC Template'!$B:$B,$A106,'RC Template'!$C:$C,X$6),X105*$E$3)</f>
        <v>91.953696542536704</v>
      </c>
      <c r="Y106" s="115">
        <f ca="1">MAX(SUMIFS('RC Template'!$AW:$AW,'RC Template'!$B:$B,$A106,'RC Template'!$C:$C,Y$6),Y105*$E$3)</f>
        <v>54.231018153653167</v>
      </c>
      <c r="Z106" s="115">
        <f ca="1">MAX(SUMIFS('RC Template'!$AW:$AW,'RC Template'!$B:$B,$A106,'RC Template'!$C:$C,Z$6),Z105*$E$3)</f>
        <v>61.217043658782664</v>
      </c>
      <c r="AA106" s="115">
        <f ca="1">MAX(SUMIFS('RC Template'!$AW:$AW,'RC Template'!$B:$B,$A106,'RC Template'!$C:$C,AA$6),AA105*$E$3)</f>
        <v>0</v>
      </c>
      <c r="AB106" s="115">
        <f ca="1">MAX(SUMIFS('RC Template'!$AW:$AW,'RC Template'!$B:$B,$A106,'RC Template'!$C:$C,AB$6),AB105*$E$3)</f>
        <v>0</v>
      </c>
      <c r="AC106" s="115">
        <f ca="1">MAX(SUMIFS('RC Template'!$AW:$AW,'RC Template'!$B:$B,$A106,'RC Template'!$C:$C,AC$6),AC105*$E$3)</f>
        <v>0</v>
      </c>
      <c r="AD106" s="115">
        <f ca="1">MAX(SUMIFS('RC Template'!$AW:$AW,'RC Template'!$B:$B,$A106,'RC Template'!$C:$C,AD$6),AD105*$E$3)</f>
        <v>0</v>
      </c>
    </row>
    <row r="107" spans="1:30" x14ac:dyDescent="0.3">
      <c r="A107" s="1">
        <v>43207</v>
      </c>
      <c r="B107" s="115">
        <f t="shared" ca="1" si="9"/>
        <v>641.8676973271015</v>
      </c>
      <c r="C107" s="115" t="e">
        <f>IF(SUMIFS('RC Template'!$AW:$AW,'RC Template'!$B:$B,$A107,'RC Template'!$C:$C,C$6)=0,#N/A,SUMIFS('RC Template'!$AW:$AW,'RC Template'!$B:$B,$A107,'RC Template'!$C:$C,C$6))</f>
        <v>#N/A</v>
      </c>
      <c r="D107" s="115" t="e">
        <f>IF(SUMIFS('RC Template'!$AW:$AW,'RC Template'!$B:$B,$A107,'RC Template'!$C:$C,D$6)=0,#N/A,SUMIFS('RC Template'!$AW:$AW,'RC Template'!$B:$B,$A107,'RC Template'!$C:$C,D$6))</f>
        <v>#N/A</v>
      </c>
      <c r="E107" s="115" t="e">
        <f>IF(SUMIFS('RC Template'!$AW:$AW,'RC Template'!$B:$B,$A107,'RC Template'!$C:$C,E$6)=0,#N/A,SUMIFS('RC Template'!$AW:$AW,'RC Template'!$B:$B,$A107,'RC Template'!$C:$C,E$6))</f>
        <v>#N/A</v>
      </c>
      <c r="F107" s="115" t="e">
        <f>IF(SUMIFS('RC Template'!$AW:$AW,'RC Template'!$B:$B,$A107,'RC Template'!$C:$C,F$6)=0,#N/A,SUMIFS('RC Template'!$AW:$AW,'RC Template'!$B:$B,$A107,'RC Template'!$C:$C,F$6))</f>
        <v>#N/A</v>
      </c>
      <c r="G107" s="115" t="e">
        <f>IF(SUMIFS('RC Template'!$AW:$AW,'RC Template'!$B:$B,$A107,'RC Template'!$C:$C,G$6)=0,#N/A,SUMIFS('RC Template'!$AW:$AW,'RC Template'!$B:$B,$A107,'RC Template'!$C:$C,G$6))</f>
        <v>#N/A</v>
      </c>
      <c r="H107" s="115" t="e">
        <f>IF(SUMIFS('RC Template'!$AW:$AW,'RC Template'!$B:$B,$A107,'RC Template'!$C:$C,H$6)=0,#N/A,SUMIFS('RC Template'!$AW:$AW,'RC Template'!$B:$B,$A107,'RC Template'!$C:$C,H$6))</f>
        <v>#N/A</v>
      </c>
      <c r="I107" s="115" t="e">
        <f>IF(SUMIFS('RC Template'!$AW:$AW,'RC Template'!$B:$B,$A107,'RC Template'!$C:$C,I$6)=0,#N/A,SUMIFS('RC Template'!$AW:$AW,'RC Template'!$B:$B,$A107,'RC Template'!$C:$C,I$6))</f>
        <v>#N/A</v>
      </c>
      <c r="J107" s="115" t="e">
        <f>IF(SUMIFS('RC Template'!$AW:$AW,'RC Template'!$B:$B,$A107,'RC Template'!$C:$C,J$6)=0,#N/A,SUMIFS('RC Template'!$AW:$AW,'RC Template'!$B:$B,$A107,'RC Template'!$C:$C,J$6))</f>
        <v>#N/A</v>
      </c>
      <c r="K107" s="115" t="e">
        <f>IF(SUMIFS('RC Template'!$AW:$AW,'RC Template'!$B:$B,$A107,'RC Template'!$C:$C,K$6)=0,#N/A,SUMIFS('RC Template'!$AW:$AW,'RC Template'!$B:$B,$A107,'RC Template'!$C:$C,K$6))</f>
        <v>#N/A</v>
      </c>
      <c r="L107" s="115" t="e">
        <f>IF(SUMIFS('RC Template'!$AW:$AW,'RC Template'!$B:$B,$A107,'RC Template'!$C:$C,L$6)=0,#N/A,SUMIFS('RC Template'!$AW:$AW,'RC Template'!$B:$B,$A107,'RC Template'!$C:$C,L$6))</f>
        <v>#N/A</v>
      </c>
      <c r="M107" s="115" t="e">
        <f>IF(SUMIFS('RC Template'!$AW:$AW,'RC Template'!$B:$B,$A107,'RC Template'!$C:$C,M$6)=0,#N/A,SUMIFS('RC Template'!$AW:$AW,'RC Template'!$B:$B,$A107,'RC Template'!$C:$C,M$6))</f>
        <v>#N/A</v>
      </c>
      <c r="N107" s="115" t="e">
        <f>IF(SUMIFS('RC Template'!$AW:$AW,'RC Template'!$B:$B,$A107,'RC Template'!$C:$C,N$6)=0,#N/A,SUMIFS('RC Template'!$AW:$AW,'RC Template'!$B:$B,$A107,'RC Template'!$C:$C,N$6))</f>
        <v>#N/A</v>
      </c>
      <c r="O107" s="115" t="e">
        <f>IF(SUMIFS('RC Template'!$AW:$AW,'RC Template'!$B:$B,$A107,'RC Template'!$C:$C,O$6)=0,#N/A,SUMIFS('RC Template'!$AW:$AW,'RC Template'!$B:$B,$A107,'RC Template'!$C:$C,O$6))</f>
        <v>#N/A</v>
      </c>
      <c r="P107" s="115" t="e">
        <f>IF(SUMIFS('RC Template'!$AW:$AW,'RC Template'!$B:$B,$A107,'RC Template'!$C:$C,P$6)=0,#N/A,SUMIFS('RC Template'!$AW:$AW,'RC Template'!$B:$B,$A107,'RC Template'!$C:$C,P$6))</f>
        <v>#N/A</v>
      </c>
      <c r="Q107" s="115">
        <f ca="1">MAX(SUMIFS('RC Template'!$AW:$AW,'RC Template'!$B:$B,$A107,'RC Template'!$C:$C,Q$6),Q106*$E$3)</f>
        <v>225.86226092593682</v>
      </c>
      <c r="R107" s="115">
        <f ca="1">MAX(SUMIFS('RC Template'!$AW:$AW,'RC Template'!$B:$B,$A107,'RC Template'!$C:$C,R$6),R106*$E$3)</f>
        <v>30.704447875683361</v>
      </c>
      <c r="S107" s="115">
        <f ca="1">MAX(SUMIFS('RC Template'!$AW:$AW,'RC Template'!$B:$B,$A107,'RC Template'!$C:$C,S$6),S106*$E$3)</f>
        <v>39.021841647643839</v>
      </c>
      <c r="T107" s="115">
        <f ca="1">MAX(SUMIFS('RC Template'!$AW:$AW,'RC Template'!$B:$B,$A107,'RC Template'!$C:$C,T$6),T106*$E$3)</f>
        <v>3.8136647571617774</v>
      </c>
      <c r="U107" s="115">
        <f ca="1">MAX(SUMIFS('RC Template'!$AW:$AW,'RC Template'!$B:$B,$A107,'RC Template'!$C:$C,U$6),U106*$E$3)</f>
        <v>87.015747673491234</v>
      </c>
      <c r="V107" s="115">
        <f ca="1">MAX(SUMIFS('RC Template'!$AW:$AW,'RC Template'!$B:$B,$A107,'RC Template'!$C:$C,V$6),V106*$E$3)</f>
        <v>48.003330272250288</v>
      </c>
      <c r="W107" s="115">
        <f ca="1">MAX(SUMIFS('RC Template'!$AW:$AW,'RC Template'!$B:$B,$A107,'RC Template'!$C:$C,W$6),W106*$E$3)</f>
        <v>5.2296897788360255</v>
      </c>
      <c r="X107" s="115">
        <f ca="1">MAX(SUMIFS('RC Template'!$AW:$AW,'RC Template'!$B:$B,$A107,'RC Template'!$C:$C,X$6),X106*$E$3)</f>
        <v>89.654854128973284</v>
      </c>
      <c r="Y107" s="115">
        <f ca="1">MAX(SUMIFS('RC Template'!$AW:$AW,'RC Template'!$B:$B,$A107,'RC Template'!$C:$C,Y$6),Y106*$E$3)</f>
        <v>52.875242699811835</v>
      </c>
      <c r="Z107" s="115">
        <f ca="1">MAX(SUMIFS('RC Template'!$AW:$AW,'RC Template'!$B:$B,$A107,'RC Template'!$C:$C,Z$6),Z106*$E$3)</f>
        <v>59.6866175673131</v>
      </c>
      <c r="AA107" s="115">
        <f ca="1">MAX(SUMIFS('RC Template'!$AW:$AW,'RC Template'!$B:$B,$A107,'RC Template'!$C:$C,AA$6),AA106*$E$3)</f>
        <v>0</v>
      </c>
      <c r="AB107" s="115">
        <f ca="1">MAX(SUMIFS('RC Template'!$AW:$AW,'RC Template'!$B:$B,$A107,'RC Template'!$C:$C,AB$6),AB106*$E$3)</f>
        <v>0</v>
      </c>
      <c r="AC107" s="115">
        <f ca="1">MAX(SUMIFS('RC Template'!$AW:$AW,'RC Template'!$B:$B,$A107,'RC Template'!$C:$C,AC$6),AC106*$E$3)</f>
        <v>0</v>
      </c>
      <c r="AD107" s="115">
        <f ca="1">MAX(SUMIFS('RC Template'!$AW:$AW,'RC Template'!$B:$B,$A107,'RC Template'!$C:$C,AD$6),AD106*$E$3)</f>
        <v>0</v>
      </c>
    </row>
    <row r="108" spans="1:30" x14ac:dyDescent="0.3">
      <c r="A108" s="1">
        <v>43208</v>
      </c>
      <c r="B108" s="115">
        <f t="shared" ca="1" si="9"/>
        <v>625.82100489392394</v>
      </c>
      <c r="C108" s="115" t="e">
        <f>IF(SUMIFS('RC Template'!$AW:$AW,'RC Template'!$B:$B,$A108,'RC Template'!$C:$C,C$6)=0,#N/A,SUMIFS('RC Template'!$AW:$AW,'RC Template'!$B:$B,$A108,'RC Template'!$C:$C,C$6))</f>
        <v>#N/A</v>
      </c>
      <c r="D108" s="115" t="e">
        <f>IF(SUMIFS('RC Template'!$AW:$AW,'RC Template'!$B:$B,$A108,'RC Template'!$C:$C,D$6)=0,#N/A,SUMIFS('RC Template'!$AW:$AW,'RC Template'!$B:$B,$A108,'RC Template'!$C:$C,D$6))</f>
        <v>#N/A</v>
      </c>
      <c r="E108" s="115" t="e">
        <f>IF(SUMIFS('RC Template'!$AW:$AW,'RC Template'!$B:$B,$A108,'RC Template'!$C:$C,E$6)=0,#N/A,SUMIFS('RC Template'!$AW:$AW,'RC Template'!$B:$B,$A108,'RC Template'!$C:$C,E$6))</f>
        <v>#N/A</v>
      </c>
      <c r="F108" s="115" t="e">
        <f>IF(SUMIFS('RC Template'!$AW:$AW,'RC Template'!$B:$B,$A108,'RC Template'!$C:$C,F$6)=0,#N/A,SUMIFS('RC Template'!$AW:$AW,'RC Template'!$B:$B,$A108,'RC Template'!$C:$C,F$6))</f>
        <v>#N/A</v>
      </c>
      <c r="G108" s="115" t="e">
        <f>IF(SUMIFS('RC Template'!$AW:$AW,'RC Template'!$B:$B,$A108,'RC Template'!$C:$C,G$6)=0,#N/A,SUMIFS('RC Template'!$AW:$AW,'RC Template'!$B:$B,$A108,'RC Template'!$C:$C,G$6))</f>
        <v>#N/A</v>
      </c>
      <c r="H108" s="115" t="e">
        <f>IF(SUMIFS('RC Template'!$AW:$AW,'RC Template'!$B:$B,$A108,'RC Template'!$C:$C,H$6)=0,#N/A,SUMIFS('RC Template'!$AW:$AW,'RC Template'!$B:$B,$A108,'RC Template'!$C:$C,H$6))</f>
        <v>#N/A</v>
      </c>
      <c r="I108" s="115" t="e">
        <f>IF(SUMIFS('RC Template'!$AW:$AW,'RC Template'!$B:$B,$A108,'RC Template'!$C:$C,I$6)=0,#N/A,SUMIFS('RC Template'!$AW:$AW,'RC Template'!$B:$B,$A108,'RC Template'!$C:$C,I$6))</f>
        <v>#N/A</v>
      </c>
      <c r="J108" s="115" t="e">
        <f>IF(SUMIFS('RC Template'!$AW:$AW,'RC Template'!$B:$B,$A108,'RC Template'!$C:$C,J$6)=0,#N/A,SUMIFS('RC Template'!$AW:$AW,'RC Template'!$B:$B,$A108,'RC Template'!$C:$C,J$6))</f>
        <v>#N/A</v>
      </c>
      <c r="K108" s="115" t="e">
        <f>IF(SUMIFS('RC Template'!$AW:$AW,'RC Template'!$B:$B,$A108,'RC Template'!$C:$C,K$6)=0,#N/A,SUMIFS('RC Template'!$AW:$AW,'RC Template'!$B:$B,$A108,'RC Template'!$C:$C,K$6))</f>
        <v>#N/A</v>
      </c>
      <c r="L108" s="115" t="e">
        <f>IF(SUMIFS('RC Template'!$AW:$AW,'RC Template'!$B:$B,$A108,'RC Template'!$C:$C,L$6)=0,#N/A,SUMIFS('RC Template'!$AW:$AW,'RC Template'!$B:$B,$A108,'RC Template'!$C:$C,L$6))</f>
        <v>#N/A</v>
      </c>
      <c r="M108" s="115" t="e">
        <f>IF(SUMIFS('RC Template'!$AW:$AW,'RC Template'!$B:$B,$A108,'RC Template'!$C:$C,M$6)=0,#N/A,SUMIFS('RC Template'!$AW:$AW,'RC Template'!$B:$B,$A108,'RC Template'!$C:$C,M$6))</f>
        <v>#N/A</v>
      </c>
      <c r="N108" s="115" t="e">
        <f>IF(SUMIFS('RC Template'!$AW:$AW,'RC Template'!$B:$B,$A108,'RC Template'!$C:$C,N$6)=0,#N/A,SUMIFS('RC Template'!$AW:$AW,'RC Template'!$B:$B,$A108,'RC Template'!$C:$C,N$6))</f>
        <v>#N/A</v>
      </c>
      <c r="O108" s="115" t="e">
        <f>IF(SUMIFS('RC Template'!$AW:$AW,'RC Template'!$B:$B,$A108,'RC Template'!$C:$C,O$6)=0,#N/A,SUMIFS('RC Template'!$AW:$AW,'RC Template'!$B:$B,$A108,'RC Template'!$C:$C,O$6))</f>
        <v>#N/A</v>
      </c>
      <c r="P108" s="115" t="e">
        <f>IF(SUMIFS('RC Template'!$AW:$AW,'RC Template'!$B:$B,$A108,'RC Template'!$C:$C,P$6)=0,#N/A,SUMIFS('RC Template'!$AW:$AW,'RC Template'!$B:$B,$A108,'RC Template'!$C:$C,P$6))</f>
        <v>#N/A</v>
      </c>
      <c r="Q108" s="115">
        <f ca="1">MAX(SUMIFS('RC Template'!$AW:$AW,'RC Template'!$B:$B,$A108,'RC Template'!$C:$C,Q$6),Q107*$E$3)</f>
        <v>220.21570440278839</v>
      </c>
      <c r="R108" s="115">
        <f ca="1">MAX(SUMIFS('RC Template'!$AW:$AW,'RC Template'!$B:$B,$A108,'RC Template'!$C:$C,R$6),R107*$E$3)</f>
        <v>29.936836678791277</v>
      </c>
      <c r="S108" s="115">
        <f ca="1">MAX(SUMIFS('RC Template'!$AW:$AW,'RC Template'!$B:$B,$A108,'RC Template'!$C:$C,S$6),S107*$E$3)</f>
        <v>38.046295606452745</v>
      </c>
      <c r="T108" s="115">
        <f ca="1">MAX(SUMIFS('RC Template'!$AW:$AW,'RC Template'!$B:$B,$A108,'RC Template'!$C:$C,T$6),T107*$E$3)</f>
        <v>3.7183231382327331</v>
      </c>
      <c r="U108" s="115">
        <f ca="1">MAX(SUMIFS('RC Template'!$AW:$AW,'RC Template'!$B:$B,$A108,'RC Template'!$C:$C,U$6),U107*$E$3)</f>
        <v>84.840353981653948</v>
      </c>
      <c r="V108" s="115">
        <f ca="1">MAX(SUMIFS('RC Template'!$AW:$AW,'RC Template'!$B:$B,$A108,'RC Template'!$C:$C,V$6),V107*$E$3)</f>
        <v>46.803247015444029</v>
      </c>
      <c r="W108" s="115">
        <f ca="1">MAX(SUMIFS('RC Template'!$AW:$AW,'RC Template'!$B:$B,$A108,'RC Template'!$C:$C,W$6),W107*$E$3)</f>
        <v>5.0989475343651245</v>
      </c>
      <c r="X108" s="115">
        <f ca="1">MAX(SUMIFS('RC Template'!$AW:$AW,'RC Template'!$B:$B,$A108,'RC Template'!$C:$C,X$6),X107*$E$3)</f>
        <v>87.413482775748946</v>
      </c>
      <c r="Y108" s="115">
        <f ca="1">MAX(SUMIFS('RC Template'!$AW:$AW,'RC Template'!$B:$B,$A108,'RC Template'!$C:$C,Y$6),Y107*$E$3)</f>
        <v>51.553361632316538</v>
      </c>
      <c r="Z108" s="115">
        <f ca="1">MAX(SUMIFS('RC Template'!$AW:$AW,'RC Template'!$B:$B,$A108,'RC Template'!$C:$C,Z$6),Z107*$E$3)</f>
        <v>58.194452128130273</v>
      </c>
      <c r="AA108" s="115">
        <f ca="1">MAX(SUMIFS('RC Template'!$AW:$AW,'RC Template'!$B:$B,$A108,'RC Template'!$C:$C,AA$6),AA107*$E$3)</f>
        <v>0</v>
      </c>
      <c r="AB108" s="115">
        <f ca="1">MAX(SUMIFS('RC Template'!$AW:$AW,'RC Template'!$B:$B,$A108,'RC Template'!$C:$C,AB$6),AB107*$E$3)</f>
        <v>0</v>
      </c>
      <c r="AC108" s="115">
        <f ca="1">MAX(SUMIFS('RC Template'!$AW:$AW,'RC Template'!$B:$B,$A108,'RC Template'!$C:$C,AC$6),AC107*$E$3)</f>
        <v>0</v>
      </c>
      <c r="AD108" s="115">
        <f ca="1">MAX(SUMIFS('RC Template'!$AW:$AW,'RC Template'!$B:$B,$A108,'RC Template'!$C:$C,AD$6),AD107*$E$3)</f>
        <v>0</v>
      </c>
    </row>
    <row r="109" spans="1:30" x14ac:dyDescent="0.3">
      <c r="A109" s="1">
        <v>43209</v>
      </c>
      <c r="B109" s="115">
        <f t="shared" ca="1" si="9"/>
        <v>610.17547977157597</v>
      </c>
      <c r="C109" s="115" t="e">
        <f>IF(SUMIFS('RC Template'!$AW:$AW,'RC Template'!$B:$B,$A109,'RC Template'!$C:$C,C$6)=0,#N/A,SUMIFS('RC Template'!$AW:$AW,'RC Template'!$B:$B,$A109,'RC Template'!$C:$C,C$6))</f>
        <v>#N/A</v>
      </c>
      <c r="D109" s="115" t="e">
        <f>IF(SUMIFS('RC Template'!$AW:$AW,'RC Template'!$B:$B,$A109,'RC Template'!$C:$C,D$6)=0,#N/A,SUMIFS('RC Template'!$AW:$AW,'RC Template'!$B:$B,$A109,'RC Template'!$C:$C,D$6))</f>
        <v>#N/A</v>
      </c>
      <c r="E109" s="115" t="e">
        <f>IF(SUMIFS('RC Template'!$AW:$AW,'RC Template'!$B:$B,$A109,'RC Template'!$C:$C,E$6)=0,#N/A,SUMIFS('RC Template'!$AW:$AW,'RC Template'!$B:$B,$A109,'RC Template'!$C:$C,E$6))</f>
        <v>#N/A</v>
      </c>
      <c r="F109" s="115" t="e">
        <f>IF(SUMIFS('RC Template'!$AW:$AW,'RC Template'!$B:$B,$A109,'RC Template'!$C:$C,F$6)=0,#N/A,SUMIFS('RC Template'!$AW:$AW,'RC Template'!$B:$B,$A109,'RC Template'!$C:$C,F$6))</f>
        <v>#N/A</v>
      </c>
      <c r="G109" s="115" t="e">
        <f>IF(SUMIFS('RC Template'!$AW:$AW,'RC Template'!$B:$B,$A109,'RC Template'!$C:$C,G$6)=0,#N/A,SUMIFS('RC Template'!$AW:$AW,'RC Template'!$B:$B,$A109,'RC Template'!$C:$C,G$6))</f>
        <v>#N/A</v>
      </c>
      <c r="H109" s="115" t="e">
        <f>IF(SUMIFS('RC Template'!$AW:$AW,'RC Template'!$B:$B,$A109,'RC Template'!$C:$C,H$6)=0,#N/A,SUMIFS('RC Template'!$AW:$AW,'RC Template'!$B:$B,$A109,'RC Template'!$C:$C,H$6))</f>
        <v>#N/A</v>
      </c>
      <c r="I109" s="115" t="e">
        <f>IF(SUMIFS('RC Template'!$AW:$AW,'RC Template'!$B:$B,$A109,'RC Template'!$C:$C,I$6)=0,#N/A,SUMIFS('RC Template'!$AW:$AW,'RC Template'!$B:$B,$A109,'RC Template'!$C:$C,I$6))</f>
        <v>#N/A</v>
      </c>
      <c r="J109" s="115" t="e">
        <f>IF(SUMIFS('RC Template'!$AW:$AW,'RC Template'!$B:$B,$A109,'RC Template'!$C:$C,J$6)=0,#N/A,SUMIFS('RC Template'!$AW:$AW,'RC Template'!$B:$B,$A109,'RC Template'!$C:$C,J$6))</f>
        <v>#N/A</v>
      </c>
      <c r="K109" s="115" t="e">
        <f>IF(SUMIFS('RC Template'!$AW:$AW,'RC Template'!$B:$B,$A109,'RC Template'!$C:$C,K$6)=0,#N/A,SUMIFS('RC Template'!$AW:$AW,'RC Template'!$B:$B,$A109,'RC Template'!$C:$C,K$6))</f>
        <v>#N/A</v>
      </c>
      <c r="L109" s="115" t="e">
        <f>IF(SUMIFS('RC Template'!$AW:$AW,'RC Template'!$B:$B,$A109,'RC Template'!$C:$C,L$6)=0,#N/A,SUMIFS('RC Template'!$AW:$AW,'RC Template'!$B:$B,$A109,'RC Template'!$C:$C,L$6))</f>
        <v>#N/A</v>
      </c>
      <c r="M109" s="115" t="e">
        <f>IF(SUMIFS('RC Template'!$AW:$AW,'RC Template'!$B:$B,$A109,'RC Template'!$C:$C,M$6)=0,#N/A,SUMIFS('RC Template'!$AW:$AW,'RC Template'!$B:$B,$A109,'RC Template'!$C:$C,M$6))</f>
        <v>#N/A</v>
      </c>
      <c r="N109" s="115" t="e">
        <f>IF(SUMIFS('RC Template'!$AW:$AW,'RC Template'!$B:$B,$A109,'RC Template'!$C:$C,N$6)=0,#N/A,SUMIFS('RC Template'!$AW:$AW,'RC Template'!$B:$B,$A109,'RC Template'!$C:$C,N$6))</f>
        <v>#N/A</v>
      </c>
      <c r="O109" s="115" t="e">
        <f>IF(SUMIFS('RC Template'!$AW:$AW,'RC Template'!$B:$B,$A109,'RC Template'!$C:$C,O$6)=0,#N/A,SUMIFS('RC Template'!$AW:$AW,'RC Template'!$B:$B,$A109,'RC Template'!$C:$C,O$6))</f>
        <v>#N/A</v>
      </c>
      <c r="P109" s="115" t="e">
        <f>IF(SUMIFS('RC Template'!$AW:$AW,'RC Template'!$B:$B,$A109,'RC Template'!$C:$C,P$6)=0,#N/A,SUMIFS('RC Template'!$AW:$AW,'RC Template'!$B:$B,$A109,'RC Template'!$C:$C,P$6))</f>
        <v>#N/A</v>
      </c>
      <c r="Q109" s="115">
        <f ca="1">MAX(SUMIFS('RC Template'!$AW:$AW,'RC Template'!$B:$B,$A109,'RC Template'!$C:$C,Q$6),Q108*$E$3)</f>
        <v>214.71031179271867</v>
      </c>
      <c r="R109" s="115">
        <f ca="1">MAX(SUMIFS('RC Template'!$AW:$AW,'RC Template'!$B:$B,$A109,'RC Template'!$C:$C,R$6),R108*$E$3)</f>
        <v>29.188415761821496</v>
      </c>
      <c r="S109" s="115">
        <f ca="1">MAX(SUMIFS('RC Template'!$AW:$AW,'RC Template'!$B:$B,$A109,'RC Template'!$C:$C,S$6),S108*$E$3)</f>
        <v>37.095138216291424</v>
      </c>
      <c r="T109" s="115">
        <f ca="1">MAX(SUMIFS('RC Template'!$AW:$AW,'RC Template'!$B:$B,$A109,'RC Template'!$C:$C,T$6),T108*$E$3)</f>
        <v>3.6253650597769145</v>
      </c>
      <c r="U109" s="115">
        <f ca="1">MAX(SUMIFS('RC Template'!$AW:$AW,'RC Template'!$B:$B,$A109,'RC Template'!$C:$C,U$6),U108*$E$3)</f>
        <v>82.719345132112593</v>
      </c>
      <c r="V109" s="115">
        <f ca="1">MAX(SUMIFS('RC Template'!$AW:$AW,'RC Template'!$B:$B,$A109,'RC Template'!$C:$C,V$6),V108*$E$3)</f>
        <v>45.633165840057927</v>
      </c>
      <c r="W109" s="115">
        <f ca="1">MAX(SUMIFS('RC Template'!$AW:$AW,'RC Template'!$B:$B,$A109,'RC Template'!$C:$C,W$6),W108*$E$3)</f>
        <v>4.9714738460059964</v>
      </c>
      <c r="X109" s="115">
        <f ca="1">MAX(SUMIFS('RC Template'!$AW:$AW,'RC Template'!$B:$B,$A109,'RC Template'!$C:$C,X$6),X108*$E$3)</f>
        <v>85.228145706355221</v>
      </c>
      <c r="Y109" s="115">
        <f ca="1">MAX(SUMIFS('RC Template'!$AW:$AW,'RC Template'!$B:$B,$A109,'RC Template'!$C:$C,Y$6),Y108*$E$3)</f>
        <v>50.264527591508624</v>
      </c>
      <c r="Z109" s="115">
        <f ca="1">MAX(SUMIFS('RC Template'!$AW:$AW,'RC Template'!$B:$B,$A109,'RC Template'!$C:$C,Z$6),Z108*$E$3)</f>
        <v>56.739590824927014</v>
      </c>
      <c r="AA109" s="115">
        <f ca="1">MAX(SUMIFS('RC Template'!$AW:$AW,'RC Template'!$B:$B,$A109,'RC Template'!$C:$C,AA$6),AA108*$E$3)</f>
        <v>0</v>
      </c>
      <c r="AB109" s="115">
        <f ca="1">MAX(SUMIFS('RC Template'!$AW:$AW,'RC Template'!$B:$B,$A109,'RC Template'!$C:$C,AB$6),AB108*$E$3)</f>
        <v>0</v>
      </c>
      <c r="AC109" s="115">
        <f ca="1">MAX(SUMIFS('RC Template'!$AW:$AW,'RC Template'!$B:$B,$A109,'RC Template'!$C:$C,AC$6),AC108*$E$3)</f>
        <v>0</v>
      </c>
      <c r="AD109" s="115">
        <f ca="1">MAX(SUMIFS('RC Template'!$AW:$AW,'RC Template'!$B:$B,$A109,'RC Template'!$C:$C,AD$6),AD108*$E$3)</f>
        <v>0</v>
      </c>
    </row>
    <row r="110" spans="1:30" x14ac:dyDescent="0.3">
      <c r="A110" s="1">
        <v>43210</v>
      </c>
      <c r="B110" s="115">
        <f t="shared" ca="1" si="9"/>
        <v>594.9210927772865</v>
      </c>
      <c r="C110" s="115" t="e">
        <f>IF(SUMIFS('RC Template'!$AW:$AW,'RC Template'!$B:$B,$A110,'RC Template'!$C:$C,C$6)=0,#N/A,SUMIFS('RC Template'!$AW:$AW,'RC Template'!$B:$B,$A110,'RC Template'!$C:$C,C$6))</f>
        <v>#N/A</v>
      </c>
      <c r="D110" s="115" t="e">
        <f>IF(SUMIFS('RC Template'!$AW:$AW,'RC Template'!$B:$B,$A110,'RC Template'!$C:$C,D$6)=0,#N/A,SUMIFS('RC Template'!$AW:$AW,'RC Template'!$B:$B,$A110,'RC Template'!$C:$C,D$6))</f>
        <v>#N/A</v>
      </c>
      <c r="E110" s="115" t="e">
        <f>IF(SUMIFS('RC Template'!$AW:$AW,'RC Template'!$B:$B,$A110,'RC Template'!$C:$C,E$6)=0,#N/A,SUMIFS('RC Template'!$AW:$AW,'RC Template'!$B:$B,$A110,'RC Template'!$C:$C,E$6))</f>
        <v>#N/A</v>
      </c>
      <c r="F110" s="115" t="e">
        <f>IF(SUMIFS('RC Template'!$AW:$AW,'RC Template'!$B:$B,$A110,'RC Template'!$C:$C,F$6)=0,#N/A,SUMIFS('RC Template'!$AW:$AW,'RC Template'!$B:$B,$A110,'RC Template'!$C:$C,F$6))</f>
        <v>#N/A</v>
      </c>
      <c r="G110" s="115" t="e">
        <f>IF(SUMIFS('RC Template'!$AW:$AW,'RC Template'!$B:$B,$A110,'RC Template'!$C:$C,G$6)=0,#N/A,SUMIFS('RC Template'!$AW:$AW,'RC Template'!$B:$B,$A110,'RC Template'!$C:$C,G$6))</f>
        <v>#N/A</v>
      </c>
      <c r="H110" s="115" t="e">
        <f>IF(SUMIFS('RC Template'!$AW:$AW,'RC Template'!$B:$B,$A110,'RC Template'!$C:$C,H$6)=0,#N/A,SUMIFS('RC Template'!$AW:$AW,'RC Template'!$B:$B,$A110,'RC Template'!$C:$C,H$6))</f>
        <v>#N/A</v>
      </c>
      <c r="I110" s="115" t="e">
        <f>IF(SUMIFS('RC Template'!$AW:$AW,'RC Template'!$B:$B,$A110,'RC Template'!$C:$C,I$6)=0,#N/A,SUMIFS('RC Template'!$AW:$AW,'RC Template'!$B:$B,$A110,'RC Template'!$C:$C,I$6))</f>
        <v>#N/A</v>
      </c>
      <c r="J110" s="115" t="e">
        <f>IF(SUMIFS('RC Template'!$AW:$AW,'RC Template'!$B:$B,$A110,'RC Template'!$C:$C,J$6)=0,#N/A,SUMIFS('RC Template'!$AW:$AW,'RC Template'!$B:$B,$A110,'RC Template'!$C:$C,J$6))</f>
        <v>#N/A</v>
      </c>
      <c r="K110" s="115" t="e">
        <f>IF(SUMIFS('RC Template'!$AW:$AW,'RC Template'!$B:$B,$A110,'RC Template'!$C:$C,K$6)=0,#N/A,SUMIFS('RC Template'!$AW:$AW,'RC Template'!$B:$B,$A110,'RC Template'!$C:$C,K$6))</f>
        <v>#N/A</v>
      </c>
      <c r="L110" s="115" t="e">
        <f>IF(SUMIFS('RC Template'!$AW:$AW,'RC Template'!$B:$B,$A110,'RC Template'!$C:$C,L$6)=0,#N/A,SUMIFS('RC Template'!$AW:$AW,'RC Template'!$B:$B,$A110,'RC Template'!$C:$C,L$6))</f>
        <v>#N/A</v>
      </c>
      <c r="M110" s="115" t="e">
        <f>IF(SUMIFS('RC Template'!$AW:$AW,'RC Template'!$B:$B,$A110,'RC Template'!$C:$C,M$6)=0,#N/A,SUMIFS('RC Template'!$AW:$AW,'RC Template'!$B:$B,$A110,'RC Template'!$C:$C,M$6))</f>
        <v>#N/A</v>
      </c>
      <c r="N110" s="115" t="e">
        <f>IF(SUMIFS('RC Template'!$AW:$AW,'RC Template'!$B:$B,$A110,'RC Template'!$C:$C,N$6)=0,#N/A,SUMIFS('RC Template'!$AW:$AW,'RC Template'!$B:$B,$A110,'RC Template'!$C:$C,N$6))</f>
        <v>#N/A</v>
      </c>
      <c r="O110" s="115" t="e">
        <f>IF(SUMIFS('RC Template'!$AW:$AW,'RC Template'!$B:$B,$A110,'RC Template'!$C:$C,O$6)=0,#N/A,SUMIFS('RC Template'!$AW:$AW,'RC Template'!$B:$B,$A110,'RC Template'!$C:$C,O$6))</f>
        <v>#N/A</v>
      </c>
      <c r="P110" s="115" t="e">
        <f>IF(SUMIFS('RC Template'!$AW:$AW,'RC Template'!$B:$B,$A110,'RC Template'!$C:$C,P$6)=0,#N/A,SUMIFS('RC Template'!$AW:$AW,'RC Template'!$B:$B,$A110,'RC Template'!$C:$C,P$6))</f>
        <v>#N/A</v>
      </c>
      <c r="Q110" s="115">
        <f ca="1">MAX(SUMIFS('RC Template'!$AW:$AW,'RC Template'!$B:$B,$A110,'RC Template'!$C:$C,Q$6),Q109*$E$3)</f>
        <v>209.34255399790069</v>
      </c>
      <c r="R110" s="115">
        <f ca="1">MAX(SUMIFS('RC Template'!$AW:$AW,'RC Template'!$B:$B,$A110,'RC Template'!$C:$C,R$6),R109*$E$3)</f>
        <v>28.458705367775959</v>
      </c>
      <c r="S110" s="115">
        <f ca="1">MAX(SUMIFS('RC Template'!$AW:$AW,'RC Template'!$B:$B,$A110,'RC Template'!$C:$C,S$6),S109*$E$3)</f>
        <v>36.167759760884138</v>
      </c>
      <c r="T110" s="115">
        <f ca="1">MAX(SUMIFS('RC Template'!$AW:$AW,'RC Template'!$B:$B,$A110,'RC Template'!$C:$C,T$6),T109*$E$3)</f>
        <v>3.5347309332824914</v>
      </c>
      <c r="U110" s="115">
        <f ca="1">MAX(SUMIFS('RC Template'!$AW:$AW,'RC Template'!$B:$B,$A110,'RC Template'!$C:$C,U$6),U109*$E$3)</f>
        <v>80.651361503809781</v>
      </c>
      <c r="V110" s="115">
        <f ca="1">MAX(SUMIFS('RC Template'!$AW:$AW,'RC Template'!$B:$B,$A110,'RC Template'!$C:$C,V$6),V109*$E$3)</f>
        <v>44.492336694056476</v>
      </c>
      <c r="W110" s="115">
        <f ca="1">MAX(SUMIFS('RC Template'!$AW:$AW,'RC Template'!$B:$B,$A110,'RC Template'!$C:$C,W$6),W109*$E$3)</f>
        <v>4.8471869998558468</v>
      </c>
      <c r="X110" s="115">
        <f ca="1">MAX(SUMIFS('RC Template'!$AW:$AW,'RC Template'!$B:$B,$A110,'RC Template'!$C:$C,X$6),X109*$E$3)</f>
        <v>83.097442063696334</v>
      </c>
      <c r="Y110" s="115">
        <f ca="1">MAX(SUMIFS('RC Template'!$AW:$AW,'RC Template'!$B:$B,$A110,'RC Template'!$C:$C,Y$6),Y109*$E$3)</f>
        <v>49.00791440172091</v>
      </c>
      <c r="Z110" s="115">
        <f ca="1">MAX(SUMIFS('RC Template'!$AW:$AW,'RC Template'!$B:$B,$A110,'RC Template'!$C:$C,Z$6),Z109*$E$3)</f>
        <v>55.321101054303838</v>
      </c>
      <c r="AA110" s="115">
        <f ca="1">MAX(SUMIFS('RC Template'!$AW:$AW,'RC Template'!$B:$B,$A110,'RC Template'!$C:$C,AA$6),AA109*$E$3)</f>
        <v>0</v>
      </c>
      <c r="AB110" s="115">
        <f ca="1">MAX(SUMIFS('RC Template'!$AW:$AW,'RC Template'!$B:$B,$A110,'RC Template'!$C:$C,AB$6),AB109*$E$3)</f>
        <v>0</v>
      </c>
      <c r="AC110" s="115">
        <f ca="1">MAX(SUMIFS('RC Template'!$AW:$AW,'RC Template'!$B:$B,$A110,'RC Template'!$C:$C,AC$6),AC109*$E$3)</f>
        <v>0</v>
      </c>
      <c r="AD110" s="115">
        <f ca="1">MAX(SUMIFS('RC Template'!$AW:$AW,'RC Template'!$B:$B,$A110,'RC Template'!$C:$C,AD$6),AD109*$E$3)</f>
        <v>0</v>
      </c>
    </row>
    <row r="111" spans="1:30" x14ac:dyDescent="0.3">
      <c r="A111" s="1">
        <v>43211</v>
      </c>
      <c r="B111" s="115">
        <f t="shared" ca="1" si="9"/>
        <v>580.04806545785425</v>
      </c>
      <c r="C111" s="115" t="e">
        <f>IF(SUMIFS('RC Template'!$AW:$AW,'RC Template'!$B:$B,$A111,'RC Template'!$C:$C,C$6)=0,#N/A,SUMIFS('RC Template'!$AW:$AW,'RC Template'!$B:$B,$A111,'RC Template'!$C:$C,C$6))</f>
        <v>#N/A</v>
      </c>
      <c r="D111" s="115" t="e">
        <f>IF(SUMIFS('RC Template'!$AW:$AW,'RC Template'!$B:$B,$A111,'RC Template'!$C:$C,D$6)=0,#N/A,SUMIFS('RC Template'!$AW:$AW,'RC Template'!$B:$B,$A111,'RC Template'!$C:$C,D$6))</f>
        <v>#N/A</v>
      </c>
      <c r="E111" s="115" t="e">
        <f>IF(SUMIFS('RC Template'!$AW:$AW,'RC Template'!$B:$B,$A111,'RC Template'!$C:$C,E$6)=0,#N/A,SUMIFS('RC Template'!$AW:$AW,'RC Template'!$B:$B,$A111,'RC Template'!$C:$C,E$6))</f>
        <v>#N/A</v>
      </c>
      <c r="F111" s="115" t="e">
        <f>IF(SUMIFS('RC Template'!$AW:$AW,'RC Template'!$B:$B,$A111,'RC Template'!$C:$C,F$6)=0,#N/A,SUMIFS('RC Template'!$AW:$AW,'RC Template'!$B:$B,$A111,'RC Template'!$C:$C,F$6))</f>
        <v>#N/A</v>
      </c>
      <c r="G111" s="115" t="e">
        <f>IF(SUMIFS('RC Template'!$AW:$AW,'RC Template'!$B:$B,$A111,'RC Template'!$C:$C,G$6)=0,#N/A,SUMIFS('RC Template'!$AW:$AW,'RC Template'!$B:$B,$A111,'RC Template'!$C:$C,G$6))</f>
        <v>#N/A</v>
      </c>
      <c r="H111" s="115" t="e">
        <f>IF(SUMIFS('RC Template'!$AW:$AW,'RC Template'!$B:$B,$A111,'RC Template'!$C:$C,H$6)=0,#N/A,SUMIFS('RC Template'!$AW:$AW,'RC Template'!$B:$B,$A111,'RC Template'!$C:$C,H$6))</f>
        <v>#N/A</v>
      </c>
      <c r="I111" s="115" t="e">
        <f>IF(SUMIFS('RC Template'!$AW:$AW,'RC Template'!$B:$B,$A111,'RC Template'!$C:$C,I$6)=0,#N/A,SUMIFS('RC Template'!$AW:$AW,'RC Template'!$B:$B,$A111,'RC Template'!$C:$C,I$6))</f>
        <v>#N/A</v>
      </c>
      <c r="J111" s="115" t="e">
        <f>IF(SUMIFS('RC Template'!$AW:$AW,'RC Template'!$B:$B,$A111,'RC Template'!$C:$C,J$6)=0,#N/A,SUMIFS('RC Template'!$AW:$AW,'RC Template'!$B:$B,$A111,'RC Template'!$C:$C,J$6))</f>
        <v>#N/A</v>
      </c>
      <c r="K111" s="115" t="e">
        <f>IF(SUMIFS('RC Template'!$AW:$AW,'RC Template'!$B:$B,$A111,'RC Template'!$C:$C,K$6)=0,#N/A,SUMIFS('RC Template'!$AW:$AW,'RC Template'!$B:$B,$A111,'RC Template'!$C:$C,K$6))</f>
        <v>#N/A</v>
      </c>
      <c r="L111" s="115" t="e">
        <f>IF(SUMIFS('RC Template'!$AW:$AW,'RC Template'!$B:$B,$A111,'RC Template'!$C:$C,L$6)=0,#N/A,SUMIFS('RC Template'!$AW:$AW,'RC Template'!$B:$B,$A111,'RC Template'!$C:$C,L$6))</f>
        <v>#N/A</v>
      </c>
      <c r="M111" s="115" t="e">
        <f>IF(SUMIFS('RC Template'!$AW:$AW,'RC Template'!$B:$B,$A111,'RC Template'!$C:$C,M$6)=0,#N/A,SUMIFS('RC Template'!$AW:$AW,'RC Template'!$B:$B,$A111,'RC Template'!$C:$C,M$6))</f>
        <v>#N/A</v>
      </c>
      <c r="N111" s="115" t="e">
        <f>IF(SUMIFS('RC Template'!$AW:$AW,'RC Template'!$B:$B,$A111,'RC Template'!$C:$C,N$6)=0,#N/A,SUMIFS('RC Template'!$AW:$AW,'RC Template'!$B:$B,$A111,'RC Template'!$C:$C,N$6))</f>
        <v>#N/A</v>
      </c>
      <c r="O111" s="115" t="e">
        <f>IF(SUMIFS('RC Template'!$AW:$AW,'RC Template'!$B:$B,$A111,'RC Template'!$C:$C,O$6)=0,#N/A,SUMIFS('RC Template'!$AW:$AW,'RC Template'!$B:$B,$A111,'RC Template'!$C:$C,O$6))</f>
        <v>#N/A</v>
      </c>
      <c r="P111" s="115" t="e">
        <f>IF(SUMIFS('RC Template'!$AW:$AW,'RC Template'!$B:$B,$A111,'RC Template'!$C:$C,P$6)=0,#N/A,SUMIFS('RC Template'!$AW:$AW,'RC Template'!$B:$B,$A111,'RC Template'!$C:$C,P$6))</f>
        <v>#N/A</v>
      </c>
      <c r="Q111" s="115">
        <f ca="1">MAX(SUMIFS('RC Template'!$AW:$AW,'RC Template'!$B:$B,$A111,'RC Template'!$C:$C,Q$6),Q110*$E$3)</f>
        <v>204.10899014795316</v>
      </c>
      <c r="R111" s="115">
        <f ca="1">MAX(SUMIFS('RC Template'!$AW:$AW,'RC Template'!$B:$B,$A111,'RC Template'!$C:$C,R$6),R110*$E$3)</f>
        <v>27.74723773358156</v>
      </c>
      <c r="S111" s="115">
        <f ca="1">MAX(SUMIFS('RC Template'!$AW:$AW,'RC Template'!$B:$B,$A111,'RC Template'!$C:$C,S$6),S110*$E$3)</f>
        <v>35.263565766862037</v>
      </c>
      <c r="T111" s="115">
        <f ca="1">MAX(SUMIFS('RC Template'!$AW:$AW,'RC Template'!$B:$B,$A111,'RC Template'!$C:$C,T$6),T110*$E$3)</f>
        <v>3.4463626599504291</v>
      </c>
      <c r="U111" s="115">
        <f ca="1">MAX(SUMIFS('RC Template'!$AW:$AW,'RC Template'!$B:$B,$A111,'RC Template'!$C:$C,U$6),U110*$E$3)</f>
        <v>78.63507746621454</v>
      </c>
      <c r="V111" s="115">
        <f ca="1">MAX(SUMIFS('RC Template'!$AW:$AW,'RC Template'!$B:$B,$A111,'RC Template'!$C:$C,V$6),V110*$E$3)</f>
        <v>43.380028276705062</v>
      </c>
      <c r="W111" s="115">
        <f ca="1">MAX(SUMIFS('RC Template'!$AW:$AW,'RC Template'!$B:$B,$A111,'RC Template'!$C:$C,W$6),W110*$E$3)</f>
        <v>4.7260073248594505</v>
      </c>
      <c r="X111" s="115">
        <f ca="1">MAX(SUMIFS('RC Template'!$AW:$AW,'RC Template'!$B:$B,$A111,'RC Template'!$C:$C,X$6),X110*$E$3)</f>
        <v>81.02000601210392</v>
      </c>
      <c r="Y111" s="115">
        <f ca="1">MAX(SUMIFS('RC Template'!$AW:$AW,'RC Template'!$B:$B,$A111,'RC Template'!$C:$C,Y$6),Y110*$E$3)</f>
        <v>47.782716541677885</v>
      </c>
      <c r="Z111" s="115">
        <f ca="1">MAX(SUMIFS('RC Template'!$AW:$AW,'RC Template'!$B:$B,$A111,'RC Template'!$C:$C,Z$6),Z110*$E$3)</f>
        <v>53.938073527946244</v>
      </c>
      <c r="AA111" s="115">
        <f ca="1">MAX(SUMIFS('RC Template'!$AW:$AW,'RC Template'!$B:$B,$A111,'RC Template'!$C:$C,AA$6),AA110*$E$3)</f>
        <v>0</v>
      </c>
      <c r="AB111" s="115">
        <f ca="1">MAX(SUMIFS('RC Template'!$AW:$AW,'RC Template'!$B:$B,$A111,'RC Template'!$C:$C,AB$6),AB110*$E$3)</f>
        <v>0</v>
      </c>
      <c r="AC111" s="115">
        <f ca="1">MAX(SUMIFS('RC Template'!$AW:$AW,'RC Template'!$B:$B,$A111,'RC Template'!$C:$C,AC$6),AC110*$E$3)</f>
        <v>0</v>
      </c>
      <c r="AD111" s="115">
        <f ca="1">MAX(SUMIFS('RC Template'!$AW:$AW,'RC Template'!$B:$B,$A111,'RC Template'!$C:$C,AD$6),AD110*$E$3)</f>
        <v>0</v>
      </c>
    </row>
    <row r="112" spans="1:30" x14ac:dyDescent="0.3">
      <c r="A112" s="1">
        <v>43212</v>
      </c>
      <c r="B112" s="115">
        <f t="shared" ca="1" si="9"/>
        <v>786.62047282368405</v>
      </c>
      <c r="C112" s="115">
        <f ca="1">IF(SUMIFS('RC Template'!$AW:$AW,'RC Template'!$B:$B,$A112,'RC Template'!$C:$C,C$6)=0,#N/A,SUMIFS('RC Template'!$AW:$AW,'RC Template'!$B:$B,$A112,'RC Template'!$C:$C,C$6))</f>
        <v>317.22306475271728</v>
      </c>
      <c r="D112" s="115" t="e">
        <f>IF(SUMIFS('RC Template'!$AW:$AW,'RC Template'!$B:$B,$A112,'RC Template'!$C:$C,D$6)=0,#N/A,SUMIFS('RC Template'!$AW:$AW,'RC Template'!$B:$B,$A112,'RC Template'!$C:$C,D$6))</f>
        <v>#N/A</v>
      </c>
      <c r="E112" s="115" t="e">
        <f>IF(SUMIFS('RC Template'!$AW:$AW,'RC Template'!$B:$B,$A112,'RC Template'!$C:$C,E$6)=0,#N/A,SUMIFS('RC Template'!$AW:$AW,'RC Template'!$B:$B,$A112,'RC Template'!$C:$C,E$6))</f>
        <v>#N/A</v>
      </c>
      <c r="F112" s="115" t="e">
        <f>IF(SUMIFS('RC Template'!$AW:$AW,'RC Template'!$B:$B,$A112,'RC Template'!$C:$C,F$6)=0,#N/A,SUMIFS('RC Template'!$AW:$AW,'RC Template'!$B:$B,$A112,'RC Template'!$C:$C,F$6))</f>
        <v>#N/A</v>
      </c>
      <c r="G112" s="115">
        <f ca="1">IF(SUMIFS('RC Template'!$AW:$AW,'RC Template'!$B:$B,$A112,'RC Template'!$C:$C,G$6)=0,#N/A,SUMIFS('RC Template'!$AW:$AW,'RC Template'!$B:$B,$A112,'RC Template'!$C:$C,G$6))</f>
        <v>124.31270473994539</v>
      </c>
      <c r="H112" s="115" t="e">
        <f>IF(SUMIFS('RC Template'!$AW:$AW,'RC Template'!$B:$B,$A112,'RC Template'!$C:$C,H$6)=0,#N/A,SUMIFS('RC Template'!$AW:$AW,'RC Template'!$B:$B,$A112,'RC Template'!$C:$C,H$6))</f>
        <v>#N/A</v>
      </c>
      <c r="I112" s="115" t="e">
        <f>IF(SUMIFS('RC Template'!$AW:$AW,'RC Template'!$B:$B,$A112,'RC Template'!$C:$C,I$6)=0,#N/A,SUMIFS('RC Template'!$AW:$AW,'RC Template'!$B:$B,$A112,'RC Template'!$C:$C,I$6))</f>
        <v>#N/A</v>
      </c>
      <c r="J112" s="115">
        <f ca="1">IF(SUMIFS('RC Template'!$AW:$AW,'RC Template'!$B:$B,$A112,'RC Template'!$C:$C,J$6)=0,#N/A,SUMIFS('RC Template'!$AW:$AW,'RC Template'!$B:$B,$A112,'RC Template'!$C:$C,J$6))</f>
        <v>134.2078112952282</v>
      </c>
      <c r="K112" s="115" t="e">
        <f>IF(SUMIFS('RC Template'!$AW:$AW,'RC Template'!$B:$B,$A112,'RC Template'!$C:$C,K$6)=0,#N/A,SUMIFS('RC Template'!$AW:$AW,'RC Template'!$B:$B,$A112,'RC Template'!$C:$C,K$6))</f>
        <v>#N/A</v>
      </c>
      <c r="L112" s="115" t="e">
        <f>IF(SUMIFS('RC Template'!$AW:$AW,'RC Template'!$B:$B,$A112,'RC Template'!$C:$C,L$6)=0,#N/A,SUMIFS('RC Template'!$AW:$AW,'RC Template'!$B:$B,$A112,'RC Template'!$C:$C,L$6))</f>
        <v>#N/A</v>
      </c>
      <c r="M112" s="115" t="e">
        <f>IF(SUMIFS('RC Template'!$AW:$AW,'RC Template'!$B:$B,$A112,'RC Template'!$C:$C,M$6)=0,#N/A,SUMIFS('RC Template'!$AW:$AW,'RC Template'!$B:$B,$A112,'RC Template'!$C:$C,M$6))</f>
        <v>#N/A</v>
      </c>
      <c r="N112" s="115" t="e">
        <f>IF(SUMIFS('RC Template'!$AW:$AW,'RC Template'!$B:$B,$A112,'RC Template'!$C:$C,N$6)=0,#N/A,SUMIFS('RC Template'!$AW:$AW,'RC Template'!$B:$B,$A112,'RC Template'!$C:$C,N$6))</f>
        <v>#N/A</v>
      </c>
      <c r="O112" s="115" t="e">
        <f>IF(SUMIFS('RC Template'!$AW:$AW,'RC Template'!$B:$B,$A112,'RC Template'!$C:$C,O$6)=0,#N/A,SUMIFS('RC Template'!$AW:$AW,'RC Template'!$B:$B,$A112,'RC Template'!$C:$C,O$6))</f>
        <v>#N/A</v>
      </c>
      <c r="P112" s="115" t="e">
        <f>IF(SUMIFS('RC Template'!$AW:$AW,'RC Template'!$B:$B,$A112,'RC Template'!$C:$C,P$6)=0,#N/A,SUMIFS('RC Template'!$AW:$AW,'RC Template'!$B:$B,$A112,'RC Template'!$C:$C,P$6))</f>
        <v>#N/A</v>
      </c>
      <c r="Q112" s="115">
        <f ca="1">MAX(SUMIFS('RC Template'!$AW:$AW,'RC Template'!$B:$B,$A112,'RC Template'!$C:$C,Q$6),Q111*$E$3)</f>
        <v>317.22306475271728</v>
      </c>
      <c r="R112" s="115">
        <f ca="1">MAX(SUMIFS('RC Template'!$AW:$AW,'RC Template'!$B:$B,$A112,'RC Template'!$C:$C,R$6),R111*$E$3)</f>
        <v>27.05355679024202</v>
      </c>
      <c r="S112" s="115">
        <f ca="1">MAX(SUMIFS('RC Template'!$AW:$AW,'RC Template'!$B:$B,$A112,'RC Template'!$C:$C,S$6),S111*$E$3)</f>
        <v>34.381976622690487</v>
      </c>
      <c r="T112" s="115">
        <f ca="1">MAX(SUMIFS('RC Template'!$AW:$AW,'RC Template'!$B:$B,$A112,'RC Template'!$C:$C,T$6),T111*$E$3)</f>
        <v>3.3602035934516685</v>
      </c>
      <c r="U112" s="115">
        <f ca="1">MAX(SUMIFS('RC Template'!$AW:$AW,'RC Template'!$B:$B,$A112,'RC Template'!$C:$C,U$6),U111*$E$3)</f>
        <v>124.31270473994539</v>
      </c>
      <c r="V112" s="115">
        <f ca="1">MAX(SUMIFS('RC Template'!$AW:$AW,'RC Template'!$B:$B,$A112,'RC Template'!$C:$C,V$6),V111*$E$3)</f>
        <v>42.295527569787431</v>
      </c>
      <c r="W112" s="115">
        <f ca="1">MAX(SUMIFS('RC Template'!$AW:$AW,'RC Template'!$B:$B,$A112,'RC Template'!$C:$C,W$6),W111*$E$3)</f>
        <v>4.6078571417379646</v>
      </c>
      <c r="X112" s="115">
        <f ca="1">MAX(SUMIFS('RC Template'!$AW:$AW,'RC Template'!$B:$B,$A112,'RC Template'!$C:$C,X$6),X111*$E$3)</f>
        <v>134.2078112952282</v>
      </c>
      <c r="Y112" s="115">
        <f ca="1">MAX(SUMIFS('RC Template'!$AW:$AW,'RC Template'!$B:$B,$A112,'RC Template'!$C:$C,Y$6),Y111*$E$3)</f>
        <v>46.58814862813594</v>
      </c>
      <c r="Z112" s="115">
        <f ca="1">MAX(SUMIFS('RC Template'!$AW:$AW,'RC Template'!$B:$B,$A112,'RC Template'!$C:$C,Z$6),Z111*$E$3)</f>
        <v>52.589621689747588</v>
      </c>
      <c r="AA112" s="115">
        <f ca="1">MAX(SUMIFS('RC Template'!$AW:$AW,'RC Template'!$B:$B,$A112,'RC Template'!$C:$C,AA$6),AA111*$E$3)</f>
        <v>0</v>
      </c>
      <c r="AB112" s="115">
        <f ca="1">MAX(SUMIFS('RC Template'!$AW:$AW,'RC Template'!$B:$B,$A112,'RC Template'!$C:$C,AB$6),AB111*$E$3)</f>
        <v>0</v>
      </c>
      <c r="AC112" s="115">
        <f ca="1">MAX(SUMIFS('RC Template'!$AW:$AW,'RC Template'!$B:$B,$A112,'RC Template'!$C:$C,AC$6),AC111*$E$3)</f>
        <v>0</v>
      </c>
      <c r="AD112" s="115">
        <f ca="1">MAX(SUMIFS('RC Template'!$AW:$AW,'RC Template'!$B:$B,$A112,'RC Template'!$C:$C,AD$6),AD111*$E$3)</f>
        <v>0</v>
      </c>
    </row>
    <row r="113" spans="1:30" x14ac:dyDescent="0.3">
      <c r="A113" s="1">
        <v>43213</v>
      </c>
      <c r="B113" s="115">
        <f t="shared" ca="1" si="9"/>
        <v>766.95496100309185</v>
      </c>
      <c r="C113" s="115" t="e">
        <f>IF(SUMIFS('RC Template'!$AW:$AW,'RC Template'!$B:$B,$A113,'RC Template'!$C:$C,C$6)=0,#N/A,SUMIFS('RC Template'!$AW:$AW,'RC Template'!$B:$B,$A113,'RC Template'!$C:$C,C$6))</f>
        <v>#N/A</v>
      </c>
      <c r="D113" s="115" t="e">
        <f>IF(SUMIFS('RC Template'!$AW:$AW,'RC Template'!$B:$B,$A113,'RC Template'!$C:$C,D$6)=0,#N/A,SUMIFS('RC Template'!$AW:$AW,'RC Template'!$B:$B,$A113,'RC Template'!$C:$C,D$6))</f>
        <v>#N/A</v>
      </c>
      <c r="E113" s="115" t="e">
        <f>IF(SUMIFS('RC Template'!$AW:$AW,'RC Template'!$B:$B,$A113,'RC Template'!$C:$C,E$6)=0,#N/A,SUMIFS('RC Template'!$AW:$AW,'RC Template'!$B:$B,$A113,'RC Template'!$C:$C,E$6))</f>
        <v>#N/A</v>
      </c>
      <c r="F113" s="115" t="e">
        <f>IF(SUMIFS('RC Template'!$AW:$AW,'RC Template'!$B:$B,$A113,'RC Template'!$C:$C,F$6)=0,#N/A,SUMIFS('RC Template'!$AW:$AW,'RC Template'!$B:$B,$A113,'RC Template'!$C:$C,F$6))</f>
        <v>#N/A</v>
      </c>
      <c r="G113" s="115" t="e">
        <f>IF(SUMIFS('RC Template'!$AW:$AW,'RC Template'!$B:$B,$A113,'RC Template'!$C:$C,G$6)=0,#N/A,SUMIFS('RC Template'!$AW:$AW,'RC Template'!$B:$B,$A113,'RC Template'!$C:$C,G$6))</f>
        <v>#N/A</v>
      </c>
      <c r="H113" s="115" t="e">
        <f>IF(SUMIFS('RC Template'!$AW:$AW,'RC Template'!$B:$B,$A113,'RC Template'!$C:$C,H$6)=0,#N/A,SUMIFS('RC Template'!$AW:$AW,'RC Template'!$B:$B,$A113,'RC Template'!$C:$C,H$6))</f>
        <v>#N/A</v>
      </c>
      <c r="I113" s="115" t="e">
        <f>IF(SUMIFS('RC Template'!$AW:$AW,'RC Template'!$B:$B,$A113,'RC Template'!$C:$C,I$6)=0,#N/A,SUMIFS('RC Template'!$AW:$AW,'RC Template'!$B:$B,$A113,'RC Template'!$C:$C,I$6))</f>
        <v>#N/A</v>
      </c>
      <c r="J113" s="115" t="e">
        <f>IF(SUMIFS('RC Template'!$AW:$AW,'RC Template'!$B:$B,$A113,'RC Template'!$C:$C,J$6)=0,#N/A,SUMIFS('RC Template'!$AW:$AW,'RC Template'!$B:$B,$A113,'RC Template'!$C:$C,J$6))</f>
        <v>#N/A</v>
      </c>
      <c r="K113" s="115" t="e">
        <f>IF(SUMIFS('RC Template'!$AW:$AW,'RC Template'!$B:$B,$A113,'RC Template'!$C:$C,K$6)=0,#N/A,SUMIFS('RC Template'!$AW:$AW,'RC Template'!$B:$B,$A113,'RC Template'!$C:$C,K$6))</f>
        <v>#N/A</v>
      </c>
      <c r="L113" s="115" t="e">
        <f>IF(SUMIFS('RC Template'!$AW:$AW,'RC Template'!$B:$B,$A113,'RC Template'!$C:$C,L$6)=0,#N/A,SUMIFS('RC Template'!$AW:$AW,'RC Template'!$B:$B,$A113,'RC Template'!$C:$C,L$6))</f>
        <v>#N/A</v>
      </c>
      <c r="M113" s="115" t="e">
        <f>IF(SUMIFS('RC Template'!$AW:$AW,'RC Template'!$B:$B,$A113,'RC Template'!$C:$C,M$6)=0,#N/A,SUMIFS('RC Template'!$AW:$AW,'RC Template'!$B:$B,$A113,'RC Template'!$C:$C,M$6))</f>
        <v>#N/A</v>
      </c>
      <c r="N113" s="115" t="e">
        <f>IF(SUMIFS('RC Template'!$AW:$AW,'RC Template'!$B:$B,$A113,'RC Template'!$C:$C,N$6)=0,#N/A,SUMIFS('RC Template'!$AW:$AW,'RC Template'!$B:$B,$A113,'RC Template'!$C:$C,N$6))</f>
        <v>#N/A</v>
      </c>
      <c r="O113" s="115" t="e">
        <f>IF(SUMIFS('RC Template'!$AW:$AW,'RC Template'!$B:$B,$A113,'RC Template'!$C:$C,O$6)=0,#N/A,SUMIFS('RC Template'!$AW:$AW,'RC Template'!$B:$B,$A113,'RC Template'!$C:$C,O$6))</f>
        <v>#N/A</v>
      </c>
      <c r="P113" s="115" t="e">
        <f>IF(SUMIFS('RC Template'!$AW:$AW,'RC Template'!$B:$B,$A113,'RC Template'!$C:$C,P$6)=0,#N/A,SUMIFS('RC Template'!$AW:$AW,'RC Template'!$B:$B,$A113,'RC Template'!$C:$C,P$6))</f>
        <v>#N/A</v>
      </c>
      <c r="Q113" s="115">
        <f ca="1">MAX(SUMIFS('RC Template'!$AW:$AW,'RC Template'!$B:$B,$A113,'RC Template'!$C:$C,Q$6),Q112*$E$3)</f>
        <v>309.29248813389933</v>
      </c>
      <c r="R113" s="115">
        <f ca="1">MAX(SUMIFS('RC Template'!$AW:$AW,'RC Template'!$B:$B,$A113,'RC Template'!$C:$C,R$6),R112*$E$3)</f>
        <v>26.377217870485968</v>
      </c>
      <c r="S113" s="115">
        <f ca="1">MAX(SUMIFS('RC Template'!$AW:$AW,'RC Template'!$B:$B,$A113,'RC Template'!$C:$C,S$6),S112*$E$3)</f>
        <v>33.522427207123222</v>
      </c>
      <c r="T113" s="115">
        <f ca="1">MAX(SUMIFS('RC Template'!$AW:$AW,'RC Template'!$B:$B,$A113,'RC Template'!$C:$C,T$6),T112*$E$3)</f>
        <v>3.2761985036153769</v>
      </c>
      <c r="U113" s="115">
        <f ca="1">MAX(SUMIFS('RC Template'!$AW:$AW,'RC Template'!$B:$B,$A113,'RC Template'!$C:$C,U$6),U112*$E$3)</f>
        <v>121.20488712144675</v>
      </c>
      <c r="V113" s="115">
        <f ca="1">MAX(SUMIFS('RC Template'!$AW:$AW,'RC Template'!$B:$B,$A113,'RC Template'!$C:$C,V$6),V112*$E$3)</f>
        <v>41.238139380542748</v>
      </c>
      <c r="W113" s="115">
        <f ca="1">MAX(SUMIFS('RC Template'!$AW:$AW,'RC Template'!$B:$B,$A113,'RC Template'!$C:$C,W$6),W112*$E$3)</f>
        <v>4.4926607131945158</v>
      </c>
      <c r="X113" s="115">
        <f ca="1">MAX(SUMIFS('RC Template'!$AW:$AW,'RC Template'!$B:$B,$A113,'RC Template'!$C:$C,X$6),X112*$E$3)</f>
        <v>130.85261601284748</v>
      </c>
      <c r="Y113" s="115">
        <f ca="1">MAX(SUMIFS('RC Template'!$AW:$AW,'RC Template'!$B:$B,$A113,'RC Template'!$C:$C,Y$6),Y112*$E$3)</f>
        <v>45.423444912432544</v>
      </c>
      <c r="Z113" s="115">
        <f ca="1">MAX(SUMIFS('RC Template'!$AW:$AW,'RC Template'!$B:$B,$A113,'RC Template'!$C:$C,Z$6),Z112*$E$3)</f>
        <v>51.274881147503898</v>
      </c>
      <c r="AA113" s="115">
        <f ca="1">MAX(SUMIFS('RC Template'!$AW:$AW,'RC Template'!$B:$B,$A113,'RC Template'!$C:$C,AA$6),AA112*$E$3)</f>
        <v>0</v>
      </c>
      <c r="AB113" s="115">
        <f ca="1">MAX(SUMIFS('RC Template'!$AW:$AW,'RC Template'!$B:$B,$A113,'RC Template'!$C:$C,AB$6),AB112*$E$3)</f>
        <v>0</v>
      </c>
      <c r="AC113" s="115">
        <f ca="1">MAX(SUMIFS('RC Template'!$AW:$AW,'RC Template'!$B:$B,$A113,'RC Template'!$C:$C,AC$6),AC112*$E$3)</f>
        <v>0</v>
      </c>
      <c r="AD113" s="115">
        <f ca="1">MAX(SUMIFS('RC Template'!$AW:$AW,'RC Template'!$B:$B,$A113,'RC Template'!$C:$C,AD$6),AD112*$E$3)</f>
        <v>0</v>
      </c>
    </row>
    <row r="114" spans="1:30" x14ac:dyDescent="0.3">
      <c r="A114" s="1">
        <v>43214</v>
      </c>
      <c r="B114" s="115">
        <f t="shared" ref="B114:B119" ca="1" si="10">SUM(Q114:AD114)</f>
        <v>747.78108697801451</v>
      </c>
      <c r="C114" s="115" t="e">
        <f>IF(SUMIFS('RC Template'!$AW:$AW,'RC Template'!$B:$B,$A114,'RC Template'!$C:$C,C$6)=0,#N/A,SUMIFS('RC Template'!$AW:$AW,'RC Template'!$B:$B,$A114,'RC Template'!$C:$C,C$6))</f>
        <v>#N/A</v>
      </c>
      <c r="D114" s="115" t="e">
        <f>IF(SUMIFS('RC Template'!$AW:$AW,'RC Template'!$B:$B,$A114,'RC Template'!$C:$C,D$6)=0,#N/A,SUMIFS('RC Template'!$AW:$AW,'RC Template'!$B:$B,$A114,'RC Template'!$C:$C,D$6))</f>
        <v>#N/A</v>
      </c>
      <c r="E114" s="115" t="e">
        <f>IF(SUMIFS('RC Template'!$AW:$AW,'RC Template'!$B:$B,$A114,'RC Template'!$C:$C,E$6)=0,#N/A,SUMIFS('RC Template'!$AW:$AW,'RC Template'!$B:$B,$A114,'RC Template'!$C:$C,E$6))</f>
        <v>#N/A</v>
      </c>
      <c r="F114" s="115" t="e">
        <f>IF(SUMIFS('RC Template'!$AW:$AW,'RC Template'!$B:$B,$A114,'RC Template'!$C:$C,F$6)=0,#N/A,SUMIFS('RC Template'!$AW:$AW,'RC Template'!$B:$B,$A114,'RC Template'!$C:$C,F$6))</f>
        <v>#N/A</v>
      </c>
      <c r="G114" s="115" t="e">
        <f>IF(SUMIFS('RC Template'!$AW:$AW,'RC Template'!$B:$B,$A114,'RC Template'!$C:$C,G$6)=0,#N/A,SUMIFS('RC Template'!$AW:$AW,'RC Template'!$B:$B,$A114,'RC Template'!$C:$C,G$6))</f>
        <v>#N/A</v>
      </c>
      <c r="H114" s="115" t="e">
        <f>IF(SUMIFS('RC Template'!$AW:$AW,'RC Template'!$B:$B,$A114,'RC Template'!$C:$C,H$6)=0,#N/A,SUMIFS('RC Template'!$AW:$AW,'RC Template'!$B:$B,$A114,'RC Template'!$C:$C,H$6))</f>
        <v>#N/A</v>
      </c>
      <c r="I114" s="115" t="e">
        <f>IF(SUMIFS('RC Template'!$AW:$AW,'RC Template'!$B:$B,$A114,'RC Template'!$C:$C,I$6)=0,#N/A,SUMIFS('RC Template'!$AW:$AW,'RC Template'!$B:$B,$A114,'RC Template'!$C:$C,I$6))</f>
        <v>#N/A</v>
      </c>
      <c r="J114" s="115" t="e">
        <f>IF(SUMIFS('RC Template'!$AW:$AW,'RC Template'!$B:$B,$A114,'RC Template'!$C:$C,J$6)=0,#N/A,SUMIFS('RC Template'!$AW:$AW,'RC Template'!$B:$B,$A114,'RC Template'!$C:$C,J$6))</f>
        <v>#N/A</v>
      </c>
      <c r="K114" s="115" t="e">
        <f>IF(SUMIFS('RC Template'!$AW:$AW,'RC Template'!$B:$B,$A114,'RC Template'!$C:$C,K$6)=0,#N/A,SUMIFS('RC Template'!$AW:$AW,'RC Template'!$B:$B,$A114,'RC Template'!$C:$C,K$6))</f>
        <v>#N/A</v>
      </c>
      <c r="L114" s="115" t="e">
        <f>IF(SUMIFS('RC Template'!$AW:$AW,'RC Template'!$B:$B,$A114,'RC Template'!$C:$C,L$6)=0,#N/A,SUMIFS('RC Template'!$AW:$AW,'RC Template'!$B:$B,$A114,'RC Template'!$C:$C,L$6))</f>
        <v>#N/A</v>
      </c>
      <c r="M114" s="115" t="e">
        <f>IF(SUMIFS('RC Template'!$AW:$AW,'RC Template'!$B:$B,$A114,'RC Template'!$C:$C,M$6)=0,#N/A,SUMIFS('RC Template'!$AW:$AW,'RC Template'!$B:$B,$A114,'RC Template'!$C:$C,M$6))</f>
        <v>#N/A</v>
      </c>
      <c r="N114" s="115" t="e">
        <f>IF(SUMIFS('RC Template'!$AW:$AW,'RC Template'!$B:$B,$A114,'RC Template'!$C:$C,N$6)=0,#N/A,SUMIFS('RC Template'!$AW:$AW,'RC Template'!$B:$B,$A114,'RC Template'!$C:$C,N$6))</f>
        <v>#N/A</v>
      </c>
      <c r="O114" s="115" t="e">
        <f>IF(SUMIFS('RC Template'!$AW:$AW,'RC Template'!$B:$B,$A114,'RC Template'!$C:$C,O$6)=0,#N/A,SUMIFS('RC Template'!$AW:$AW,'RC Template'!$B:$B,$A114,'RC Template'!$C:$C,O$6))</f>
        <v>#N/A</v>
      </c>
      <c r="P114" s="115" t="e">
        <f>IF(SUMIFS('RC Template'!$AW:$AW,'RC Template'!$B:$B,$A114,'RC Template'!$C:$C,P$6)=0,#N/A,SUMIFS('RC Template'!$AW:$AW,'RC Template'!$B:$B,$A114,'RC Template'!$C:$C,P$6))</f>
        <v>#N/A</v>
      </c>
      <c r="Q114" s="115">
        <f ca="1">MAX(SUMIFS('RC Template'!$AW:$AW,'RC Template'!$B:$B,$A114,'RC Template'!$C:$C,Q$6),Q113*$E$3)</f>
        <v>301.56017593055185</v>
      </c>
      <c r="R114" s="115">
        <f ca="1">MAX(SUMIFS('RC Template'!$AW:$AW,'RC Template'!$B:$B,$A114,'RC Template'!$C:$C,R$6),R113*$E$3)</f>
        <v>25.717787423723816</v>
      </c>
      <c r="S114" s="115">
        <f ca="1">MAX(SUMIFS('RC Template'!$AW:$AW,'RC Template'!$B:$B,$A114,'RC Template'!$C:$C,S$6),S113*$E$3)</f>
        <v>32.684366526945141</v>
      </c>
      <c r="T114" s="115">
        <f ca="1">MAX(SUMIFS('RC Template'!$AW:$AW,'RC Template'!$B:$B,$A114,'RC Template'!$C:$C,T$6),T113*$E$3)</f>
        <v>3.1942935410249924</v>
      </c>
      <c r="U114" s="115">
        <f ca="1">MAX(SUMIFS('RC Template'!$AW:$AW,'RC Template'!$B:$B,$A114,'RC Template'!$C:$C,U$6),U113*$E$3)</f>
        <v>118.17476494341058</v>
      </c>
      <c r="V114" s="115">
        <f ca="1">MAX(SUMIFS('RC Template'!$AW:$AW,'RC Template'!$B:$B,$A114,'RC Template'!$C:$C,V$6),V113*$E$3)</f>
        <v>40.207185896029181</v>
      </c>
      <c r="W114" s="115">
        <f ca="1">MAX(SUMIFS('RC Template'!$AW:$AW,'RC Template'!$B:$B,$A114,'RC Template'!$C:$C,W$6),W113*$E$3)</f>
        <v>4.3803441953646525</v>
      </c>
      <c r="X114" s="115">
        <f ca="1">MAX(SUMIFS('RC Template'!$AW:$AW,'RC Template'!$B:$B,$A114,'RC Template'!$C:$C,X$6),X113*$E$3)</f>
        <v>127.58130061252629</v>
      </c>
      <c r="Y114" s="115">
        <f ca="1">MAX(SUMIFS('RC Template'!$AW:$AW,'RC Template'!$B:$B,$A114,'RC Template'!$C:$C,Y$6),Y113*$E$3)</f>
        <v>44.28785878962173</v>
      </c>
      <c r="Z114" s="115">
        <f ca="1">MAX(SUMIFS('RC Template'!$AW:$AW,'RC Template'!$B:$B,$A114,'RC Template'!$C:$C,Z$6),Z113*$E$3)</f>
        <v>49.993009118816296</v>
      </c>
      <c r="AA114" s="115">
        <f ca="1">MAX(SUMIFS('RC Template'!$AW:$AW,'RC Template'!$B:$B,$A114,'RC Template'!$C:$C,AA$6),AA113*$E$3)</f>
        <v>0</v>
      </c>
      <c r="AB114" s="115">
        <f ca="1">MAX(SUMIFS('RC Template'!$AW:$AW,'RC Template'!$B:$B,$A114,'RC Template'!$C:$C,AB$6),AB113*$E$3)</f>
        <v>0</v>
      </c>
      <c r="AC114" s="115">
        <f ca="1">MAX(SUMIFS('RC Template'!$AW:$AW,'RC Template'!$B:$B,$A114,'RC Template'!$C:$C,AC$6),AC113*$E$3)</f>
        <v>0</v>
      </c>
      <c r="AD114" s="115">
        <f ca="1">MAX(SUMIFS('RC Template'!$AW:$AW,'RC Template'!$B:$B,$A114,'RC Template'!$C:$C,AD$6),AD113*$E$3)</f>
        <v>0</v>
      </c>
    </row>
    <row r="115" spans="1:30" x14ac:dyDescent="0.3">
      <c r="A115" s="1">
        <v>43215</v>
      </c>
      <c r="B115" s="115">
        <f t="shared" ca="1" si="10"/>
        <v>729.08655980356411</v>
      </c>
      <c r="C115" s="115" t="e">
        <f>IF(SUMIFS('RC Template'!$AW:$AW,'RC Template'!$B:$B,$A115,'RC Template'!$C:$C,C$6)=0,#N/A,SUMIFS('RC Template'!$AW:$AW,'RC Template'!$B:$B,$A115,'RC Template'!$C:$C,C$6))</f>
        <v>#N/A</v>
      </c>
      <c r="D115" s="115" t="e">
        <f>IF(SUMIFS('RC Template'!$AW:$AW,'RC Template'!$B:$B,$A115,'RC Template'!$C:$C,D$6)=0,#N/A,SUMIFS('RC Template'!$AW:$AW,'RC Template'!$B:$B,$A115,'RC Template'!$C:$C,D$6))</f>
        <v>#N/A</v>
      </c>
      <c r="E115" s="115" t="e">
        <f>IF(SUMIFS('RC Template'!$AW:$AW,'RC Template'!$B:$B,$A115,'RC Template'!$C:$C,E$6)=0,#N/A,SUMIFS('RC Template'!$AW:$AW,'RC Template'!$B:$B,$A115,'RC Template'!$C:$C,E$6))</f>
        <v>#N/A</v>
      </c>
      <c r="F115" s="115" t="e">
        <f>IF(SUMIFS('RC Template'!$AW:$AW,'RC Template'!$B:$B,$A115,'RC Template'!$C:$C,F$6)=0,#N/A,SUMIFS('RC Template'!$AW:$AW,'RC Template'!$B:$B,$A115,'RC Template'!$C:$C,F$6))</f>
        <v>#N/A</v>
      </c>
      <c r="G115" s="115" t="e">
        <f>IF(SUMIFS('RC Template'!$AW:$AW,'RC Template'!$B:$B,$A115,'RC Template'!$C:$C,G$6)=0,#N/A,SUMIFS('RC Template'!$AW:$AW,'RC Template'!$B:$B,$A115,'RC Template'!$C:$C,G$6))</f>
        <v>#N/A</v>
      </c>
      <c r="H115" s="115" t="e">
        <f>IF(SUMIFS('RC Template'!$AW:$AW,'RC Template'!$B:$B,$A115,'RC Template'!$C:$C,H$6)=0,#N/A,SUMIFS('RC Template'!$AW:$AW,'RC Template'!$B:$B,$A115,'RC Template'!$C:$C,H$6))</f>
        <v>#N/A</v>
      </c>
      <c r="I115" s="115" t="e">
        <f>IF(SUMIFS('RC Template'!$AW:$AW,'RC Template'!$B:$B,$A115,'RC Template'!$C:$C,I$6)=0,#N/A,SUMIFS('RC Template'!$AW:$AW,'RC Template'!$B:$B,$A115,'RC Template'!$C:$C,I$6))</f>
        <v>#N/A</v>
      </c>
      <c r="J115" s="115" t="e">
        <f>IF(SUMIFS('RC Template'!$AW:$AW,'RC Template'!$B:$B,$A115,'RC Template'!$C:$C,J$6)=0,#N/A,SUMIFS('RC Template'!$AW:$AW,'RC Template'!$B:$B,$A115,'RC Template'!$C:$C,J$6))</f>
        <v>#N/A</v>
      </c>
      <c r="K115" s="115" t="e">
        <f>IF(SUMIFS('RC Template'!$AW:$AW,'RC Template'!$B:$B,$A115,'RC Template'!$C:$C,K$6)=0,#N/A,SUMIFS('RC Template'!$AW:$AW,'RC Template'!$B:$B,$A115,'RC Template'!$C:$C,K$6))</f>
        <v>#N/A</v>
      </c>
      <c r="L115" s="115" t="e">
        <f>IF(SUMIFS('RC Template'!$AW:$AW,'RC Template'!$B:$B,$A115,'RC Template'!$C:$C,L$6)=0,#N/A,SUMIFS('RC Template'!$AW:$AW,'RC Template'!$B:$B,$A115,'RC Template'!$C:$C,L$6))</f>
        <v>#N/A</v>
      </c>
      <c r="M115" s="115" t="e">
        <f>IF(SUMIFS('RC Template'!$AW:$AW,'RC Template'!$B:$B,$A115,'RC Template'!$C:$C,M$6)=0,#N/A,SUMIFS('RC Template'!$AW:$AW,'RC Template'!$B:$B,$A115,'RC Template'!$C:$C,M$6))</f>
        <v>#N/A</v>
      </c>
      <c r="N115" s="115" t="e">
        <f>IF(SUMIFS('RC Template'!$AW:$AW,'RC Template'!$B:$B,$A115,'RC Template'!$C:$C,N$6)=0,#N/A,SUMIFS('RC Template'!$AW:$AW,'RC Template'!$B:$B,$A115,'RC Template'!$C:$C,N$6))</f>
        <v>#N/A</v>
      </c>
      <c r="O115" s="115" t="e">
        <f>IF(SUMIFS('RC Template'!$AW:$AW,'RC Template'!$B:$B,$A115,'RC Template'!$C:$C,O$6)=0,#N/A,SUMIFS('RC Template'!$AW:$AW,'RC Template'!$B:$B,$A115,'RC Template'!$C:$C,O$6))</f>
        <v>#N/A</v>
      </c>
      <c r="P115" s="115" t="e">
        <f>IF(SUMIFS('RC Template'!$AW:$AW,'RC Template'!$B:$B,$A115,'RC Template'!$C:$C,P$6)=0,#N/A,SUMIFS('RC Template'!$AW:$AW,'RC Template'!$B:$B,$A115,'RC Template'!$C:$C,P$6))</f>
        <v>#N/A</v>
      </c>
      <c r="Q115" s="115">
        <f ca="1">MAX(SUMIFS('RC Template'!$AW:$AW,'RC Template'!$B:$B,$A115,'RC Template'!$C:$C,Q$6),Q114*$E$3)</f>
        <v>294.02117153228807</v>
      </c>
      <c r="R115" s="115">
        <f ca="1">MAX(SUMIFS('RC Template'!$AW:$AW,'RC Template'!$B:$B,$A115,'RC Template'!$C:$C,R$6),R114*$E$3)</f>
        <v>25.07484273813072</v>
      </c>
      <c r="S115" s="115">
        <f ca="1">MAX(SUMIFS('RC Template'!$AW:$AW,'RC Template'!$B:$B,$A115,'RC Template'!$C:$C,S$6),S114*$E$3)</f>
        <v>31.867257363771511</v>
      </c>
      <c r="T115" s="115">
        <f ca="1">MAX(SUMIFS('RC Template'!$AW:$AW,'RC Template'!$B:$B,$A115,'RC Template'!$C:$C,T$6),T114*$E$3)</f>
        <v>3.1144362024993675</v>
      </c>
      <c r="U115" s="115">
        <f ca="1">MAX(SUMIFS('RC Template'!$AW:$AW,'RC Template'!$B:$B,$A115,'RC Template'!$C:$C,U$6),U114*$E$3)</f>
        <v>115.22039581982531</v>
      </c>
      <c r="V115" s="115">
        <f ca="1">MAX(SUMIFS('RC Template'!$AW:$AW,'RC Template'!$B:$B,$A115,'RC Template'!$C:$C,V$6),V114*$E$3)</f>
        <v>39.20200624862845</v>
      </c>
      <c r="W115" s="115">
        <f ca="1">MAX(SUMIFS('RC Template'!$AW:$AW,'RC Template'!$B:$B,$A115,'RC Template'!$C:$C,W$6),W114*$E$3)</f>
        <v>4.2708355904805364</v>
      </c>
      <c r="X115" s="115">
        <f ca="1">MAX(SUMIFS('RC Template'!$AW:$AW,'RC Template'!$B:$B,$A115,'RC Template'!$C:$C,X$6),X114*$E$3)</f>
        <v>124.39176809721313</v>
      </c>
      <c r="Y115" s="115">
        <f ca="1">MAX(SUMIFS('RC Template'!$AW:$AW,'RC Template'!$B:$B,$A115,'RC Template'!$C:$C,Y$6),Y114*$E$3)</f>
        <v>43.180662319881186</v>
      </c>
      <c r="Z115" s="115">
        <f ca="1">MAX(SUMIFS('RC Template'!$AW:$AW,'RC Template'!$B:$B,$A115,'RC Template'!$C:$C,Z$6),Z114*$E$3)</f>
        <v>48.743183890845884</v>
      </c>
      <c r="AA115" s="115">
        <f ca="1">MAX(SUMIFS('RC Template'!$AW:$AW,'RC Template'!$B:$B,$A115,'RC Template'!$C:$C,AA$6),AA114*$E$3)</f>
        <v>0</v>
      </c>
      <c r="AB115" s="115">
        <f ca="1">MAX(SUMIFS('RC Template'!$AW:$AW,'RC Template'!$B:$B,$A115,'RC Template'!$C:$C,AB$6),AB114*$E$3)</f>
        <v>0</v>
      </c>
      <c r="AC115" s="115">
        <f ca="1">MAX(SUMIFS('RC Template'!$AW:$AW,'RC Template'!$B:$B,$A115,'RC Template'!$C:$C,AC$6),AC114*$E$3)</f>
        <v>0</v>
      </c>
      <c r="AD115" s="115">
        <f ca="1">MAX(SUMIFS('RC Template'!$AW:$AW,'RC Template'!$B:$B,$A115,'RC Template'!$C:$C,AD$6),AD114*$E$3)</f>
        <v>0</v>
      </c>
    </row>
    <row r="116" spans="1:30" x14ac:dyDescent="0.3">
      <c r="A116" s="1">
        <v>43216</v>
      </c>
      <c r="B116" s="115">
        <f t="shared" ca="1" si="10"/>
        <v>710.85939580847503</v>
      </c>
      <c r="C116" s="115" t="e">
        <f>IF(SUMIFS('RC Template'!$AW:$AW,'RC Template'!$B:$B,$A116,'RC Template'!$C:$C,C$6)=0,#N/A,SUMIFS('RC Template'!$AW:$AW,'RC Template'!$B:$B,$A116,'RC Template'!$C:$C,C$6))</f>
        <v>#N/A</v>
      </c>
      <c r="D116" s="115" t="e">
        <f>IF(SUMIFS('RC Template'!$AW:$AW,'RC Template'!$B:$B,$A116,'RC Template'!$C:$C,D$6)=0,#N/A,SUMIFS('RC Template'!$AW:$AW,'RC Template'!$B:$B,$A116,'RC Template'!$C:$C,D$6))</f>
        <v>#N/A</v>
      </c>
      <c r="E116" s="115" t="e">
        <f>IF(SUMIFS('RC Template'!$AW:$AW,'RC Template'!$B:$B,$A116,'RC Template'!$C:$C,E$6)=0,#N/A,SUMIFS('RC Template'!$AW:$AW,'RC Template'!$B:$B,$A116,'RC Template'!$C:$C,E$6))</f>
        <v>#N/A</v>
      </c>
      <c r="F116" s="115" t="e">
        <f>IF(SUMIFS('RC Template'!$AW:$AW,'RC Template'!$B:$B,$A116,'RC Template'!$C:$C,F$6)=0,#N/A,SUMIFS('RC Template'!$AW:$AW,'RC Template'!$B:$B,$A116,'RC Template'!$C:$C,F$6))</f>
        <v>#N/A</v>
      </c>
      <c r="G116" s="115" t="e">
        <f>IF(SUMIFS('RC Template'!$AW:$AW,'RC Template'!$B:$B,$A116,'RC Template'!$C:$C,G$6)=0,#N/A,SUMIFS('RC Template'!$AW:$AW,'RC Template'!$B:$B,$A116,'RC Template'!$C:$C,G$6))</f>
        <v>#N/A</v>
      </c>
      <c r="H116" s="115" t="e">
        <f>IF(SUMIFS('RC Template'!$AW:$AW,'RC Template'!$B:$B,$A116,'RC Template'!$C:$C,H$6)=0,#N/A,SUMIFS('RC Template'!$AW:$AW,'RC Template'!$B:$B,$A116,'RC Template'!$C:$C,H$6))</f>
        <v>#N/A</v>
      </c>
      <c r="I116" s="115" t="e">
        <f>IF(SUMIFS('RC Template'!$AW:$AW,'RC Template'!$B:$B,$A116,'RC Template'!$C:$C,I$6)=0,#N/A,SUMIFS('RC Template'!$AW:$AW,'RC Template'!$B:$B,$A116,'RC Template'!$C:$C,I$6))</f>
        <v>#N/A</v>
      </c>
      <c r="J116" s="115" t="e">
        <f>IF(SUMIFS('RC Template'!$AW:$AW,'RC Template'!$B:$B,$A116,'RC Template'!$C:$C,J$6)=0,#N/A,SUMIFS('RC Template'!$AW:$AW,'RC Template'!$B:$B,$A116,'RC Template'!$C:$C,J$6))</f>
        <v>#N/A</v>
      </c>
      <c r="K116" s="115" t="e">
        <f>IF(SUMIFS('RC Template'!$AW:$AW,'RC Template'!$B:$B,$A116,'RC Template'!$C:$C,K$6)=0,#N/A,SUMIFS('RC Template'!$AW:$AW,'RC Template'!$B:$B,$A116,'RC Template'!$C:$C,K$6))</f>
        <v>#N/A</v>
      </c>
      <c r="L116" s="115" t="e">
        <f>IF(SUMIFS('RC Template'!$AW:$AW,'RC Template'!$B:$B,$A116,'RC Template'!$C:$C,L$6)=0,#N/A,SUMIFS('RC Template'!$AW:$AW,'RC Template'!$B:$B,$A116,'RC Template'!$C:$C,L$6))</f>
        <v>#N/A</v>
      </c>
      <c r="M116" s="115" t="e">
        <f>IF(SUMIFS('RC Template'!$AW:$AW,'RC Template'!$B:$B,$A116,'RC Template'!$C:$C,M$6)=0,#N/A,SUMIFS('RC Template'!$AW:$AW,'RC Template'!$B:$B,$A116,'RC Template'!$C:$C,M$6))</f>
        <v>#N/A</v>
      </c>
      <c r="N116" s="115" t="e">
        <f>IF(SUMIFS('RC Template'!$AW:$AW,'RC Template'!$B:$B,$A116,'RC Template'!$C:$C,N$6)=0,#N/A,SUMIFS('RC Template'!$AW:$AW,'RC Template'!$B:$B,$A116,'RC Template'!$C:$C,N$6))</f>
        <v>#N/A</v>
      </c>
      <c r="O116" s="115" t="e">
        <f>IF(SUMIFS('RC Template'!$AW:$AW,'RC Template'!$B:$B,$A116,'RC Template'!$C:$C,O$6)=0,#N/A,SUMIFS('RC Template'!$AW:$AW,'RC Template'!$B:$B,$A116,'RC Template'!$C:$C,O$6))</f>
        <v>#N/A</v>
      </c>
      <c r="P116" s="115" t="e">
        <f>IF(SUMIFS('RC Template'!$AW:$AW,'RC Template'!$B:$B,$A116,'RC Template'!$C:$C,P$6)=0,#N/A,SUMIFS('RC Template'!$AW:$AW,'RC Template'!$B:$B,$A116,'RC Template'!$C:$C,P$6))</f>
        <v>#N/A</v>
      </c>
      <c r="Q116" s="115">
        <f ca="1">MAX(SUMIFS('RC Template'!$AW:$AW,'RC Template'!$B:$B,$A116,'RC Template'!$C:$C,Q$6),Q115*$E$3)</f>
        <v>286.67064224398086</v>
      </c>
      <c r="R116" s="115">
        <f ca="1">MAX(SUMIFS('RC Template'!$AW:$AW,'RC Template'!$B:$B,$A116,'RC Template'!$C:$C,R$6),R115*$E$3)</f>
        <v>24.44797166967745</v>
      </c>
      <c r="S116" s="115">
        <f ca="1">MAX(SUMIFS('RC Template'!$AW:$AW,'RC Template'!$B:$B,$A116,'RC Template'!$C:$C,S$6),S115*$E$3)</f>
        <v>31.070575929677222</v>
      </c>
      <c r="T116" s="115">
        <f ca="1">MAX(SUMIFS('RC Template'!$AW:$AW,'RC Template'!$B:$B,$A116,'RC Template'!$C:$C,T$6),T115*$E$3)</f>
        <v>3.0365752974368831</v>
      </c>
      <c r="U116" s="115">
        <f ca="1">MAX(SUMIFS('RC Template'!$AW:$AW,'RC Template'!$B:$B,$A116,'RC Template'!$C:$C,U$6),U115*$E$3)</f>
        <v>112.33988592432968</v>
      </c>
      <c r="V116" s="115">
        <f ca="1">MAX(SUMIFS('RC Template'!$AW:$AW,'RC Template'!$B:$B,$A116,'RC Template'!$C:$C,V$6),V115*$E$3)</f>
        <v>38.221956092412739</v>
      </c>
      <c r="W116" s="115">
        <f ca="1">MAX(SUMIFS('RC Template'!$AW:$AW,'RC Template'!$B:$B,$A116,'RC Template'!$C:$C,W$6),W115*$E$3)</f>
        <v>4.164064700718523</v>
      </c>
      <c r="X116" s="115">
        <f ca="1">MAX(SUMIFS('RC Template'!$AW:$AW,'RC Template'!$B:$B,$A116,'RC Template'!$C:$C,X$6),X115*$E$3)</f>
        <v>121.28197389478279</v>
      </c>
      <c r="Y116" s="115">
        <f ca="1">MAX(SUMIFS('RC Template'!$AW:$AW,'RC Template'!$B:$B,$A116,'RC Template'!$C:$C,Y$6),Y115*$E$3)</f>
        <v>42.101145761884155</v>
      </c>
      <c r="Z116" s="115">
        <f ca="1">MAX(SUMIFS('RC Template'!$AW:$AW,'RC Template'!$B:$B,$A116,'RC Template'!$C:$C,Z$6),Z115*$E$3)</f>
        <v>47.524604293574733</v>
      </c>
      <c r="AA116" s="115">
        <f ca="1">MAX(SUMIFS('RC Template'!$AW:$AW,'RC Template'!$B:$B,$A116,'RC Template'!$C:$C,AA$6),AA115*$E$3)</f>
        <v>0</v>
      </c>
      <c r="AB116" s="115">
        <f ca="1">MAX(SUMIFS('RC Template'!$AW:$AW,'RC Template'!$B:$B,$A116,'RC Template'!$C:$C,AB$6),AB115*$E$3)</f>
        <v>0</v>
      </c>
      <c r="AC116" s="115">
        <f ca="1">MAX(SUMIFS('RC Template'!$AW:$AW,'RC Template'!$B:$B,$A116,'RC Template'!$C:$C,AC$6),AC115*$E$3)</f>
        <v>0</v>
      </c>
      <c r="AD116" s="115">
        <f ca="1">MAX(SUMIFS('RC Template'!$AW:$AW,'RC Template'!$B:$B,$A116,'RC Template'!$C:$C,AD$6),AD115*$E$3)</f>
        <v>0</v>
      </c>
    </row>
    <row r="117" spans="1:30" x14ac:dyDescent="0.3">
      <c r="A117" s="1">
        <v>43217</v>
      </c>
      <c r="B117" s="115">
        <f t="shared" ca="1" si="10"/>
        <v>693.08791091326304</v>
      </c>
      <c r="C117" s="115" t="e">
        <f>IF(SUMIFS('RC Template'!$AW:$AW,'RC Template'!$B:$B,$A117,'RC Template'!$C:$C,C$6)=0,#N/A,SUMIFS('RC Template'!$AW:$AW,'RC Template'!$B:$B,$A117,'RC Template'!$C:$C,C$6))</f>
        <v>#N/A</v>
      </c>
      <c r="D117" s="115" t="e">
        <f>IF(SUMIFS('RC Template'!$AW:$AW,'RC Template'!$B:$B,$A117,'RC Template'!$C:$C,D$6)=0,#N/A,SUMIFS('RC Template'!$AW:$AW,'RC Template'!$B:$B,$A117,'RC Template'!$C:$C,D$6))</f>
        <v>#N/A</v>
      </c>
      <c r="E117" s="115" t="e">
        <f>IF(SUMIFS('RC Template'!$AW:$AW,'RC Template'!$B:$B,$A117,'RC Template'!$C:$C,E$6)=0,#N/A,SUMIFS('RC Template'!$AW:$AW,'RC Template'!$B:$B,$A117,'RC Template'!$C:$C,E$6))</f>
        <v>#N/A</v>
      </c>
      <c r="F117" s="115" t="e">
        <f>IF(SUMIFS('RC Template'!$AW:$AW,'RC Template'!$B:$B,$A117,'RC Template'!$C:$C,F$6)=0,#N/A,SUMIFS('RC Template'!$AW:$AW,'RC Template'!$B:$B,$A117,'RC Template'!$C:$C,F$6))</f>
        <v>#N/A</v>
      </c>
      <c r="G117" s="115" t="e">
        <f>IF(SUMIFS('RC Template'!$AW:$AW,'RC Template'!$B:$B,$A117,'RC Template'!$C:$C,G$6)=0,#N/A,SUMIFS('RC Template'!$AW:$AW,'RC Template'!$B:$B,$A117,'RC Template'!$C:$C,G$6))</f>
        <v>#N/A</v>
      </c>
      <c r="H117" s="115" t="e">
        <f>IF(SUMIFS('RC Template'!$AW:$AW,'RC Template'!$B:$B,$A117,'RC Template'!$C:$C,H$6)=0,#N/A,SUMIFS('RC Template'!$AW:$AW,'RC Template'!$B:$B,$A117,'RC Template'!$C:$C,H$6))</f>
        <v>#N/A</v>
      </c>
      <c r="I117" s="115" t="e">
        <f>IF(SUMIFS('RC Template'!$AW:$AW,'RC Template'!$B:$B,$A117,'RC Template'!$C:$C,I$6)=0,#N/A,SUMIFS('RC Template'!$AW:$AW,'RC Template'!$B:$B,$A117,'RC Template'!$C:$C,I$6))</f>
        <v>#N/A</v>
      </c>
      <c r="J117" s="115" t="e">
        <f>IF(SUMIFS('RC Template'!$AW:$AW,'RC Template'!$B:$B,$A117,'RC Template'!$C:$C,J$6)=0,#N/A,SUMIFS('RC Template'!$AW:$AW,'RC Template'!$B:$B,$A117,'RC Template'!$C:$C,J$6))</f>
        <v>#N/A</v>
      </c>
      <c r="K117" s="115" t="e">
        <f>IF(SUMIFS('RC Template'!$AW:$AW,'RC Template'!$B:$B,$A117,'RC Template'!$C:$C,K$6)=0,#N/A,SUMIFS('RC Template'!$AW:$AW,'RC Template'!$B:$B,$A117,'RC Template'!$C:$C,K$6))</f>
        <v>#N/A</v>
      </c>
      <c r="L117" s="115" t="e">
        <f>IF(SUMIFS('RC Template'!$AW:$AW,'RC Template'!$B:$B,$A117,'RC Template'!$C:$C,L$6)=0,#N/A,SUMIFS('RC Template'!$AW:$AW,'RC Template'!$B:$B,$A117,'RC Template'!$C:$C,L$6))</f>
        <v>#N/A</v>
      </c>
      <c r="M117" s="115" t="e">
        <f>IF(SUMIFS('RC Template'!$AW:$AW,'RC Template'!$B:$B,$A117,'RC Template'!$C:$C,M$6)=0,#N/A,SUMIFS('RC Template'!$AW:$AW,'RC Template'!$B:$B,$A117,'RC Template'!$C:$C,M$6))</f>
        <v>#N/A</v>
      </c>
      <c r="N117" s="115" t="e">
        <f>IF(SUMIFS('RC Template'!$AW:$AW,'RC Template'!$B:$B,$A117,'RC Template'!$C:$C,N$6)=0,#N/A,SUMIFS('RC Template'!$AW:$AW,'RC Template'!$B:$B,$A117,'RC Template'!$C:$C,N$6))</f>
        <v>#N/A</v>
      </c>
      <c r="O117" s="115" t="e">
        <f>IF(SUMIFS('RC Template'!$AW:$AW,'RC Template'!$B:$B,$A117,'RC Template'!$C:$C,O$6)=0,#N/A,SUMIFS('RC Template'!$AW:$AW,'RC Template'!$B:$B,$A117,'RC Template'!$C:$C,O$6))</f>
        <v>#N/A</v>
      </c>
      <c r="P117" s="115" t="e">
        <f>IF(SUMIFS('RC Template'!$AW:$AW,'RC Template'!$B:$B,$A117,'RC Template'!$C:$C,P$6)=0,#N/A,SUMIFS('RC Template'!$AW:$AW,'RC Template'!$B:$B,$A117,'RC Template'!$C:$C,P$6))</f>
        <v>#N/A</v>
      </c>
      <c r="Q117" s="115">
        <f ca="1">MAX(SUMIFS('RC Template'!$AW:$AW,'RC Template'!$B:$B,$A117,'RC Template'!$C:$C,Q$6),Q116*$E$3)</f>
        <v>279.50387618788136</v>
      </c>
      <c r="R117" s="115">
        <f ca="1">MAX(SUMIFS('RC Template'!$AW:$AW,'RC Template'!$B:$B,$A117,'RC Template'!$C:$C,R$6),R116*$E$3)</f>
        <v>23.836772377935514</v>
      </c>
      <c r="S117" s="115">
        <f ca="1">MAX(SUMIFS('RC Template'!$AW:$AW,'RC Template'!$B:$B,$A117,'RC Template'!$C:$C,S$6),S116*$E$3)</f>
        <v>30.293811531435292</v>
      </c>
      <c r="T117" s="115">
        <f ca="1">MAX(SUMIFS('RC Template'!$AW:$AW,'RC Template'!$B:$B,$A117,'RC Template'!$C:$C,T$6),T116*$E$3)</f>
        <v>2.9606609150009611</v>
      </c>
      <c r="U117" s="115">
        <f ca="1">MAX(SUMIFS('RC Template'!$AW:$AW,'RC Template'!$B:$B,$A117,'RC Template'!$C:$C,U$6),U116*$E$3)</f>
        <v>109.53138877622143</v>
      </c>
      <c r="V117" s="115">
        <f ca="1">MAX(SUMIFS('RC Template'!$AW:$AW,'RC Template'!$B:$B,$A117,'RC Template'!$C:$C,V$6),V116*$E$3)</f>
        <v>37.26640719010242</v>
      </c>
      <c r="W117" s="115">
        <f ca="1">MAX(SUMIFS('RC Template'!$AW:$AW,'RC Template'!$B:$B,$A117,'RC Template'!$C:$C,W$6),W116*$E$3)</f>
        <v>4.05996308320056</v>
      </c>
      <c r="X117" s="115">
        <f ca="1">MAX(SUMIFS('RC Template'!$AW:$AW,'RC Template'!$B:$B,$A117,'RC Template'!$C:$C,X$6),X116*$E$3)</f>
        <v>118.24992454741322</v>
      </c>
      <c r="Y117" s="115">
        <f ca="1">MAX(SUMIFS('RC Template'!$AW:$AW,'RC Template'!$B:$B,$A117,'RC Template'!$C:$C,Y$6),Y116*$E$3)</f>
        <v>41.048617117837047</v>
      </c>
      <c r="Z117" s="115">
        <f ca="1">MAX(SUMIFS('RC Template'!$AW:$AW,'RC Template'!$B:$B,$A117,'RC Template'!$C:$C,Z$6),Z116*$E$3)</f>
        <v>46.336489186235362</v>
      </c>
      <c r="AA117" s="115">
        <f ca="1">MAX(SUMIFS('RC Template'!$AW:$AW,'RC Template'!$B:$B,$A117,'RC Template'!$C:$C,AA$6),AA116*$E$3)</f>
        <v>0</v>
      </c>
      <c r="AB117" s="115">
        <f ca="1">MAX(SUMIFS('RC Template'!$AW:$AW,'RC Template'!$B:$B,$A117,'RC Template'!$C:$C,AB$6),AB116*$E$3)</f>
        <v>0</v>
      </c>
      <c r="AC117" s="115">
        <f ca="1">MAX(SUMIFS('RC Template'!$AW:$AW,'RC Template'!$B:$B,$A117,'RC Template'!$C:$C,AC$6),AC116*$E$3)</f>
        <v>0</v>
      </c>
      <c r="AD117" s="115">
        <f ca="1">MAX(SUMIFS('RC Template'!$AW:$AW,'RC Template'!$B:$B,$A117,'RC Template'!$C:$C,AD$6),AD116*$E$3)</f>
        <v>0</v>
      </c>
    </row>
    <row r="118" spans="1:30" x14ac:dyDescent="0.3">
      <c r="A118" s="1">
        <v>43218</v>
      </c>
      <c r="B118" s="115">
        <f t="shared" ca="1" si="10"/>
        <v>675.76071314043156</v>
      </c>
      <c r="C118" s="115" t="e">
        <f>IF(SUMIFS('RC Template'!$AW:$AW,'RC Template'!$B:$B,$A118,'RC Template'!$C:$C,C$6)=0,#N/A,SUMIFS('RC Template'!$AW:$AW,'RC Template'!$B:$B,$A118,'RC Template'!$C:$C,C$6))</f>
        <v>#N/A</v>
      </c>
      <c r="D118" s="115" t="e">
        <f>IF(SUMIFS('RC Template'!$AW:$AW,'RC Template'!$B:$B,$A118,'RC Template'!$C:$C,D$6)=0,#N/A,SUMIFS('RC Template'!$AW:$AW,'RC Template'!$B:$B,$A118,'RC Template'!$C:$C,D$6))</f>
        <v>#N/A</v>
      </c>
      <c r="E118" s="115" t="e">
        <f>IF(SUMIFS('RC Template'!$AW:$AW,'RC Template'!$B:$B,$A118,'RC Template'!$C:$C,E$6)=0,#N/A,SUMIFS('RC Template'!$AW:$AW,'RC Template'!$B:$B,$A118,'RC Template'!$C:$C,E$6))</f>
        <v>#N/A</v>
      </c>
      <c r="F118" s="115" t="e">
        <f>IF(SUMIFS('RC Template'!$AW:$AW,'RC Template'!$B:$B,$A118,'RC Template'!$C:$C,F$6)=0,#N/A,SUMIFS('RC Template'!$AW:$AW,'RC Template'!$B:$B,$A118,'RC Template'!$C:$C,F$6))</f>
        <v>#N/A</v>
      </c>
      <c r="G118" s="115" t="e">
        <f>IF(SUMIFS('RC Template'!$AW:$AW,'RC Template'!$B:$B,$A118,'RC Template'!$C:$C,G$6)=0,#N/A,SUMIFS('RC Template'!$AW:$AW,'RC Template'!$B:$B,$A118,'RC Template'!$C:$C,G$6))</f>
        <v>#N/A</v>
      </c>
      <c r="H118" s="115" t="e">
        <f>IF(SUMIFS('RC Template'!$AW:$AW,'RC Template'!$B:$B,$A118,'RC Template'!$C:$C,H$6)=0,#N/A,SUMIFS('RC Template'!$AW:$AW,'RC Template'!$B:$B,$A118,'RC Template'!$C:$C,H$6))</f>
        <v>#N/A</v>
      </c>
      <c r="I118" s="115" t="e">
        <f>IF(SUMIFS('RC Template'!$AW:$AW,'RC Template'!$B:$B,$A118,'RC Template'!$C:$C,I$6)=0,#N/A,SUMIFS('RC Template'!$AW:$AW,'RC Template'!$B:$B,$A118,'RC Template'!$C:$C,I$6))</f>
        <v>#N/A</v>
      </c>
      <c r="J118" s="115" t="e">
        <f>IF(SUMIFS('RC Template'!$AW:$AW,'RC Template'!$B:$B,$A118,'RC Template'!$C:$C,J$6)=0,#N/A,SUMIFS('RC Template'!$AW:$AW,'RC Template'!$B:$B,$A118,'RC Template'!$C:$C,J$6))</f>
        <v>#N/A</v>
      </c>
      <c r="K118" s="115" t="e">
        <f>IF(SUMIFS('RC Template'!$AW:$AW,'RC Template'!$B:$B,$A118,'RC Template'!$C:$C,K$6)=0,#N/A,SUMIFS('RC Template'!$AW:$AW,'RC Template'!$B:$B,$A118,'RC Template'!$C:$C,K$6))</f>
        <v>#N/A</v>
      </c>
      <c r="L118" s="115" t="e">
        <f>IF(SUMIFS('RC Template'!$AW:$AW,'RC Template'!$B:$B,$A118,'RC Template'!$C:$C,L$6)=0,#N/A,SUMIFS('RC Template'!$AW:$AW,'RC Template'!$B:$B,$A118,'RC Template'!$C:$C,L$6))</f>
        <v>#N/A</v>
      </c>
      <c r="M118" s="115" t="e">
        <f>IF(SUMIFS('RC Template'!$AW:$AW,'RC Template'!$B:$B,$A118,'RC Template'!$C:$C,M$6)=0,#N/A,SUMIFS('RC Template'!$AW:$AW,'RC Template'!$B:$B,$A118,'RC Template'!$C:$C,M$6))</f>
        <v>#N/A</v>
      </c>
      <c r="N118" s="115" t="e">
        <f>IF(SUMIFS('RC Template'!$AW:$AW,'RC Template'!$B:$B,$A118,'RC Template'!$C:$C,N$6)=0,#N/A,SUMIFS('RC Template'!$AW:$AW,'RC Template'!$B:$B,$A118,'RC Template'!$C:$C,N$6))</f>
        <v>#N/A</v>
      </c>
      <c r="O118" s="115" t="e">
        <f>IF(SUMIFS('RC Template'!$AW:$AW,'RC Template'!$B:$B,$A118,'RC Template'!$C:$C,O$6)=0,#N/A,SUMIFS('RC Template'!$AW:$AW,'RC Template'!$B:$B,$A118,'RC Template'!$C:$C,O$6))</f>
        <v>#N/A</v>
      </c>
      <c r="P118" s="115" t="e">
        <f>IF(SUMIFS('RC Template'!$AW:$AW,'RC Template'!$B:$B,$A118,'RC Template'!$C:$C,P$6)=0,#N/A,SUMIFS('RC Template'!$AW:$AW,'RC Template'!$B:$B,$A118,'RC Template'!$C:$C,P$6))</f>
        <v>#N/A</v>
      </c>
      <c r="Q118" s="115">
        <f ca="1">MAX(SUMIFS('RC Template'!$AW:$AW,'RC Template'!$B:$B,$A118,'RC Template'!$C:$C,Q$6),Q117*$E$3)</f>
        <v>272.5162792831843</v>
      </c>
      <c r="R118" s="115">
        <f ca="1">MAX(SUMIFS('RC Template'!$AW:$AW,'RC Template'!$B:$B,$A118,'RC Template'!$C:$C,R$6),R117*$E$3)</f>
        <v>23.240853068487127</v>
      </c>
      <c r="S118" s="115">
        <f ca="1">MAX(SUMIFS('RC Template'!$AW:$AW,'RC Template'!$B:$B,$A118,'RC Template'!$C:$C,S$6),S117*$E$3)</f>
        <v>29.536466243149409</v>
      </c>
      <c r="T118" s="115">
        <f ca="1">MAX(SUMIFS('RC Template'!$AW:$AW,'RC Template'!$B:$B,$A118,'RC Template'!$C:$C,T$6),T117*$E$3)</f>
        <v>2.886644392125937</v>
      </c>
      <c r="U118" s="115">
        <f ca="1">MAX(SUMIFS('RC Template'!$AW:$AW,'RC Template'!$B:$B,$A118,'RC Template'!$C:$C,U$6),U117*$E$3)</f>
        <v>106.79310405681589</v>
      </c>
      <c r="V118" s="115">
        <f ca="1">MAX(SUMIFS('RC Template'!$AW:$AW,'RC Template'!$B:$B,$A118,'RC Template'!$C:$C,V$6),V117*$E$3)</f>
        <v>36.334747010349858</v>
      </c>
      <c r="W118" s="115">
        <f ca="1">MAX(SUMIFS('RC Template'!$AW:$AW,'RC Template'!$B:$B,$A118,'RC Template'!$C:$C,W$6),W117*$E$3)</f>
        <v>3.9584640061205461</v>
      </c>
      <c r="X118" s="115">
        <f ca="1">MAX(SUMIFS('RC Template'!$AW:$AW,'RC Template'!$B:$B,$A118,'RC Template'!$C:$C,X$6),X117*$E$3)</f>
        <v>115.29367643372788</v>
      </c>
      <c r="Y118" s="115">
        <f ca="1">MAX(SUMIFS('RC Template'!$AW:$AW,'RC Template'!$B:$B,$A118,'RC Template'!$C:$C,Y$6),Y117*$E$3)</f>
        <v>40.022401689891119</v>
      </c>
      <c r="Z118" s="115">
        <f ca="1">MAX(SUMIFS('RC Template'!$AW:$AW,'RC Template'!$B:$B,$A118,'RC Template'!$C:$C,Z$6),Z117*$E$3)</f>
        <v>45.178076956579474</v>
      </c>
      <c r="AA118" s="115">
        <f ca="1">MAX(SUMIFS('RC Template'!$AW:$AW,'RC Template'!$B:$B,$A118,'RC Template'!$C:$C,AA$6),AA117*$E$3)</f>
        <v>0</v>
      </c>
      <c r="AB118" s="115">
        <f ca="1">MAX(SUMIFS('RC Template'!$AW:$AW,'RC Template'!$B:$B,$A118,'RC Template'!$C:$C,AB$6),AB117*$E$3)</f>
        <v>0</v>
      </c>
      <c r="AC118" s="115">
        <f ca="1">MAX(SUMIFS('RC Template'!$AW:$AW,'RC Template'!$B:$B,$A118,'RC Template'!$C:$C,AC$6),AC117*$E$3)</f>
        <v>0</v>
      </c>
      <c r="AD118" s="115">
        <f ca="1">MAX(SUMIFS('RC Template'!$AW:$AW,'RC Template'!$B:$B,$A118,'RC Template'!$C:$C,AD$6),AD117*$E$3)</f>
        <v>0</v>
      </c>
    </row>
    <row r="119" spans="1:30" x14ac:dyDescent="0.3">
      <c r="A119" s="1">
        <v>43219</v>
      </c>
      <c r="B119" s="115">
        <f t="shared" ca="1" si="10"/>
        <v>686.95223326746407</v>
      </c>
      <c r="C119" s="115">
        <f ca="1">IF(SUMIFS('RC Template'!$AW:$AW,'RC Template'!$B:$B,$A119,'RC Template'!$C:$C,C$6)=0,#N/A,SUMIFS('RC Template'!$AW:$AW,'RC Template'!$B:$B,$A119,'RC Template'!$C:$C,C$6))</f>
        <v>270.75301653285527</v>
      </c>
      <c r="D119" s="115" t="e">
        <f>IF(SUMIFS('RC Template'!$AW:$AW,'RC Template'!$B:$B,$A119,'RC Template'!$C:$C,D$6)=0,#N/A,SUMIFS('RC Template'!$AW:$AW,'RC Template'!$B:$B,$A119,'RC Template'!$C:$C,D$6))</f>
        <v>#N/A</v>
      </c>
      <c r="E119" s="115" t="e">
        <f>IF(SUMIFS('RC Template'!$AW:$AW,'RC Template'!$B:$B,$A119,'RC Template'!$C:$C,E$6)=0,#N/A,SUMIFS('RC Template'!$AW:$AW,'RC Template'!$B:$B,$A119,'RC Template'!$C:$C,E$6))</f>
        <v>#N/A</v>
      </c>
      <c r="F119" s="115" t="e">
        <f>IF(SUMIFS('RC Template'!$AW:$AW,'RC Template'!$B:$B,$A119,'RC Template'!$C:$C,F$6)=0,#N/A,SUMIFS('RC Template'!$AW:$AW,'RC Template'!$B:$B,$A119,'RC Template'!$C:$C,F$6))</f>
        <v>#N/A</v>
      </c>
      <c r="G119" s="115">
        <f ca="1">IF(SUMIFS('RC Template'!$AW:$AW,'RC Template'!$B:$B,$A119,'RC Template'!$C:$C,G$6)=0,#N/A,SUMIFS('RC Template'!$AW:$AW,'RC Template'!$B:$B,$A119,'RC Template'!$C:$C,G$6))</f>
        <v>109.26576321476189</v>
      </c>
      <c r="H119" s="115" t="e">
        <f>IF(SUMIFS('RC Template'!$AW:$AW,'RC Template'!$B:$B,$A119,'RC Template'!$C:$C,H$6)=0,#N/A,SUMIFS('RC Template'!$AW:$AW,'RC Template'!$B:$B,$A119,'RC Template'!$C:$C,H$6))</f>
        <v>#N/A</v>
      </c>
      <c r="I119" s="115" t="e">
        <f>IF(SUMIFS('RC Template'!$AW:$AW,'RC Template'!$B:$B,$A119,'RC Template'!$C:$C,I$6)=0,#N/A,SUMIFS('RC Template'!$AW:$AW,'RC Template'!$B:$B,$A119,'RC Template'!$C:$C,I$6))</f>
        <v>#N/A</v>
      </c>
      <c r="J119" s="115">
        <f ca="1">IF(SUMIFS('RC Template'!$AW:$AW,'RC Template'!$B:$B,$A119,'RC Template'!$C:$C,J$6)=0,#N/A,SUMIFS('RC Template'!$AW:$AW,'RC Template'!$B:$B,$A119,'RC Template'!$C:$C,J$6))</f>
        <v>130.30474148731108</v>
      </c>
      <c r="K119" s="115" t="e">
        <f>IF(SUMIFS('RC Template'!$AW:$AW,'RC Template'!$B:$B,$A119,'RC Template'!$C:$C,K$6)=0,#N/A,SUMIFS('RC Template'!$AW:$AW,'RC Template'!$B:$B,$A119,'RC Template'!$C:$C,K$6))</f>
        <v>#N/A</v>
      </c>
      <c r="L119" s="115" t="e">
        <f>IF(SUMIFS('RC Template'!$AW:$AW,'RC Template'!$B:$B,$A119,'RC Template'!$C:$C,L$6)=0,#N/A,SUMIFS('RC Template'!$AW:$AW,'RC Template'!$B:$B,$A119,'RC Template'!$C:$C,L$6))</f>
        <v>#N/A</v>
      </c>
      <c r="M119" s="115" t="e">
        <f>IF(SUMIFS('RC Template'!$AW:$AW,'RC Template'!$B:$B,$A119,'RC Template'!$C:$C,M$6)=0,#N/A,SUMIFS('RC Template'!$AW:$AW,'RC Template'!$B:$B,$A119,'RC Template'!$C:$C,M$6))</f>
        <v>#N/A</v>
      </c>
      <c r="N119" s="115" t="e">
        <f>IF(SUMIFS('RC Template'!$AW:$AW,'RC Template'!$B:$B,$A119,'RC Template'!$C:$C,N$6)=0,#N/A,SUMIFS('RC Template'!$AW:$AW,'RC Template'!$B:$B,$A119,'RC Template'!$C:$C,N$6))</f>
        <v>#N/A</v>
      </c>
      <c r="O119" s="115" t="e">
        <f>IF(SUMIFS('RC Template'!$AW:$AW,'RC Template'!$B:$B,$A119,'RC Template'!$C:$C,O$6)=0,#N/A,SUMIFS('RC Template'!$AW:$AW,'RC Template'!$B:$B,$A119,'RC Template'!$C:$C,O$6))</f>
        <v>#N/A</v>
      </c>
      <c r="P119" s="115" t="e">
        <f>IF(SUMIFS('RC Template'!$AW:$AW,'RC Template'!$B:$B,$A119,'RC Template'!$C:$C,P$6)=0,#N/A,SUMIFS('RC Template'!$AW:$AW,'RC Template'!$B:$B,$A119,'RC Template'!$C:$C,P$6))</f>
        <v>#N/A</v>
      </c>
      <c r="Q119" s="115">
        <f ca="1">MAX(SUMIFS('RC Template'!$AW:$AW,'RC Template'!$B:$B,$A119,'RC Template'!$C:$C,Q$6),Q118*$E$3)</f>
        <v>270.75301653285527</v>
      </c>
      <c r="R119" s="115">
        <f ca="1">MAX(SUMIFS('RC Template'!$AW:$AW,'RC Template'!$B:$B,$A119,'RC Template'!$C:$C,R$6),R118*$E$3)</f>
        <v>22.659831741774948</v>
      </c>
      <c r="S119" s="115">
        <f ca="1">MAX(SUMIFS('RC Template'!$AW:$AW,'RC Template'!$B:$B,$A119,'RC Template'!$C:$C,S$6),S118*$E$3)</f>
        <v>28.798054587070673</v>
      </c>
      <c r="T119" s="115">
        <f ca="1">MAX(SUMIFS('RC Template'!$AW:$AW,'RC Template'!$B:$B,$A119,'RC Template'!$C:$C,T$6),T118*$E$3)</f>
        <v>2.8144782823227885</v>
      </c>
      <c r="U119" s="115">
        <f ca="1">MAX(SUMIFS('RC Template'!$AW:$AW,'RC Template'!$B:$B,$A119,'RC Template'!$C:$C,U$6),U118*$E$3)</f>
        <v>109.26576321476189</v>
      </c>
      <c r="V119" s="115">
        <f ca="1">MAX(SUMIFS('RC Template'!$AW:$AW,'RC Template'!$B:$B,$A119,'RC Template'!$C:$C,V$6),V118*$E$3)</f>
        <v>35.426378335091108</v>
      </c>
      <c r="W119" s="115">
        <f ca="1">MAX(SUMIFS('RC Template'!$AW:$AW,'RC Template'!$B:$B,$A119,'RC Template'!$C:$C,W$6),W118*$E$3)</f>
        <v>3.8595024059675325</v>
      </c>
      <c r="X119" s="115">
        <f ca="1">MAX(SUMIFS('RC Template'!$AW:$AW,'RC Template'!$B:$B,$A119,'RC Template'!$C:$C,X$6),X118*$E$3)</f>
        <v>130.30474148731108</v>
      </c>
      <c r="Y119" s="115">
        <f ca="1">MAX(SUMIFS('RC Template'!$AW:$AW,'RC Template'!$B:$B,$A119,'RC Template'!$C:$C,Y$6),Y118*$E$3)</f>
        <v>39.021841647643839</v>
      </c>
      <c r="Z119" s="115">
        <f ca="1">MAX(SUMIFS('RC Template'!$AW:$AW,'RC Template'!$B:$B,$A119,'RC Template'!$C:$C,Z$6),Z118*$E$3)</f>
        <v>44.048625032664987</v>
      </c>
      <c r="AA119" s="115">
        <f ca="1">MAX(SUMIFS('RC Template'!$AW:$AW,'RC Template'!$B:$B,$A119,'RC Template'!$C:$C,AA$6),AA118*$E$3)</f>
        <v>0</v>
      </c>
      <c r="AB119" s="115">
        <f ca="1">MAX(SUMIFS('RC Template'!$AW:$AW,'RC Template'!$B:$B,$A119,'RC Template'!$C:$C,AB$6),AB118*$E$3)</f>
        <v>0</v>
      </c>
      <c r="AC119" s="115">
        <f ca="1">MAX(SUMIFS('RC Template'!$AW:$AW,'RC Template'!$B:$B,$A119,'RC Template'!$C:$C,AC$6),AC118*$E$3)</f>
        <v>0</v>
      </c>
      <c r="AD119" s="115">
        <f ca="1">MAX(SUMIFS('RC Template'!$AW:$AW,'RC Template'!$B:$B,$A119,'RC Template'!$C:$C,AD$6),AD118*$E$3)</f>
        <v>0</v>
      </c>
    </row>
    <row r="120" spans="1:30" x14ac:dyDescent="0.3">
      <c r="A120" s="1"/>
      <c r="Q120" s="115">
        <f ca="1">MAX(SUMIFS('RC Template'!$AW:$AW,'RC Template'!$B:$B,$A120,'RC Template'!$C:$C,Q$6),Q119*$E$3)</f>
        <v>263.98419111953388</v>
      </c>
      <c r="R120" s="115">
        <f ca="1">MAX(SUMIFS('RC Template'!$AW:$AW,'RC Template'!$B:$B,$A120,'RC Template'!$C:$C,R$6),R119*$E$3)</f>
        <v>22.093335948230575</v>
      </c>
      <c r="S120" s="115">
        <f ca="1">MAX(SUMIFS('RC Template'!$AW:$AW,'RC Template'!$B:$B,$A120,'RC Template'!$C:$C,S$6),S119*$E$3)</f>
        <v>28.078103222393906</v>
      </c>
      <c r="T120" s="115">
        <f ca="1">MAX(SUMIFS('RC Template'!$AW:$AW,'RC Template'!$B:$B,$A120,'RC Template'!$C:$C,T$6),T119*$E$3)</f>
        <v>2.7441163252647187</v>
      </c>
      <c r="U120" s="115">
        <f ca="1">MAX(SUMIFS('RC Template'!$AW:$AW,'RC Template'!$B:$B,$A120,'RC Template'!$C:$C,U$6),U119*$E$3)</f>
        <v>106.53411913439284</v>
      </c>
      <c r="V120" s="115">
        <f ca="1">MAX(SUMIFS('RC Template'!$AW:$AW,'RC Template'!$B:$B,$A120,'RC Template'!$C:$C,V$6),V119*$E$3)</f>
        <v>34.540718876713832</v>
      </c>
      <c r="W120" s="115">
        <f ca="1">MAX(SUMIFS('RC Template'!$AW:$AW,'RC Template'!$B:$B,$A120,'RC Template'!$C:$C,W$6),W119*$E$3)</f>
        <v>3.7630148458183439</v>
      </c>
      <c r="X120" s="115">
        <f ca="1">MAX(SUMIFS('RC Template'!$AW:$AW,'RC Template'!$B:$B,$A120,'RC Template'!$C:$C,X$6),X119*$E$3)</f>
        <v>127.0471229501283</v>
      </c>
      <c r="Y120" s="115">
        <f ca="1">MAX(SUMIFS('RC Template'!$AW:$AW,'RC Template'!$B:$B,$A120,'RC Template'!$C:$C,Y$6),Y119*$E$3)</f>
        <v>38.046295606452745</v>
      </c>
      <c r="Z120" s="115">
        <f ca="1">MAX(SUMIFS('RC Template'!$AW:$AW,'RC Template'!$B:$B,$A120,'RC Template'!$C:$C,Z$6),Z119*$E$3)</f>
        <v>42.947409406848358</v>
      </c>
      <c r="AA120" s="115">
        <f ca="1">MAX(SUMIFS('RC Template'!$AW:$AW,'RC Template'!$B:$B,$A120,'RC Template'!$C:$C,AA$6),AA119*$E$3)</f>
        <v>0</v>
      </c>
      <c r="AB120" s="115">
        <f ca="1">MAX(SUMIFS('RC Template'!$AW:$AW,'RC Template'!$B:$B,$A120,'RC Template'!$C:$C,AB$6),AB119*$E$3)</f>
        <v>0</v>
      </c>
      <c r="AC120" s="115">
        <f ca="1">MAX(SUMIFS('RC Template'!$AW:$AW,'RC Template'!$B:$B,$A120,'RC Template'!$C:$C,AC$6),AC119*$E$3)</f>
        <v>0</v>
      </c>
      <c r="AD120" s="115">
        <f ca="1">MAX(SUMIFS('RC Template'!$AW:$AW,'RC Template'!$B:$B,$A120,'RC Template'!$C:$C,AD$6),AD119*$E$3)</f>
        <v>0</v>
      </c>
    </row>
    <row r="121" spans="1:30" x14ac:dyDescent="0.3">
      <c r="A121" s="1"/>
      <c r="Q121" s="115">
        <f ca="1">MAX(SUMIFS('RC Template'!$AW:$AW,'RC Template'!$B:$B,$A121,'RC Template'!$C:$C,Q$6),Q120*$E$3)</f>
        <v>257.38458634154551</v>
      </c>
      <c r="R121" s="115">
        <f ca="1">MAX(SUMIFS('RC Template'!$AW:$AW,'RC Template'!$B:$B,$A121,'RC Template'!$C:$C,R$6),R120*$E$3)</f>
        <v>21.541002549524809</v>
      </c>
      <c r="S121" s="115">
        <f ca="1">MAX(SUMIFS('RC Template'!$AW:$AW,'RC Template'!$B:$B,$A121,'RC Template'!$C:$C,S$6),S120*$E$3)</f>
        <v>27.376150641834059</v>
      </c>
      <c r="T121" s="115">
        <f ca="1">MAX(SUMIFS('RC Template'!$AW:$AW,'RC Template'!$B:$B,$A121,'RC Template'!$C:$C,T$6),T120*$E$3)</f>
        <v>2.6755134171331005</v>
      </c>
      <c r="U121" s="115">
        <f ca="1">MAX(SUMIFS('RC Template'!$AW:$AW,'RC Template'!$B:$B,$A121,'RC Template'!$C:$C,U$6),U120*$E$3)</f>
        <v>103.87076615603301</v>
      </c>
      <c r="V121" s="115">
        <f ca="1">MAX(SUMIFS('RC Template'!$AW:$AW,'RC Template'!$B:$B,$A121,'RC Template'!$C:$C,V$6),V120*$E$3)</f>
        <v>33.677200904795988</v>
      </c>
      <c r="W121" s="115">
        <f ca="1">MAX(SUMIFS('RC Template'!$AW:$AW,'RC Template'!$B:$B,$A121,'RC Template'!$C:$C,W$6),W120*$E$3)</f>
        <v>3.6689394746728854</v>
      </c>
      <c r="X121" s="115">
        <f ca="1">MAX(SUMIFS('RC Template'!$AW:$AW,'RC Template'!$B:$B,$A121,'RC Template'!$C:$C,X$6),X120*$E$3)</f>
        <v>123.87094487637509</v>
      </c>
      <c r="Y121" s="115">
        <f ca="1">MAX(SUMIFS('RC Template'!$AW:$AW,'RC Template'!$B:$B,$A121,'RC Template'!$C:$C,Y$6),Y120*$E$3)</f>
        <v>37.095138216291424</v>
      </c>
      <c r="Z121" s="115">
        <f ca="1">MAX(SUMIFS('RC Template'!$AW:$AW,'RC Template'!$B:$B,$A121,'RC Template'!$C:$C,Z$6),Z120*$E$3)</f>
        <v>41.873724171677146</v>
      </c>
      <c r="AA121" s="115">
        <f ca="1">MAX(SUMIFS('RC Template'!$AW:$AW,'RC Template'!$B:$B,$A121,'RC Template'!$C:$C,AA$6),AA120*$E$3)</f>
        <v>0</v>
      </c>
      <c r="AB121" s="115">
        <f ca="1">MAX(SUMIFS('RC Template'!$AW:$AW,'RC Template'!$B:$B,$A121,'RC Template'!$C:$C,AB$6),AB120*$E$3)</f>
        <v>0</v>
      </c>
      <c r="AC121" s="115">
        <f ca="1">MAX(SUMIFS('RC Template'!$AW:$AW,'RC Template'!$B:$B,$A121,'RC Template'!$C:$C,AC$6),AC120*$E$3)</f>
        <v>0</v>
      </c>
      <c r="AD121" s="115">
        <f ca="1">MAX(SUMIFS('RC Template'!$AW:$AW,'RC Template'!$B:$B,$A121,'RC Template'!$C:$C,AD$6),AD120*$E$3)</f>
        <v>0</v>
      </c>
    </row>
    <row r="122" spans="1:30" x14ac:dyDescent="0.3">
      <c r="A122" s="1"/>
      <c r="Q122" s="115">
        <f ca="1">MAX(SUMIFS('RC Template'!$AW:$AW,'RC Template'!$B:$B,$A122,'RC Template'!$C:$C,Q$6),Q121*$E$3)</f>
        <v>250.94997168300688</v>
      </c>
      <c r="R122" s="115">
        <f ca="1">MAX(SUMIFS('RC Template'!$AW:$AW,'RC Template'!$B:$B,$A122,'RC Template'!$C:$C,R$6),R121*$E$3)</f>
        <v>21.002477485786688</v>
      </c>
      <c r="S122" s="115">
        <f ca="1">MAX(SUMIFS('RC Template'!$AW:$AW,'RC Template'!$B:$B,$A122,'RC Template'!$C:$C,S$6),S121*$E$3)</f>
        <v>26.691746875788208</v>
      </c>
      <c r="T122" s="115">
        <f ca="1">MAX(SUMIFS('RC Template'!$AW:$AW,'RC Template'!$B:$B,$A122,'RC Template'!$C:$C,T$6),T121*$E$3)</f>
        <v>2.6086255817047728</v>
      </c>
      <c r="U122" s="115">
        <f ca="1">MAX(SUMIFS('RC Template'!$AW:$AW,'RC Template'!$B:$B,$A122,'RC Template'!$C:$C,U$6),U121*$E$3)</f>
        <v>101.27399700213219</v>
      </c>
      <c r="V122" s="115">
        <f ca="1">MAX(SUMIFS('RC Template'!$AW:$AW,'RC Template'!$B:$B,$A122,'RC Template'!$C:$C,V$6),V121*$E$3)</f>
        <v>32.83527088217609</v>
      </c>
      <c r="W122" s="115">
        <f ca="1">MAX(SUMIFS('RC Template'!$AW:$AW,'RC Template'!$B:$B,$A122,'RC Template'!$C:$C,W$6),W121*$E$3)</f>
        <v>3.577215987806063</v>
      </c>
      <c r="X122" s="115">
        <f ca="1">MAX(SUMIFS('RC Template'!$AW:$AW,'RC Template'!$B:$B,$A122,'RC Template'!$C:$C,X$6),X121*$E$3)</f>
        <v>120.77417125446571</v>
      </c>
      <c r="Y122" s="115">
        <f ca="1">MAX(SUMIFS('RC Template'!$AW:$AW,'RC Template'!$B:$B,$A122,'RC Template'!$C:$C,Y$6),Y121*$E$3)</f>
        <v>36.167759760884138</v>
      </c>
      <c r="Z122" s="115">
        <f ca="1">MAX(SUMIFS('RC Template'!$AW:$AW,'RC Template'!$B:$B,$A122,'RC Template'!$C:$C,Z$6),Z121*$E$3)</f>
        <v>40.826881067385216</v>
      </c>
      <c r="AA122" s="115">
        <f ca="1">MAX(SUMIFS('RC Template'!$AW:$AW,'RC Template'!$B:$B,$A122,'RC Template'!$C:$C,AA$6),AA121*$E$3)</f>
        <v>0</v>
      </c>
      <c r="AB122" s="115">
        <f ca="1">MAX(SUMIFS('RC Template'!$AW:$AW,'RC Template'!$B:$B,$A122,'RC Template'!$C:$C,AB$6),AB121*$E$3)</f>
        <v>0</v>
      </c>
      <c r="AC122" s="115">
        <f ca="1">MAX(SUMIFS('RC Template'!$AW:$AW,'RC Template'!$B:$B,$A122,'RC Template'!$C:$C,AC$6),AC121*$E$3)</f>
        <v>0</v>
      </c>
      <c r="AD122" s="115">
        <f ca="1">MAX(SUMIFS('RC Template'!$AW:$AW,'RC Template'!$B:$B,$A122,'RC Template'!$C:$C,AD$6),AD121*$E$3)</f>
        <v>0</v>
      </c>
    </row>
    <row r="123" spans="1:30" x14ac:dyDescent="0.3">
      <c r="A123" s="1"/>
      <c r="Q123" s="115">
        <f ca="1">MAX(SUMIFS('RC Template'!$AW:$AW,'RC Template'!$B:$B,$A123,'RC Template'!$C:$C,Q$6),Q122*$E$3)</f>
        <v>244.67622239093171</v>
      </c>
      <c r="R123" s="115">
        <f ca="1">MAX(SUMIFS('RC Template'!$AW:$AW,'RC Template'!$B:$B,$A123,'RC Template'!$C:$C,R$6),R122*$E$3)</f>
        <v>20.477415548642021</v>
      </c>
      <c r="S123" s="115">
        <f ca="1">MAX(SUMIFS('RC Template'!$AW:$AW,'RC Template'!$B:$B,$A123,'RC Template'!$C:$C,S$6),S122*$E$3)</f>
        <v>26.024453203893504</v>
      </c>
      <c r="T123" s="115">
        <f ca="1">MAX(SUMIFS('RC Template'!$AW:$AW,'RC Template'!$B:$B,$A123,'RC Template'!$C:$C,T$6),T122*$E$3)</f>
        <v>2.5434099421621532</v>
      </c>
      <c r="U123" s="115">
        <f ca="1">MAX(SUMIFS('RC Template'!$AW:$AW,'RC Template'!$B:$B,$A123,'RC Template'!$C:$C,U$6),U122*$E$3)</f>
        <v>98.742147077078883</v>
      </c>
      <c r="V123" s="115">
        <f ca="1">MAX(SUMIFS('RC Template'!$AW:$AW,'RC Template'!$B:$B,$A123,'RC Template'!$C:$C,V$6),V122*$E$3)</f>
        <v>32.014389110121684</v>
      </c>
      <c r="W123" s="115">
        <f ca="1">MAX(SUMIFS('RC Template'!$AW:$AW,'RC Template'!$B:$B,$A123,'RC Template'!$C:$C,W$6),W122*$E$3)</f>
        <v>3.4877855881109112</v>
      </c>
      <c r="X123" s="115">
        <f ca="1">MAX(SUMIFS('RC Template'!$AW:$AW,'RC Template'!$B:$B,$A123,'RC Template'!$C:$C,X$6),X122*$E$3)</f>
        <v>117.75481697310407</v>
      </c>
      <c r="Y123" s="115">
        <f ca="1">MAX(SUMIFS('RC Template'!$AW:$AW,'RC Template'!$B:$B,$A123,'RC Template'!$C:$C,Y$6),Y122*$E$3)</f>
        <v>35.263565766862037</v>
      </c>
      <c r="Z123" s="115">
        <f ca="1">MAX(SUMIFS('RC Template'!$AW:$AW,'RC Template'!$B:$B,$A123,'RC Template'!$C:$C,Z$6),Z122*$E$3)</f>
        <v>39.806209040700587</v>
      </c>
      <c r="AA123" s="115">
        <f ca="1">MAX(SUMIFS('RC Template'!$AW:$AW,'RC Template'!$B:$B,$A123,'RC Template'!$C:$C,AA$6),AA122*$E$3)</f>
        <v>0</v>
      </c>
      <c r="AB123" s="115">
        <f ca="1">MAX(SUMIFS('RC Template'!$AW:$AW,'RC Template'!$B:$B,$A123,'RC Template'!$C:$C,AB$6),AB122*$E$3)</f>
        <v>0</v>
      </c>
      <c r="AC123" s="115">
        <f ca="1">MAX(SUMIFS('RC Template'!$AW:$AW,'RC Template'!$B:$B,$A123,'RC Template'!$C:$C,AC$6),AC122*$E$3)</f>
        <v>0</v>
      </c>
      <c r="AD123" s="115">
        <f ca="1">MAX(SUMIFS('RC Template'!$AW:$AW,'RC Template'!$B:$B,$A123,'RC Template'!$C:$C,AD$6),AD122*$E$3)</f>
        <v>0</v>
      </c>
    </row>
    <row r="124" spans="1:30" x14ac:dyDescent="0.3">
      <c r="A124" s="1"/>
      <c r="Q124" s="115">
        <f ca="1">MAX(SUMIFS('RC Template'!$AW:$AW,'RC Template'!$B:$B,$A124,'RC Template'!$C:$C,Q$6),Q123*$E$3)</f>
        <v>238.55931683115841</v>
      </c>
      <c r="R124" s="115">
        <f ca="1">MAX(SUMIFS('RC Template'!$AW:$AW,'RC Template'!$B:$B,$A124,'RC Template'!$C:$C,R$6),R123*$E$3)</f>
        <v>19.965480159925971</v>
      </c>
      <c r="S124" s="115">
        <f ca="1">MAX(SUMIFS('RC Template'!$AW:$AW,'RC Template'!$B:$B,$A124,'RC Template'!$C:$C,S$6),S123*$E$3)</f>
        <v>25.373841873796167</v>
      </c>
      <c r="T124" s="115">
        <f ca="1">MAX(SUMIFS('RC Template'!$AW:$AW,'RC Template'!$B:$B,$A124,'RC Template'!$C:$C,T$6),T123*$E$3)</f>
        <v>2.4798246936080992</v>
      </c>
      <c r="U124" s="115">
        <f ca="1">MAX(SUMIFS('RC Template'!$AW:$AW,'RC Template'!$B:$B,$A124,'RC Template'!$C:$C,U$6),U123*$E$3)</f>
        <v>96.27359340015191</v>
      </c>
      <c r="V124" s="115">
        <f ca="1">MAX(SUMIFS('RC Template'!$AW:$AW,'RC Template'!$B:$B,$A124,'RC Template'!$C:$C,V$6),V123*$E$3)</f>
        <v>31.21402938236864</v>
      </c>
      <c r="W124" s="115">
        <f ca="1">MAX(SUMIFS('RC Template'!$AW:$AW,'RC Template'!$B:$B,$A124,'RC Template'!$C:$C,W$6),W123*$E$3)</f>
        <v>3.4005909484081385</v>
      </c>
      <c r="X124" s="115">
        <f ca="1">MAX(SUMIFS('RC Template'!$AW:$AW,'RC Template'!$B:$B,$A124,'RC Template'!$C:$C,X$6),X123*$E$3)</f>
        <v>114.81094654877647</v>
      </c>
      <c r="Y124" s="115">
        <f ca="1">MAX(SUMIFS('RC Template'!$AW:$AW,'RC Template'!$B:$B,$A124,'RC Template'!$C:$C,Y$6),Y123*$E$3)</f>
        <v>34.381976622690487</v>
      </c>
      <c r="Z124" s="115">
        <f ca="1">MAX(SUMIFS('RC Template'!$AW:$AW,'RC Template'!$B:$B,$A124,'RC Template'!$C:$C,Z$6),Z123*$E$3)</f>
        <v>38.811053814683071</v>
      </c>
      <c r="AA124" s="115">
        <f ca="1">MAX(SUMIFS('RC Template'!$AW:$AW,'RC Template'!$B:$B,$A124,'RC Template'!$C:$C,AA$6),AA123*$E$3)</f>
        <v>0</v>
      </c>
      <c r="AB124" s="115">
        <f ca="1">MAX(SUMIFS('RC Template'!$AW:$AW,'RC Template'!$B:$B,$A124,'RC Template'!$C:$C,AB$6),AB123*$E$3)</f>
        <v>0</v>
      </c>
      <c r="AC124" s="115">
        <f ca="1">MAX(SUMIFS('RC Template'!$AW:$AW,'RC Template'!$B:$B,$A124,'RC Template'!$C:$C,AC$6),AC123*$E$3)</f>
        <v>0</v>
      </c>
      <c r="AD124" s="115">
        <f ca="1">MAX(SUMIFS('RC Template'!$AW:$AW,'RC Template'!$B:$B,$A124,'RC Template'!$C:$C,AD$6),AD123*$E$3)</f>
        <v>0</v>
      </c>
    </row>
    <row r="125" spans="1:30" x14ac:dyDescent="0.3">
      <c r="A125" s="1"/>
      <c r="Q125" s="115">
        <f ca="1">MAX(SUMIFS('RC Template'!$AW:$AW,'RC Template'!$B:$B,$A125,'RC Template'!$C:$C,Q$6),Q124*$E$3)</f>
        <v>232.59533391037945</v>
      </c>
      <c r="R125" s="115">
        <f ca="1">MAX(SUMIFS('RC Template'!$AW:$AW,'RC Template'!$B:$B,$A125,'RC Template'!$C:$C,R$6),R124*$E$3)</f>
        <v>19.46634315592782</v>
      </c>
      <c r="S125" s="115">
        <f ca="1">MAX(SUMIFS('RC Template'!$AW:$AW,'RC Template'!$B:$B,$A125,'RC Template'!$C:$C,S$6),S124*$E$3)</f>
        <v>24.739495826951263</v>
      </c>
      <c r="T125" s="115">
        <f ca="1">MAX(SUMIFS('RC Template'!$AW:$AW,'RC Template'!$B:$B,$A125,'RC Template'!$C:$C,T$6),T124*$E$3)</f>
        <v>2.4178290762678967</v>
      </c>
      <c r="U125" s="115">
        <f ca="1">MAX(SUMIFS('RC Template'!$AW:$AW,'RC Template'!$B:$B,$A125,'RC Template'!$C:$C,U$6),U124*$E$3)</f>
        <v>93.866753565148116</v>
      </c>
      <c r="V125" s="115">
        <f ca="1">MAX(SUMIFS('RC Template'!$AW:$AW,'RC Template'!$B:$B,$A125,'RC Template'!$C:$C,V$6),V124*$E$3)</f>
        <v>30.433678647809423</v>
      </c>
      <c r="W125" s="115">
        <f ca="1">MAX(SUMIFS('RC Template'!$AW:$AW,'RC Template'!$B:$B,$A125,'RC Template'!$C:$C,W$6),W124*$E$3)</f>
        <v>3.3155761746979349</v>
      </c>
      <c r="X125" s="115">
        <f ca="1">MAX(SUMIFS('RC Template'!$AW:$AW,'RC Template'!$B:$B,$A125,'RC Template'!$C:$C,X$6),X124*$E$3)</f>
        <v>111.94067288505705</v>
      </c>
      <c r="Y125" s="115">
        <f ca="1">MAX(SUMIFS('RC Template'!$AW:$AW,'RC Template'!$B:$B,$A125,'RC Template'!$C:$C,Y$6),Y124*$E$3)</f>
        <v>33.522427207123222</v>
      </c>
      <c r="Z125" s="115">
        <f ca="1">MAX(SUMIFS('RC Template'!$AW:$AW,'RC Template'!$B:$B,$A125,'RC Template'!$C:$C,Z$6),Z124*$E$3)</f>
        <v>37.840777469315995</v>
      </c>
      <c r="AA125" s="115">
        <f ca="1">MAX(SUMIFS('RC Template'!$AW:$AW,'RC Template'!$B:$B,$A125,'RC Template'!$C:$C,AA$6),AA124*$E$3)</f>
        <v>0</v>
      </c>
      <c r="AB125" s="115">
        <f ca="1">MAX(SUMIFS('RC Template'!$AW:$AW,'RC Template'!$B:$B,$A125,'RC Template'!$C:$C,AB$6),AB124*$E$3)</f>
        <v>0</v>
      </c>
      <c r="AC125" s="115">
        <f ca="1">MAX(SUMIFS('RC Template'!$AW:$AW,'RC Template'!$B:$B,$A125,'RC Template'!$C:$C,AC$6),AC124*$E$3)</f>
        <v>0</v>
      </c>
      <c r="AD125" s="115">
        <f ca="1">MAX(SUMIFS('RC Template'!$AW:$AW,'RC Template'!$B:$B,$A125,'RC Template'!$C:$C,AD$6),AD124*$E$3)</f>
        <v>0</v>
      </c>
    </row>
    <row r="126" spans="1:30" x14ac:dyDescent="0.3">
      <c r="A126" s="1"/>
      <c r="Q126" s="115">
        <f ca="1">MAX(SUMIFS('RC Template'!$AW:$AW,'RC Template'!$B:$B,$A126,'RC Template'!$C:$C,Q$6),Q125*$E$3)</f>
        <v>226.78045056261996</v>
      </c>
      <c r="R126" s="115">
        <f ca="1">MAX(SUMIFS('RC Template'!$AW:$AW,'RC Template'!$B:$B,$A126,'RC Template'!$C:$C,R$6),R125*$E$3)</f>
        <v>18.979684577029623</v>
      </c>
      <c r="S126" s="115">
        <f ca="1">MAX(SUMIFS('RC Template'!$AW:$AW,'RC Template'!$B:$B,$A126,'RC Template'!$C:$C,S$6),S125*$E$3)</f>
        <v>24.121008431277481</v>
      </c>
      <c r="T126" s="115">
        <f ca="1">MAX(SUMIFS('RC Template'!$AW:$AW,'RC Template'!$B:$B,$A126,'RC Template'!$C:$C,T$6),T125*$E$3)</f>
        <v>2.3573833493611991</v>
      </c>
      <c r="U126" s="115">
        <f ca="1">MAX(SUMIFS('RC Template'!$AW:$AW,'RC Template'!$B:$B,$A126,'RC Template'!$C:$C,U$6),U125*$E$3)</f>
        <v>91.520084726019405</v>
      </c>
      <c r="V126" s="115">
        <f ca="1">MAX(SUMIFS('RC Template'!$AW:$AW,'RC Template'!$B:$B,$A126,'RC Template'!$C:$C,V$6),V125*$E$3)</f>
        <v>29.672836681614186</v>
      </c>
      <c r="W126" s="115">
        <f ca="1">MAX(SUMIFS('RC Template'!$AW:$AW,'RC Template'!$B:$B,$A126,'RC Template'!$C:$C,W$6),W125*$E$3)</f>
        <v>3.2326867703304862</v>
      </c>
      <c r="X126" s="115">
        <f ca="1">MAX(SUMIFS('RC Template'!$AW:$AW,'RC Template'!$B:$B,$A126,'RC Template'!$C:$C,X$6),X125*$E$3)</f>
        <v>109.14215606293062</v>
      </c>
      <c r="Y126" s="115">
        <f ca="1">MAX(SUMIFS('RC Template'!$AW:$AW,'RC Template'!$B:$B,$A126,'RC Template'!$C:$C,Y$6),Y125*$E$3)</f>
        <v>32.684366526945141</v>
      </c>
      <c r="Z126" s="115">
        <f ca="1">MAX(SUMIFS('RC Template'!$AW:$AW,'RC Template'!$B:$B,$A126,'RC Template'!$C:$C,Z$6),Z125*$E$3)</f>
        <v>36.894758032583091</v>
      </c>
      <c r="AA126" s="115">
        <f ca="1">MAX(SUMIFS('RC Template'!$AW:$AW,'RC Template'!$B:$B,$A126,'RC Template'!$C:$C,AA$6),AA125*$E$3)</f>
        <v>0</v>
      </c>
      <c r="AB126" s="115">
        <f ca="1">MAX(SUMIFS('RC Template'!$AW:$AW,'RC Template'!$B:$B,$A126,'RC Template'!$C:$C,AB$6),AB125*$E$3)</f>
        <v>0</v>
      </c>
      <c r="AC126" s="115">
        <f ca="1">MAX(SUMIFS('RC Template'!$AW:$AW,'RC Template'!$B:$B,$A126,'RC Template'!$C:$C,AC$6),AC125*$E$3)</f>
        <v>0</v>
      </c>
      <c r="AD126" s="115">
        <f ca="1">MAX(SUMIFS('RC Template'!$AW:$AW,'RC Template'!$B:$B,$A126,'RC Template'!$C:$C,AD$6),AD125*$E$3)</f>
        <v>0</v>
      </c>
    </row>
    <row r="127" spans="1:30" x14ac:dyDescent="0.3">
      <c r="A127" s="1"/>
      <c r="Q127" s="115">
        <f ca="1">MAX(SUMIFS('RC Template'!$AW:$AW,'RC Template'!$B:$B,$A127,'RC Template'!$C:$C,Q$6),Q126*$E$3)</f>
        <v>221.11093929855446</v>
      </c>
      <c r="R127" s="115">
        <f ca="1">MAX(SUMIFS('RC Template'!$AW:$AW,'RC Template'!$B:$B,$A127,'RC Template'!$C:$C,R$6),R126*$E$3)</f>
        <v>18.505192462603883</v>
      </c>
      <c r="S127" s="115">
        <f ca="1">MAX(SUMIFS('RC Template'!$AW:$AW,'RC Template'!$B:$B,$A127,'RC Template'!$C:$C,S$6),S126*$E$3)</f>
        <v>23.517983220495545</v>
      </c>
      <c r="T127" s="115">
        <f ca="1">MAX(SUMIFS('RC Template'!$AW:$AW,'RC Template'!$B:$B,$A127,'RC Template'!$C:$C,T$6),T126*$E$3)</f>
        <v>2.2984487656271693</v>
      </c>
      <c r="U127" s="115">
        <f ca="1">MAX(SUMIFS('RC Template'!$AW:$AW,'RC Template'!$B:$B,$A127,'RC Template'!$C:$C,U$6),U126*$E$3)</f>
        <v>89.232082607868918</v>
      </c>
      <c r="V127" s="115">
        <f ca="1">MAX(SUMIFS('RC Template'!$AW:$AW,'RC Template'!$B:$B,$A127,'RC Template'!$C:$C,V$6),V126*$E$3)</f>
        <v>28.931015764573832</v>
      </c>
      <c r="W127" s="115">
        <f ca="1">MAX(SUMIFS('RC Template'!$AW:$AW,'RC Template'!$B:$B,$A127,'RC Template'!$C:$C,W$6),W126*$E$3)</f>
        <v>3.151869601072224</v>
      </c>
      <c r="X127" s="115">
        <f ca="1">MAX(SUMIFS('RC Template'!$AW:$AW,'RC Template'!$B:$B,$A127,'RC Template'!$C:$C,X$6),X126*$E$3)</f>
        <v>106.41360216135736</v>
      </c>
      <c r="Y127" s="115">
        <f ca="1">MAX(SUMIFS('RC Template'!$AW:$AW,'RC Template'!$B:$B,$A127,'RC Template'!$C:$C,Y$6),Y126*$E$3)</f>
        <v>31.867257363771511</v>
      </c>
      <c r="Z127" s="115">
        <f ca="1">MAX(SUMIFS('RC Template'!$AW:$AW,'RC Template'!$B:$B,$A127,'RC Template'!$C:$C,Z$6),Z126*$E$3)</f>
        <v>35.972389081768512</v>
      </c>
      <c r="AA127" s="115">
        <f ca="1">MAX(SUMIFS('RC Template'!$AW:$AW,'RC Template'!$B:$B,$A127,'RC Template'!$C:$C,AA$6),AA126*$E$3)</f>
        <v>0</v>
      </c>
      <c r="AB127" s="115">
        <f ca="1">MAX(SUMIFS('RC Template'!$AW:$AW,'RC Template'!$B:$B,$A127,'RC Template'!$C:$C,AB$6),AB126*$E$3)</f>
        <v>0</v>
      </c>
      <c r="AC127" s="115">
        <f ca="1">MAX(SUMIFS('RC Template'!$AW:$AW,'RC Template'!$B:$B,$A127,'RC Template'!$C:$C,AC$6),AC126*$E$3)</f>
        <v>0</v>
      </c>
      <c r="AD127" s="115">
        <f ca="1">MAX(SUMIFS('RC Template'!$AW:$AW,'RC Template'!$B:$B,$A127,'RC Template'!$C:$C,AD$6),AD126*$E$3)</f>
        <v>0</v>
      </c>
    </row>
    <row r="128" spans="1:30" x14ac:dyDescent="0.3">
      <c r="A128" s="1"/>
      <c r="Q128" s="115">
        <f ca="1">MAX(SUMIFS('RC Template'!$AW:$AW,'RC Template'!$B:$B,$A128,'RC Template'!$C:$C,Q$6),Q127*$E$3)</f>
        <v>215.5831658160906</v>
      </c>
      <c r="R128" s="115">
        <f ca="1">MAX(SUMIFS('RC Template'!$AW:$AW,'RC Template'!$B:$B,$A128,'RC Template'!$C:$C,R$6),R127*$E$3)</f>
        <v>18.042562651038786</v>
      </c>
      <c r="S128" s="115">
        <f ca="1">MAX(SUMIFS('RC Template'!$AW:$AW,'RC Template'!$B:$B,$A128,'RC Template'!$C:$C,S$6),S127*$E$3)</f>
        <v>22.930033639983154</v>
      </c>
      <c r="T128" s="115">
        <f ca="1">MAX(SUMIFS('RC Template'!$AW:$AW,'RC Template'!$B:$B,$A128,'RC Template'!$C:$C,T$6),T127*$E$3)</f>
        <v>2.2409875464864899</v>
      </c>
      <c r="U128" s="115">
        <f ca="1">MAX(SUMIFS('RC Template'!$AW:$AW,'RC Template'!$B:$B,$A128,'RC Template'!$C:$C,U$6),U127*$E$3)</f>
        <v>87.001280542672191</v>
      </c>
      <c r="V128" s="115">
        <f ca="1">MAX(SUMIFS('RC Template'!$AW:$AW,'RC Template'!$B:$B,$A128,'RC Template'!$C:$C,V$6),V127*$E$3)</f>
        <v>28.207740370459486</v>
      </c>
      <c r="W128" s="115">
        <f ca="1">MAX(SUMIFS('RC Template'!$AW:$AW,'RC Template'!$B:$B,$A128,'RC Template'!$C:$C,W$6),W127*$E$3)</f>
        <v>3.0730728610454183</v>
      </c>
      <c r="X128" s="115">
        <f ca="1">MAX(SUMIFS('RC Template'!$AW:$AW,'RC Template'!$B:$B,$A128,'RC Template'!$C:$C,X$6),X127*$E$3)</f>
        <v>103.75326210732342</v>
      </c>
      <c r="Y128" s="115">
        <f ca="1">MAX(SUMIFS('RC Template'!$AW:$AW,'RC Template'!$B:$B,$A128,'RC Template'!$C:$C,Y$6),Y127*$E$3)</f>
        <v>31.070575929677222</v>
      </c>
      <c r="Z128" s="115">
        <f ca="1">MAX(SUMIFS('RC Template'!$AW:$AW,'RC Template'!$B:$B,$A128,'RC Template'!$C:$C,Z$6),Z127*$E$3)</f>
        <v>35.0730793547243</v>
      </c>
      <c r="AA128" s="115">
        <f ca="1">MAX(SUMIFS('RC Template'!$AW:$AW,'RC Template'!$B:$B,$A128,'RC Template'!$C:$C,AA$6),AA127*$E$3)</f>
        <v>0</v>
      </c>
      <c r="AB128" s="115">
        <f ca="1">MAX(SUMIFS('RC Template'!$AW:$AW,'RC Template'!$B:$B,$A128,'RC Template'!$C:$C,AB$6),AB127*$E$3)</f>
        <v>0</v>
      </c>
      <c r="AC128" s="115">
        <f ca="1">MAX(SUMIFS('RC Template'!$AW:$AW,'RC Template'!$B:$B,$A128,'RC Template'!$C:$C,AC$6),AC127*$E$3)</f>
        <v>0</v>
      </c>
      <c r="AD128" s="115">
        <f ca="1">MAX(SUMIFS('RC Template'!$AW:$AW,'RC Template'!$B:$B,$A128,'RC Template'!$C:$C,AD$6),AD127*$E$3)</f>
        <v>0</v>
      </c>
    </row>
    <row r="129" spans="1:30" x14ac:dyDescent="0.3">
      <c r="A129" s="1"/>
      <c r="Q129" s="115">
        <f ca="1">MAX(SUMIFS('RC Template'!$AW:$AW,'RC Template'!$B:$B,$A129,'RC Template'!$C:$C,Q$6),Q128*$E$3)</f>
        <v>210.19358667068832</v>
      </c>
      <c r="R129" s="115">
        <f ca="1">MAX(SUMIFS('RC Template'!$AW:$AW,'RC Template'!$B:$B,$A129,'RC Template'!$C:$C,R$6),R128*$E$3)</f>
        <v>17.591498584762817</v>
      </c>
      <c r="S129" s="115">
        <f ca="1">MAX(SUMIFS('RC Template'!$AW:$AW,'RC Template'!$B:$B,$A129,'RC Template'!$C:$C,S$6),S128*$E$3)</f>
        <v>22.356782798983573</v>
      </c>
      <c r="T129" s="115">
        <f ca="1">MAX(SUMIFS('RC Template'!$AW:$AW,'RC Template'!$B:$B,$A129,'RC Template'!$C:$C,T$6),T128*$E$3)</f>
        <v>2.1849628578243276</v>
      </c>
      <c r="U129" s="115">
        <f ca="1">MAX(SUMIFS('RC Template'!$AW:$AW,'RC Template'!$B:$B,$A129,'RC Template'!$C:$C,U$6),U128*$E$3)</f>
        <v>84.826248529105385</v>
      </c>
      <c r="V129" s="115">
        <f ca="1">MAX(SUMIFS('RC Template'!$AW:$AW,'RC Template'!$B:$B,$A129,'RC Template'!$C:$C,V$6),V128*$E$3)</f>
        <v>27.502546861197999</v>
      </c>
      <c r="W129" s="115">
        <f ca="1">MAX(SUMIFS('RC Template'!$AW:$AW,'RC Template'!$B:$B,$A129,'RC Template'!$C:$C,W$6),W128*$E$3)</f>
        <v>2.9962460395192827</v>
      </c>
      <c r="X129" s="115">
        <f ca="1">MAX(SUMIFS('RC Template'!$AW:$AW,'RC Template'!$B:$B,$A129,'RC Template'!$C:$C,X$6),X128*$E$3)</f>
        <v>101.15943055464034</v>
      </c>
      <c r="Y129" s="115">
        <f ca="1">MAX(SUMIFS('RC Template'!$AW:$AW,'RC Template'!$B:$B,$A129,'RC Template'!$C:$C,Y$6),Y128*$E$3)</f>
        <v>30.293811531435292</v>
      </c>
      <c r="Z129" s="115">
        <f ca="1">MAX(SUMIFS('RC Template'!$AW:$AW,'RC Template'!$B:$B,$A129,'RC Template'!$C:$C,Z$6),Z128*$E$3)</f>
        <v>34.196252370856193</v>
      </c>
      <c r="AA129" s="115">
        <f ca="1">MAX(SUMIFS('RC Template'!$AW:$AW,'RC Template'!$B:$B,$A129,'RC Template'!$C:$C,AA$6),AA128*$E$3)</f>
        <v>0</v>
      </c>
      <c r="AB129" s="115">
        <f ca="1">MAX(SUMIFS('RC Template'!$AW:$AW,'RC Template'!$B:$B,$A129,'RC Template'!$C:$C,AB$6),AB128*$E$3)</f>
        <v>0</v>
      </c>
      <c r="AC129" s="115">
        <f ca="1">MAX(SUMIFS('RC Template'!$AW:$AW,'RC Template'!$B:$B,$A129,'RC Template'!$C:$C,AC$6),AC128*$E$3)</f>
        <v>0</v>
      </c>
      <c r="AD129" s="115">
        <f ca="1">MAX(SUMIFS('RC Template'!$AW:$AW,'RC Template'!$B:$B,$A129,'RC Template'!$C:$C,AD$6),AD128*$E$3)</f>
        <v>0</v>
      </c>
    </row>
    <row r="130" spans="1:30" x14ac:dyDescent="0.3">
      <c r="A130" s="1"/>
      <c r="Q130" s="115">
        <f ca="1">MAX(SUMIFS('RC Template'!$AW:$AW,'RC Template'!$B:$B,$A130,'RC Template'!$C:$C,Q$6),Q129*$E$3)</f>
        <v>204.93874700392109</v>
      </c>
      <c r="R130" s="115">
        <f ca="1">MAX(SUMIFS('RC Template'!$AW:$AW,'RC Template'!$B:$B,$A130,'RC Template'!$C:$C,R$6),R129*$E$3)</f>
        <v>17.151711120143748</v>
      </c>
      <c r="S130" s="115">
        <f ca="1">MAX(SUMIFS('RC Template'!$AW:$AW,'RC Template'!$B:$B,$A130,'RC Template'!$C:$C,S$6),S129*$E$3)</f>
        <v>21.797863229008982</v>
      </c>
      <c r="T130" s="115">
        <f ca="1">MAX(SUMIFS('RC Template'!$AW:$AW,'RC Template'!$B:$B,$A130,'RC Template'!$C:$C,T$6),T129*$E$3)</f>
        <v>2.1303387863787195</v>
      </c>
      <c r="U130" s="115">
        <f ca="1">MAX(SUMIFS('RC Template'!$AW:$AW,'RC Template'!$B:$B,$A130,'RC Template'!$C:$C,U$6),U129*$E$3)</f>
        <v>82.705592315877752</v>
      </c>
      <c r="V130" s="115">
        <f ca="1">MAX(SUMIFS('RC Template'!$AW:$AW,'RC Template'!$B:$B,$A130,'RC Template'!$C:$C,V$6),V129*$E$3)</f>
        <v>26.814983189668048</v>
      </c>
      <c r="W130" s="115">
        <f ca="1">MAX(SUMIFS('RC Template'!$AW:$AW,'RC Template'!$B:$B,$A130,'RC Template'!$C:$C,W$6),W129*$E$3)</f>
        <v>2.9213398885313007</v>
      </c>
      <c r="X130" s="115">
        <f ca="1">MAX(SUMIFS('RC Template'!$AW:$AW,'RC Template'!$B:$B,$A130,'RC Template'!$C:$C,X$6),X129*$E$3)</f>
        <v>98.630444790774334</v>
      </c>
      <c r="Y130" s="115">
        <f ca="1">MAX(SUMIFS('RC Template'!$AW:$AW,'RC Template'!$B:$B,$A130,'RC Template'!$C:$C,Y$6),Y129*$E$3)</f>
        <v>29.536466243149409</v>
      </c>
      <c r="Z130" s="115">
        <f ca="1">MAX(SUMIFS('RC Template'!$AW:$AW,'RC Template'!$B:$B,$A130,'RC Template'!$C:$C,Z$6),Z129*$E$3)</f>
        <v>33.341346061584787</v>
      </c>
      <c r="AA130" s="115">
        <f ca="1">MAX(SUMIFS('RC Template'!$AW:$AW,'RC Template'!$B:$B,$A130,'RC Template'!$C:$C,AA$6),AA129*$E$3)</f>
        <v>0</v>
      </c>
      <c r="AB130" s="115">
        <f ca="1">MAX(SUMIFS('RC Template'!$AW:$AW,'RC Template'!$B:$B,$A130,'RC Template'!$C:$C,AB$6),AB129*$E$3)</f>
        <v>0</v>
      </c>
      <c r="AC130" s="115">
        <f ca="1">MAX(SUMIFS('RC Template'!$AW:$AW,'RC Template'!$B:$B,$A130,'RC Template'!$C:$C,AC$6),AC129*$E$3)</f>
        <v>0</v>
      </c>
      <c r="AD130" s="115">
        <f ca="1">MAX(SUMIFS('RC Template'!$AW:$AW,'RC Template'!$B:$B,$A130,'RC Template'!$C:$C,AD$6),AD129*$E$3)</f>
        <v>0</v>
      </c>
    </row>
    <row r="131" spans="1:30" x14ac:dyDescent="0.3">
      <c r="A131" s="1"/>
      <c r="Q131" s="115">
        <f ca="1">MAX(SUMIFS('RC Template'!$AW:$AW,'RC Template'!$B:$B,$A131,'RC Template'!$C:$C,Q$6),Q130*$E$3)</f>
        <v>199.81527832882307</v>
      </c>
      <c r="R131" s="115">
        <f ca="1">MAX(SUMIFS('RC Template'!$AW:$AW,'RC Template'!$B:$B,$A131,'RC Template'!$C:$C,R$6),R130*$E$3)</f>
        <v>16.722918342140154</v>
      </c>
      <c r="S131" s="115">
        <f ca="1">MAX(SUMIFS('RC Template'!$AW:$AW,'RC Template'!$B:$B,$A131,'RC Template'!$C:$C,S$6),S130*$E$3)</f>
        <v>21.252916648283758</v>
      </c>
      <c r="T131" s="115">
        <f ca="1">MAX(SUMIFS('RC Template'!$AW:$AW,'RC Template'!$B:$B,$A131,'RC Template'!$C:$C,T$6),T130*$E$3)</f>
        <v>2.0770803167192513</v>
      </c>
      <c r="U131" s="115">
        <f ca="1">MAX(SUMIFS('RC Template'!$AW:$AW,'RC Template'!$B:$B,$A131,'RC Template'!$C:$C,U$6),U130*$E$3)</f>
        <v>80.637952507980799</v>
      </c>
      <c r="V131" s="115">
        <f ca="1">MAX(SUMIFS('RC Template'!$AW:$AW,'RC Template'!$B:$B,$A131,'RC Template'!$C:$C,V$6),V130*$E$3)</f>
        <v>26.144608609926347</v>
      </c>
      <c r="W131" s="115">
        <f ca="1">MAX(SUMIFS('RC Template'!$AW:$AW,'RC Template'!$B:$B,$A131,'RC Template'!$C:$C,W$6),W130*$E$3)</f>
        <v>2.848306391318018</v>
      </c>
      <c r="X131" s="115">
        <f ca="1">MAX(SUMIFS('RC Template'!$AW:$AW,'RC Template'!$B:$B,$A131,'RC Template'!$C:$C,X$6),X130*$E$3)</f>
        <v>96.16468367100498</v>
      </c>
      <c r="Y131" s="115">
        <f ca="1">MAX(SUMIFS('RC Template'!$AW:$AW,'RC Template'!$B:$B,$A131,'RC Template'!$C:$C,Y$6),Y130*$E$3)</f>
        <v>28.798054587070673</v>
      </c>
      <c r="Z131" s="115">
        <f ca="1">MAX(SUMIFS('RC Template'!$AW:$AW,'RC Template'!$B:$B,$A131,'RC Template'!$C:$C,Z$6),Z130*$E$3)</f>
        <v>32.507812410045169</v>
      </c>
      <c r="AA131" s="115">
        <f ca="1">MAX(SUMIFS('RC Template'!$AW:$AW,'RC Template'!$B:$B,$A131,'RC Template'!$C:$C,AA$6),AA130*$E$3)</f>
        <v>0</v>
      </c>
      <c r="AB131" s="115">
        <f ca="1">MAX(SUMIFS('RC Template'!$AW:$AW,'RC Template'!$B:$B,$A131,'RC Template'!$C:$C,AB$6),AB130*$E$3)</f>
        <v>0</v>
      </c>
      <c r="AC131" s="115">
        <f ca="1">MAX(SUMIFS('RC Template'!$AW:$AW,'RC Template'!$B:$B,$A131,'RC Template'!$C:$C,AC$6),AC130*$E$3)</f>
        <v>0</v>
      </c>
      <c r="AD131" s="115">
        <f ca="1">MAX(SUMIFS('RC Template'!$AW:$AW,'RC Template'!$B:$B,$A131,'RC Template'!$C:$C,AD$6),AD130*$E$3)</f>
        <v>0</v>
      </c>
    </row>
    <row r="132" spans="1:30" x14ac:dyDescent="0.3">
      <c r="A132" s="1"/>
      <c r="Q132" s="115">
        <f ca="1">MAX(SUMIFS('RC Template'!$AW:$AW,'RC Template'!$B:$B,$A132,'RC Template'!$C:$C,Q$6),Q131*$E$3)</f>
        <v>194.81989637060249</v>
      </c>
      <c r="R132" s="115">
        <f ca="1">MAX(SUMIFS('RC Template'!$AW:$AW,'RC Template'!$B:$B,$A132,'RC Template'!$C:$C,R$6),R131*$E$3)</f>
        <v>16.304845383586649</v>
      </c>
      <c r="S132" s="115">
        <f ca="1">MAX(SUMIFS('RC Template'!$AW:$AW,'RC Template'!$B:$B,$A132,'RC Template'!$C:$C,S$6),S131*$E$3)</f>
        <v>20.721593732076663</v>
      </c>
      <c r="T132" s="115">
        <f ca="1">MAX(SUMIFS('RC Template'!$AW:$AW,'RC Template'!$B:$B,$A132,'RC Template'!$C:$C,T$6),T131*$E$3)</f>
        <v>2.0251533088012699</v>
      </c>
      <c r="U132" s="115">
        <f ca="1">MAX(SUMIFS('RC Template'!$AW:$AW,'RC Template'!$B:$B,$A132,'RC Template'!$C:$C,U$6),U131*$E$3)</f>
        <v>78.622003695281279</v>
      </c>
      <c r="V132" s="115">
        <f ca="1">MAX(SUMIFS('RC Template'!$AW:$AW,'RC Template'!$B:$B,$A132,'RC Template'!$C:$C,V$6),V131*$E$3)</f>
        <v>25.490993394678188</v>
      </c>
      <c r="W132" s="115">
        <f ca="1">MAX(SUMIFS('RC Template'!$AW:$AW,'RC Template'!$B:$B,$A132,'RC Template'!$C:$C,W$6),W131*$E$3)</f>
        <v>2.7770987315350677</v>
      </c>
      <c r="X132" s="115">
        <f ca="1">MAX(SUMIFS('RC Template'!$AW:$AW,'RC Template'!$B:$B,$A132,'RC Template'!$C:$C,X$6),X131*$E$3)</f>
        <v>93.760566579229859</v>
      </c>
      <c r="Y132" s="115">
        <f ca="1">MAX(SUMIFS('RC Template'!$AW:$AW,'RC Template'!$B:$B,$A132,'RC Template'!$C:$C,Y$6),Y131*$E$3)</f>
        <v>28.078103222393906</v>
      </c>
      <c r="Z132" s="115">
        <f ca="1">MAX(SUMIFS('RC Template'!$AW:$AW,'RC Template'!$B:$B,$A132,'RC Template'!$C:$C,Z$6),Z131*$E$3)</f>
        <v>31.695117099794039</v>
      </c>
      <c r="AA132" s="115">
        <f ca="1">MAX(SUMIFS('RC Template'!$AW:$AW,'RC Template'!$B:$B,$A132,'RC Template'!$C:$C,AA$6),AA131*$E$3)</f>
        <v>0</v>
      </c>
      <c r="AB132" s="115">
        <f ca="1">MAX(SUMIFS('RC Template'!$AW:$AW,'RC Template'!$B:$B,$A132,'RC Template'!$C:$C,AB$6),AB131*$E$3)</f>
        <v>0</v>
      </c>
      <c r="AC132" s="115">
        <f ca="1">MAX(SUMIFS('RC Template'!$AW:$AW,'RC Template'!$B:$B,$A132,'RC Template'!$C:$C,AC$6),AC131*$E$3)</f>
        <v>0</v>
      </c>
      <c r="AD132" s="115">
        <f ca="1">MAX(SUMIFS('RC Template'!$AW:$AW,'RC Template'!$B:$B,$A132,'RC Template'!$C:$C,AD$6),AD131*$E$3)</f>
        <v>0</v>
      </c>
    </row>
    <row r="133" spans="1:30" x14ac:dyDescent="0.3">
      <c r="A133" s="1"/>
      <c r="Q133" s="115">
        <f ca="1">MAX(SUMIFS('RC Template'!$AW:$AW,'RC Template'!$B:$B,$A133,'RC Template'!$C:$C,Q$6),Q132*$E$3)</f>
        <v>189.94939896133744</v>
      </c>
      <c r="R133" s="115">
        <f ca="1">MAX(SUMIFS('RC Template'!$AW:$AW,'RC Template'!$B:$B,$A133,'RC Template'!$C:$C,R$6),R132*$E$3)</f>
        <v>15.897224248996983</v>
      </c>
      <c r="S133" s="115">
        <f ca="1">MAX(SUMIFS('RC Template'!$AW:$AW,'RC Template'!$B:$B,$A133,'RC Template'!$C:$C,S$6),S132*$E$3)</f>
        <v>20.203553888774746</v>
      </c>
      <c r="T133" s="115">
        <f ca="1">MAX(SUMIFS('RC Template'!$AW:$AW,'RC Template'!$B:$B,$A133,'RC Template'!$C:$C,T$6),T132*$E$3)</f>
        <v>1.9745244760812382</v>
      </c>
      <c r="U133" s="115">
        <f ca="1">MAX(SUMIFS('RC Template'!$AW:$AW,'RC Template'!$B:$B,$A133,'RC Template'!$C:$C,U$6),U132*$E$3)</f>
        <v>76.656453602899248</v>
      </c>
      <c r="V133" s="115">
        <f ca="1">MAX(SUMIFS('RC Template'!$AW:$AW,'RC Template'!$B:$B,$A133,'RC Template'!$C:$C,V$6),V132*$E$3)</f>
        <v>24.853718559811234</v>
      </c>
      <c r="W133" s="115">
        <f ca="1">MAX(SUMIFS('RC Template'!$AW:$AW,'RC Template'!$B:$B,$A133,'RC Template'!$C:$C,W$6),W132*$E$3)</f>
        <v>2.7076712632466911</v>
      </c>
      <c r="X133" s="115">
        <f ca="1">MAX(SUMIFS('RC Template'!$AW:$AW,'RC Template'!$B:$B,$A133,'RC Template'!$C:$C,X$6),X132*$E$3)</f>
        <v>91.416552414749106</v>
      </c>
      <c r="Y133" s="115">
        <f ca="1">MAX(SUMIFS('RC Template'!$AW:$AW,'RC Template'!$B:$B,$A133,'RC Template'!$C:$C,Y$6),Y132*$E$3)</f>
        <v>27.376150641834059</v>
      </c>
      <c r="Z133" s="115">
        <f ca="1">MAX(SUMIFS('RC Template'!$AW:$AW,'RC Template'!$B:$B,$A133,'RC Template'!$C:$C,Z$6),Z132*$E$3)</f>
        <v>30.902739172299189</v>
      </c>
      <c r="AA133" s="115">
        <f ca="1">MAX(SUMIFS('RC Template'!$AW:$AW,'RC Template'!$B:$B,$A133,'RC Template'!$C:$C,AA$6),AA132*$E$3)</f>
        <v>0</v>
      </c>
      <c r="AB133" s="115">
        <f ca="1">MAX(SUMIFS('RC Template'!$AW:$AW,'RC Template'!$B:$B,$A133,'RC Template'!$C:$C,AB$6),AB132*$E$3)</f>
        <v>0</v>
      </c>
      <c r="AC133" s="115">
        <f ca="1">MAX(SUMIFS('RC Template'!$AW:$AW,'RC Template'!$B:$B,$A133,'RC Template'!$C:$C,AC$6),AC132*$E$3)</f>
        <v>0</v>
      </c>
      <c r="AD133" s="115">
        <f ca="1">MAX(SUMIFS('RC Template'!$AW:$AW,'RC Template'!$B:$B,$A133,'RC Template'!$C:$C,AD$6),AD132*$E$3)</f>
        <v>0</v>
      </c>
    </row>
    <row r="134" spans="1:30" x14ac:dyDescent="0.3">
      <c r="A134" s="1"/>
      <c r="Q134" s="115">
        <f ca="1">MAX(SUMIFS('RC Template'!$AW:$AW,'RC Template'!$B:$B,$A134,'RC Template'!$C:$C,Q$6),Q133*$E$3)</f>
        <v>185.20066398730398</v>
      </c>
      <c r="R134" s="115">
        <f ca="1">MAX(SUMIFS('RC Template'!$AW:$AW,'RC Template'!$B:$B,$A134,'RC Template'!$C:$C,R$6),R133*$E$3)</f>
        <v>15.499793642772058</v>
      </c>
      <c r="S134" s="115">
        <f ca="1">MAX(SUMIFS('RC Template'!$AW:$AW,'RC Template'!$B:$B,$A134,'RC Template'!$C:$C,S$6),S133*$E$3)</f>
        <v>19.698465041555377</v>
      </c>
      <c r="T134" s="115">
        <f ca="1">MAX(SUMIFS('RC Template'!$AW:$AW,'RC Template'!$B:$B,$A134,'RC Template'!$C:$C,T$6),T133*$E$3)</f>
        <v>1.9251613641792071</v>
      </c>
      <c r="U134" s="115">
        <f ca="1">MAX(SUMIFS('RC Template'!$AW:$AW,'RC Template'!$B:$B,$A134,'RC Template'!$C:$C,U$6),U133*$E$3)</f>
        <v>74.740042262826762</v>
      </c>
      <c r="V134" s="115">
        <f ca="1">MAX(SUMIFS('RC Template'!$AW:$AW,'RC Template'!$B:$B,$A134,'RC Template'!$C:$C,V$6),V133*$E$3)</f>
        <v>24.232375595815952</v>
      </c>
      <c r="W134" s="115">
        <f ca="1">MAX(SUMIFS('RC Template'!$AW:$AW,'RC Template'!$B:$B,$A134,'RC Template'!$C:$C,W$6),W133*$E$3)</f>
        <v>2.6399794816655238</v>
      </c>
      <c r="X134" s="115">
        <f ca="1">MAX(SUMIFS('RC Template'!$AW:$AW,'RC Template'!$B:$B,$A134,'RC Template'!$C:$C,X$6),X133*$E$3)</f>
        <v>89.131138604380382</v>
      </c>
      <c r="Y134" s="115">
        <f ca="1">MAX(SUMIFS('RC Template'!$AW:$AW,'RC Template'!$B:$B,$A134,'RC Template'!$C:$C,Y$6),Y133*$E$3)</f>
        <v>26.691746875788208</v>
      </c>
      <c r="Z134" s="115">
        <f ca="1">MAX(SUMIFS('RC Template'!$AW:$AW,'RC Template'!$B:$B,$A134,'RC Template'!$C:$C,Z$6),Z133*$E$3)</f>
        <v>30.130170692991708</v>
      </c>
      <c r="AA134" s="115">
        <f ca="1">MAX(SUMIFS('RC Template'!$AW:$AW,'RC Template'!$B:$B,$A134,'RC Template'!$C:$C,AA$6),AA133*$E$3)</f>
        <v>0</v>
      </c>
      <c r="AB134" s="115">
        <f ca="1">MAX(SUMIFS('RC Template'!$AW:$AW,'RC Template'!$B:$B,$A134,'RC Template'!$C:$C,AB$6),AB133*$E$3)</f>
        <v>0</v>
      </c>
      <c r="AC134" s="115">
        <f ca="1">MAX(SUMIFS('RC Template'!$AW:$AW,'RC Template'!$B:$B,$A134,'RC Template'!$C:$C,AC$6),AC133*$E$3)</f>
        <v>0</v>
      </c>
      <c r="AD134" s="115">
        <f ca="1">MAX(SUMIFS('RC Template'!$AW:$AW,'RC Template'!$B:$B,$A134,'RC Template'!$C:$C,AD$6),AD133*$E$3)</f>
        <v>0</v>
      </c>
    </row>
    <row r="135" spans="1:30" x14ac:dyDescent="0.3">
      <c r="A135" s="1"/>
      <c r="Q135" s="115">
        <f ca="1">MAX(SUMIFS('RC Template'!$AW:$AW,'RC Template'!$B:$B,$A135,'RC Template'!$C:$C,Q$6),Q134*$E$3)</f>
        <v>180.57064738762139</v>
      </c>
      <c r="R135" s="115">
        <f ca="1">MAX(SUMIFS('RC Template'!$AW:$AW,'RC Template'!$B:$B,$A135,'RC Template'!$C:$C,R$6),R134*$E$3)</f>
        <v>15.112298801702757</v>
      </c>
      <c r="S135" s="115">
        <f ca="1">MAX(SUMIFS('RC Template'!$AW:$AW,'RC Template'!$B:$B,$A135,'RC Template'!$C:$C,S$6),S134*$E$3)</f>
        <v>19.206003415516491</v>
      </c>
      <c r="T135" s="115">
        <f ca="1">MAX(SUMIFS('RC Template'!$AW:$AW,'RC Template'!$B:$B,$A135,'RC Template'!$C:$C,T$6),T134*$E$3)</f>
        <v>1.8770323300747269</v>
      </c>
      <c r="U135" s="115">
        <f ca="1">MAX(SUMIFS('RC Template'!$AW:$AW,'RC Template'!$B:$B,$A135,'RC Template'!$C:$C,U$6),U134*$E$3)</f>
        <v>72.871541206256097</v>
      </c>
      <c r="V135" s="115">
        <f ca="1">MAX(SUMIFS('RC Template'!$AW:$AW,'RC Template'!$B:$B,$A135,'RC Template'!$C:$C,V$6),V134*$E$3)</f>
        <v>23.626566205920554</v>
      </c>
      <c r="W135" s="115">
        <f ca="1">MAX(SUMIFS('RC Template'!$AW:$AW,'RC Template'!$B:$B,$A135,'RC Template'!$C:$C,W$6),W134*$E$3)</f>
        <v>2.5739799946238855</v>
      </c>
      <c r="X135" s="115">
        <f ca="1">MAX(SUMIFS('RC Template'!$AW:$AW,'RC Template'!$B:$B,$A135,'RC Template'!$C:$C,X$6),X134*$E$3)</f>
        <v>86.902860139270871</v>
      </c>
      <c r="Y135" s="115">
        <f ca="1">MAX(SUMIFS('RC Template'!$AW:$AW,'RC Template'!$B:$B,$A135,'RC Template'!$C:$C,Y$6),Y134*$E$3)</f>
        <v>26.024453203893504</v>
      </c>
      <c r="Z135" s="115">
        <f ca="1">MAX(SUMIFS('RC Template'!$AW:$AW,'RC Template'!$B:$B,$A135,'RC Template'!$C:$C,Z$6),Z134*$E$3)</f>
        <v>29.376916425666916</v>
      </c>
      <c r="AA135" s="115">
        <f ca="1">MAX(SUMIFS('RC Template'!$AW:$AW,'RC Template'!$B:$B,$A135,'RC Template'!$C:$C,AA$6),AA134*$E$3)</f>
        <v>0</v>
      </c>
      <c r="AB135" s="115">
        <f ca="1">MAX(SUMIFS('RC Template'!$AW:$AW,'RC Template'!$B:$B,$A135,'RC Template'!$C:$C,AB$6),AB134*$E$3)</f>
        <v>0</v>
      </c>
      <c r="AC135" s="115">
        <f ca="1">MAX(SUMIFS('RC Template'!$AW:$AW,'RC Template'!$B:$B,$A135,'RC Template'!$C:$C,AC$6),AC134*$E$3)</f>
        <v>0</v>
      </c>
      <c r="AD135" s="115">
        <f ca="1">MAX(SUMIFS('RC Template'!$AW:$AW,'RC Template'!$B:$B,$A135,'RC Template'!$C:$C,AD$6),AD134*$E$3)</f>
        <v>0</v>
      </c>
    </row>
    <row r="136" spans="1:30" x14ac:dyDescent="0.3">
      <c r="A136" s="1"/>
      <c r="Q136" s="115">
        <f ca="1">MAX(SUMIFS('RC Template'!$AW:$AW,'RC Template'!$B:$B,$A136,'RC Template'!$C:$C,Q$6),Q135*$E$3)</f>
        <v>176.05638120293085</v>
      </c>
      <c r="R136" s="115">
        <f ca="1">MAX(SUMIFS('RC Template'!$AW:$AW,'RC Template'!$B:$B,$A136,'RC Template'!$C:$C,R$6),R135*$E$3)</f>
        <v>14.734491331660188</v>
      </c>
      <c r="S136" s="115">
        <f ca="1">MAX(SUMIFS('RC Template'!$AW:$AW,'RC Template'!$B:$B,$A136,'RC Template'!$C:$C,S$6),S135*$E$3)</f>
        <v>18.725853330128579</v>
      </c>
      <c r="T136" s="115">
        <f ca="1">MAX(SUMIFS('RC Template'!$AW:$AW,'RC Template'!$B:$B,$A136,'RC Template'!$C:$C,T$6),T135*$E$3)</f>
        <v>1.8301065218228587</v>
      </c>
      <c r="U136" s="115">
        <f ca="1">MAX(SUMIFS('RC Template'!$AW:$AW,'RC Template'!$B:$B,$A136,'RC Template'!$C:$C,U$6),U135*$E$3)</f>
        <v>71.049752676099686</v>
      </c>
      <c r="V136" s="115">
        <f ca="1">MAX(SUMIFS('RC Template'!$AW:$AW,'RC Template'!$B:$B,$A136,'RC Template'!$C:$C,V$6),V135*$E$3)</f>
        <v>23.035902050772538</v>
      </c>
      <c r="W136" s="115">
        <f ca="1">MAX(SUMIFS('RC Template'!$AW:$AW,'RC Template'!$B:$B,$A136,'RC Template'!$C:$C,W$6),W135*$E$3)</f>
        <v>2.5096304947582881</v>
      </c>
      <c r="X136" s="115">
        <f ca="1">MAX(SUMIFS('RC Template'!$AW:$AW,'RC Template'!$B:$B,$A136,'RC Template'!$C:$C,X$6),X135*$E$3)</f>
        <v>84.730288635789094</v>
      </c>
      <c r="Y136" s="115">
        <f ca="1">MAX(SUMIFS('RC Template'!$AW:$AW,'RC Template'!$B:$B,$A136,'RC Template'!$C:$C,Y$6),Y135*$E$3)</f>
        <v>25.373841873796167</v>
      </c>
      <c r="Z136" s="115">
        <f ca="1">MAX(SUMIFS('RC Template'!$AW:$AW,'RC Template'!$B:$B,$A136,'RC Template'!$C:$C,Z$6),Z135*$E$3)</f>
        <v>28.642493515025244</v>
      </c>
      <c r="AA136" s="115">
        <f ca="1">MAX(SUMIFS('RC Template'!$AW:$AW,'RC Template'!$B:$B,$A136,'RC Template'!$C:$C,AA$6),AA135*$E$3)</f>
        <v>0</v>
      </c>
      <c r="AB136" s="115">
        <f ca="1">MAX(SUMIFS('RC Template'!$AW:$AW,'RC Template'!$B:$B,$A136,'RC Template'!$C:$C,AB$6),AB135*$E$3)</f>
        <v>0</v>
      </c>
      <c r="AC136" s="115">
        <f ca="1">MAX(SUMIFS('RC Template'!$AW:$AW,'RC Template'!$B:$B,$A136,'RC Template'!$C:$C,AC$6),AC135*$E$3)</f>
        <v>0</v>
      </c>
      <c r="AD136" s="115">
        <f ca="1">MAX(SUMIFS('RC Template'!$AW:$AW,'RC Template'!$B:$B,$A136,'RC Template'!$C:$C,AD$6),AD135*$E$3)</f>
        <v>0</v>
      </c>
    </row>
    <row r="137" spans="1:30" x14ac:dyDescent="0.3">
      <c r="A137" s="1"/>
      <c r="Q137" s="115">
        <f ca="1">MAX(SUMIFS('RC Template'!$AW:$AW,'RC Template'!$B:$B,$A137,'RC Template'!$C:$C,Q$6),Q136*$E$3)</f>
        <v>171.65497167285758</v>
      </c>
      <c r="R137" s="115">
        <f ca="1">MAX(SUMIFS('RC Template'!$AW:$AW,'RC Template'!$B:$B,$A137,'RC Template'!$C:$C,R$6),R136*$E$3)</f>
        <v>14.366129048368682</v>
      </c>
      <c r="S137" s="115">
        <f ca="1">MAX(SUMIFS('RC Template'!$AW:$AW,'RC Template'!$B:$B,$A137,'RC Template'!$C:$C,S$6),S136*$E$3)</f>
        <v>18.257706996875363</v>
      </c>
      <c r="T137" s="115">
        <f ca="1">MAX(SUMIFS('RC Template'!$AW:$AW,'RC Template'!$B:$B,$A137,'RC Template'!$C:$C,T$6),T136*$E$3)</f>
        <v>1.7843538587772871</v>
      </c>
      <c r="U137" s="115">
        <f ca="1">MAX(SUMIFS('RC Template'!$AW:$AW,'RC Template'!$B:$B,$A137,'RC Template'!$C:$C,U$6),U136*$E$3)</f>
        <v>69.273508859197193</v>
      </c>
      <c r="V137" s="115">
        <f ca="1">MAX(SUMIFS('RC Template'!$AW:$AW,'RC Template'!$B:$B,$A137,'RC Template'!$C:$C,V$6),V136*$E$3)</f>
        <v>22.460004499503224</v>
      </c>
      <c r="W137" s="115">
        <f ca="1">MAX(SUMIFS('RC Template'!$AW:$AW,'RC Template'!$B:$B,$A137,'RC Template'!$C:$C,W$6),W136*$E$3)</f>
        <v>2.4468897323893311</v>
      </c>
      <c r="X137" s="115">
        <f ca="1">MAX(SUMIFS('RC Template'!$AW:$AW,'RC Template'!$B:$B,$A137,'RC Template'!$C:$C,X$6),X136*$E$3)</f>
        <v>82.612031419894365</v>
      </c>
      <c r="Y137" s="115">
        <f ca="1">MAX(SUMIFS('RC Template'!$AW:$AW,'RC Template'!$B:$B,$A137,'RC Template'!$C:$C,Y$6),Y136*$E$3)</f>
        <v>24.739495826951263</v>
      </c>
      <c r="Z137" s="115">
        <f ca="1">MAX(SUMIFS('RC Template'!$AW:$AW,'RC Template'!$B:$B,$A137,'RC Template'!$C:$C,Z$6),Z136*$E$3)</f>
        <v>27.926431177149613</v>
      </c>
      <c r="AA137" s="115">
        <f ca="1">MAX(SUMIFS('RC Template'!$AW:$AW,'RC Template'!$B:$B,$A137,'RC Template'!$C:$C,AA$6),AA136*$E$3)</f>
        <v>0</v>
      </c>
      <c r="AB137" s="115">
        <f ca="1">MAX(SUMIFS('RC Template'!$AW:$AW,'RC Template'!$B:$B,$A137,'RC Template'!$C:$C,AB$6),AB136*$E$3)</f>
        <v>0</v>
      </c>
      <c r="AC137" s="115">
        <f ca="1">MAX(SUMIFS('RC Template'!$AW:$AW,'RC Template'!$B:$B,$A137,'RC Template'!$C:$C,AC$6),AC136*$E$3)</f>
        <v>0</v>
      </c>
      <c r="AD137" s="115">
        <f ca="1">MAX(SUMIFS('RC Template'!$AW:$AW,'RC Template'!$B:$B,$A137,'RC Template'!$C:$C,AD$6),AD136*$E$3)</f>
        <v>0</v>
      </c>
    </row>
    <row r="138" spans="1:30" x14ac:dyDescent="0.3">
      <c r="A138" s="1"/>
      <c r="Q138" s="115">
        <f ca="1">MAX(SUMIFS('RC Template'!$AW:$AW,'RC Template'!$B:$B,$A138,'RC Template'!$C:$C,Q$6),Q137*$E$3)</f>
        <v>167.36359738103613</v>
      </c>
      <c r="R138" s="115">
        <f ca="1">MAX(SUMIFS('RC Template'!$AW:$AW,'RC Template'!$B:$B,$A138,'RC Template'!$C:$C,R$6),R137*$E$3)</f>
        <v>14.006975822159465</v>
      </c>
      <c r="S138" s="115">
        <f ca="1">MAX(SUMIFS('RC Template'!$AW:$AW,'RC Template'!$B:$B,$A138,'RC Template'!$C:$C,S$6),S137*$E$3)</f>
        <v>17.801264321953479</v>
      </c>
      <c r="T138" s="115">
        <f ca="1">MAX(SUMIFS('RC Template'!$AW:$AW,'RC Template'!$B:$B,$A138,'RC Template'!$C:$C,T$6),T137*$E$3)</f>
        <v>1.7397450123078548</v>
      </c>
      <c r="U138" s="115">
        <f ca="1">MAX(SUMIFS('RC Template'!$AW:$AW,'RC Template'!$B:$B,$A138,'RC Template'!$C:$C,U$6),U137*$E$3)</f>
        <v>67.541671137717259</v>
      </c>
      <c r="V138" s="115">
        <f ca="1">MAX(SUMIFS('RC Template'!$AW:$AW,'RC Template'!$B:$B,$A138,'RC Template'!$C:$C,V$6),V137*$E$3)</f>
        <v>21.898504387015642</v>
      </c>
      <c r="W138" s="115">
        <f ca="1">MAX(SUMIFS('RC Template'!$AW:$AW,'RC Template'!$B:$B,$A138,'RC Template'!$C:$C,W$6),W137*$E$3)</f>
        <v>2.3857174890795978</v>
      </c>
      <c r="X138" s="115">
        <f ca="1">MAX(SUMIFS('RC Template'!$AW:$AW,'RC Template'!$B:$B,$A138,'RC Template'!$C:$C,X$6),X137*$E$3)</f>
        <v>80.546730634397008</v>
      </c>
      <c r="Y138" s="115">
        <f ca="1">MAX(SUMIFS('RC Template'!$AW:$AW,'RC Template'!$B:$B,$A138,'RC Template'!$C:$C,Y$6),Y137*$E$3)</f>
        <v>24.121008431277481</v>
      </c>
      <c r="Z138" s="115">
        <f ca="1">MAX(SUMIFS('RC Template'!$AW:$AW,'RC Template'!$B:$B,$A138,'RC Template'!$C:$C,Z$6),Z137*$E$3)</f>
        <v>27.228270397720873</v>
      </c>
      <c r="AA138" s="115">
        <f ca="1">MAX(SUMIFS('RC Template'!$AW:$AW,'RC Template'!$B:$B,$A138,'RC Template'!$C:$C,AA$6),AA137*$E$3)</f>
        <v>0</v>
      </c>
      <c r="AB138" s="115">
        <f ca="1">MAX(SUMIFS('RC Template'!$AW:$AW,'RC Template'!$B:$B,$A138,'RC Template'!$C:$C,AB$6),AB137*$E$3)</f>
        <v>0</v>
      </c>
      <c r="AC138" s="115">
        <f ca="1">MAX(SUMIFS('RC Template'!$AW:$AW,'RC Template'!$B:$B,$A138,'RC Template'!$C:$C,AC$6),AC137*$E$3)</f>
        <v>0</v>
      </c>
      <c r="AD138" s="115">
        <f ca="1">MAX(SUMIFS('RC Template'!$AW:$AW,'RC Template'!$B:$B,$A138,'RC Template'!$C:$C,AD$6),AD137*$E$3)</f>
        <v>0</v>
      </c>
    </row>
    <row r="139" spans="1:30" x14ac:dyDescent="0.3">
      <c r="A139" s="1"/>
      <c r="Q139" s="115">
        <f ca="1">MAX(SUMIFS('RC Template'!$AW:$AW,'RC Template'!$B:$B,$A139,'RC Template'!$C:$C,Q$6),Q138*$E$3)</f>
        <v>163.17950744651023</v>
      </c>
      <c r="R139" s="115">
        <f ca="1">MAX(SUMIFS('RC Template'!$AW:$AW,'RC Template'!$B:$B,$A139,'RC Template'!$C:$C,R$6),R138*$E$3)</f>
        <v>13.656801426605478</v>
      </c>
      <c r="S139" s="115">
        <f ca="1">MAX(SUMIFS('RC Template'!$AW:$AW,'RC Template'!$B:$B,$A139,'RC Template'!$C:$C,S$6),S138*$E$3)</f>
        <v>17.356232713904642</v>
      </c>
      <c r="T139" s="115">
        <f ca="1">MAX(SUMIFS('RC Template'!$AW:$AW,'RC Template'!$B:$B,$A139,'RC Template'!$C:$C,T$6),T138*$E$3)</f>
        <v>1.6962513870001583</v>
      </c>
      <c r="U139" s="115">
        <f ca="1">MAX(SUMIFS('RC Template'!$AW:$AW,'RC Template'!$B:$B,$A139,'RC Template'!$C:$C,U$6),U138*$E$3)</f>
        <v>65.85312935927432</v>
      </c>
      <c r="V139" s="115">
        <f ca="1">MAX(SUMIFS('RC Template'!$AW:$AW,'RC Template'!$B:$B,$A139,'RC Template'!$C:$C,V$6),V138*$E$3)</f>
        <v>21.351041777340249</v>
      </c>
      <c r="W139" s="115">
        <f ca="1">MAX(SUMIFS('RC Template'!$AW:$AW,'RC Template'!$B:$B,$A139,'RC Template'!$C:$C,W$6),W138*$E$3)</f>
        <v>2.3260745518526078</v>
      </c>
      <c r="X139" s="115">
        <f ca="1">MAX(SUMIFS('RC Template'!$AW:$AW,'RC Template'!$B:$B,$A139,'RC Template'!$C:$C,X$6),X138*$E$3)</f>
        <v>78.533062368537074</v>
      </c>
      <c r="Y139" s="115">
        <f ca="1">MAX(SUMIFS('RC Template'!$AW:$AW,'RC Template'!$B:$B,$A139,'RC Template'!$C:$C,Y$6),Y138*$E$3)</f>
        <v>23.517983220495545</v>
      </c>
      <c r="Z139" s="115">
        <f ca="1">MAX(SUMIFS('RC Template'!$AW:$AW,'RC Template'!$B:$B,$A139,'RC Template'!$C:$C,Z$6),Z138*$E$3)</f>
        <v>26.547563637777852</v>
      </c>
      <c r="AA139" s="115">
        <f ca="1">MAX(SUMIFS('RC Template'!$AW:$AW,'RC Template'!$B:$B,$A139,'RC Template'!$C:$C,AA$6),AA138*$E$3)</f>
        <v>0</v>
      </c>
      <c r="AB139" s="115">
        <f ca="1">MAX(SUMIFS('RC Template'!$AW:$AW,'RC Template'!$B:$B,$A139,'RC Template'!$C:$C,AB$6),AB138*$E$3)</f>
        <v>0</v>
      </c>
      <c r="AC139" s="115">
        <f ca="1">MAX(SUMIFS('RC Template'!$AW:$AW,'RC Template'!$B:$B,$A139,'RC Template'!$C:$C,AC$6),AC138*$E$3)</f>
        <v>0</v>
      </c>
      <c r="AD139" s="115">
        <f ca="1">MAX(SUMIFS('RC Template'!$AW:$AW,'RC Template'!$B:$B,$A139,'RC Template'!$C:$C,AD$6),AD138*$E$3)</f>
        <v>0</v>
      </c>
    </row>
    <row r="140" spans="1:30" x14ac:dyDescent="0.3">
      <c r="A140" s="1"/>
      <c r="Q140" s="115">
        <f ca="1">MAX(SUMIFS('RC Template'!$AW:$AW,'RC Template'!$B:$B,$A140,'RC Template'!$C:$C,Q$6),Q139*$E$3)</f>
        <v>159.10001976034746</v>
      </c>
      <c r="R140" s="115">
        <f ca="1">MAX(SUMIFS('RC Template'!$AW:$AW,'RC Template'!$B:$B,$A140,'RC Template'!$C:$C,R$6),R139*$E$3)</f>
        <v>13.31538139094034</v>
      </c>
      <c r="S140" s="115">
        <f ca="1">MAX(SUMIFS('RC Template'!$AW:$AW,'RC Template'!$B:$B,$A140,'RC Template'!$C:$C,S$6),S139*$E$3)</f>
        <v>16.922326896057026</v>
      </c>
      <c r="T140" s="115">
        <f ca="1">MAX(SUMIFS('RC Template'!$AW:$AW,'RC Template'!$B:$B,$A140,'RC Template'!$C:$C,T$6),T139*$E$3)</f>
        <v>1.6538451023251544</v>
      </c>
      <c r="U140" s="115">
        <f ca="1">MAX(SUMIFS('RC Template'!$AW:$AW,'RC Template'!$B:$B,$A140,'RC Template'!$C:$C,U$6),U139*$E$3)</f>
        <v>64.206801125292458</v>
      </c>
      <c r="V140" s="115">
        <f ca="1">MAX(SUMIFS('RC Template'!$AW:$AW,'RC Template'!$B:$B,$A140,'RC Template'!$C:$C,V$6),V139*$E$3)</f>
        <v>20.817265732906744</v>
      </c>
      <c r="W140" s="115">
        <f ca="1">MAX(SUMIFS('RC Template'!$AW:$AW,'RC Template'!$B:$B,$A140,'RC Template'!$C:$C,W$6),W139*$E$3)</f>
        <v>2.2679226880562924</v>
      </c>
      <c r="X140" s="115">
        <f ca="1">MAX(SUMIFS('RC Template'!$AW:$AW,'RC Template'!$B:$B,$A140,'RC Template'!$C:$C,X$6),X139*$E$3)</f>
        <v>76.569735809323646</v>
      </c>
      <c r="Y140" s="115">
        <f ca="1">MAX(SUMIFS('RC Template'!$AW:$AW,'RC Template'!$B:$B,$A140,'RC Template'!$C:$C,Y$6),Y139*$E$3)</f>
        <v>22.930033639983154</v>
      </c>
      <c r="Z140" s="115">
        <f ca="1">MAX(SUMIFS('RC Template'!$AW:$AW,'RC Template'!$B:$B,$A140,'RC Template'!$C:$C,Z$6),Z139*$E$3)</f>
        <v>25.883874546833404</v>
      </c>
      <c r="AA140" s="115">
        <f ca="1">MAX(SUMIFS('RC Template'!$AW:$AW,'RC Template'!$B:$B,$A140,'RC Template'!$C:$C,AA$6),AA139*$E$3)</f>
        <v>0</v>
      </c>
      <c r="AB140" s="115">
        <f ca="1">MAX(SUMIFS('RC Template'!$AW:$AW,'RC Template'!$B:$B,$A140,'RC Template'!$C:$C,AB$6),AB139*$E$3)</f>
        <v>0</v>
      </c>
      <c r="AC140" s="115">
        <f ca="1">MAX(SUMIFS('RC Template'!$AW:$AW,'RC Template'!$B:$B,$A140,'RC Template'!$C:$C,AC$6),AC139*$E$3)</f>
        <v>0</v>
      </c>
      <c r="AD140" s="115">
        <f ca="1">MAX(SUMIFS('RC Template'!$AW:$AW,'RC Template'!$B:$B,$A140,'RC Template'!$C:$C,AD$6),AD139*$E$3)</f>
        <v>0</v>
      </c>
    </row>
    <row r="141" spans="1:30" x14ac:dyDescent="0.3">
      <c r="A141" s="1"/>
      <c r="Q141" s="115">
        <f ca="1">MAX(SUMIFS('RC Template'!$AW:$AW,'RC Template'!$B:$B,$A141,'RC Template'!$C:$C,Q$6),Q140*$E$3)</f>
        <v>155.12251926633877</v>
      </c>
      <c r="R141" s="115">
        <f ca="1">MAX(SUMIFS('RC Template'!$AW:$AW,'RC Template'!$B:$B,$A141,'RC Template'!$C:$C,R$6),R140*$E$3)</f>
        <v>12.982496856166831</v>
      </c>
      <c r="S141" s="115">
        <f ca="1">MAX(SUMIFS('RC Template'!$AW:$AW,'RC Template'!$B:$B,$A141,'RC Template'!$C:$C,S$6),S140*$E$3)</f>
        <v>16.4992687236556</v>
      </c>
      <c r="T141" s="115">
        <f ca="1">MAX(SUMIFS('RC Template'!$AW:$AW,'RC Template'!$B:$B,$A141,'RC Template'!$C:$C,T$6),T140*$E$3)</f>
        <v>1.6124989747670255</v>
      </c>
      <c r="U141" s="115">
        <f ca="1">MAX(SUMIFS('RC Template'!$AW:$AW,'RC Template'!$B:$B,$A141,'RC Template'!$C:$C,U$6),U140*$E$3)</f>
        <v>62.601631097160144</v>
      </c>
      <c r="V141" s="115">
        <f ca="1">MAX(SUMIFS('RC Template'!$AW:$AW,'RC Template'!$B:$B,$A141,'RC Template'!$C:$C,V$6),V140*$E$3)</f>
        <v>20.296834089584074</v>
      </c>
      <c r="W141" s="115">
        <f ca="1">MAX(SUMIFS('RC Template'!$AW:$AW,'RC Template'!$B:$B,$A141,'RC Template'!$C:$C,W$6),W140*$E$3)</f>
        <v>2.2112246208548849</v>
      </c>
      <c r="X141" s="115">
        <f ca="1">MAX(SUMIFS('RC Template'!$AW:$AW,'RC Template'!$B:$B,$A141,'RC Template'!$C:$C,X$6),X140*$E$3)</f>
        <v>74.65549241409056</v>
      </c>
      <c r="Y141" s="115">
        <f ca="1">MAX(SUMIFS('RC Template'!$AW:$AW,'RC Template'!$B:$B,$A141,'RC Template'!$C:$C,Y$6),Y140*$E$3)</f>
        <v>22.356782798983573</v>
      </c>
      <c r="Z141" s="115">
        <f ca="1">MAX(SUMIFS('RC Template'!$AW:$AW,'RC Template'!$B:$B,$A141,'RC Template'!$C:$C,Z$6),Z140*$E$3)</f>
        <v>25.236777683162568</v>
      </c>
      <c r="AA141" s="115">
        <f ca="1">MAX(SUMIFS('RC Template'!$AW:$AW,'RC Template'!$B:$B,$A141,'RC Template'!$C:$C,AA$6),AA140*$E$3)</f>
        <v>0</v>
      </c>
      <c r="AB141" s="115">
        <f ca="1">MAX(SUMIFS('RC Template'!$AW:$AW,'RC Template'!$B:$B,$A141,'RC Template'!$C:$C,AB$6),AB140*$E$3)</f>
        <v>0</v>
      </c>
      <c r="AC141" s="115">
        <f ca="1">MAX(SUMIFS('RC Template'!$AW:$AW,'RC Template'!$B:$B,$A141,'RC Template'!$C:$C,AC$6),AC140*$E$3)</f>
        <v>0</v>
      </c>
      <c r="AD141" s="115">
        <f ca="1">MAX(SUMIFS('RC Template'!$AW:$AW,'RC Template'!$B:$B,$A141,'RC Template'!$C:$C,AD$6),AD140*$E$3)</f>
        <v>0</v>
      </c>
    </row>
    <row r="142" spans="1:30" x14ac:dyDescent="0.3">
      <c r="A142" s="1"/>
      <c r="Q142" s="115">
        <f ca="1">MAX(SUMIFS('RC Template'!$AW:$AW,'RC Template'!$B:$B,$A142,'RC Template'!$C:$C,Q$6),Q141*$E$3)</f>
        <v>151.2444562846803</v>
      </c>
      <c r="R142" s="115">
        <f ca="1">MAX(SUMIFS('RC Template'!$AW:$AW,'RC Template'!$B:$B,$A142,'RC Template'!$C:$C,R$6),R141*$E$3)</f>
        <v>12.657934434762661</v>
      </c>
      <c r="S142" s="115">
        <f ca="1">MAX(SUMIFS('RC Template'!$AW:$AW,'RC Template'!$B:$B,$A142,'RC Template'!$C:$C,S$6),S141*$E$3)</f>
        <v>16.086787005564211</v>
      </c>
      <c r="T142" s="115">
        <f ca="1">MAX(SUMIFS('RC Template'!$AW:$AW,'RC Template'!$B:$B,$A142,'RC Template'!$C:$C,T$6),T141*$E$3)</f>
        <v>1.5721865003978499</v>
      </c>
      <c r="U142" s="115">
        <f ca="1">MAX(SUMIFS('RC Template'!$AW:$AW,'RC Template'!$B:$B,$A142,'RC Template'!$C:$C,U$6),U141*$E$3)</f>
        <v>61.03659031973114</v>
      </c>
      <c r="V142" s="115">
        <f ca="1">MAX(SUMIFS('RC Template'!$AW:$AW,'RC Template'!$B:$B,$A142,'RC Template'!$C:$C,V$6),V141*$E$3)</f>
        <v>19.789413237344473</v>
      </c>
      <c r="W142" s="115">
        <f ca="1">MAX(SUMIFS('RC Template'!$AW:$AW,'RC Template'!$B:$B,$A142,'RC Template'!$C:$C,W$6),W141*$E$3)</f>
        <v>2.1559440053335126</v>
      </c>
      <c r="X142" s="115">
        <f ca="1">MAX(SUMIFS('RC Template'!$AW:$AW,'RC Template'!$B:$B,$A142,'RC Template'!$C:$C,X$6),X141*$E$3)</f>
        <v>72.789105103738294</v>
      </c>
      <c r="Y142" s="115">
        <f ca="1">MAX(SUMIFS('RC Template'!$AW:$AW,'RC Template'!$B:$B,$A142,'RC Template'!$C:$C,Y$6),Y141*$E$3)</f>
        <v>21.797863229008982</v>
      </c>
      <c r="Z142" s="115">
        <f ca="1">MAX(SUMIFS('RC Template'!$AW:$AW,'RC Template'!$B:$B,$A142,'RC Template'!$C:$C,Z$6),Z141*$E$3)</f>
        <v>24.605858241083503</v>
      </c>
      <c r="AA142" s="115">
        <f ca="1">MAX(SUMIFS('RC Template'!$AW:$AW,'RC Template'!$B:$B,$A142,'RC Template'!$C:$C,AA$6),AA141*$E$3)</f>
        <v>0</v>
      </c>
      <c r="AB142" s="115">
        <f ca="1">MAX(SUMIFS('RC Template'!$AW:$AW,'RC Template'!$B:$B,$A142,'RC Template'!$C:$C,AB$6),AB141*$E$3)</f>
        <v>0</v>
      </c>
      <c r="AC142" s="115">
        <f ca="1">MAX(SUMIFS('RC Template'!$AW:$AW,'RC Template'!$B:$B,$A142,'RC Template'!$C:$C,AC$6),AC141*$E$3)</f>
        <v>0</v>
      </c>
      <c r="AD142" s="115">
        <f ca="1">MAX(SUMIFS('RC Template'!$AW:$AW,'RC Template'!$B:$B,$A142,'RC Template'!$C:$C,AD$6),AD141*$E$3)</f>
        <v>0</v>
      </c>
    </row>
    <row r="143" spans="1:30" x14ac:dyDescent="0.3">
      <c r="A143" s="1"/>
      <c r="Q143" s="115">
        <f ca="1">MAX(SUMIFS('RC Template'!$AW:$AW,'RC Template'!$B:$B,$A143,'RC Template'!$C:$C,Q$6),Q142*$E$3)</f>
        <v>147.46334487756329</v>
      </c>
      <c r="R143" s="115">
        <f ca="1">MAX(SUMIFS('RC Template'!$AW:$AW,'RC Template'!$B:$B,$A143,'RC Template'!$C:$C,R$6),R142*$E$3)</f>
        <v>12.341486073893593</v>
      </c>
      <c r="S143" s="115">
        <f ca="1">MAX(SUMIFS('RC Template'!$AW:$AW,'RC Template'!$B:$B,$A143,'RC Template'!$C:$C,S$6),S142*$E$3)</f>
        <v>15.684617330425105</v>
      </c>
      <c r="T143" s="115">
        <f ca="1">MAX(SUMIFS('RC Template'!$AW:$AW,'RC Template'!$B:$B,$A143,'RC Template'!$C:$C,T$6),T142*$E$3)</f>
        <v>1.5328818378879037</v>
      </c>
      <c r="U143" s="115">
        <f ca="1">MAX(SUMIFS('RC Template'!$AW:$AW,'RC Template'!$B:$B,$A143,'RC Template'!$C:$C,U$6),U142*$E$3)</f>
        <v>59.510675561737862</v>
      </c>
      <c r="V143" s="115">
        <f ca="1">MAX(SUMIFS('RC Template'!$AW:$AW,'RC Template'!$B:$B,$A143,'RC Template'!$C:$C,V$6),V142*$E$3)</f>
        <v>19.294677906410861</v>
      </c>
      <c r="W143" s="115">
        <f ca="1">MAX(SUMIFS('RC Template'!$AW:$AW,'RC Template'!$B:$B,$A143,'RC Template'!$C:$C,W$6),W142*$E$3)</f>
        <v>2.1020454052001747</v>
      </c>
      <c r="X143" s="115">
        <f ca="1">MAX(SUMIFS('RC Template'!$AW:$AW,'RC Template'!$B:$B,$A143,'RC Template'!$C:$C,X$6),X142*$E$3)</f>
        <v>70.969377476144828</v>
      </c>
      <c r="Y143" s="115">
        <f ca="1">MAX(SUMIFS('RC Template'!$AW:$AW,'RC Template'!$B:$B,$A143,'RC Template'!$C:$C,Y$6),Y142*$E$3)</f>
        <v>21.252916648283758</v>
      </c>
      <c r="Z143" s="115">
        <f ca="1">MAX(SUMIFS('RC Template'!$AW:$AW,'RC Template'!$B:$B,$A143,'RC Template'!$C:$C,Z$6),Z142*$E$3)</f>
        <v>23.990711785056416</v>
      </c>
      <c r="AA143" s="115">
        <f ca="1">MAX(SUMIFS('RC Template'!$AW:$AW,'RC Template'!$B:$B,$A143,'RC Template'!$C:$C,AA$6),AA142*$E$3)</f>
        <v>0</v>
      </c>
      <c r="AB143" s="115">
        <f ca="1">MAX(SUMIFS('RC Template'!$AW:$AW,'RC Template'!$B:$B,$A143,'RC Template'!$C:$C,AB$6),AB142*$E$3)</f>
        <v>0</v>
      </c>
      <c r="AC143" s="115">
        <f ca="1">MAX(SUMIFS('RC Template'!$AW:$AW,'RC Template'!$B:$B,$A143,'RC Template'!$C:$C,AC$6),AC142*$E$3)</f>
        <v>0</v>
      </c>
      <c r="AD143" s="115">
        <f ca="1">MAX(SUMIFS('RC Template'!$AW:$AW,'RC Template'!$B:$B,$A143,'RC Template'!$C:$C,AD$6),AD142*$E$3)</f>
        <v>0</v>
      </c>
    </row>
    <row r="144" spans="1:30" x14ac:dyDescent="0.3">
      <c r="A144" s="1"/>
      <c r="Q144" s="115">
        <f ca="1">MAX(SUMIFS('RC Template'!$AW:$AW,'RC Template'!$B:$B,$A144,'RC Template'!$C:$C,Q$6),Q143*$E$3)</f>
        <v>143.77676125562419</v>
      </c>
      <c r="R144" s="115">
        <f ca="1">MAX(SUMIFS('RC Template'!$AW:$AW,'RC Template'!$B:$B,$A144,'RC Template'!$C:$C,R$6),R143*$E$3)</f>
        <v>12.032948922046254</v>
      </c>
      <c r="S144" s="115">
        <f ca="1">MAX(SUMIFS('RC Template'!$AW:$AW,'RC Template'!$B:$B,$A144,'RC Template'!$C:$C,S$6),S143*$E$3)</f>
        <v>15.292501897164477</v>
      </c>
      <c r="T144" s="115">
        <f ca="1">MAX(SUMIFS('RC Template'!$AW:$AW,'RC Template'!$B:$B,$A144,'RC Template'!$C:$C,T$6),T143*$E$3)</f>
        <v>1.4945597919407061</v>
      </c>
      <c r="U144" s="115">
        <f ca="1">MAX(SUMIFS('RC Template'!$AW:$AW,'RC Template'!$B:$B,$A144,'RC Template'!$C:$C,U$6),U143*$E$3)</f>
        <v>58.022908672694413</v>
      </c>
      <c r="V144" s="115">
        <f ca="1">MAX(SUMIFS('RC Template'!$AW:$AW,'RC Template'!$B:$B,$A144,'RC Template'!$C:$C,V$6),V143*$E$3)</f>
        <v>18.81231095875059</v>
      </c>
      <c r="W144" s="115">
        <f ca="1">MAX(SUMIFS('RC Template'!$AW:$AW,'RC Template'!$B:$B,$A144,'RC Template'!$C:$C,W$6),W143*$E$3)</f>
        <v>2.0494942700701704</v>
      </c>
      <c r="X144" s="115">
        <f ca="1">MAX(SUMIFS('RC Template'!$AW:$AW,'RC Template'!$B:$B,$A144,'RC Template'!$C:$C,X$6),X143*$E$3)</f>
        <v>69.195143039241202</v>
      </c>
      <c r="Y144" s="115">
        <f ca="1">MAX(SUMIFS('RC Template'!$AW:$AW,'RC Template'!$B:$B,$A144,'RC Template'!$C:$C,Y$6),Y143*$E$3)</f>
        <v>20.721593732076663</v>
      </c>
      <c r="Z144" s="115">
        <f ca="1">MAX(SUMIFS('RC Template'!$AW:$AW,'RC Template'!$B:$B,$A144,'RC Template'!$C:$C,Z$6),Z143*$E$3)</f>
        <v>23.390943990430003</v>
      </c>
      <c r="AA144" s="115">
        <f ca="1">MAX(SUMIFS('RC Template'!$AW:$AW,'RC Template'!$B:$B,$A144,'RC Template'!$C:$C,AA$6),AA143*$E$3)</f>
        <v>0</v>
      </c>
      <c r="AB144" s="115">
        <f ca="1">MAX(SUMIFS('RC Template'!$AW:$AW,'RC Template'!$B:$B,$A144,'RC Template'!$C:$C,AB$6),AB143*$E$3)</f>
        <v>0</v>
      </c>
      <c r="AC144" s="115">
        <f ca="1">MAX(SUMIFS('RC Template'!$AW:$AW,'RC Template'!$B:$B,$A144,'RC Template'!$C:$C,AC$6),AC143*$E$3)</f>
        <v>0</v>
      </c>
      <c r="AD144" s="115">
        <f ca="1">MAX(SUMIFS('RC Template'!$AW:$AW,'RC Template'!$B:$B,$A144,'RC Template'!$C:$C,AD$6),AD143*$E$3)</f>
        <v>0</v>
      </c>
    </row>
    <row r="145" spans="1:30" x14ac:dyDescent="0.3">
      <c r="A145" s="1"/>
      <c r="Q145" s="115">
        <f ca="1">MAX(SUMIFS('RC Template'!$AW:$AW,'RC Template'!$B:$B,$A145,'RC Template'!$C:$C,Q$6),Q144*$E$3)</f>
        <v>140.18234222423359</v>
      </c>
      <c r="R145" s="115">
        <f ca="1">MAX(SUMIFS('RC Template'!$AW:$AW,'RC Template'!$B:$B,$A145,'RC Template'!$C:$C,R$6),R144*$E$3)</f>
        <v>11.732125198995098</v>
      </c>
      <c r="S145" s="115">
        <f ca="1">MAX(SUMIFS('RC Template'!$AW:$AW,'RC Template'!$B:$B,$A145,'RC Template'!$C:$C,S$6),S144*$E$3)</f>
        <v>14.910189349735365</v>
      </c>
      <c r="T145" s="115">
        <f ca="1">MAX(SUMIFS('RC Template'!$AW:$AW,'RC Template'!$B:$B,$A145,'RC Template'!$C:$C,T$6),T144*$E$3)</f>
        <v>1.4571957971421885</v>
      </c>
      <c r="U145" s="115">
        <f ca="1">MAX(SUMIFS('RC Template'!$AW:$AW,'RC Template'!$B:$B,$A145,'RC Template'!$C:$C,U$6),U144*$E$3)</f>
        <v>56.572335955877051</v>
      </c>
      <c r="V145" s="115">
        <f ca="1">MAX(SUMIFS('RC Template'!$AW:$AW,'RC Template'!$B:$B,$A145,'RC Template'!$C:$C,V$6),V144*$E$3)</f>
        <v>18.342003184781824</v>
      </c>
      <c r="W145" s="115">
        <f ca="1">MAX(SUMIFS('RC Template'!$AW:$AW,'RC Template'!$B:$B,$A145,'RC Template'!$C:$C,W$6),W144*$E$3)</f>
        <v>1.998256913318416</v>
      </c>
      <c r="X145" s="115">
        <f ca="1">MAX(SUMIFS('RC Template'!$AW:$AW,'RC Template'!$B:$B,$A145,'RC Template'!$C:$C,X$6),X144*$E$3)</f>
        <v>67.465264463260169</v>
      </c>
      <c r="Y145" s="115">
        <f ca="1">MAX(SUMIFS('RC Template'!$AW:$AW,'RC Template'!$B:$B,$A145,'RC Template'!$C:$C,Y$6),Y144*$E$3)</f>
        <v>20.203553888774746</v>
      </c>
      <c r="Z145" s="115">
        <f ca="1">MAX(SUMIFS('RC Template'!$AW:$AW,'RC Template'!$B:$B,$A145,'RC Template'!$C:$C,Z$6),Z144*$E$3)</f>
        <v>22.806170390669251</v>
      </c>
      <c r="AA145" s="115">
        <f ca="1">MAX(SUMIFS('RC Template'!$AW:$AW,'RC Template'!$B:$B,$A145,'RC Template'!$C:$C,AA$6),AA144*$E$3)</f>
        <v>0</v>
      </c>
      <c r="AB145" s="115">
        <f ca="1">MAX(SUMIFS('RC Template'!$AW:$AW,'RC Template'!$B:$B,$A145,'RC Template'!$C:$C,AB$6),AB144*$E$3)</f>
        <v>0</v>
      </c>
      <c r="AC145" s="115">
        <f ca="1">MAX(SUMIFS('RC Template'!$AW:$AW,'RC Template'!$B:$B,$A145,'RC Template'!$C:$C,AC$6),AC144*$E$3)</f>
        <v>0</v>
      </c>
      <c r="AD145" s="115">
        <f ca="1">MAX(SUMIFS('RC Template'!$AW:$AW,'RC Template'!$B:$B,$A145,'RC Template'!$C:$C,AD$6),AD144*$E$3)</f>
        <v>0</v>
      </c>
    </row>
    <row r="146" spans="1:30" x14ac:dyDescent="0.3">
      <c r="Q146" s="115">
        <f ca="1">MAX(SUMIFS('RC Template'!$AW:$AW,'RC Template'!$B:$B,$A146,'RC Template'!$C:$C,Q$6),Q145*$E$3)</f>
        <v>136.67778366862774</v>
      </c>
      <c r="R146" s="115">
        <f ca="1">MAX(SUMIFS('RC Template'!$AW:$AW,'RC Template'!$B:$B,$A146,'RC Template'!$C:$C,R$6),R145*$E$3)</f>
        <v>11.438822069020221</v>
      </c>
      <c r="S146" s="115">
        <f ca="1">MAX(SUMIFS('RC Template'!$AW:$AW,'RC Template'!$B:$B,$A146,'RC Template'!$C:$C,S$6),S145*$E$3)</f>
        <v>14.53743461599198</v>
      </c>
      <c r="T146" s="115">
        <f ca="1">MAX(SUMIFS('RC Template'!$AW:$AW,'RC Template'!$B:$B,$A146,'RC Template'!$C:$C,T$6),T145*$E$3)</f>
        <v>1.4207659022136339</v>
      </c>
      <c r="U146" s="115">
        <f ca="1">MAX(SUMIFS('RC Template'!$AW:$AW,'RC Template'!$B:$B,$A146,'RC Template'!$C:$C,U$6),U145*$E$3)</f>
        <v>55.158027556980123</v>
      </c>
      <c r="V146" s="115">
        <f ca="1">MAX(SUMIFS('RC Template'!$AW:$AW,'RC Template'!$B:$B,$A146,'RC Template'!$C:$C,V$6),V145*$E$3)</f>
        <v>17.883453105162278</v>
      </c>
      <c r="W146" s="115">
        <f ca="1">MAX(SUMIFS('RC Template'!$AW:$AW,'RC Template'!$B:$B,$A146,'RC Template'!$C:$C,W$6),W145*$E$3)</f>
        <v>1.9483004904854555</v>
      </c>
      <c r="X146" s="115">
        <f ca="1">MAX(SUMIFS('RC Template'!$AW:$AW,'RC Template'!$B:$B,$A146,'RC Template'!$C:$C,X$6),X145*$E$3)</f>
        <v>65.778632851678665</v>
      </c>
      <c r="Y146" s="115">
        <f ca="1">MAX(SUMIFS('RC Template'!$AW:$AW,'RC Template'!$B:$B,$A146,'RC Template'!$C:$C,Y$6),Y145*$E$3)</f>
        <v>19.698465041555377</v>
      </c>
      <c r="Z146" s="115">
        <f ca="1">MAX(SUMIFS('RC Template'!$AW:$AW,'RC Template'!$B:$B,$A146,'RC Template'!$C:$C,Z$6),Z145*$E$3)</f>
        <v>22.23601613090252</v>
      </c>
      <c r="AA146" s="115">
        <f ca="1">MAX(SUMIFS('RC Template'!$AW:$AW,'RC Template'!$B:$B,$A146,'RC Template'!$C:$C,AA$6),AA145*$E$3)</f>
        <v>0</v>
      </c>
      <c r="AB146" s="115">
        <f ca="1">MAX(SUMIFS('RC Template'!$AW:$AW,'RC Template'!$B:$B,$A146,'RC Template'!$C:$C,AB$6),AB145*$E$3)</f>
        <v>0</v>
      </c>
      <c r="AC146" s="115">
        <f ca="1">MAX(SUMIFS('RC Template'!$AW:$AW,'RC Template'!$B:$B,$A146,'RC Template'!$C:$C,AC$6),AC145*$E$3)</f>
        <v>0</v>
      </c>
      <c r="AD146" s="115">
        <f ca="1">MAX(SUMIFS('RC Template'!$AW:$AW,'RC Template'!$B:$B,$A146,'RC Template'!$C:$C,AD$6),AD145*$E$3)</f>
        <v>0</v>
      </c>
    </row>
    <row r="147" spans="1:30" x14ac:dyDescent="0.3">
      <c r="Q147" s="115">
        <f ca="1">MAX(SUMIFS('RC Template'!$AW:$AW,'RC Template'!$B:$B,$A147,'RC Template'!$C:$C,Q$6),Q146*$E$3)</f>
        <v>133.26083907691205</v>
      </c>
      <c r="R147" s="115">
        <f ca="1">MAX(SUMIFS('RC Template'!$AW:$AW,'RC Template'!$B:$B,$A147,'RC Template'!$C:$C,R$6),R146*$E$3)</f>
        <v>11.152851517294716</v>
      </c>
      <c r="S147" s="115">
        <f ca="1">MAX(SUMIFS('RC Template'!$AW:$AW,'RC Template'!$B:$B,$A147,'RC Template'!$C:$C,S$6),S146*$E$3)</f>
        <v>14.17399875059218</v>
      </c>
      <c r="T147" s="115">
        <f ca="1">MAX(SUMIFS('RC Template'!$AW:$AW,'RC Template'!$B:$B,$A147,'RC Template'!$C:$C,T$6),T146*$E$3)</f>
        <v>1.3852467546582929</v>
      </c>
      <c r="U147" s="115">
        <f ca="1">MAX(SUMIFS('RC Template'!$AW:$AW,'RC Template'!$B:$B,$A147,'RC Template'!$C:$C,U$6),U146*$E$3)</f>
        <v>53.779076868055618</v>
      </c>
      <c r="V147" s="115">
        <f ca="1">MAX(SUMIFS('RC Template'!$AW:$AW,'RC Template'!$B:$B,$A147,'RC Template'!$C:$C,V$6),V146*$E$3)</f>
        <v>17.43636677753322</v>
      </c>
      <c r="W147" s="115">
        <f ca="1">MAX(SUMIFS('RC Template'!$AW:$AW,'RC Template'!$B:$B,$A147,'RC Template'!$C:$C,W$6),W146*$E$3)</f>
        <v>1.8995929782233192</v>
      </c>
      <c r="X147" s="115">
        <f ca="1">MAX(SUMIFS('RC Template'!$AW:$AW,'RC Template'!$B:$B,$A147,'RC Template'!$C:$C,X$6),X146*$E$3)</f>
        <v>64.134167030386692</v>
      </c>
      <c r="Y147" s="115">
        <f ca="1">MAX(SUMIFS('RC Template'!$AW:$AW,'RC Template'!$B:$B,$A147,'RC Template'!$C:$C,Y$6),Y146*$E$3)</f>
        <v>19.206003415516491</v>
      </c>
      <c r="Z147" s="115">
        <f ca="1">MAX(SUMIFS('RC Template'!$AW:$AW,'RC Template'!$B:$B,$A147,'RC Template'!$C:$C,Z$6),Z146*$E$3)</f>
        <v>21.680115727629957</v>
      </c>
      <c r="AA147" s="115">
        <f ca="1">MAX(SUMIFS('RC Template'!$AW:$AW,'RC Template'!$B:$B,$A147,'RC Template'!$C:$C,AA$6),AA146*$E$3)</f>
        <v>0</v>
      </c>
      <c r="AB147" s="115">
        <f ca="1">MAX(SUMIFS('RC Template'!$AW:$AW,'RC Template'!$B:$B,$A147,'RC Template'!$C:$C,AB$6),AB146*$E$3)</f>
        <v>0</v>
      </c>
      <c r="AC147" s="115">
        <f ca="1">MAX(SUMIFS('RC Template'!$AW:$AW,'RC Template'!$B:$B,$A147,'RC Template'!$C:$C,AC$6),AC146*$E$3)</f>
        <v>0</v>
      </c>
      <c r="AD147" s="115">
        <f ca="1">MAX(SUMIFS('RC Template'!$AW:$AW,'RC Template'!$B:$B,$A147,'RC Template'!$C:$C,AD$6),AD146*$E$3)</f>
        <v>0</v>
      </c>
    </row>
    <row r="148" spans="1:30" x14ac:dyDescent="0.3">
      <c r="Q148" s="115">
        <f ca="1">MAX(SUMIFS('RC Template'!$AW:$AW,'RC Template'!$B:$B,$A148,'RC Template'!$C:$C,Q$6),Q147*$E$3)</f>
        <v>129.92931809998925</v>
      </c>
      <c r="R148" s="115">
        <f ca="1">MAX(SUMIFS('RC Template'!$AW:$AW,'RC Template'!$B:$B,$A148,'RC Template'!$C:$C,R$6),R147*$E$3)</f>
        <v>10.874030229362347</v>
      </c>
      <c r="S148" s="115">
        <f ca="1">MAX(SUMIFS('RC Template'!$AW:$AW,'RC Template'!$B:$B,$A148,'RC Template'!$C:$C,S$6),S147*$E$3)</f>
        <v>13.819648781827375</v>
      </c>
      <c r="T148" s="115">
        <f ca="1">MAX(SUMIFS('RC Template'!$AW:$AW,'RC Template'!$B:$B,$A148,'RC Template'!$C:$C,T$6),T147*$E$3)</f>
        <v>1.3506155857918356</v>
      </c>
      <c r="U148" s="115">
        <f ca="1">MAX(SUMIFS('RC Template'!$AW:$AW,'RC Template'!$B:$B,$A148,'RC Template'!$C:$C,U$6),U147*$E$3)</f>
        <v>52.434599946354226</v>
      </c>
      <c r="V148" s="115">
        <f ca="1">MAX(SUMIFS('RC Template'!$AW:$AW,'RC Template'!$B:$B,$A148,'RC Template'!$C:$C,V$6),V147*$E$3)</f>
        <v>17.000457608094887</v>
      </c>
      <c r="W148" s="115">
        <f ca="1">MAX(SUMIFS('RC Template'!$AW:$AW,'RC Template'!$B:$B,$A148,'RC Template'!$C:$C,W$6),W147*$E$3)</f>
        <v>1.8521031537677362</v>
      </c>
      <c r="X148" s="115">
        <f ca="1">MAX(SUMIFS('RC Template'!$AW:$AW,'RC Template'!$B:$B,$A148,'RC Template'!$C:$C,X$6),X147*$E$3)</f>
        <v>62.530812854627023</v>
      </c>
      <c r="Y148" s="115">
        <f ca="1">MAX(SUMIFS('RC Template'!$AW:$AW,'RC Template'!$B:$B,$A148,'RC Template'!$C:$C,Y$6),Y147*$E$3)</f>
        <v>18.725853330128579</v>
      </c>
      <c r="Z148" s="115">
        <f ca="1">MAX(SUMIFS('RC Template'!$AW:$AW,'RC Template'!$B:$B,$A148,'RC Template'!$C:$C,Z$6),Z147*$E$3)</f>
        <v>21.138112834439209</v>
      </c>
      <c r="AA148" s="115">
        <f ca="1">MAX(SUMIFS('RC Template'!$AW:$AW,'RC Template'!$B:$B,$A148,'RC Template'!$C:$C,AA$6),AA147*$E$3)</f>
        <v>0</v>
      </c>
      <c r="AB148" s="115">
        <f ca="1">MAX(SUMIFS('RC Template'!$AW:$AW,'RC Template'!$B:$B,$A148,'RC Template'!$C:$C,AB$6),AB147*$E$3)</f>
        <v>0</v>
      </c>
      <c r="AC148" s="115">
        <f ca="1">MAX(SUMIFS('RC Template'!$AW:$AW,'RC Template'!$B:$B,$A148,'RC Template'!$C:$C,AC$6),AC147*$E$3)</f>
        <v>0</v>
      </c>
      <c r="AD148" s="115">
        <f ca="1">MAX(SUMIFS('RC Template'!$AW:$AW,'RC Template'!$B:$B,$A148,'RC Template'!$C:$C,AD$6),AD147*$E$3)</f>
        <v>0</v>
      </c>
    </row>
    <row r="149" spans="1:30" x14ac:dyDescent="0.3">
      <c r="Q149" s="115">
        <f ca="1">MAX(SUMIFS('RC Template'!$AW:$AW,'RC Template'!$B:$B,$A149,'RC Template'!$C:$C,Q$6),Q148*$E$3)</f>
        <v>126.68108514748951</v>
      </c>
      <c r="R149" s="115">
        <f ca="1">MAX(SUMIFS('RC Template'!$AW:$AW,'RC Template'!$B:$B,$A149,'RC Template'!$C:$C,R$6),R148*$E$3)</f>
        <v>10.602179473628288</v>
      </c>
      <c r="S149" s="115">
        <f ca="1">MAX(SUMIFS('RC Template'!$AW:$AW,'RC Template'!$B:$B,$A149,'RC Template'!$C:$C,S$6),S148*$E$3)</f>
        <v>13.474157562281691</v>
      </c>
      <c r="T149" s="115">
        <f ca="1">MAX(SUMIFS('RC Template'!$AW:$AW,'RC Template'!$B:$B,$A149,'RC Template'!$C:$C,T$6),T148*$E$3)</f>
        <v>1.3168501961470396</v>
      </c>
      <c r="U149" s="115">
        <f ca="1">MAX(SUMIFS('RC Template'!$AW:$AW,'RC Template'!$B:$B,$A149,'RC Template'!$C:$C,U$6),U148*$E$3)</f>
        <v>51.123734947695368</v>
      </c>
      <c r="V149" s="115">
        <f ca="1">MAX(SUMIFS('RC Template'!$AW:$AW,'RC Template'!$B:$B,$A149,'RC Template'!$C:$C,V$6),V148*$E$3)</f>
        <v>16.575446167892515</v>
      </c>
      <c r="W149" s="115">
        <f ca="1">MAX(SUMIFS('RC Template'!$AW:$AW,'RC Template'!$B:$B,$A149,'RC Template'!$C:$C,W$6),W148*$E$3)</f>
        <v>1.8058005749235426</v>
      </c>
      <c r="X149" s="115">
        <f ca="1">MAX(SUMIFS('RC Template'!$AW:$AW,'RC Template'!$B:$B,$A149,'RC Template'!$C:$C,X$6),X148*$E$3)</f>
        <v>60.967542533261344</v>
      </c>
      <c r="Y149" s="115">
        <f ca="1">MAX(SUMIFS('RC Template'!$AW:$AW,'RC Template'!$B:$B,$A149,'RC Template'!$C:$C,Y$6),Y148*$E$3)</f>
        <v>18.257706996875363</v>
      </c>
      <c r="Z149" s="115">
        <f ca="1">MAX(SUMIFS('RC Template'!$AW:$AW,'RC Template'!$B:$B,$A149,'RC Template'!$C:$C,Z$6),Z148*$E$3)</f>
        <v>20.609660013578228</v>
      </c>
      <c r="AA149" s="115">
        <f ca="1">MAX(SUMIFS('RC Template'!$AW:$AW,'RC Template'!$B:$B,$A149,'RC Template'!$C:$C,AA$6),AA148*$E$3)</f>
        <v>0</v>
      </c>
      <c r="AB149" s="115">
        <f ca="1">MAX(SUMIFS('RC Template'!$AW:$AW,'RC Template'!$B:$B,$A149,'RC Template'!$C:$C,AB$6),AB148*$E$3)</f>
        <v>0</v>
      </c>
      <c r="AC149" s="115">
        <f ca="1">MAX(SUMIFS('RC Template'!$AW:$AW,'RC Template'!$B:$B,$A149,'RC Template'!$C:$C,AC$6),AC148*$E$3)</f>
        <v>0</v>
      </c>
      <c r="AD149" s="115">
        <f ca="1">MAX(SUMIFS('RC Template'!$AW:$AW,'RC Template'!$B:$B,$A149,'RC Template'!$C:$C,AD$6),AD148*$E$3)</f>
        <v>0</v>
      </c>
    </row>
    <row r="150" spans="1:30" x14ac:dyDescent="0.3">
      <c r="Q150" s="115">
        <f ca="1">MAX(SUMIFS('RC Template'!$AW:$AW,'RC Template'!$B:$B,$A150,'RC Template'!$C:$C,Q$6),Q149*$E$3)</f>
        <v>123.51405801880227</v>
      </c>
      <c r="R150" s="115">
        <f ca="1">MAX(SUMIFS('RC Template'!$AW:$AW,'RC Template'!$B:$B,$A150,'RC Template'!$C:$C,R$6),R149*$E$3)</f>
        <v>10.337124986787581</v>
      </c>
      <c r="S150" s="115">
        <f ca="1">MAX(SUMIFS('RC Template'!$AW:$AW,'RC Template'!$B:$B,$A150,'RC Template'!$C:$C,S$6),S149*$E$3)</f>
        <v>13.137303623224648</v>
      </c>
      <c r="T150" s="115">
        <f ca="1">MAX(SUMIFS('RC Template'!$AW:$AW,'RC Template'!$B:$B,$A150,'RC Template'!$C:$C,T$6),T149*$E$3)</f>
        <v>1.2839289412433637</v>
      </c>
      <c r="U150" s="115">
        <f ca="1">MAX(SUMIFS('RC Template'!$AW:$AW,'RC Template'!$B:$B,$A150,'RC Template'!$C:$C,U$6),U149*$E$3)</f>
        <v>49.845641574002983</v>
      </c>
      <c r="V150" s="115">
        <f ca="1">MAX(SUMIFS('RC Template'!$AW:$AW,'RC Template'!$B:$B,$A150,'RC Template'!$C:$C,V$6),V149*$E$3)</f>
        <v>16.161060013695202</v>
      </c>
      <c r="W150" s="115">
        <f ca="1">MAX(SUMIFS('RC Template'!$AW:$AW,'RC Template'!$B:$B,$A150,'RC Template'!$C:$C,W$6),W149*$E$3)</f>
        <v>1.7606555605504539</v>
      </c>
      <c r="X150" s="115">
        <f ca="1">MAX(SUMIFS('RC Template'!$AW:$AW,'RC Template'!$B:$B,$A150,'RC Template'!$C:$C,X$6),X149*$E$3)</f>
        <v>59.443353969929809</v>
      </c>
      <c r="Y150" s="115">
        <f ca="1">MAX(SUMIFS('RC Template'!$AW:$AW,'RC Template'!$B:$B,$A150,'RC Template'!$C:$C,Y$6),Y149*$E$3)</f>
        <v>17.801264321953479</v>
      </c>
      <c r="Z150" s="115">
        <f ca="1">MAX(SUMIFS('RC Template'!$AW:$AW,'RC Template'!$B:$B,$A150,'RC Template'!$C:$C,Z$6),Z149*$E$3)</f>
        <v>20.094418513238772</v>
      </c>
      <c r="AA150" s="115">
        <f ca="1">MAX(SUMIFS('RC Template'!$AW:$AW,'RC Template'!$B:$B,$A150,'RC Template'!$C:$C,AA$6),AA149*$E$3)</f>
        <v>0</v>
      </c>
      <c r="AB150" s="115">
        <f ca="1">MAX(SUMIFS('RC Template'!$AW:$AW,'RC Template'!$B:$B,$A150,'RC Template'!$C:$C,AB$6),AB149*$E$3)</f>
        <v>0</v>
      </c>
      <c r="AC150" s="115">
        <f ca="1">MAX(SUMIFS('RC Template'!$AW:$AW,'RC Template'!$B:$B,$A150,'RC Template'!$C:$C,AC$6),AC149*$E$3)</f>
        <v>0</v>
      </c>
      <c r="AD150" s="115">
        <f ca="1">MAX(SUMIFS('RC Template'!$AW:$AW,'RC Template'!$B:$B,$A150,'RC Template'!$C:$C,AD$6),AD149*$E$3)</f>
        <v>0</v>
      </c>
    </row>
    <row r="151" spans="1:30" x14ac:dyDescent="0.3">
      <c r="Q151" s="115">
        <f ca="1">MAX(SUMIFS('RC Template'!$AW:$AW,'RC Template'!$B:$B,$A151,'RC Template'!$C:$C,Q$6),Q150*$E$3)</f>
        <v>120.42620656833222</v>
      </c>
      <c r="R151" s="115">
        <f ca="1">MAX(SUMIFS('RC Template'!$AW:$AW,'RC Template'!$B:$B,$A151,'RC Template'!$C:$C,R$6),R150*$E$3)</f>
        <v>10.078696862117891</v>
      </c>
      <c r="S151" s="115">
        <f ca="1">MAX(SUMIFS('RC Template'!$AW:$AW,'RC Template'!$B:$B,$A151,'RC Template'!$C:$C,S$6),S150*$E$3)</f>
        <v>12.808871032644031</v>
      </c>
      <c r="T151" s="115">
        <f ca="1">MAX(SUMIFS('RC Template'!$AW:$AW,'RC Template'!$B:$B,$A151,'RC Template'!$C:$C,T$6),T150*$E$3)</f>
        <v>1.2518307177122796</v>
      </c>
      <c r="U151" s="115">
        <f ca="1">MAX(SUMIFS('RC Template'!$AW:$AW,'RC Template'!$B:$B,$A151,'RC Template'!$C:$C,U$6),U150*$E$3)</f>
        <v>48.599500534652904</v>
      </c>
      <c r="V151" s="115">
        <f ca="1">MAX(SUMIFS('RC Template'!$AW:$AW,'RC Template'!$B:$B,$A151,'RC Template'!$C:$C,V$6),V150*$E$3)</f>
        <v>15.757033513352821</v>
      </c>
      <c r="W151" s="115">
        <f ca="1">MAX(SUMIFS('RC Template'!$AW:$AW,'RC Template'!$B:$B,$A151,'RC Template'!$C:$C,W$6),W150*$E$3)</f>
        <v>1.7166391715366924</v>
      </c>
      <c r="X151" s="115">
        <f ca="1">MAX(SUMIFS('RC Template'!$AW:$AW,'RC Template'!$B:$B,$A151,'RC Template'!$C:$C,X$6),X150*$E$3)</f>
        <v>57.957270120681564</v>
      </c>
      <c r="Y151" s="115">
        <f ca="1">MAX(SUMIFS('RC Template'!$AW:$AW,'RC Template'!$B:$B,$A151,'RC Template'!$C:$C,Y$6),Y150*$E$3)</f>
        <v>17.356232713904642</v>
      </c>
      <c r="Z151" s="115">
        <f ca="1">MAX(SUMIFS('RC Template'!$AW:$AW,'RC Template'!$B:$B,$A151,'RC Template'!$C:$C,Z$6),Z150*$E$3)</f>
        <v>19.5920580504078</v>
      </c>
      <c r="AA151" s="115">
        <f ca="1">MAX(SUMIFS('RC Template'!$AW:$AW,'RC Template'!$B:$B,$A151,'RC Template'!$C:$C,AA$6),AA150*$E$3)</f>
        <v>0</v>
      </c>
      <c r="AB151" s="115">
        <f ca="1">MAX(SUMIFS('RC Template'!$AW:$AW,'RC Template'!$B:$B,$A151,'RC Template'!$C:$C,AB$6),AB150*$E$3)</f>
        <v>0</v>
      </c>
      <c r="AC151" s="115">
        <f ca="1">MAX(SUMIFS('RC Template'!$AW:$AW,'RC Template'!$B:$B,$A151,'RC Template'!$C:$C,AC$6),AC150*$E$3)</f>
        <v>0</v>
      </c>
      <c r="AD151" s="115">
        <f ca="1">MAX(SUMIFS('RC Template'!$AW:$AW,'RC Template'!$B:$B,$A151,'RC Template'!$C:$C,AD$6),AD150*$E$3)</f>
        <v>0</v>
      </c>
    </row>
    <row r="152" spans="1:30" x14ac:dyDescent="0.3">
      <c r="Q152" s="115">
        <f ca="1">MAX(SUMIFS('RC Template'!$AW:$AW,'RC Template'!$B:$B,$A152,'RC Template'!$C:$C,Q$6),Q151*$E$3)</f>
        <v>117.41555140412392</v>
      </c>
      <c r="R152" s="115">
        <f ca="1">MAX(SUMIFS('RC Template'!$AW:$AW,'RC Template'!$B:$B,$A152,'RC Template'!$C:$C,R$6),R151*$E$3)</f>
        <v>9.826729440564943</v>
      </c>
      <c r="S152" s="115">
        <f ca="1">MAX(SUMIFS('RC Template'!$AW:$AW,'RC Template'!$B:$B,$A152,'RC Template'!$C:$C,S$6),S151*$E$3)</f>
        <v>12.48864925682793</v>
      </c>
      <c r="T152" s="115">
        <f ca="1">MAX(SUMIFS('RC Template'!$AW:$AW,'RC Template'!$B:$B,$A152,'RC Template'!$C:$C,T$6),T151*$E$3)</f>
        <v>1.2205349497694726</v>
      </c>
      <c r="U152" s="115">
        <f ca="1">MAX(SUMIFS('RC Template'!$AW:$AW,'RC Template'!$B:$B,$A152,'RC Template'!$C:$C,U$6),U151*$E$3)</f>
        <v>47.38451302128658</v>
      </c>
      <c r="V152" s="115">
        <f ca="1">MAX(SUMIFS('RC Template'!$AW:$AW,'RC Template'!$B:$B,$A152,'RC Template'!$C:$C,V$6),V151*$E$3)</f>
        <v>15.363107675519</v>
      </c>
      <c r="W152" s="115">
        <f ca="1">MAX(SUMIFS('RC Template'!$AW:$AW,'RC Template'!$B:$B,$A152,'RC Template'!$C:$C,W$6),W151*$E$3)</f>
        <v>1.6737231922482751</v>
      </c>
      <c r="X152" s="115">
        <f ca="1">MAX(SUMIFS('RC Template'!$AW:$AW,'RC Template'!$B:$B,$A152,'RC Template'!$C:$C,X$6),X151*$E$3)</f>
        <v>56.508338367664521</v>
      </c>
      <c r="Y152" s="115">
        <f ca="1">MAX(SUMIFS('RC Template'!$AW:$AW,'RC Template'!$B:$B,$A152,'RC Template'!$C:$C,Y$6),Y151*$E$3)</f>
        <v>16.922326896057026</v>
      </c>
      <c r="Z152" s="115">
        <f ca="1">MAX(SUMIFS('RC Template'!$AW:$AW,'RC Template'!$B:$B,$A152,'RC Template'!$C:$C,Z$6),Z151*$E$3)</f>
        <v>19.102256599147605</v>
      </c>
      <c r="AA152" s="115">
        <f ca="1">MAX(SUMIFS('RC Template'!$AW:$AW,'RC Template'!$B:$B,$A152,'RC Template'!$C:$C,AA$6),AA151*$E$3)</f>
        <v>0</v>
      </c>
      <c r="AB152" s="115">
        <f ca="1">MAX(SUMIFS('RC Template'!$AW:$AW,'RC Template'!$B:$B,$A152,'RC Template'!$C:$C,AB$6),AB151*$E$3)</f>
        <v>0</v>
      </c>
      <c r="AC152" s="115">
        <f ca="1">MAX(SUMIFS('RC Template'!$AW:$AW,'RC Template'!$B:$B,$A152,'RC Template'!$C:$C,AC$6),AC151*$E$3)</f>
        <v>0</v>
      </c>
      <c r="AD152" s="115">
        <f ca="1">MAX(SUMIFS('RC Template'!$AW:$AW,'RC Template'!$B:$B,$A152,'RC Template'!$C:$C,AD$6),AD151*$E$3)</f>
        <v>0</v>
      </c>
    </row>
    <row r="153" spans="1:30" x14ac:dyDescent="0.3">
      <c r="Q153" s="115">
        <f ca="1">MAX(SUMIFS('RC Template'!$AW:$AW,'RC Template'!$B:$B,$A153,'RC Template'!$C:$C,Q$6),Q152*$E$3)</f>
        <v>114.48016261902082</v>
      </c>
      <c r="R153" s="115">
        <f ca="1">MAX(SUMIFS('RC Template'!$AW:$AW,'RC Template'!$B:$B,$A153,'RC Template'!$C:$C,R$6),R152*$E$3)</f>
        <v>9.581061204550819</v>
      </c>
      <c r="S153" s="115">
        <f ca="1">MAX(SUMIFS('RC Template'!$AW:$AW,'RC Template'!$B:$B,$A153,'RC Template'!$C:$C,S$6),S152*$E$3)</f>
        <v>12.176433025407231</v>
      </c>
      <c r="T153" s="115">
        <f ca="1">MAX(SUMIFS('RC Template'!$AW:$AW,'RC Template'!$B:$B,$A153,'RC Template'!$C:$C,T$6),T152*$E$3)</f>
        <v>1.1900215760252357</v>
      </c>
      <c r="U153" s="115">
        <f ca="1">MAX(SUMIFS('RC Template'!$AW:$AW,'RC Template'!$B:$B,$A153,'RC Template'!$C:$C,U$6),U152*$E$3)</f>
        <v>46.199900195754417</v>
      </c>
      <c r="V153" s="115">
        <f ca="1">MAX(SUMIFS('RC Template'!$AW:$AW,'RC Template'!$B:$B,$A153,'RC Template'!$C:$C,V$6),V152*$E$3)</f>
        <v>14.979029983631024</v>
      </c>
      <c r="W153" s="115">
        <f ca="1">MAX(SUMIFS('RC Template'!$AW:$AW,'RC Template'!$B:$B,$A153,'RC Template'!$C:$C,W$6),W152*$E$3)</f>
        <v>1.6318801124420683</v>
      </c>
      <c r="X153" s="115">
        <f ca="1">MAX(SUMIFS('RC Template'!$AW:$AW,'RC Template'!$B:$B,$A153,'RC Template'!$C:$C,X$6),X152*$E$3)</f>
        <v>55.095629908472908</v>
      </c>
      <c r="Y153" s="115">
        <f ca="1">MAX(SUMIFS('RC Template'!$AW:$AW,'RC Template'!$B:$B,$A153,'RC Template'!$C:$C,Y$6),Y152*$E$3)</f>
        <v>16.4992687236556</v>
      </c>
      <c r="Z153" s="115">
        <f ca="1">MAX(SUMIFS('RC Template'!$AW:$AW,'RC Template'!$B:$B,$A153,'RC Template'!$C:$C,Z$6),Z152*$E$3)</f>
        <v>18.624700184168915</v>
      </c>
      <c r="AA153" s="115">
        <f ca="1">MAX(SUMIFS('RC Template'!$AW:$AW,'RC Template'!$B:$B,$A153,'RC Template'!$C:$C,AA$6),AA152*$E$3)</f>
        <v>0</v>
      </c>
      <c r="AB153" s="115">
        <f ca="1">MAX(SUMIFS('RC Template'!$AW:$AW,'RC Template'!$B:$B,$A153,'RC Template'!$C:$C,AB$6),AB152*$E$3)</f>
        <v>0</v>
      </c>
      <c r="AC153" s="115">
        <f ca="1">MAX(SUMIFS('RC Template'!$AW:$AW,'RC Template'!$B:$B,$A153,'RC Template'!$C:$C,AC$6),AC152*$E$3)</f>
        <v>0</v>
      </c>
      <c r="AD153" s="115">
        <f ca="1">MAX(SUMIFS('RC Template'!$AW:$AW,'RC Template'!$B:$B,$A153,'RC Template'!$C:$C,AD$6),AD152*$E$3)</f>
        <v>0</v>
      </c>
    </row>
    <row r="154" spans="1:30" x14ac:dyDescent="0.3">
      <c r="Q154" s="115">
        <f ca="1">MAX(SUMIFS('RC Template'!$AW:$AW,'RC Template'!$B:$B,$A154,'RC Template'!$C:$C,Q$6),Q153*$E$3)</f>
        <v>111.6181585535453</v>
      </c>
      <c r="R154" s="115">
        <f ca="1">MAX(SUMIFS('RC Template'!$AW:$AW,'RC Template'!$B:$B,$A154,'RC Template'!$C:$C,R$6),R153*$E$3)</f>
        <v>9.3415346744370478</v>
      </c>
      <c r="S154" s="115">
        <f ca="1">MAX(SUMIFS('RC Template'!$AW:$AW,'RC Template'!$B:$B,$A154,'RC Template'!$C:$C,S$6),S153*$E$3)</f>
        <v>11.872022199772051</v>
      </c>
      <c r="T154" s="115">
        <f ca="1">MAX(SUMIFS('RC Template'!$AW:$AW,'RC Template'!$B:$B,$A154,'RC Template'!$C:$C,T$6),T153*$E$3)</f>
        <v>1.1602710366246047</v>
      </c>
      <c r="U154" s="115">
        <f ca="1">MAX(SUMIFS('RC Template'!$AW:$AW,'RC Template'!$B:$B,$A154,'RC Template'!$C:$C,U$6),U153*$E$3)</f>
        <v>45.044902690860553</v>
      </c>
      <c r="V154" s="115">
        <f ca="1">MAX(SUMIFS('RC Template'!$AW:$AW,'RC Template'!$B:$B,$A154,'RC Template'!$C:$C,V$6),V153*$E$3)</f>
        <v>14.604554234040249</v>
      </c>
      <c r="W154" s="115">
        <f ca="1">MAX(SUMIFS('RC Template'!$AW:$AW,'RC Template'!$B:$B,$A154,'RC Template'!$C:$C,W$6),W153*$E$3)</f>
        <v>1.5910831096310165</v>
      </c>
      <c r="X154" s="115">
        <f ca="1">MAX(SUMIFS('RC Template'!$AW:$AW,'RC Template'!$B:$B,$A154,'RC Template'!$C:$C,X$6),X153*$E$3)</f>
        <v>53.718239160761087</v>
      </c>
      <c r="Y154" s="115">
        <f ca="1">MAX(SUMIFS('RC Template'!$AW:$AW,'RC Template'!$B:$B,$A154,'RC Template'!$C:$C,Y$6),Y153*$E$3)</f>
        <v>16.086787005564211</v>
      </c>
      <c r="Z154" s="115">
        <f ca="1">MAX(SUMIFS('RC Template'!$AW:$AW,'RC Template'!$B:$B,$A154,'RC Template'!$C:$C,Z$6),Z153*$E$3)</f>
        <v>18.15908267956469</v>
      </c>
      <c r="AA154" s="115">
        <f ca="1">MAX(SUMIFS('RC Template'!$AW:$AW,'RC Template'!$B:$B,$A154,'RC Template'!$C:$C,AA$6),AA153*$E$3)</f>
        <v>0</v>
      </c>
      <c r="AB154" s="115">
        <f ca="1">MAX(SUMIFS('RC Template'!$AW:$AW,'RC Template'!$B:$B,$A154,'RC Template'!$C:$C,AB$6),AB153*$E$3)</f>
        <v>0</v>
      </c>
      <c r="AC154" s="115">
        <f ca="1">MAX(SUMIFS('RC Template'!$AW:$AW,'RC Template'!$B:$B,$A154,'RC Template'!$C:$C,AC$6),AC153*$E$3)</f>
        <v>0</v>
      </c>
      <c r="AD154" s="115">
        <f ca="1">MAX(SUMIFS('RC Template'!$AW:$AW,'RC Template'!$B:$B,$A154,'RC Template'!$C:$C,AD$6),AD153*$E$3)</f>
        <v>0</v>
      </c>
    </row>
    <row r="155" spans="1:30" x14ac:dyDescent="0.3">
      <c r="Q155" s="115">
        <f ca="1">MAX(SUMIFS('RC Template'!$AW:$AW,'RC Template'!$B:$B,$A155,'RC Template'!$C:$C,Q$6),Q154*$E$3)</f>
        <v>108.82770458970667</v>
      </c>
      <c r="R155" s="115">
        <f ca="1">MAX(SUMIFS('RC Template'!$AW:$AW,'RC Template'!$B:$B,$A155,'RC Template'!$C:$C,R$6),R154*$E$3)</f>
        <v>9.107996307576121</v>
      </c>
      <c r="S155" s="115">
        <f ca="1">MAX(SUMIFS('RC Template'!$AW:$AW,'RC Template'!$B:$B,$A155,'RC Template'!$C:$C,S$6),S154*$E$3)</f>
        <v>11.575221644777749</v>
      </c>
      <c r="T155" s="115">
        <f ca="1">MAX(SUMIFS('RC Template'!$AW:$AW,'RC Template'!$B:$B,$A155,'RC Template'!$C:$C,T$6),T154*$E$3)</f>
        <v>1.1312642607089896</v>
      </c>
      <c r="U155" s="115">
        <f ca="1">MAX(SUMIFS('RC Template'!$AW:$AW,'RC Template'!$B:$B,$A155,'RC Template'!$C:$C,U$6),U154*$E$3)</f>
        <v>43.918780123589038</v>
      </c>
      <c r="V155" s="115">
        <f ca="1">MAX(SUMIFS('RC Template'!$AW:$AW,'RC Template'!$B:$B,$A155,'RC Template'!$C:$C,V$6),V154*$E$3)</f>
        <v>14.239440378189242</v>
      </c>
      <c r="W155" s="115">
        <f ca="1">MAX(SUMIFS('RC Template'!$AW:$AW,'RC Template'!$B:$B,$A155,'RC Template'!$C:$C,W$6),W154*$E$3)</f>
        <v>1.551306031890241</v>
      </c>
      <c r="X155" s="115">
        <f ca="1">MAX(SUMIFS('RC Template'!$AW:$AW,'RC Template'!$B:$B,$A155,'RC Template'!$C:$C,X$6),X154*$E$3)</f>
        <v>52.375283181742056</v>
      </c>
      <c r="Y155" s="115">
        <f ca="1">MAX(SUMIFS('RC Template'!$AW:$AW,'RC Template'!$B:$B,$A155,'RC Template'!$C:$C,Y$6),Y154*$E$3)</f>
        <v>15.684617330425105</v>
      </c>
      <c r="Z155" s="115">
        <f ca="1">MAX(SUMIFS('RC Template'!$AW:$AW,'RC Template'!$B:$B,$A155,'RC Template'!$C:$C,Z$6),Z154*$E$3)</f>
        <v>17.705105612575572</v>
      </c>
      <c r="AA155" s="115">
        <f ca="1">MAX(SUMIFS('RC Template'!$AW:$AW,'RC Template'!$B:$B,$A155,'RC Template'!$C:$C,AA$6),AA154*$E$3)</f>
        <v>0</v>
      </c>
      <c r="AB155" s="115">
        <f ca="1">MAX(SUMIFS('RC Template'!$AW:$AW,'RC Template'!$B:$B,$A155,'RC Template'!$C:$C,AB$6),AB154*$E$3)</f>
        <v>0</v>
      </c>
      <c r="AC155" s="115">
        <f ca="1">MAX(SUMIFS('RC Template'!$AW:$AW,'RC Template'!$B:$B,$A155,'RC Template'!$C:$C,AC$6),AC154*$E$3)</f>
        <v>0</v>
      </c>
      <c r="AD155" s="115">
        <f ca="1">MAX(SUMIFS('RC Template'!$AW:$AW,'RC Template'!$B:$B,$A155,'RC Template'!$C:$C,AD$6),AD154*$E$3)</f>
        <v>0</v>
      </c>
    </row>
    <row r="156" spans="1:30" x14ac:dyDescent="0.3">
      <c r="Q156" s="115">
        <f ca="1">MAX(SUMIFS('RC Template'!$AW:$AW,'RC Template'!$B:$B,$A156,'RC Template'!$C:$C,Q$6),Q155*$E$3)</f>
        <v>106.107011974964</v>
      </c>
      <c r="R156" s="115">
        <f ca="1">MAX(SUMIFS('RC Template'!$AW:$AW,'RC Template'!$B:$B,$A156,'RC Template'!$C:$C,R$6),R155*$E$3)</f>
        <v>8.880296399886717</v>
      </c>
      <c r="S156" s="115">
        <f ca="1">MAX(SUMIFS('RC Template'!$AW:$AW,'RC Template'!$B:$B,$A156,'RC Template'!$C:$C,S$6),S155*$E$3)</f>
        <v>11.285841103658305</v>
      </c>
      <c r="T156" s="115">
        <f ca="1">MAX(SUMIFS('RC Template'!$AW:$AW,'RC Template'!$B:$B,$A156,'RC Template'!$C:$C,T$6),T155*$E$3)</f>
        <v>1.1029826541912648</v>
      </c>
      <c r="U156" s="115">
        <f ca="1">MAX(SUMIFS('RC Template'!$AW:$AW,'RC Template'!$B:$B,$A156,'RC Template'!$C:$C,U$6),U155*$E$3)</f>
        <v>42.820810620499309</v>
      </c>
      <c r="V156" s="115">
        <f ca="1">MAX(SUMIFS('RC Template'!$AW:$AW,'RC Template'!$B:$B,$A156,'RC Template'!$C:$C,V$6),V155*$E$3)</f>
        <v>13.88345436873451</v>
      </c>
      <c r="W156" s="115">
        <f ca="1">MAX(SUMIFS('RC Template'!$AW:$AW,'RC Template'!$B:$B,$A156,'RC Template'!$C:$C,W$6),W155*$E$3)</f>
        <v>1.512523381092985</v>
      </c>
      <c r="X156" s="115">
        <f ca="1">MAX(SUMIFS('RC Template'!$AW:$AW,'RC Template'!$B:$B,$A156,'RC Template'!$C:$C,X$6),X155*$E$3)</f>
        <v>51.065901102198502</v>
      </c>
      <c r="Y156" s="115">
        <f ca="1">MAX(SUMIFS('RC Template'!$AW:$AW,'RC Template'!$B:$B,$A156,'RC Template'!$C:$C,Y$6),Y155*$E$3)</f>
        <v>15.292501897164477</v>
      </c>
      <c r="Z156" s="115">
        <f ca="1">MAX(SUMIFS('RC Template'!$AW:$AW,'RC Template'!$B:$B,$A156,'RC Template'!$C:$C,Z$6),Z155*$E$3)</f>
        <v>17.262477972261184</v>
      </c>
      <c r="AA156" s="115">
        <f ca="1">MAX(SUMIFS('RC Template'!$AW:$AW,'RC Template'!$B:$B,$A156,'RC Template'!$C:$C,AA$6),AA155*$E$3)</f>
        <v>0</v>
      </c>
      <c r="AB156" s="115">
        <f ca="1">MAX(SUMIFS('RC Template'!$AW:$AW,'RC Template'!$B:$B,$A156,'RC Template'!$C:$C,AB$6),AB155*$E$3)</f>
        <v>0</v>
      </c>
      <c r="AC156" s="115">
        <f ca="1">MAX(SUMIFS('RC Template'!$AW:$AW,'RC Template'!$B:$B,$A156,'RC Template'!$C:$C,AC$6),AC155*$E$3)</f>
        <v>0</v>
      </c>
      <c r="AD156" s="115">
        <f ca="1">MAX(SUMIFS('RC Template'!$AW:$AW,'RC Template'!$B:$B,$A156,'RC Template'!$C:$C,AD$6),AD155*$E$3)</f>
        <v>0</v>
      </c>
    </row>
    <row r="157" spans="1:30" x14ac:dyDescent="0.3">
      <c r="Q157" s="115">
        <f ca="1">MAX(SUMIFS('RC Template'!$AW:$AW,'RC Template'!$B:$B,$A157,'RC Template'!$C:$C,Q$6),Q156*$E$3)</f>
        <v>103.4543366755899</v>
      </c>
      <c r="R157" s="115">
        <f ca="1">MAX(SUMIFS('RC Template'!$AW:$AW,'RC Template'!$B:$B,$A157,'RC Template'!$C:$C,R$6),R156*$E$3)</f>
        <v>8.6582889898895488</v>
      </c>
      <c r="S157" s="115">
        <f ca="1">MAX(SUMIFS('RC Template'!$AW:$AW,'RC Template'!$B:$B,$A157,'RC Template'!$C:$C,S$6),S156*$E$3)</f>
        <v>11.003695076066847</v>
      </c>
      <c r="T157" s="115">
        <f ca="1">MAX(SUMIFS('RC Template'!$AW:$AW,'RC Template'!$B:$B,$A157,'RC Template'!$C:$C,T$6),T156*$E$3)</f>
        <v>1.0754080878364831</v>
      </c>
      <c r="U157" s="115">
        <f ca="1">MAX(SUMIFS('RC Template'!$AW:$AW,'RC Template'!$B:$B,$A157,'RC Template'!$C:$C,U$6),U156*$E$3)</f>
        <v>41.750290354986824</v>
      </c>
      <c r="V157" s="115">
        <f ca="1">MAX(SUMIFS('RC Template'!$AW:$AW,'RC Template'!$B:$B,$A157,'RC Template'!$C:$C,V$6),V156*$E$3)</f>
        <v>13.536368009516147</v>
      </c>
      <c r="W157" s="115">
        <f ca="1">MAX(SUMIFS('RC Template'!$AW:$AW,'RC Template'!$B:$B,$A157,'RC Template'!$C:$C,W$6),W156*$E$3)</f>
        <v>1.4747102965656604</v>
      </c>
      <c r="X157" s="115">
        <f ca="1">MAX(SUMIFS('RC Template'!$AW:$AW,'RC Template'!$B:$B,$A157,'RC Template'!$C:$C,X$6),X156*$E$3)</f>
        <v>49.789253574643539</v>
      </c>
      <c r="Y157" s="115">
        <f ca="1">MAX(SUMIFS('RC Template'!$AW:$AW,'RC Template'!$B:$B,$A157,'RC Template'!$C:$C,Y$6),Y156*$E$3)</f>
        <v>14.910189349735365</v>
      </c>
      <c r="Z157" s="115">
        <f ca="1">MAX(SUMIFS('RC Template'!$AW:$AW,'RC Template'!$B:$B,$A157,'RC Template'!$C:$C,Z$6),Z156*$E$3)</f>
        <v>16.830916022954653</v>
      </c>
      <c r="AA157" s="115">
        <f ca="1">MAX(SUMIFS('RC Template'!$AW:$AW,'RC Template'!$B:$B,$A157,'RC Template'!$C:$C,AA$6),AA156*$E$3)</f>
        <v>0</v>
      </c>
      <c r="AB157" s="115">
        <f ca="1">MAX(SUMIFS('RC Template'!$AW:$AW,'RC Template'!$B:$B,$A157,'RC Template'!$C:$C,AB$6),AB156*$E$3)</f>
        <v>0</v>
      </c>
      <c r="AC157" s="115">
        <f ca="1">MAX(SUMIFS('RC Template'!$AW:$AW,'RC Template'!$B:$B,$A157,'RC Template'!$C:$C,AC$6),AC156*$E$3)</f>
        <v>0</v>
      </c>
      <c r="AD157" s="115">
        <f ca="1">MAX(SUMIFS('RC Template'!$AW:$AW,'RC Template'!$B:$B,$A157,'RC Template'!$C:$C,AD$6),AD156*$E$3)</f>
        <v>0</v>
      </c>
    </row>
    <row r="158" spans="1:30" x14ac:dyDescent="0.3">
      <c r="Q158" s="115">
        <f ca="1">MAX(SUMIFS('RC Template'!$AW:$AW,'RC Template'!$B:$B,$A158,'RC Template'!$C:$C,Q$6),Q157*$E$3)</f>
        <v>100.86797825870015</v>
      </c>
      <c r="R158" s="115">
        <f ca="1">MAX(SUMIFS('RC Template'!$AW:$AW,'RC Template'!$B:$B,$A158,'RC Template'!$C:$C,R$6),R157*$E$3)</f>
        <v>8.4418317651423092</v>
      </c>
      <c r="S158" s="115">
        <f ca="1">MAX(SUMIFS('RC Template'!$AW:$AW,'RC Template'!$B:$B,$A158,'RC Template'!$C:$C,S$6),S157*$E$3)</f>
        <v>10.728602699165176</v>
      </c>
      <c r="T158" s="115">
        <f ca="1">MAX(SUMIFS('RC Template'!$AW:$AW,'RC Template'!$B:$B,$A158,'RC Template'!$C:$C,T$6),T157*$E$3)</f>
        <v>1.0485228856405711</v>
      </c>
      <c r="U158" s="115">
        <f ca="1">MAX(SUMIFS('RC Template'!$AW:$AW,'RC Template'!$B:$B,$A158,'RC Template'!$C:$C,U$6),U157*$E$3)</f>
        <v>40.706533096112153</v>
      </c>
      <c r="V158" s="115">
        <f ca="1">MAX(SUMIFS('RC Template'!$AW:$AW,'RC Template'!$B:$B,$A158,'RC Template'!$C:$C,V$6),V157*$E$3)</f>
        <v>13.197958809278244</v>
      </c>
      <c r="W158" s="115">
        <f ca="1">MAX(SUMIFS('RC Template'!$AW:$AW,'RC Template'!$B:$B,$A158,'RC Template'!$C:$C,W$6),W157*$E$3)</f>
        <v>1.4378425391515188</v>
      </c>
      <c r="X158" s="115">
        <f ca="1">MAX(SUMIFS('RC Template'!$AW:$AW,'RC Template'!$B:$B,$A158,'RC Template'!$C:$C,X$6),X157*$E$3)</f>
        <v>48.544522235277448</v>
      </c>
      <c r="Y158" s="115">
        <f ca="1">MAX(SUMIFS('RC Template'!$AW:$AW,'RC Template'!$B:$B,$A158,'RC Template'!$C:$C,Y$6),Y157*$E$3)</f>
        <v>14.53743461599198</v>
      </c>
      <c r="Z158" s="115">
        <f ca="1">MAX(SUMIFS('RC Template'!$AW:$AW,'RC Template'!$B:$B,$A158,'RC Template'!$C:$C,Z$6),Z157*$E$3)</f>
        <v>16.410143122380788</v>
      </c>
      <c r="AA158" s="115">
        <f ca="1">MAX(SUMIFS('RC Template'!$AW:$AW,'RC Template'!$B:$B,$A158,'RC Template'!$C:$C,AA$6),AA157*$E$3)</f>
        <v>0</v>
      </c>
      <c r="AB158" s="115">
        <f ca="1">MAX(SUMIFS('RC Template'!$AW:$AW,'RC Template'!$B:$B,$A158,'RC Template'!$C:$C,AB$6),AB157*$E$3)</f>
        <v>0</v>
      </c>
      <c r="AC158" s="115">
        <f ca="1">MAX(SUMIFS('RC Template'!$AW:$AW,'RC Template'!$B:$B,$A158,'RC Template'!$C:$C,AC$6),AC157*$E$3)</f>
        <v>0</v>
      </c>
      <c r="AD158" s="115">
        <f ca="1">MAX(SUMIFS('RC Template'!$AW:$AW,'RC Template'!$B:$B,$A158,'RC Template'!$C:$C,AD$6),AD157*$E$3)</f>
        <v>0</v>
      </c>
    </row>
    <row r="159" spans="1:30" x14ac:dyDescent="0.3">
      <c r="Q159" s="115">
        <f ca="1">MAX(SUMIFS('RC Template'!$AW:$AW,'RC Template'!$B:$B,$A159,'RC Template'!$C:$C,Q$6),Q158*$E$3)</f>
        <v>98.346278802232646</v>
      </c>
      <c r="R159" s="115">
        <f ca="1">MAX(SUMIFS('RC Template'!$AW:$AW,'RC Template'!$B:$B,$A159,'RC Template'!$C:$C,R$6),R158*$E$3)</f>
        <v>8.2307859710137521</v>
      </c>
      <c r="S159" s="115">
        <f ca="1">MAX(SUMIFS('RC Template'!$AW:$AW,'RC Template'!$B:$B,$A159,'RC Template'!$C:$C,S$6),S158*$E$3)</f>
        <v>10.460387631686046</v>
      </c>
      <c r="T159" s="115">
        <f ca="1">MAX(SUMIFS('RC Template'!$AW:$AW,'RC Template'!$B:$B,$A159,'RC Template'!$C:$C,T$6),T158*$E$3)</f>
        <v>1.0223098134995567</v>
      </c>
      <c r="U159" s="115">
        <f ca="1">MAX(SUMIFS('RC Template'!$AW:$AW,'RC Template'!$B:$B,$A159,'RC Template'!$C:$C,U$6),U158*$E$3)</f>
        <v>39.688869768709345</v>
      </c>
      <c r="V159" s="115">
        <f ca="1">MAX(SUMIFS('RC Template'!$AW:$AW,'RC Template'!$B:$B,$A159,'RC Template'!$C:$C,V$6),V158*$E$3)</f>
        <v>12.868009839046287</v>
      </c>
      <c r="W159" s="115">
        <f ca="1">MAX(SUMIFS('RC Template'!$AW:$AW,'RC Template'!$B:$B,$A159,'RC Template'!$C:$C,W$6),W158*$E$3)</f>
        <v>1.4018964756727308</v>
      </c>
      <c r="X159" s="115">
        <f ca="1">MAX(SUMIFS('RC Template'!$AW:$AW,'RC Template'!$B:$B,$A159,'RC Template'!$C:$C,X$6),X158*$E$3)</f>
        <v>47.330909179395512</v>
      </c>
      <c r="Y159" s="115">
        <f ca="1">MAX(SUMIFS('RC Template'!$AW:$AW,'RC Template'!$B:$B,$A159,'RC Template'!$C:$C,Y$6),Y158*$E$3)</f>
        <v>14.17399875059218</v>
      </c>
      <c r="Z159" s="115">
        <f ca="1">MAX(SUMIFS('RC Template'!$AW:$AW,'RC Template'!$B:$B,$A159,'RC Template'!$C:$C,Z$6),Z158*$E$3)</f>
        <v>15.999889544321269</v>
      </c>
      <c r="AA159" s="115">
        <f ca="1">MAX(SUMIFS('RC Template'!$AW:$AW,'RC Template'!$B:$B,$A159,'RC Template'!$C:$C,AA$6),AA158*$E$3)</f>
        <v>0</v>
      </c>
      <c r="AB159" s="115">
        <f ca="1">MAX(SUMIFS('RC Template'!$AW:$AW,'RC Template'!$B:$B,$A159,'RC Template'!$C:$C,AB$6),AB158*$E$3)</f>
        <v>0</v>
      </c>
      <c r="AC159" s="115">
        <f ca="1">MAX(SUMIFS('RC Template'!$AW:$AW,'RC Template'!$B:$B,$A159,'RC Template'!$C:$C,AC$6),AC158*$E$3)</f>
        <v>0</v>
      </c>
      <c r="AD159" s="115">
        <f ca="1">MAX(SUMIFS('RC Template'!$AW:$AW,'RC Template'!$B:$B,$A159,'RC Template'!$C:$C,AD$6),AD158*$E$3)</f>
        <v>0</v>
      </c>
    </row>
    <row r="160" spans="1:30" x14ac:dyDescent="0.3">
      <c r="Q160" s="115">
        <f ca="1">MAX(SUMIFS('RC Template'!$AW:$AW,'RC Template'!$B:$B,$A160,'RC Template'!$C:$C,Q$6),Q159*$E$3)</f>
        <v>95.887621832176833</v>
      </c>
      <c r="R160" s="115">
        <f ca="1">MAX(SUMIFS('RC Template'!$AW:$AW,'RC Template'!$B:$B,$A160,'RC Template'!$C:$C,R$6),R159*$E$3)</f>
        <v>8.0250163217384074</v>
      </c>
      <c r="S160" s="115">
        <f ca="1">MAX(SUMIFS('RC Template'!$AW:$AW,'RC Template'!$B:$B,$A160,'RC Template'!$C:$C,S$6),S159*$E$3)</f>
        <v>10.198877940893896</v>
      </c>
      <c r="T160" s="115">
        <f ca="1">MAX(SUMIFS('RC Template'!$AW:$AW,'RC Template'!$B:$B,$A160,'RC Template'!$C:$C,T$6),T159*$E$3)</f>
        <v>0.99675206816206785</v>
      </c>
      <c r="U160" s="115">
        <f ca="1">MAX(SUMIFS('RC Template'!$AW:$AW,'RC Template'!$B:$B,$A160,'RC Template'!$C:$C,U$6),U159*$E$3)</f>
        <v>38.696648024491608</v>
      </c>
      <c r="V160" s="115">
        <f ca="1">MAX(SUMIFS('RC Template'!$AW:$AW,'RC Template'!$B:$B,$A160,'RC Template'!$C:$C,V$6),V159*$E$3)</f>
        <v>12.546309593070131</v>
      </c>
      <c r="W160" s="115">
        <f ca="1">MAX(SUMIFS('RC Template'!$AW:$AW,'RC Template'!$B:$B,$A160,'RC Template'!$C:$C,W$6),W159*$E$3)</f>
        <v>1.3668490637809125</v>
      </c>
      <c r="X160" s="115">
        <f ca="1">MAX(SUMIFS('RC Template'!$AW:$AW,'RC Template'!$B:$B,$A160,'RC Template'!$C:$C,X$6),X159*$E$3)</f>
        <v>46.147636449910621</v>
      </c>
      <c r="Y160" s="115">
        <f ca="1">MAX(SUMIFS('RC Template'!$AW:$AW,'RC Template'!$B:$B,$A160,'RC Template'!$C:$C,Y$6),Y159*$E$3)</f>
        <v>13.819648781827375</v>
      </c>
      <c r="Z160" s="115">
        <f ca="1">MAX(SUMIFS('RC Template'!$AW:$AW,'RC Template'!$B:$B,$A160,'RC Template'!$C:$C,Z$6),Z159*$E$3)</f>
        <v>15.599892305713237</v>
      </c>
      <c r="AA160" s="115">
        <f ca="1">MAX(SUMIFS('RC Template'!$AW:$AW,'RC Template'!$B:$B,$A160,'RC Template'!$C:$C,AA$6),AA159*$E$3)</f>
        <v>0</v>
      </c>
      <c r="AB160" s="115">
        <f ca="1">MAX(SUMIFS('RC Template'!$AW:$AW,'RC Template'!$B:$B,$A160,'RC Template'!$C:$C,AB$6),AB159*$E$3)</f>
        <v>0</v>
      </c>
      <c r="AC160" s="115">
        <f ca="1">MAX(SUMIFS('RC Template'!$AW:$AW,'RC Template'!$B:$B,$A160,'RC Template'!$C:$C,AC$6),AC159*$E$3)</f>
        <v>0</v>
      </c>
      <c r="AD160" s="115">
        <f ca="1">MAX(SUMIFS('RC Template'!$AW:$AW,'RC Template'!$B:$B,$A160,'RC Template'!$C:$C,AD$6),AD159*$E$3)</f>
        <v>0</v>
      </c>
    </row>
    <row r="161" spans="17:30" x14ac:dyDescent="0.3">
      <c r="Q161" s="115">
        <f ca="1">MAX(SUMIFS('RC Template'!$AW:$AW,'RC Template'!$B:$B,$A161,'RC Template'!$C:$C,Q$6),Q160*$E$3)</f>
        <v>93.490431286372413</v>
      </c>
      <c r="R161" s="115">
        <f ca="1">MAX(SUMIFS('RC Template'!$AW:$AW,'RC Template'!$B:$B,$A161,'RC Template'!$C:$C,R$6),R160*$E$3)</f>
        <v>7.8243909136949474</v>
      </c>
      <c r="S161" s="115">
        <f ca="1">MAX(SUMIFS('RC Template'!$AW:$AW,'RC Template'!$B:$B,$A161,'RC Template'!$C:$C,S$6),S160*$E$3)</f>
        <v>9.9439059923715476</v>
      </c>
      <c r="T161" s="115">
        <f ca="1">MAX(SUMIFS('RC Template'!$AW:$AW,'RC Template'!$B:$B,$A161,'RC Template'!$C:$C,T$6),T160*$E$3)</f>
        <v>0.97183326645801615</v>
      </c>
      <c r="U161" s="115">
        <f ca="1">MAX(SUMIFS('RC Template'!$AW:$AW,'RC Template'!$B:$B,$A161,'RC Template'!$C:$C,U$6),U160*$E$3)</f>
        <v>37.729231823879317</v>
      </c>
      <c r="V161" s="115">
        <f ca="1">MAX(SUMIFS('RC Template'!$AW:$AW,'RC Template'!$B:$B,$A161,'RC Template'!$C:$C,V$6),V160*$E$3)</f>
        <v>12.232651853243377</v>
      </c>
      <c r="W161" s="115">
        <f ca="1">MAX(SUMIFS('RC Template'!$AW:$AW,'RC Template'!$B:$B,$A161,'RC Template'!$C:$C,W$6),W160*$E$3)</f>
        <v>1.3326778371863897</v>
      </c>
      <c r="X161" s="115">
        <f ca="1">MAX(SUMIFS('RC Template'!$AW:$AW,'RC Template'!$B:$B,$A161,'RC Template'!$C:$C,X$6),X160*$E$3)</f>
        <v>44.993945538662857</v>
      </c>
      <c r="Y161" s="115">
        <f ca="1">MAX(SUMIFS('RC Template'!$AW:$AW,'RC Template'!$B:$B,$A161,'RC Template'!$C:$C,Y$6),Y160*$E$3)</f>
        <v>13.474157562281691</v>
      </c>
      <c r="Z161" s="115">
        <f ca="1">MAX(SUMIFS('RC Template'!$AW:$AW,'RC Template'!$B:$B,$A161,'RC Template'!$C:$C,Z$6),Z160*$E$3)</f>
        <v>15.209894998070405</v>
      </c>
      <c r="AA161" s="115">
        <f ca="1">MAX(SUMIFS('RC Template'!$AW:$AW,'RC Template'!$B:$B,$A161,'RC Template'!$C:$C,AA$6),AA160*$E$3)</f>
        <v>0</v>
      </c>
      <c r="AB161" s="115">
        <f ca="1">MAX(SUMIFS('RC Template'!$AW:$AW,'RC Template'!$B:$B,$A161,'RC Template'!$C:$C,AB$6),AB160*$E$3)</f>
        <v>0</v>
      </c>
      <c r="AC161" s="115">
        <f ca="1">MAX(SUMIFS('RC Template'!$AW:$AW,'RC Template'!$B:$B,$A161,'RC Template'!$C:$C,AC$6),AC160*$E$3)</f>
        <v>0</v>
      </c>
      <c r="AD161" s="115">
        <f ca="1">MAX(SUMIFS('RC Template'!$AW:$AW,'RC Template'!$B:$B,$A161,'RC Template'!$C:$C,AD$6),AD160*$E$3)</f>
        <v>0</v>
      </c>
    </row>
    <row r="162" spans="17:30" x14ac:dyDescent="0.3">
      <c r="Q162" s="115">
        <f ca="1">MAX(SUMIFS('RC Template'!$AW:$AW,'RC Template'!$B:$B,$A162,'RC Template'!$C:$C,Q$6),Q161*$E$3)</f>
        <v>91.153170504213094</v>
      </c>
      <c r="R162" s="115">
        <f ca="1">MAX(SUMIFS('RC Template'!$AW:$AW,'RC Template'!$B:$B,$A162,'RC Template'!$C:$C,R$6),R161*$E$3)</f>
        <v>7.6287811408525732</v>
      </c>
      <c r="S162" s="115">
        <f ca="1">MAX(SUMIFS('RC Template'!$AW:$AW,'RC Template'!$B:$B,$A162,'RC Template'!$C:$C,S$6),S161*$E$3)</f>
        <v>9.6953083425622584</v>
      </c>
      <c r="T162" s="115">
        <f ca="1">MAX(SUMIFS('RC Template'!$AW:$AW,'RC Template'!$B:$B,$A162,'RC Template'!$C:$C,T$6),T161*$E$3)</f>
        <v>0.94753743479656571</v>
      </c>
      <c r="U162" s="115">
        <f ca="1">MAX(SUMIFS('RC Template'!$AW:$AW,'RC Template'!$B:$B,$A162,'RC Template'!$C:$C,U$6),U161*$E$3)</f>
        <v>36.786001028282335</v>
      </c>
      <c r="V162" s="115">
        <f ca="1">MAX(SUMIFS('RC Template'!$AW:$AW,'RC Template'!$B:$B,$A162,'RC Template'!$C:$C,V$6),V161*$E$3)</f>
        <v>11.926835556912293</v>
      </c>
      <c r="W162" s="115">
        <f ca="1">MAX(SUMIFS('RC Template'!$AW:$AW,'RC Template'!$B:$B,$A162,'RC Template'!$C:$C,W$6),W161*$E$3)</f>
        <v>1.2993608912567298</v>
      </c>
      <c r="X162" s="115">
        <f ca="1">MAX(SUMIFS('RC Template'!$AW:$AW,'RC Template'!$B:$B,$A162,'RC Template'!$C:$C,X$6),X161*$E$3)</f>
        <v>43.869096900196283</v>
      </c>
      <c r="Y162" s="115">
        <f ca="1">MAX(SUMIFS('RC Template'!$AW:$AW,'RC Template'!$B:$B,$A162,'RC Template'!$C:$C,Y$6),Y161*$E$3)</f>
        <v>13.137303623224648</v>
      </c>
      <c r="Z162" s="115">
        <f ca="1">MAX(SUMIFS('RC Template'!$AW:$AW,'RC Template'!$B:$B,$A162,'RC Template'!$C:$C,Z$6),Z161*$E$3)</f>
        <v>14.829647623118644</v>
      </c>
      <c r="AA162" s="115">
        <f ca="1">MAX(SUMIFS('RC Template'!$AW:$AW,'RC Template'!$B:$B,$A162,'RC Template'!$C:$C,AA$6),AA161*$E$3)</f>
        <v>0</v>
      </c>
      <c r="AB162" s="115">
        <f ca="1">MAX(SUMIFS('RC Template'!$AW:$AW,'RC Template'!$B:$B,$A162,'RC Template'!$C:$C,AB$6),AB161*$E$3)</f>
        <v>0</v>
      </c>
      <c r="AC162" s="115">
        <f ca="1">MAX(SUMIFS('RC Template'!$AW:$AW,'RC Template'!$B:$B,$A162,'RC Template'!$C:$C,AC$6),AC161*$E$3)</f>
        <v>0</v>
      </c>
      <c r="AD162" s="115">
        <f ca="1">MAX(SUMIFS('RC Template'!$AW:$AW,'RC Template'!$B:$B,$A162,'RC Template'!$C:$C,AD$6),AD161*$E$3)</f>
        <v>0</v>
      </c>
    </row>
    <row r="163" spans="17:30" x14ac:dyDescent="0.3">
      <c r="Q163" s="115">
        <f ca="1">MAX(SUMIFS('RC Template'!$AW:$AW,'RC Template'!$B:$B,$A163,'RC Template'!$C:$C,Q$6),Q162*$E$3)</f>
        <v>88.874341241607766</v>
      </c>
      <c r="R163" s="115">
        <f ca="1">MAX(SUMIFS('RC Template'!$AW:$AW,'RC Template'!$B:$B,$A163,'RC Template'!$C:$C,R$6),R162*$E$3)</f>
        <v>7.4380616123312588</v>
      </c>
      <c r="S163" s="115">
        <f ca="1">MAX(SUMIFS('RC Template'!$AW:$AW,'RC Template'!$B:$B,$A163,'RC Template'!$C:$C,S$6),S162*$E$3)</f>
        <v>9.452925633998202</v>
      </c>
      <c r="T163" s="115">
        <f ca="1">MAX(SUMIFS('RC Template'!$AW:$AW,'RC Template'!$B:$B,$A163,'RC Template'!$C:$C,T$6),T162*$E$3)</f>
        <v>0.92384899892665151</v>
      </c>
      <c r="U163" s="115">
        <f ca="1">MAX(SUMIFS('RC Template'!$AW:$AW,'RC Template'!$B:$B,$A163,'RC Template'!$C:$C,U$6),U162*$E$3)</f>
        <v>35.866351002575279</v>
      </c>
      <c r="V163" s="115">
        <f ca="1">MAX(SUMIFS('RC Template'!$AW:$AW,'RC Template'!$B:$B,$A163,'RC Template'!$C:$C,V$6),V162*$E$3)</f>
        <v>11.628664667989485</v>
      </c>
      <c r="W163" s="115">
        <f ca="1">MAX(SUMIFS('RC Template'!$AW:$AW,'RC Template'!$B:$B,$A163,'RC Template'!$C:$C,W$6),W162*$E$3)</f>
        <v>1.2668768689753116</v>
      </c>
      <c r="X163" s="115">
        <f ca="1">MAX(SUMIFS('RC Template'!$AW:$AW,'RC Template'!$B:$B,$A163,'RC Template'!$C:$C,X$6),X162*$E$3)</f>
        <v>42.772369477691377</v>
      </c>
      <c r="Y163" s="115">
        <f ca="1">MAX(SUMIFS('RC Template'!$AW:$AW,'RC Template'!$B:$B,$A163,'RC Template'!$C:$C,Y$6),Y162*$E$3)</f>
        <v>12.808871032644031</v>
      </c>
      <c r="Z163" s="115">
        <f ca="1">MAX(SUMIFS('RC Template'!$AW:$AW,'RC Template'!$B:$B,$A163,'RC Template'!$C:$C,Z$6),Z162*$E$3)</f>
        <v>14.458906432540678</v>
      </c>
      <c r="AA163" s="115">
        <f ca="1">MAX(SUMIFS('RC Template'!$AW:$AW,'RC Template'!$B:$B,$A163,'RC Template'!$C:$C,AA$6),AA162*$E$3)</f>
        <v>0</v>
      </c>
      <c r="AB163" s="115">
        <f ca="1">MAX(SUMIFS('RC Template'!$AW:$AW,'RC Template'!$B:$B,$A163,'RC Template'!$C:$C,AB$6),AB162*$E$3)</f>
        <v>0</v>
      </c>
      <c r="AC163" s="115">
        <f ca="1">MAX(SUMIFS('RC Template'!$AW:$AW,'RC Template'!$B:$B,$A163,'RC Template'!$C:$C,AC$6),AC162*$E$3)</f>
        <v>0</v>
      </c>
      <c r="AD163" s="115">
        <f ca="1">MAX(SUMIFS('RC Template'!$AW:$AW,'RC Template'!$B:$B,$A163,'RC Template'!$C:$C,AD$6),AD162*$E$3)</f>
        <v>0</v>
      </c>
    </row>
    <row r="164" spans="17:30" x14ac:dyDescent="0.3">
      <c r="Q164" s="115">
        <f ca="1">MAX(SUMIFS('RC Template'!$AW:$AW,'RC Template'!$B:$B,$A164,'RC Template'!$C:$C,Q$6),Q163*$E$3)</f>
        <v>86.652482710567568</v>
      </c>
      <c r="R164" s="115">
        <f ca="1">MAX(SUMIFS('RC Template'!$AW:$AW,'RC Template'!$B:$B,$A164,'RC Template'!$C:$C,R$6),R163*$E$3)</f>
        <v>7.252110072022977</v>
      </c>
      <c r="S164" s="115">
        <f ca="1">MAX(SUMIFS('RC Template'!$AW:$AW,'RC Template'!$B:$B,$A164,'RC Template'!$C:$C,S$6),S163*$E$3)</f>
        <v>9.2166024931482475</v>
      </c>
      <c r="T164" s="115">
        <f ca="1">MAX(SUMIFS('RC Template'!$AW:$AW,'RC Template'!$B:$B,$A164,'RC Template'!$C:$C,T$6),T163*$E$3)</f>
        <v>0.90075277395348519</v>
      </c>
      <c r="U164" s="115">
        <f ca="1">MAX(SUMIFS('RC Template'!$AW:$AW,'RC Template'!$B:$B,$A164,'RC Template'!$C:$C,U$6),U163*$E$3)</f>
        <v>34.969692227510897</v>
      </c>
      <c r="V164" s="115">
        <f ca="1">MAX(SUMIFS('RC Template'!$AW:$AW,'RC Template'!$B:$B,$A164,'RC Template'!$C:$C,V$6),V163*$E$3)</f>
        <v>11.337948051289747</v>
      </c>
      <c r="W164" s="115">
        <f ca="1">MAX(SUMIFS('RC Template'!$AW:$AW,'RC Template'!$B:$B,$A164,'RC Template'!$C:$C,W$6),W163*$E$3)</f>
        <v>1.2352049472509288</v>
      </c>
      <c r="X164" s="115">
        <f ca="1">MAX(SUMIFS('RC Template'!$AW:$AW,'RC Template'!$B:$B,$A164,'RC Template'!$C:$C,X$6),X163*$E$3)</f>
        <v>41.703060240749089</v>
      </c>
      <c r="Y164" s="115">
        <f ca="1">MAX(SUMIFS('RC Template'!$AW:$AW,'RC Template'!$B:$B,$A164,'RC Template'!$C:$C,Y$6),Y163*$E$3)</f>
        <v>12.48864925682793</v>
      </c>
      <c r="Z164" s="115">
        <f ca="1">MAX(SUMIFS('RC Template'!$AW:$AW,'RC Template'!$B:$B,$A164,'RC Template'!$C:$C,Z$6),Z163*$E$3)</f>
        <v>14.097433771727161</v>
      </c>
      <c r="AA164" s="115">
        <f ca="1">MAX(SUMIFS('RC Template'!$AW:$AW,'RC Template'!$B:$B,$A164,'RC Template'!$C:$C,AA$6),AA163*$E$3)</f>
        <v>0</v>
      </c>
      <c r="AB164" s="115">
        <f ca="1">MAX(SUMIFS('RC Template'!$AW:$AW,'RC Template'!$B:$B,$A164,'RC Template'!$C:$C,AB$6),AB163*$E$3)</f>
        <v>0</v>
      </c>
      <c r="AC164" s="115">
        <f ca="1">MAX(SUMIFS('RC Template'!$AW:$AW,'RC Template'!$B:$B,$A164,'RC Template'!$C:$C,AC$6),AC163*$E$3)</f>
        <v>0</v>
      </c>
      <c r="AD164" s="115">
        <f ca="1">MAX(SUMIFS('RC Template'!$AW:$AW,'RC Template'!$B:$B,$A164,'RC Template'!$C:$C,AD$6),AD163*$E$3)</f>
        <v>0</v>
      </c>
    </row>
    <row r="165" spans="17:30" x14ac:dyDescent="0.3">
      <c r="Q165" s="115">
        <f ca="1">MAX(SUMIFS('RC Template'!$AW:$AW,'RC Template'!$B:$B,$A165,'RC Template'!$C:$C,Q$6),Q164*$E$3)</f>
        <v>84.486170642803373</v>
      </c>
      <c r="R165" s="115">
        <f ca="1">MAX(SUMIFS('RC Template'!$AW:$AW,'RC Template'!$B:$B,$A165,'RC Template'!$C:$C,R$6),R164*$E$3)</f>
        <v>7.0708073202224027</v>
      </c>
      <c r="S165" s="115">
        <f ca="1">MAX(SUMIFS('RC Template'!$AW:$AW,'RC Template'!$B:$B,$A165,'RC Template'!$C:$C,S$6),S164*$E$3)</f>
        <v>8.9861874308195411</v>
      </c>
      <c r="T165" s="115">
        <f ca="1">MAX(SUMIFS('RC Template'!$AW:$AW,'RC Template'!$B:$B,$A165,'RC Template'!$C:$C,T$6),T164*$E$3)</f>
        <v>0.87823395460464804</v>
      </c>
      <c r="U165" s="115">
        <f ca="1">MAX(SUMIFS('RC Template'!$AW:$AW,'RC Template'!$B:$B,$A165,'RC Template'!$C:$C,U$6),U164*$E$3)</f>
        <v>34.095449921823125</v>
      </c>
      <c r="V165" s="115">
        <f ca="1">MAX(SUMIFS('RC Template'!$AW:$AW,'RC Template'!$B:$B,$A165,'RC Template'!$C:$C,V$6),V164*$E$3)</f>
        <v>11.054499350007502</v>
      </c>
      <c r="W165" s="115">
        <f ca="1">MAX(SUMIFS('RC Template'!$AW:$AW,'RC Template'!$B:$B,$A165,'RC Template'!$C:$C,W$6),W164*$E$3)</f>
        <v>1.2043248235696555</v>
      </c>
      <c r="X165" s="115">
        <f ca="1">MAX(SUMIFS('RC Template'!$AW:$AW,'RC Template'!$B:$B,$A165,'RC Template'!$C:$C,X$6),X164*$E$3)</f>
        <v>40.660483734730363</v>
      </c>
      <c r="Y165" s="115">
        <f ca="1">MAX(SUMIFS('RC Template'!$AW:$AW,'RC Template'!$B:$B,$A165,'RC Template'!$C:$C,Y$6),Y164*$E$3)</f>
        <v>12.176433025407231</v>
      </c>
      <c r="Z165" s="115">
        <f ca="1">MAX(SUMIFS('RC Template'!$AW:$AW,'RC Template'!$B:$B,$A165,'RC Template'!$C:$C,Z$6),Z164*$E$3)</f>
        <v>13.744997927433982</v>
      </c>
      <c r="AA165" s="115">
        <f ca="1">MAX(SUMIFS('RC Template'!$AW:$AW,'RC Template'!$B:$B,$A165,'RC Template'!$C:$C,AA$6),AA164*$E$3)</f>
        <v>0</v>
      </c>
      <c r="AB165" s="115">
        <f ca="1">MAX(SUMIFS('RC Template'!$AW:$AW,'RC Template'!$B:$B,$A165,'RC Template'!$C:$C,AB$6),AB164*$E$3)</f>
        <v>0</v>
      </c>
      <c r="AC165" s="115">
        <f ca="1">MAX(SUMIFS('RC Template'!$AW:$AW,'RC Template'!$B:$B,$A165,'RC Template'!$C:$C,AC$6),AC164*$E$3)</f>
        <v>0</v>
      </c>
      <c r="AD165" s="115">
        <f ca="1">MAX(SUMIFS('RC Template'!$AW:$AW,'RC Template'!$B:$B,$A165,'RC Template'!$C:$C,AD$6),AD164*$E$3)</f>
        <v>0</v>
      </c>
    </row>
    <row r="166" spans="17:30" x14ac:dyDescent="0.3">
      <c r="Q166" s="115">
        <f ca="1">MAX(SUMIFS('RC Template'!$AW:$AW,'RC Template'!$B:$B,$A166,'RC Template'!$C:$C,Q$6),Q165*$E$3)</f>
        <v>82.37401637673328</v>
      </c>
      <c r="R166" s="115">
        <f ca="1">MAX(SUMIFS('RC Template'!$AW:$AW,'RC Template'!$B:$B,$A166,'RC Template'!$C:$C,R$6),R165*$E$3)</f>
        <v>6.8940371372168423</v>
      </c>
      <c r="S166" s="115">
        <f ca="1">MAX(SUMIFS('RC Template'!$AW:$AW,'RC Template'!$B:$B,$A166,'RC Template'!$C:$C,S$6),S165*$E$3)</f>
        <v>8.7615327450490526</v>
      </c>
      <c r="T166" s="115">
        <f ca="1">MAX(SUMIFS('RC Template'!$AW:$AW,'RC Template'!$B:$B,$A166,'RC Template'!$C:$C,T$6),T165*$E$3)</f>
        <v>0.85627810573953178</v>
      </c>
      <c r="U166" s="115">
        <f ca="1">MAX(SUMIFS('RC Template'!$AW:$AW,'RC Template'!$B:$B,$A166,'RC Template'!$C:$C,U$6),U165*$E$3)</f>
        <v>33.243063673777549</v>
      </c>
      <c r="V166" s="115">
        <f ca="1">MAX(SUMIFS('RC Template'!$AW:$AW,'RC Template'!$B:$B,$A166,'RC Template'!$C:$C,V$6),V165*$E$3)</f>
        <v>10.778136866257315</v>
      </c>
      <c r="W166" s="115">
        <f ca="1">MAX(SUMIFS('RC Template'!$AW:$AW,'RC Template'!$B:$B,$A166,'RC Template'!$C:$C,W$6),W165*$E$3)</f>
        <v>1.174216702980414</v>
      </c>
      <c r="X166" s="115">
        <f ca="1">MAX(SUMIFS('RC Template'!$AW:$AW,'RC Template'!$B:$B,$A166,'RC Template'!$C:$C,X$6),X165*$E$3)</f>
        <v>39.6439716413621</v>
      </c>
      <c r="Y166" s="115">
        <f ca="1">MAX(SUMIFS('RC Template'!$AW:$AW,'RC Template'!$B:$B,$A166,'RC Template'!$C:$C,Y$6),Y165*$E$3)</f>
        <v>11.872022199772051</v>
      </c>
      <c r="Z166" s="115">
        <f ca="1">MAX(SUMIFS('RC Template'!$AW:$AW,'RC Template'!$B:$B,$A166,'RC Template'!$C:$C,Z$6),Z165*$E$3)</f>
        <v>13.401372979248132</v>
      </c>
      <c r="AA166" s="115">
        <f ca="1">MAX(SUMIFS('RC Template'!$AW:$AW,'RC Template'!$B:$B,$A166,'RC Template'!$C:$C,AA$6),AA165*$E$3)</f>
        <v>0</v>
      </c>
      <c r="AB166" s="115">
        <f ca="1">MAX(SUMIFS('RC Template'!$AW:$AW,'RC Template'!$B:$B,$A166,'RC Template'!$C:$C,AB$6),AB165*$E$3)</f>
        <v>0</v>
      </c>
      <c r="AC166" s="115">
        <f ca="1">MAX(SUMIFS('RC Template'!$AW:$AW,'RC Template'!$B:$B,$A166,'RC Template'!$C:$C,AC$6),AC165*$E$3)</f>
        <v>0</v>
      </c>
      <c r="AD166" s="115">
        <f ca="1">MAX(SUMIFS('RC Template'!$AW:$AW,'RC Template'!$B:$B,$A166,'RC Template'!$C:$C,AD$6),AD165*$E$3)</f>
        <v>0</v>
      </c>
    </row>
    <row r="167" spans="17:30" x14ac:dyDescent="0.3">
      <c r="Q167" s="115">
        <f ca="1">MAX(SUMIFS('RC Template'!$AW:$AW,'RC Template'!$B:$B,$A167,'RC Template'!$C:$C,Q$6),Q166*$E$3)</f>
        <v>80.314665967314951</v>
      </c>
      <c r="R167" s="115">
        <f ca="1">MAX(SUMIFS('RC Template'!$AW:$AW,'RC Template'!$B:$B,$A167,'RC Template'!$C:$C,R$6),R166*$E$3)</f>
        <v>6.7216862087864211</v>
      </c>
      <c r="S167" s="115">
        <f ca="1">MAX(SUMIFS('RC Template'!$AW:$AW,'RC Template'!$B:$B,$A167,'RC Template'!$C:$C,S$6),S166*$E$3)</f>
        <v>8.5424944264228255</v>
      </c>
      <c r="T167" s="115">
        <f ca="1">MAX(SUMIFS('RC Template'!$AW:$AW,'RC Template'!$B:$B,$A167,'RC Template'!$C:$C,T$6),T166*$E$3)</f>
        <v>0.83487115309604343</v>
      </c>
      <c r="U167" s="115">
        <f ca="1">MAX(SUMIFS('RC Template'!$AW:$AW,'RC Template'!$B:$B,$A167,'RC Template'!$C:$C,U$6),U166*$E$3)</f>
        <v>32.411987081933113</v>
      </c>
      <c r="V167" s="115">
        <f ca="1">MAX(SUMIFS('RC Template'!$AW:$AW,'RC Template'!$B:$B,$A167,'RC Template'!$C:$C,V$6),V166*$E$3)</f>
        <v>10.508683444600882</v>
      </c>
      <c r="W167" s="115">
        <f ca="1">MAX(SUMIFS('RC Template'!$AW:$AW,'RC Template'!$B:$B,$A167,'RC Template'!$C:$C,W$6),W166*$E$3)</f>
        <v>1.1448612854059037</v>
      </c>
      <c r="X167" s="115">
        <f ca="1">MAX(SUMIFS('RC Template'!$AW:$AW,'RC Template'!$B:$B,$A167,'RC Template'!$C:$C,X$6),X166*$E$3)</f>
        <v>38.652872350328046</v>
      </c>
      <c r="Y167" s="115">
        <f ca="1">MAX(SUMIFS('RC Template'!$AW:$AW,'RC Template'!$B:$B,$A167,'RC Template'!$C:$C,Y$6),Y166*$E$3)</f>
        <v>11.575221644777749</v>
      </c>
      <c r="Z167" s="115">
        <f ca="1">MAX(SUMIFS('RC Template'!$AW:$AW,'RC Template'!$B:$B,$A167,'RC Template'!$C:$C,Z$6),Z166*$E$3)</f>
        <v>13.066338654766929</v>
      </c>
      <c r="AA167" s="115">
        <f ca="1">MAX(SUMIFS('RC Template'!$AW:$AW,'RC Template'!$B:$B,$A167,'RC Template'!$C:$C,AA$6),AA166*$E$3)</f>
        <v>0</v>
      </c>
      <c r="AB167" s="115">
        <f ca="1">MAX(SUMIFS('RC Template'!$AW:$AW,'RC Template'!$B:$B,$A167,'RC Template'!$C:$C,AB$6),AB166*$E$3)</f>
        <v>0</v>
      </c>
      <c r="AC167" s="115">
        <f ca="1">MAX(SUMIFS('RC Template'!$AW:$AW,'RC Template'!$B:$B,$A167,'RC Template'!$C:$C,AC$6),AC166*$E$3)</f>
        <v>0</v>
      </c>
      <c r="AD167" s="115">
        <f ca="1">MAX(SUMIFS('RC Template'!$AW:$AW,'RC Template'!$B:$B,$A167,'RC Template'!$C:$C,AD$6),AD166*$E$3)</f>
        <v>0</v>
      </c>
    </row>
    <row r="168" spans="17:30" x14ac:dyDescent="0.3">
      <c r="Q168" s="115">
        <f ca="1">MAX(SUMIFS('RC Template'!$AW:$AW,'RC Template'!$B:$B,$A168,'RC Template'!$C:$C,Q$6),Q167*$E$3)</f>
        <v>78.306799318132079</v>
      </c>
      <c r="R168" s="115">
        <f ca="1">MAX(SUMIFS('RC Template'!$AW:$AW,'RC Template'!$B:$B,$A168,'RC Template'!$C:$C,R$6),R167*$E$3)</f>
        <v>6.5536440535667602</v>
      </c>
      <c r="S168" s="115">
        <f ca="1">MAX(SUMIFS('RC Template'!$AW:$AW,'RC Template'!$B:$B,$A168,'RC Template'!$C:$C,S$6),S167*$E$3)</f>
        <v>8.3289320657622543</v>
      </c>
      <c r="T168" s="115">
        <f ca="1">MAX(SUMIFS('RC Template'!$AW:$AW,'RC Template'!$B:$B,$A168,'RC Template'!$C:$C,T$6),T167*$E$3)</f>
        <v>0.81399937426864233</v>
      </c>
      <c r="U168" s="115">
        <f ca="1">MAX(SUMIFS('RC Template'!$AW:$AW,'RC Template'!$B:$B,$A168,'RC Template'!$C:$C,U$6),U167*$E$3)</f>
        <v>31.601687404884785</v>
      </c>
      <c r="V168" s="115">
        <f ca="1">MAX(SUMIFS('RC Template'!$AW:$AW,'RC Template'!$B:$B,$A168,'RC Template'!$C:$C,V$6),V167*$E$3)</f>
        <v>10.245966358485859</v>
      </c>
      <c r="W168" s="115">
        <f ca="1">MAX(SUMIFS('RC Template'!$AW:$AW,'RC Template'!$B:$B,$A168,'RC Template'!$C:$C,W$6),W167*$E$3)</f>
        <v>1.1162397532707562</v>
      </c>
      <c r="X168" s="115">
        <f ca="1">MAX(SUMIFS('RC Template'!$AW:$AW,'RC Template'!$B:$B,$A168,'RC Template'!$C:$C,X$6),X167*$E$3)</f>
        <v>37.686550541569844</v>
      </c>
      <c r="Y168" s="115">
        <f ca="1">MAX(SUMIFS('RC Template'!$AW:$AW,'RC Template'!$B:$B,$A168,'RC Template'!$C:$C,Y$6),Y167*$E$3)</f>
        <v>11.285841103658305</v>
      </c>
      <c r="Z168" s="115">
        <f ca="1">MAX(SUMIFS('RC Template'!$AW:$AW,'RC Template'!$B:$B,$A168,'RC Template'!$C:$C,Z$6),Z167*$E$3)</f>
        <v>12.739680188397756</v>
      </c>
      <c r="AA168" s="115">
        <f ca="1">MAX(SUMIFS('RC Template'!$AW:$AW,'RC Template'!$B:$B,$A168,'RC Template'!$C:$C,AA$6),AA167*$E$3)</f>
        <v>0</v>
      </c>
      <c r="AB168" s="115">
        <f ca="1">MAX(SUMIFS('RC Template'!$AW:$AW,'RC Template'!$B:$B,$A168,'RC Template'!$C:$C,AB$6),AB167*$E$3)</f>
        <v>0</v>
      </c>
      <c r="AC168" s="115">
        <f ca="1">MAX(SUMIFS('RC Template'!$AW:$AW,'RC Template'!$B:$B,$A168,'RC Template'!$C:$C,AC$6),AC167*$E$3)</f>
        <v>0</v>
      </c>
      <c r="AD168" s="115">
        <f ca="1">MAX(SUMIFS('RC Template'!$AW:$AW,'RC Template'!$B:$B,$A168,'RC Template'!$C:$C,AD$6),AD167*$E$3)</f>
        <v>0</v>
      </c>
    </row>
    <row r="169" spans="17:30" x14ac:dyDescent="0.3">
      <c r="Q169" s="115">
        <f ca="1">MAX(SUMIFS('RC Template'!$AW:$AW,'RC Template'!$B:$B,$A169,'RC Template'!$C:$C,Q$6),Q168*$E$3)</f>
        <v>76.349129335178773</v>
      </c>
      <c r="R169" s="115">
        <f ca="1">MAX(SUMIFS('RC Template'!$AW:$AW,'RC Template'!$B:$B,$A169,'RC Template'!$C:$C,R$6),R168*$E$3)</f>
        <v>6.3898029522275914</v>
      </c>
      <c r="S169" s="115">
        <f ca="1">MAX(SUMIFS('RC Template'!$AW:$AW,'RC Template'!$B:$B,$A169,'RC Template'!$C:$C,S$6),S168*$E$3)</f>
        <v>8.1207087641181985</v>
      </c>
      <c r="T169" s="115">
        <f ca="1">MAX(SUMIFS('RC Template'!$AW:$AW,'RC Template'!$B:$B,$A169,'RC Template'!$C:$C,T$6),T168*$E$3)</f>
        <v>0.79364938991192624</v>
      </c>
      <c r="U169" s="115">
        <f ca="1">MAX(SUMIFS('RC Template'!$AW:$AW,'RC Template'!$B:$B,$A169,'RC Template'!$C:$C,U$6),U168*$E$3)</f>
        <v>30.811645219762664</v>
      </c>
      <c r="V169" s="115">
        <f ca="1">MAX(SUMIFS('RC Template'!$AW:$AW,'RC Template'!$B:$B,$A169,'RC Template'!$C:$C,V$6),V168*$E$3)</f>
        <v>9.9898171995237117</v>
      </c>
      <c r="W169" s="115">
        <f ca="1">MAX(SUMIFS('RC Template'!$AW:$AW,'RC Template'!$B:$B,$A169,'RC Template'!$C:$C,W$6),W168*$E$3)</f>
        <v>1.0883337594389872</v>
      </c>
      <c r="X169" s="115">
        <f ca="1">MAX(SUMIFS('RC Template'!$AW:$AW,'RC Template'!$B:$B,$A169,'RC Template'!$C:$C,X$6),X168*$E$3)</f>
        <v>36.744386778030595</v>
      </c>
      <c r="Y169" s="115">
        <f ca="1">MAX(SUMIFS('RC Template'!$AW:$AW,'RC Template'!$B:$B,$A169,'RC Template'!$C:$C,Y$6),Y168*$E$3)</f>
        <v>11.003695076066847</v>
      </c>
      <c r="Z169" s="115">
        <f ca="1">MAX(SUMIFS('RC Template'!$AW:$AW,'RC Template'!$B:$B,$A169,'RC Template'!$C:$C,Z$6),Z168*$E$3)</f>
        <v>12.421188183687812</v>
      </c>
      <c r="AA169" s="115">
        <f ca="1">MAX(SUMIFS('RC Template'!$AW:$AW,'RC Template'!$B:$B,$A169,'RC Template'!$C:$C,AA$6),AA168*$E$3)</f>
        <v>0</v>
      </c>
      <c r="AB169" s="115">
        <f ca="1">MAX(SUMIFS('RC Template'!$AW:$AW,'RC Template'!$B:$B,$A169,'RC Template'!$C:$C,AB$6),AB168*$E$3)</f>
        <v>0</v>
      </c>
      <c r="AC169" s="115">
        <f ca="1">MAX(SUMIFS('RC Template'!$AW:$AW,'RC Template'!$B:$B,$A169,'RC Template'!$C:$C,AC$6),AC168*$E$3)</f>
        <v>0</v>
      </c>
      <c r="AD169" s="115">
        <f ca="1">MAX(SUMIFS('RC Template'!$AW:$AW,'RC Template'!$B:$B,$A169,'RC Template'!$C:$C,AD$6),AD168*$E$3)</f>
        <v>0</v>
      </c>
    </row>
    <row r="170" spans="17:30" x14ac:dyDescent="0.3">
      <c r="Q170" s="115">
        <f ca="1">MAX(SUMIFS('RC Template'!$AW:$AW,'RC Template'!$B:$B,$A170,'RC Template'!$C:$C,Q$6),Q169*$E$3)</f>
        <v>74.440401101799296</v>
      </c>
      <c r="R170" s="115">
        <f ca="1">MAX(SUMIFS('RC Template'!$AW:$AW,'RC Template'!$B:$B,$A170,'RC Template'!$C:$C,R$6),R169*$E$3)</f>
        <v>6.2300578784219018</v>
      </c>
      <c r="S170" s="115">
        <f ca="1">MAX(SUMIFS('RC Template'!$AW:$AW,'RC Template'!$B:$B,$A170,'RC Template'!$C:$C,S$6),S169*$E$3)</f>
        <v>7.9176910450152436</v>
      </c>
      <c r="T170" s="115">
        <f ca="1">MAX(SUMIFS('RC Template'!$AW:$AW,'RC Template'!$B:$B,$A170,'RC Template'!$C:$C,T$6),T169*$E$3)</f>
        <v>0.77380815516412804</v>
      </c>
      <c r="U170" s="115">
        <f ca="1">MAX(SUMIFS('RC Template'!$AW:$AW,'RC Template'!$B:$B,$A170,'RC Template'!$C:$C,U$6),U169*$E$3)</f>
        <v>30.041354089268598</v>
      </c>
      <c r="V170" s="115">
        <f ca="1">MAX(SUMIFS('RC Template'!$AW:$AW,'RC Template'!$B:$B,$A170,'RC Template'!$C:$C,V$6),V169*$E$3)</f>
        <v>9.7400717695356178</v>
      </c>
      <c r="W170" s="115">
        <f ca="1">MAX(SUMIFS('RC Template'!$AW:$AW,'RC Template'!$B:$B,$A170,'RC Template'!$C:$C,W$6),W169*$E$3)</f>
        <v>1.0611254154530125</v>
      </c>
      <c r="X170" s="115">
        <f ca="1">MAX(SUMIFS('RC Template'!$AW:$AW,'RC Template'!$B:$B,$A170,'RC Template'!$C:$C,X$6),X169*$E$3)</f>
        <v>35.825777108579828</v>
      </c>
      <c r="Y170" s="115">
        <f ca="1">MAX(SUMIFS('RC Template'!$AW:$AW,'RC Template'!$B:$B,$A170,'RC Template'!$C:$C,Y$6),Y169*$E$3)</f>
        <v>10.728602699165176</v>
      </c>
      <c r="Z170" s="115">
        <f ca="1">MAX(SUMIFS('RC Template'!$AW:$AW,'RC Template'!$B:$B,$A170,'RC Template'!$C:$C,Z$6),Z169*$E$3)</f>
        <v>12.110658479095617</v>
      </c>
      <c r="AA170" s="115">
        <f ca="1">MAX(SUMIFS('RC Template'!$AW:$AW,'RC Template'!$B:$B,$A170,'RC Template'!$C:$C,AA$6),AA169*$E$3)</f>
        <v>0</v>
      </c>
      <c r="AB170" s="115">
        <f ca="1">MAX(SUMIFS('RC Template'!$AW:$AW,'RC Template'!$B:$B,$A170,'RC Template'!$C:$C,AB$6),AB169*$E$3)</f>
        <v>0</v>
      </c>
      <c r="AC170" s="115">
        <f ca="1">MAX(SUMIFS('RC Template'!$AW:$AW,'RC Template'!$B:$B,$A170,'RC Template'!$C:$C,AC$6),AC169*$E$3)</f>
        <v>0</v>
      </c>
      <c r="AD170" s="115">
        <f ca="1">MAX(SUMIFS('RC Template'!$AW:$AW,'RC Template'!$B:$B,$A170,'RC Template'!$C:$C,AD$6),AD169*$E$3)</f>
        <v>0</v>
      </c>
    </row>
    <row r="171" spans="17:30" x14ac:dyDescent="0.3">
      <c r="Q171" s="115">
        <f ca="1">MAX(SUMIFS('RC Template'!$AW:$AW,'RC Template'!$B:$B,$A171,'RC Template'!$C:$C,Q$6),Q170*$E$3)</f>
        <v>72.579391074254318</v>
      </c>
      <c r="R171" s="115">
        <f ca="1">MAX(SUMIFS('RC Template'!$AW:$AW,'RC Template'!$B:$B,$A171,'RC Template'!$C:$C,R$6),R170*$E$3)</f>
        <v>6.0743064314613537</v>
      </c>
      <c r="S171" s="115">
        <f ca="1">MAX(SUMIFS('RC Template'!$AW:$AW,'RC Template'!$B:$B,$A171,'RC Template'!$C:$C,S$6),S170*$E$3)</f>
        <v>7.7197487688898621</v>
      </c>
      <c r="T171" s="115">
        <f ca="1">MAX(SUMIFS('RC Template'!$AW:$AW,'RC Template'!$B:$B,$A171,'RC Template'!$C:$C,T$6),T170*$E$3)</f>
        <v>0.75446295128502483</v>
      </c>
      <c r="U171" s="115">
        <f ca="1">MAX(SUMIFS('RC Template'!$AW:$AW,'RC Template'!$B:$B,$A171,'RC Template'!$C:$C,U$6),U170*$E$3)</f>
        <v>29.290320237036884</v>
      </c>
      <c r="V171" s="115">
        <f ca="1">MAX(SUMIFS('RC Template'!$AW:$AW,'RC Template'!$B:$B,$A171,'RC Template'!$C:$C,V$6),V170*$E$3)</f>
        <v>9.496569975297227</v>
      </c>
      <c r="W171" s="115">
        <f ca="1">MAX(SUMIFS('RC Template'!$AW:$AW,'RC Template'!$B:$B,$A171,'RC Template'!$C:$C,W$6),W170*$E$3)</f>
        <v>1.0345972800666872</v>
      </c>
      <c r="X171" s="115">
        <f ca="1">MAX(SUMIFS('RC Template'!$AW:$AW,'RC Template'!$B:$B,$A171,'RC Template'!$C:$C,X$6),X170*$E$3)</f>
        <v>34.930132680865334</v>
      </c>
      <c r="Y171" s="115">
        <f ca="1">MAX(SUMIFS('RC Template'!$AW:$AW,'RC Template'!$B:$B,$A171,'RC Template'!$C:$C,Y$6),Y170*$E$3)</f>
        <v>10.460387631686046</v>
      </c>
      <c r="Z171" s="115">
        <f ca="1">MAX(SUMIFS('RC Template'!$AW:$AW,'RC Template'!$B:$B,$A171,'RC Template'!$C:$C,Z$6),Z170*$E$3)</f>
        <v>11.807892017118226</v>
      </c>
      <c r="AA171" s="115">
        <f ca="1">MAX(SUMIFS('RC Template'!$AW:$AW,'RC Template'!$B:$B,$A171,'RC Template'!$C:$C,AA$6),AA170*$E$3)</f>
        <v>0</v>
      </c>
      <c r="AB171" s="115">
        <f ca="1">MAX(SUMIFS('RC Template'!$AW:$AW,'RC Template'!$B:$B,$A171,'RC Template'!$C:$C,AB$6),AB170*$E$3)</f>
        <v>0</v>
      </c>
      <c r="AC171" s="115">
        <f ca="1">MAX(SUMIFS('RC Template'!$AW:$AW,'RC Template'!$B:$B,$A171,'RC Template'!$C:$C,AC$6),AC170*$E$3)</f>
        <v>0</v>
      </c>
      <c r="AD171" s="115">
        <f ca="1">MAX(SUMIFS('RC Template'!$AW:$AW,'RC Template'!$B:$B,$A171,'RC Template'!$C:$C,AD$6),AD170*$E$3)</f>
        <v>0</v>
      </c>
    </row>
    <row r="172" spans="17:30" x14ac:dyDescent="0.3">
      <c r="Q172" s="115">
        <f ca="1">MAX(SUMIFS('RC Template'!$AW:$AW,'RC Template'!$B:$B,$A172,'RC Template'!$C:$C,Q$6),Q171*$E$3)</f>
        <v>70.764906297397957</v>
      </c>
      <c r="R172" s="115">
        <f ca="1">MAX(SUMIFS('RC Template'!$AW:$AW,'RC Template'!$B:$B,$A172,'RC Template'!$C:$C,R$6),R171*$E$3)</f>
        <v>5.9224487706748201</v>
      </c>
      <c r="S172" s="115">
        <f ca="1">MAX(SUMIFS('RC Template'!$AW:$AW,'RC Template'!$B:$B,$A172,'RC Template'!$C:$C,S$6),S171*$E$3)</f>
        <v>7.5267550496676154</v>
      </c>
      <c r="T172" s="115">
        <f ca="1">MAX(SUMIFS('RC Template'!$AW:$AW,'RC Template'!$B:$B,$A172,'RC Template'!$C:$C,T$6),T171*$E$3)</f>
        <v>0.73560137750289922</v>
      </c>
      <c r="U172" s="115">
        <f ca="1">MAX(SUMIFS('RC Template'!$AW:$AW,'RC Template'!$B:$B,$A172,'RC Template'!$C:$C,U$6),U171*$E$3)</f>
        <v>28.558062231110959</v>
      </c>
      <c r="V172" s="115">
        <f ca="1">MAX(SUMIFS('RC Template'!$AW:$AW,'RC Template'!$B:$B,$A172,'RC Template'!$C:$C,V$6),V171*$E$3)</f>
        <v>9.2591557259147965</v>
      </c>
      <c r="W172" s="115">
        <f ca="1">MAX(SUMIFS('RC Template'!$AW:$AW,'RC Template'!$B:$B,$A172,'RC Template'!$C:$C,W$6),W171*$E$3)</f>
        <v>1.0087323480650199</v>
      </c>
      <c r="X172" s="115">
        <f ca="1">MAX(SUMIFS('RC Template'!$AW:$AW,'RC Template'!$B:$B,$A172,'RC Template'!$C:$C,X$6),X171*$E$3)</f>
        <v>34.056879363843699</v>
      </c>
      <c r="Y172" s="115">
        <f ca="1">MAX(SUMIFS('RC Template'!$AW:$AW,'RC Template'!$B:$B,$A172,'RC Template'!$C:$C,Y$6),Y171*$E$3)</f>
        <v>10.198877940893896</v>
      </c>
      <c r="Z172" s="115">
        <f ca="1">MAX(SUMIFS('RC Template'!$AW:$AW,'RC Template'!$B:$B,$A172,'RC Template'!$C:$C,Z$6),Z171*$E$3)</f>
        <v>11.51269471669027</v>
      </c>
      <c r="AA172" s="115">
        <f ca="1">MAX(SUMIFS('RC Template'!$AW:$AW,'RC Template'!$B:$B,$A172,'RC Template'!$C:$C,AA$6),AA171*$E$3)</f>
        <v>0</v>
      </c>
      <c r="AB172" s="115">
        <f ca="1">MAX(SUMIFS('RC Template'!$AW:$AW,'RC Template'!$B:$B,$A172,'RC Template'!$C:$C,AB$6),AB171*$E$3)</f>
        <v>0</v>
      </c>
      <c r="AC172" s="115">
        <f ca="1">MAX(SUMIFS('RC Template'!$AW:$AW,'RC Template'!$B:$B,$A172,'RC Template'!$C:$C,AC$6),AC171*$E$3)</f>
        <v>0</v>
      </c>
      <c r="AD172" s="115">
        <f ca="1">MAX(SUMIFS('RC Template'!$AW:$AW,'RC Template'!$B:$B,$A172,'RC Template'!$C:$C,AD$6),AD171*$E$3)</f>
        <v>0</v>
      </c>
    </row>
    <row r="173" spans="17:30" x14ac:dyDescent="0.3">
      <c r="Q173" s="115">
        <f ca="1">MAX(SUMIFS('RC Template'!$AW:$AW,'RC Template'!$B:$B,$A173,'RC Template'!$C:$C,Q$6),Q172*$E$3)</f>
        <v>68.995783639963008</v>
      </c>
      <c r="R173" s="115">
        <f ca="1">MAX(SUMIFS('RC Template'!$AW:$AW,'RC Template'!$B:$B,$A173,'RC Template'!$C:$C,R$6),R172*$E$3)</f>
        <v>5.7743875514079495</v>
      </c>
      <c r="S173" s="115">
        <f ca="1">MAX(SUMIFS('RC Template'!$AW:$AW,'RC Template'!$B:$B,$A173,'RC Template'!$C:$C,S$6),S172*$E$3)</f>
        <v>7.3385861734259246</v>
      </c>
      <c r="T173" s="115">
        <f ca="1">MAX(SUMIFS('RC Template'!$AW:$AW,'RC Template'!$B:$B,$A173,'RC Template'!$C:$C,T$6),T172*$E$3)</f>
        <v>0.71721134306532675</v>
      </c>
      <c r="U173" s="115">
        <f ca="1">MAX(SUMIFS('RC Template'!$AW:$AW,'RC Template'!$B:$B,$A173,'RC Template'!$C:$C,U$6),U172*$E$3)</f>
        <v>27.844110675333184</v>
      </c>
      <c r="V173" s="115">
        <f ca="1">MAX(SUMIFS('RC Template'!$AW:$AW,'RC Template'!$B:$B,$A173,'RC Template'!$C:$C,V$6),V172*$E$3)</f>
        <v>9.027676832766927</v>
      </c>
      <c r="W173" s="115">
        <f ca="1">MAX(SUMIFS('RC Template'!$AW:$AW,'RC Template'!$B:$B,$A173,'RC Template'!$C:$C,W$6),W172*$E$3)</f>
        <v>0.98351403936339432</v>
      </c>
      <c r="X173" s="115">
        <f ca="1">MAX(SUMIFS('RC Template'!$AW:$AW,'RC Template'!$B:$B,$A173,'RC Template'!$C:$C,X$6),X172*$E$3)</f>
        <v>33.205457379747607</v>
      </c>
      <c r="Y173" s="115">
        <f ca="1">MAX(SUMIFS('RC Template'!$AW:$AW,'RC Template'!$B:$B,$A173,'RC Template'!$C:$C,Y$6),Y172*$E$3)</f>
        <v>9.9439059923715476</v>
      </c>
      <c r="Z173" s="115">
        <f ca="1">MAX(SUMIFS('RC Template'!$AW:$AW,'RC Template'!$B:$B,$A173,'RC Template'!$C:$C,Z$6),Z172*$E$3)</f>
        <v>11.224877348773013</v>
      </c>
      <c r="AA173" s="115">
        <f ca="1">MAX(SUMIFS('RC Template'!$AW:$AW,'RC Template'!$B:$B,$A173,'RC Template'!$C:$C,AA$6),AA172*$E$3)</f>
        <v>0</v>
      </c>
      <c r="AB173" s="115">
        <f ca="1">MAX(SUMIFS('RC Template'!$AW:$AW,'RC Template'!$B:$B,$A173,'RC Template'!$C:$C,AB$6),AB172*$E$3)</f>
        <v>0</v>
      </c>
      <c r="AC173" s="115">
        <f ca="1">MAX(SUMIFS('RC Template'!$AW:$AW,'RC Template'!$B:$B,$A173,'RC Template'!$C:$C,AC$6),AC172*$E$3)</f>
        <v>0</v>
      </c>
      <c r="AD173" s="115">
        <f ca="1">MAX(SUMIFS('RC Template'!$AW:$AW,'RC Template'!$B:$B,$A173,'RC Template'!$C:$C,AD$6),AD172*$E$3)</f>
        <v>0</v>
      </c>
    </row>
    <row r="174" spans="17:30" x14ac:dyDescent="0.3">
      <c r="Q174" s="115">
        <f ca="1">MAX(SUMIFS('RC Template'!$AW:$AW,'RC Template'!$B:$B,$A174,'RC Template'!$C:$C,Q$6),Q173*$E$3)</f>
        <v>67.270889048963937</v>
      </c>
      <c r="R174" s="115">
        <f ca="1">MAX(SUMIFS('RC Template'!$AW:$AW,'RC Template'!$B:$B,$A174,'RC Template'!$C:$C,R$6),R173*$E$3)</f>
        <v>5.6300278626227502</v>
      </c>
      <c r="S174" s="115">
        <f ca="1">MAX(SUMIFS('RC Template'!$AW:$AW,'RC Template'!$B:$B,$A174,'RC Template'!$C:$C,S$6),S173*$E$3)</f>
        <v>7.1551215190902759</v>
      </c>
      <c r="T174" s="115">
        <f ca="1">MAX(SUMIFS('RC Template'!$AW:$AW,'RC Template'!$B:$B,$A174,'RC Template'!$C:$C,T$6),T173*$E$3)</f>
        <v>0.69928105948869357</v>
      </c>
      <c r="U174" s="115">
        <f ca="1">MAX(SUMIFS('RC Template'!$AW:$AW,'RC Template'!$B:$B,$A174,'RC Template'!$C:$C,U$6),U173*$E$3)</f>
        <v>27.148007908449852</v>
      </c>
      <c r="V174" s="115">
        <f ca="1">MAX(SUMIFS('RC Template'!$AW:$AW,'RC Template'!$B:$B,$A174,'RC Template'!$C:$C,V$6),V173*$E$3)</f>
        <v>8.8019849119477538</v>
      </c>
      <c r="W174" s="115">
        <f ca="1">MAX(SUMIFS('RC Template'!$AW:$AW,'RC Template'!$B:$B,$A174,'RC Template'!$C:$C,W$6),W173*$E$3)</f>
        <v>0.95892618837930943</v>
      </c>
      <c r="X174" s="115">
        <f ca="1">MAX(SUMIFS('RC Template'!$AW:$AW,'RC Template'!$B:$B,$A174,'RC Template'!$C:$C,X$6),X173*$E$3)</f>
        <v>32.375320945253918</v>
      </c>
      <c r="Y174" s="115">
        <f ca="1">MAX(SUMIFS('RC Template'!$AW:$AW,'RC Template'!$B:$B,$A174,'RC Template'!$C:$C,Y$6),Y173*$E$3)</f>
        <v>9.6953083425622584</v>
      </c>
      <c r="Z174" s="115">
        <f ca="1">MAX(SUMIFS('RC Template'!$AW:$AW,'RC Template'!$B:$B,$A174,'RC Template'!$C:$C,Z$6),Z173*$E$3)</f>
        <v>10.944255415053687</v>
      </c>
      <c r="AA174" s="115">
        <f ca="1">MAX(SUMIFS('RC Template'!$AW:$AW,'RC Template'!$B:$B,$A174,'RC Template'!$C:$C,AA$6),AA173*$E$3)</f>
        <v>0</v>
      </c>
      <c r="AB174" s="115">
        <f ca="1">MAX(SUMIFS('RC Template'!$AW:$AW,'RC Template'!$B:$B,$A174,'RC Template'!$C:$C,AB$6),AB173*$E$3)</f>
        <v>0</v>
      </c>
      <c r="AC174" s="115">
        <f ca="1">MAX(SUMIFS('RC Template'!$AW:$AW,'RC Template'!$B:$B,$A174,'RC Template'!$C:$C,AC$6),AC173*$E$3)</f>
        <v>0</v>
      </c>
      <c r="AD174" s="115">
        <f ca="1">MAX(SUMIFS('RC Template'!$AW:$AW,'RC Template'!$B:$B,$A174,'RC Template'!$C:$C,AD$6),AD173*$E$3)</f>
        <v>0</v>
      </c>
    </row>
    <row r="175" spans="17:30" x14ac:dyDescent="0.3">
      <c r="Q175" s="115">
        <f ca="1">MAX(SUMIFS('RC Template'!$AW:$AW,'RC Template'!$B:$B,$A175,'RC Template'!$C:$C,Q$6),Q174*$E$3)</f>
        <v>65.58911682273984</v>
      </c>
      <c r="R175" s="115">
        <f ca="1">MAX(SUMIFS('RC Template'!$AW:$AW,'RC Template'!$B:$B,$A175,'RC Template'!$C:$C,R$6),R174*$E$3)</f>
        <v>5.4892771660571817</v>
      </c>
      <c r="S175" s="115">
        <f ca="1">MAX(SUMIFS('RC Template'!$AW:$AW,'RC Template'!$B:$B,$A175,'RC Template'!$C:$C,S$6),S174*$E$3)</f>
        <v>6.976243481113019</v>
      </c>
      <c r="T175" s="115">
        <f ca="1">MAX(SUMIFS('RC Template'!$AW:$AW,'RC Template'!$B:$B,$A175,'RC Template'!$C:$C,T$6),T174*$E$3)</f>
        <v>0.68179903300147626</v>
      </c>
      <c r="U175" s="115">
        <f ca="1">MAX(SUMIFS('RC Template'!$AW:$AW,'RC Template'!$B:$B,$A175,'RC Template'!$C:$C,U$6),U174*$E$3)</f>
        <v>26.469307710738605</v>
      </c>
      <c r="V175" s="115">
        <f ca="1">MAX(SUMIFS('RC Template'!$AW:$AW,'RC Template'!$B:$B,$A175,'RC Template'!$C:$C,V$6),V174*$E$3)</f>
        <v>8.5819352891490599</v>
      </c>
      <c r="W175" s="115">
        <f ca="1">MAX(SUMIFS('RC Template'!$AW:$AW,'RC Template'!$B:$B,$A175,'RC Template'!$C:$C,W$6),W174*$E$3)</f>
        <v>0.93495303366982663</v>
      </c>
      <c r="X175" s="115">
        <f ca="1">MAX(SUMIFS('RC Template'!$AW:$AW,'RC Template'!$B:$B,$A175,'RC Template'!$C:$C,X$6),X174*$E$3)</f>
        <v>31.56593792162257</v>
      </c>
      <c r="Y175" s="115">
        <f ca="1">MAX(SUMIFS('RC Template'!$AW:$AW,'RC Template'!$B:$B,$A175,'RC Template'!$C:$C,Y$6),Y174*$E$3)</f>
        <v>9.452925633998202</v>
      </c>
      <c r="Z175" s="115">
        <f ca="1">MAX(SUMIFS('RC Template'!$AW:$AW,'RC Template'!$B:$B,$A175,'RC Template'!$C:$C,Z$6),Z174*$E$3)</f>
        <v>10.670649029677344</v>
      </c>
      <c r="AA175" s="115">
        <f ca="1">MAX(SUMIFS('RC Template'!$AW:$AW,'RC Template'!$B:$B,$A175,'RC Template'!$C:$C,AA$6),AA174*$E$3)</f>
        <v>0</v>
      </c>
      <c r="AB175" s="115">
        <f ca="1">MAX(SUMIFS('RC Template'!$AW:$AW,'RC Template'!$B:$B,$A175,'RC Template'!$C:$C,AB$6),AB174*$E$3)</f>
        <v>0</v>
      </c>
      <c r="AC175" s="115">
        <f ca="1">MAX(SUMIFS('RC Template'!$AW:$AW,'RC Template'!$B:$B,$A175,'RC Template'!$C:$C,AC$6),AC174*$E$3)</f>
        <v>0</v>
      </c>
      <c r="AD175" s="115">
        <f ca="1">MAX(SUMIFS('RC Template'!$AW:$AW,'RC Template'!$B:$B,$A175,'RC Template'!$C:$C,AD$6),AD174*$E$3)</f>
        <v>0</v>
      </c>
    </row>
    <row r="176" spans="17:30" x14ac:dyDescent="0.3">
      <c r="Q176" s="115">
        <f ca="1">MAX(SUMIFS('RC Template'!$AW:$AW,'RC Template'!$B:$B,$A176,'RC Template'!$C:$C,Q$6),Q175*$E$3)</f>
        <v>63.949388902171343</v>
      </c>
      <c r="R176" s="115">
        <f ca="1">MAX(SUMIFS('RC Template'!$AW:$AW,'RC Template'!$B:$B,$A176,'RC Template'!$C:$C,R$6),R175*$E$3)</f>
        <v>5.3520452369057523</v>
      </c>
      <c r="S176" s="115">
        <f ca="1">MAX(SUMIFS('RC Template'!$AW:$AW,'RC Template'!$B:$B,$A176,'RC Template'!$C:$C,S$6),S175*$E$3)</f>
        <v>6.8018373940851937</v>
      </c>
      <c r="T176" s="115">
        <f ca="1">MAX(SUMIFS('RC Template'!$AW:$AW,'RC Template'!$B:$B,$A176,'RC Template'!$C:$C,T$6),T175*$E$3)</f>
        <v>0.66475405717643932</v>
      </c>
      <c r="U176" s="115">
        <f ca="1">MAX(SUMIFS('RC Template'!$AW:$AW,'RC Template'!$B:$B,$A176,'RC Template'!$C:$C,U$6),U175*$E$3)</f>
        <v>25.807575017970137</v>
      </c>
      <c r="V176" s="115">
        <f ca="1">MAX(SUMIFS('RC Template'!$AW:$AW,'RC Template'!$B:$B,$A176,'RC Template'!$C:$C,V$6),V175*$E$3)</f>
        <v>8.3673869069203324</v>
      </c>
      <c r="W176" s="115">
        <f ca="1">MAX(SUMIFS('RC Template'!$AW:$AW,'RC Template'!$B:$B,$A176,'RC Template'!$C:$C,W$6),W175*$E$3)</f>
        <v>0.911579207828081</v>
      </c>
      <c r="X176" s="115">
        <f ca="1">MAX(SUMIFS('RC Template'!$AW:$AW,'RC Template'!$B:$B,$A176,'RC Template'!$C:$C,X$6),X175*$E$3)</f>
        <v>30.776789473582006</v>
      </c>
      <c r="Y176" s="115">
        <f ca="1">MAX(SUMIFS('RC Template'!$AW:$AW,'RC Template'!$B:$B,$A176,'RC Template'!$C:$C,Y$6),Y175*$E$3)</f>
        <v>9.2166024931482475</v>
      </c>
      <c r="Z176" s="115">
        <f ca="1">MAX(SUMIFS('RC Template'!$AW:$AW,'RC Template'!$B:$B,$A176,'RC Template'!$C:$C,Z$6),Z175*$E$3)</f>
        <v>10.40388280393541</v>
      </c>
      <c r="AA176" s="115">
        <f ca="1">MAX(SUMIFS('RC Template'!$AW:$AW,'RC Template'!$B:$B,$A176,'RC Template'!$C:$C,AA$6),AA175*$E$3)</f>
        <v>0</v>
      </c>
      <c r="AB176" s="115">
        <f ca="1">MAX(SUMIFS('RC Template'!$AW:$AW,'RC Template'!$B:$B,$A176,'RC Template'!$C:$C,AB$6),AB175*$E$3)</f>
        <v>0</v>
      </c>
      <c r="AC176" s="115">
        <f ca="1">MAX(SUMIFS('RC Template'!$AW:$AW,'RC Template'!$B:$B,$A176,'RC Template'!$C:$C,AC$6),AC175*$E$3)</f>
        <v>0</v>
      </c>
      <c r="AD176" s="115">
        <f ca="1">MAX(SUMIFS('RC Template'!$AW:$AW,'RC Template'!$B:$B,$A176,'RC Template'!$C:$C,AD$6),AD175*$E$3)</f>
        <v>0</v>
      </c>
    </row>
  </sheetData>
  <mergeCells count="5">
    <mergeCell ref="A2:D2"/>
    <mergeCell ref="A3:D3"/>
    <mergeCell ref="E3:F3"/>
    <mergeCell ref="E2:F2"/>
    <mergeCell ref="A1:F1"/>
  </mergeCell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2262EB-73C7-49B3-81EC-7915DE685DCF}">
  <sheetPr codeName="Sheet4">
    <tabColor theme="5" tint="-0.249977111117893"/>
  </sheetPr>
  <dimension ref="A1:T50"/>
  <sheetViews>
    <sheetView topLeftCell="B1" zoomScale="102" workbookViewId="0">
      <selection activeCell="I6" sqref="I6"/>
    </sheetView>
  </sheetViews>
  <sheetFormatPr defaultRowHeight="14.4" x14ac:dyDescent="0.3"/>
  <cols>
    <col min="2" max="2" width="13.33203125" customWidth="1"/>
    <col min="5" max="5" width="16.88671875" customWidth="1"/>
    <col min="7" max="7" width="8.88671875" customWidth="1"/>
    <col min="8" max="8" width="9.77734375" bestFit="1" customWidth="1"/>
    <col min="9" max="9" width="9.44140625" bestFit="1" customWidth="1"/>
    <col min="10" max="10" width="9.77734375" bestFit="1" customWidth="1"/>
    <col min="11" max="11" width="8.88671875" customWidth="1"/>
    <col min="12" max="12" width="16.77734375" bestFit="1" customWidth="1"/>
    <col min="13" max="13" width="16.77734375" customWidth="1"/>
    <col min="15" max="15" width="17.33203125" bestFit="1" customWidth="1"/>
    <col min="16" max="16" width="10.88671875" bestFit="1" customWidth="1"/>
    <col min="17" max="17" width="10.77734375" customWidth="1"/>
    <col min="20" max="20" width="10.88671875" bestFit="1" customWidth="1"/>
  </cols>
  <sheetData>
    <row r="1" spans="1:20" ht="15" thickBot="1" x14ac:dyDescent="0.35"/>
    <row r="2" spans="1:20" ht="18" thickBot="1" x14ac:dyDescent="0.4">
      <c r="A2" s="167" t="s">
        <v>34</v>
      </c>
      <c r="B2" s="168"/>
      <c r="D2" s="167" t="s">
        <v>37</v>
      </c>
      <c r="E2" s="168"/>
      <c r="G2" s="167" t="s">
        <v>38</v>
      </c>
      <c r="H2" s="168"/>
      <c r="J2" s="12" t="s">
        <v>41</v>
      </c>
      <c r="L2" s="167" t="s">
        <v>70</v>
      </c>
      <c r="M2" s="168"/>
      <c r="O2" s="167" t="s">
        <v>131</v>
      </c>
      <c r="P2" s="169"/>
      <c r="Q2" s="168"/>
      <c r="S2" s="167" t="s">
        <v>173</v>
      </c>
      <c r="T2" s="168"/>
    </row>
    <row r="3" spans="1:20" ht="15" thickBot="1" x14ac:dyDescent="0.35">
      <c r="A3" s="7" t="s">
        <v>32</v>
      </c>
      <c r="B3" s="8" t="s">
        <v>33</v>
      </c>
      <c r="D3" s="7" t="s">
        <v>35</v>
      </c>
      <c r="E3" s="8" t="s">
        <v>36</v>
      </c>
      <c r="G3" s="7" t="s">
        <v>32</v>
      </c>
      <c r="H3" s="8" t="s">
        <v>33</v>
      </c>
      <c r="J3" s="13" t="s">
        <v>32</v>
      </c>
      <c r="L3" s="94" t="s">
        <v>69</v>
      </c>
      <c r="M3" s="96" t="s">
        <v>178</v>
      </c>
      <c r="O3" s="94" t="s">
        <v>130</v>
      </c>
      <c r="P3" s="95" t="s">
        <v>148</v>
      </c>
      <c r="Q3" s="96" t="s">
        <v>149</v>
      </c>
      <c r="S3" s="7" t="s">
        <v>168</v>
      </c>
      <c r="T3" s="8" t="s">
        <v>171</v>
      </c>
    </row>
    <row r="4" spans="1:20" x14ac:dyDescent="0.3">
      <c r="A4" s="2" t="s">
        <v>27</v>
      </c>
      <c r="B4" s="9">
        <f>0.9</f>
        <v>0.9</v>
      </c>
      <c r="D4" s="2" t="s">
        <v>0</v>
      </c>
      <c r="E4" s="11">
        <v>10</v>
      </c>
      <c r="G4" s="2" t="s">
        <v>18</v>
      </c>
      <c r="H4" s="9">
        <v>1</v>
      </c>
      <c r="J4" s="14" t="s">
        <v>18</v>
      </c>
      <c r="L4" s="90">
        <f>'Rock Climbing Log'!B8</f>
        <v>43106</v>
      </c>
      <c r="M4" s="9">
        <f ca="1">SUMIFS('RC Template'!$AW:$AW,'RC Template'!$B:$B,'RC Lookup'!$L4)</f>
        <v>265.64832845517321</v>
      </c>
      <c r="O4" s="90" t="str">
        <f>'Rock Climbing Log'!C8</f>
        <v>Lester</v>
      </c>
      <c r="P4" s="93" t="str">
        <f t="array" aca="1" ref="P4" ca="1">_xlfn.IFNA(IF($Q4="None",VLOOKUP(SUMPRODUCT(LARGE(('RC Template'!$C$8:$C$157=O4)*'RC Template'!$A$8:$A$157,1)),'RC Template'!$A$7:$BD$157,MATCH("Tier",'RC Template'!$A$7:$BD$7,FALSE),FALSE),$Q4)," ")</f>
        <v>T5</v>
      </c>
      <c r="Q4" s="3" t="s">
        <v>137</v>
      </c>
      <c r="S4" s="2" t="s">
        <v>169</v>
      </c>
      <c r="T4" s="72">
        <v>43153</v>
      </c>
    </row>
    <row r="5" spans="1:20" ht="15" thickBot="1" x14ac:dyDescent="0.35">
      <c r="A5" s="2" t="s">
        <v>28</v>
      </c>
      <c r="B5" s="9">
        <f>B4*0.9</f>
        <v>0.81</v>
      </c>
      <c r="D5" s="2" t="s">
        <v>1</v>
      </c>
      <c r="E5" s="11">
        <f>E4*(1.2+ROW()/100)</f>
        <v>12.5</v>
      </c>
      <c r="G5" s="4" t="s">
        <v>23</v>
      </c>
      <c r="H5" s="10">
        <v>0.5</v>
      </c>
      <c r="J5" s="14" t="s">
        <v>27</v>
      </c>
      <c r="L5" s="90">
        <f t="array" ref="L5">IF(INDEX('Rock Climbing Log'!$B$8:$B$157,MATCH(0,COUNTIF($L$4:$L4,'Rock Climbing Log'!$B$8:$B$157),0))=0," ",INDEX('Rock Climbing Log'!$B$8:$B$157,MATCH(0,COUNTIF($L$4:$L4,'Rock Climbing Log'!$B$8:$B$157),0)))</f>
        <v>43108</v>
      </c>
      <c r="M5" s="9">
        <f ca="1">SUMIFS('RC Template'!$AW:$AW,'RC Template'!$B:$B,'RC Lookup'!$L5)</f>
        <v>140.73609861360006</v>
      </c>
      <c r="O5" s="90" t="str">
        <f t="array" ref="O5">IF(INDEX('Rock Climbing Log'!$C$8:$C$157,MATCH(0,COUNTIF($O$4:$O4,'Rock Climbing Log'!$C$8:$C$157),0))=0," ",INDEX('Rock Climbing Log'!$C$8:$C$157,MATCH(0,COUNTIF($O$4:$O4,'Rock Climbing Log'!$C$8:$C$157),0)))</f>
        <v>Jan</v>
      </c>
      <c r="P5" s="93" t="str">
        <f t="array" aca="1" ref="P5" ca="1">_xlfn.IFNA(IF($Q5="None",VLOOKUP(SUMPRODUCT(LARGE(('RC Template'!$C$8:$C$157=O5)*'RC Template'!$A$8:$A$157,1)),'RC Template'!$A$7:$BD$157,MATCH("Tier",'RC Template'!$A$7:$BD$7,FALSE),FALSE),$Q5)," ")</f>
        <v>T3</v>
      </c>
      <c r="Q5" s="3" t="s">
        <v>137</v>
      </c>
      <c r="S5" s="2" t="s">
        <v>170</v>
      </c>
      <c r="T5" s="72">
        <v>43153</v>
      </c>
    </row>
    <row r="6" spans="1:20" x14ac:dyDescent="0.3">
      <c r="A6" s="2" t="s">
        <v>26</v>
      </c>
      <c r="B6" s="9">
        <f t="shared" ref="B6:B9" si="0">B5*0.9</f>
        <v>0.72900000000000009</v>
      </c>
      <c r="D6" s="2" t="s">
        <v>2</v>
      </c>
      <c r="E6" s="11">
        <f t="shared" ref="E6:E7" si="1">E5*(1.2+ROW()/100)</f>
        <v>15.75</v>
      </c>
      <c r="J6" s="14" t="s">
        <v>28</v>
      </c>
      <c r="L6" s="90">
        <f t="array" ref="L6">IF(INDEX('Rock Climbing Log'!$B$8:$B$157,MATCH(0,COUNTIF($L$4:$L5,'Rock Climbing Log'!$B$8:$B$157),0))=0," ",INDEX('Rock Climbing Log'!$B$8:$B$157,MATCH(0,COUNTIF($L$4:$L5,'Rock Climbing Log'!$B$8:$B$157),0)))</f>
        <v>43111</v>
      </c>
      <c r="M6" s="9">
        <f ca="1">SUMIFS('RC Template'!$AW:$AW,'RC Template'!$B:$B,'RC Lookup'!$L6)</f>
        <v>215.00676592204925</v>
      </c>
      <c r="O6" s="90" t="str">
        <f t="array" ref="O6">IF(INDEX('Rock Climbing Log'!$C$8:$C$157,MATCH(0,COUNTIF($O$4:$O5,'Rock Climbing Log'!$C$8:$C$157),0))=0," ",INDEX('Rock Climbing Log'!$C$8:$C$157,MATCH(0,COUNTIF($O$4:$O5,'Rock Climbing Log'!$C$8:$C$157),0)))</f>
        <v>Sameena</v>
      </c>
      <c r="P6" s="93" t="str">
        <f t="array" aca="1" ref="P6" ca="1">_xlfn.IFNA(IF($Q6="None",VLOOKUP(SUMPRODUCT(LARGE(('RC Template'!$C$8:$C$157=O6)*'RC Template'!$A$8:$A$157,1)),'RC Template'!$A$7:$BD$157,MATCH("Tier",'RC Template'!$A$7:$BD$7,FALSE),FALSE),$Q6)," ")</f>
        <v>T4</v>
      </c>
      <c r="Q6" s="3" t="s">
        <v>137</v>
      </c>
      <c r="S6" s="2" t="s">
        <v>172</v>
      </c>
      <c r="T6" s="72">
        <v>43153</v>
      </c>
    </row>
    <row r="7" spans="1:20" x14ac:dyDescent="0.3">
      <c r="A7" s="2" t="s">
        <v>29</v>
      </c>
      <c r="B7" s="9">
        <f t="shared" si="0"/>
        <v>0.65610000000000013</v>
      </c>
      <c r="D7" s="2" t="s">
        <v>3</v>
      </c>
      <c r="E7" s="11">
        <f t="shared" si="1"/>
        <v>20.002500000000001</v>
      </c>
      <c r="J7" s="14" t="s">
        <v>26</v>
      </c>
      <c r="L7" s="90">
        <f t="array" ref="L7">IF(INDEX('Rock Climbing Log'!$B$8:$B$157,MATCH(0,COUNTIF($L$4:$L6,'Rock Climbing Log'!$B$8:$B$157),0))=0," ",INDEX('Rock Climbing Log'!$B$8:$B$157,MATCH(0,COUNTIF($L$4:$L6,'Rock Climbing Log'!$B$8:$B$157),0)))</f>
        <v>43113</v>
      </c>
      <c r="M7" s="9">
        <f ca="1">SUMIFS('RC Template'!$AW:$AW,'RC Template'!$B:$B,'RC Lookup'!$L7)</f>
        <v>199.08083039092159</v>
      </c>
      <c r="O7" s="90" t="str">
        <f t="array" ref="O7">IF(INDEX('Rock Climbing Log'!$C$8:$C$157,MATCH(0,COUNTIF($O$4:$O6,'Rock Climbing Log'!$C$8:$C$157),0))=0," ",INDEX('Rock Climbing Log'!$C$8:$C$157,MATCH(0,COUNTIF($O$4:$O6,'Rock Climbing Log'!$C$8:$C$157),0)))</f>
        <v>Mark Guste</v>
      </c>
      <c r="P7" s="93" t="str">
        <f t="array" aca="1" ref="P7" ca="1">_xlfn.IFNA(IF($Q7="None",VLOOKUP(SUMPRODUCT(LARGE(('RC Template'!$C$8:$C$157=O7)*'RC Template'!$A$8:$A$157,1)),'RC Template'!$A$7:$BD$157,MATCH("Tier",'RC Template'!$A$7:$BD$7,FALSE),FALSE),$Q7)," ")</f>
        <v>T1</v>
      </c>
      <c r="Q7" s="3" t="s">
        <v>137</v>
      </c>
      <c r="S7" s="2"/>
      <c r="T7" s="3"/>
    </row>
    <row r="8" spans="1:20" x14ac:dyDescent="0.3">
      <c r="A8" s="2" t="s">
        <v>30</v>
      </c>
      <c r="B8" s="9">
        <f t="shared" si="0"/>
        <v>0.59049000000000018</v>
      </c>
      <c r="D8" s="2" t="s">
        <v>4</v>
      </c>
      <c r="E8" s="11">
        <f>E7*(1.1+ROW()*1.2/100)</f>
        <v>23.922990000000006</v>
      </c>
      <c r="J8" s="14" t="s">
        <v>29</v>
      </c>
      <c r="L8" s="90">
        <f t="array" ref="L8">IF(INDEX('Rock Climbing Log'!$B$8:$B$157,MATCH(0,COUNTIF($L$4:$L7,'Rock Climbing Log'!$B$8:$B$157),0))=0," ",INDEX('Rock Climbing Log'!$B$8:$B$157,MATCH(0,COUNTIF($L$4:$L7,'Rock Climbing Log'!$B$8:$B$157),0)))</f>
        <v>43116</v>
      </c>
      <c r="M8" s="9">
        <f ca="1">SUMIFS('RC Template'!$AW:$AW,'RC Template'!$B:$B,'RC Lookup'!$L8)</f>
        <v>114.43973574240002</v>
      </c>
      <c r="O8" s="90" t="str">
        <f t="array" ref="O8">IF(INDEX('Rock Climbing Log'!$C$8:$C$157,MATCH(0,COUNTIF($O$4:$O7,'Rock Climbing Log'!$C$8:$C$157),0))=0," ",INDEX('Rock Climbing Log'!$C$8:$C$157,MATCH(0,COUNTIF($O$4:$O7,'Rock Climbing Log'!$C$8:$C$157),0)))</f>
        <v>Edwin</v>
      </c>
      <c r="P8" s="93" t="str">
        <f t="array" aca="1" ref="P8" ca="1">_xlfn.IFNA(IF($Q8="None",VLOOKUP(SUMPRODUCT(LARGE(('RC Template'!$C$8:$C$157=O8)*'RC Template'!$A$8:$A$157,1)),'RC Template'!$A$7:$BD$157,MATCH("Tier",'RC Template'!$A$7:$BD$7,FALSE),FALSE),$Q8)," ")</f>
        <v>T3</v>
      </c>
      <c r="Q8" s="3" t="s">
        <v>137</v>
      </c>
      <c r="S8" s="2"/>
      <c r="T8" s="3"/>
    </row>
    <row r="9" spans="1:20" ht="15" thickBot="1" x14ac:dyDescent="0.35">
      <c r="A9" s="4" t="s">
        <v>31</v>
      </c>
      <c r="B9" s="10">
        <f t="shared" si="0"/>
        <v>0.53144100000000016</v>
      </c>
      <c r="D9" s="2" t="s">
        <v>5</v>
      </c>
      <c r="E9" s="11">
        <f t="shared" ref="E9:E21" si="2">E8*(1.1+ROW()*1.2/100)</f>
        <v>28.898971920000012</v>
      </c>
      <c r="J9" s="14" t="s">
        <v>30</v>
      </c>
      <c r="L9" s="90">
        <f t="array" ref="L9">IF(INDEX('Rock Climbing Log'!$B$8:$B$157,MATCH(0,COUNTIF($L$4:$L8,'Rock Climbing Log'!$B$8:$B$157),0))=0," ",INDEX('Rock Climbing Log'!$B$8:$B$157,MATCH(0,COUNTIF($L$4:$L8,'Rock Climbing Log'!$B$8:$B$157),0)))</f>
        <v>43117</v>
      </c>
      <c r="M9" s="9">
        <f ca="1">SUMIFS('RC Template'!$AW:$AW,'RC Template'!$B:$B,'RC Lookup'!$L9)</f>
        <v>157.15918816810114</v>
      </c>
      <c r="O9" s="90" t="str">
        <f t="array" ref="O9">IF(INDEX('Rock Climbing Log'!$C$8:$C$157,MATCH(0,COUNTIF($O$4:$O8,'Rock Climbing Log'!$C$8:$C$157),0))=0," ",INDEX('Rock Climbing Log'!$C$8:$C$157,MATCH(0,COUNTIF($O$4:$O8,'Rock Climbing Log'!$C$8:$C$157),0)))</f>
        <v>Michelle</v>
      </c>
      <c r="P9" s="93" t="str">
        <f t="array" aca="1" ref="P9" ca="1">_xlfn.IFNA(IF($Q9="None",VLOOKUP(SUMPRODUCT(LARGE(('RC Template'!$C$8:$C$157=O9)*'RC Template'!$A$8:$A$157,1)),'RC Template'!$A$7:$BD$157,MATCH("Tier",'RC Template'!$A$7:$BD$7,FALSE),FALSE),$Q9)," ")</f>
        <v>T2</v>
      </c>
      <c r="Q9" s="3" t="s">
        <v>137</v>
      </c>
      <c r="S9" s="2"/>
      <c r="T9" s="3"/>
    </row>
    <row r="10" spans="1:20" ht="15" thickBot="1" x14ac:dyDescent="0.35">
      <c r="D10" s="2" t="s">
        <v>6</v>
      </c>
      <c r="E10" s="11">
        <f t="shared" si="2"/>
        <v>35.256745742400021</v>
      </c>
      <c r="J10" s="14" t="s">
        <v>31</v>
      </c>
      <c r="L10" s="90">
        <f t="array" ref="L10">IF(INDEX('Rock Climbing Log'!$B$8:$B$157,MATCH(0,COUNTIF($L$4:$L9,'Rock Climbing Log'!$B$8:$B$157),0))=0," ",INDEX('Rock Climbing Log'!$B$8:$B$157,MATCH(0,COUNTIF($L$4:$L9,'Rock Climbing Log'!$B$8:$B$157),0)))</f>
        <v>43119</v>
      </c>
      <c r="M10" s="9">
        <f ca="1">SUMIFS('RC Template'!$AW:$AW,'RC Template'!$B:$B,'RC Lookup'!$L10)</f>
        <v>157.15918816810114</v>
      </c>
      <c r="O10" s="90" t="str">
        <f t="array" ref="O10">IF(INDEX('Rock Climbing Log'!$C$8:$C$157,MATCH(0,COUNTIF($O$4:$O9,'Rock Climbing Log'!$C$8:$C$157),0))=0," ",INDEX('Rock Climbing Log'!$C$8:$C$157,MATCH(0,COUNTIF($O$4:$O9,'Rock Climbing Log'!$C$8:$C$157),0)))</f>
        <v>Kenneth Bautista</v>
      </c>
      <c r="P10" s="93" t="str">
        <f t="array" aca="1" ref="P10" ca="1">_xlfn.IFNA(IF($Q10="None",VLOOKUP(SUMPRODUCT(LARGE(('RC Template'!$C$8:$C$157=O10)*'RC Template'!$A$8:$A$157,1)),'RC Template'!$A$7:$BD$157,MATCH("Tier",'RC Template'!$A$7:$BD$7,FALSE),FALSE),$Q10)," ")</f>
        <v>T1</v>
      </c>
      <c r="Q10" s="3" t="s">
        <v>137</v>
      </c>
      <c r="S10" s="2"/>
      <c r="T10" s="3"/>
    </row>
    <row r="11" spans="1:20" ht="18" thickBot="1" x14ac:dyDescent="0.4">
      <c r="A11" s="167" t="s">
        <v>191</v>
      </c>
      <c r="B11" s="168"/>
      <c r="D11" s="2" t="s">
        <v>7</v>
      </c>
      <c r="E11" s="11">
        <f t="shared" si="2"/>
        <v>43.436310754636835</v>
      </c>
      <c r="J11" s="15" t="s">
        <v>23</v>
      </c>
      <c r="L11" s="90">
        <f t="array" ref="L11">IF(INDEX('Rock Climbing Log'!$B$8:$B$157,MATCH(0,COUNTIF($L$4:$L10,'Rock Climbing Log'!$B$8:$B$157),0))=0," ",INDEX('Rock Climbing Log'!$B$8:$B$157,MATCH(0,COUNTIF($L$4:$L10,'Rock Climbing Log'!$B$8:$B$157),0)))</f>
        <v>43121</v>
      </c>
      <c r="M11" s="9">
        <f ca="1">SUMIFS('RC Template'!$AW:$AW,'RC Template'!$B:$B,'RC Lookup'!$L11)</f>
        <v>208.49208943626581</v>
      </c>
      <c r="O11" s="90" t="str">
        <f t="array" ref="O11">IF(INDEX('Rock Climbing Log'!$C$8:$C$157,MATCH(0,COUNTIF($O$4:$O10,'Rock Climbing Log'!$C$8:$C$157),0))=0," ",INDEX('Rock Climbing Log'!$C$8:$C$157,MATCH(0,COUNTIF($O$4:$O10,'Rock Climbing Log'!$C$8:$C$157),0)))</f>
        <v>Angel</v>
      </c>
      <c r="P11" s="93" t="str">
        <f t="array" ref="P11">_xlfn.IFNA(IF($Q11="None",VLOOKUP(SUMPRODUCT(LARGE(('RC Template'!$C$8:$C$157=O11)*'RC Template'!$A$8:$A$157,1)),'RC Template'!$A$7:$BD$157,MATCH("Tier",'RC Template'!$A$7:$BD$7,FALSE),FALSE),$Q11)," ")</f>
        <v>T1</v>
      </c>
      <c r="Q11" s="3" t="s">
        <v>133</v>
      </c>
      <c r="S11" s="2"/>
      <c r="T11" s="3"/>
    </row>
    <row r="12" spans="1:20" ht="15" thickBot="1" x14ac:dyDescent="0.35">
      <c r="A12" s="7" t="s">
        <v>190</v>
      </c>
      <c r="B12" s="8" t="s">
        <v>33</v>
      </c>
      <c r="D12" s="2" t="s">
        <v>8</v>
      </c>
      <c r="E12" s="11">
        <f t="shared" si="2"/>
        <v>54.034770578768224</v>
      </c>
      <c r="L12" s="90">
        <f t="array" ref="L12">IF(INDEX('Rock Climbing Log'!$B$8:$B$157,MATCH(0,COUNTIF($L$4:$L11,'Rock Climbing Log'!$B$8:$B$157),0))=0," ",INDEX('Rock Climbing Log'!$B$8:$B$157,MATCH(0,COUNTIF($L$4:$L11,'Rock Climbing Log'!$B$8:$B$157),0)))</f>
        <v>43124</v>
      </c>
      <c r="M12" s="9">
        <f ca="1">SUMIFS('RC Template'!$AW:$AW,'RC Template'!$B:$B,'RC Lookup'!$L12)</f>
        <v>332.37516886499355</v>
      </c>
      <c r="O12" s="90" t="str">
        <f t="array" ref="O12">IF(INDEX('Rock Climbing Log'!$C$8:$C$157,MATCH(0,COUNTIF($O$4:$O11,'Rock Climbing Log'!$C$8:$C$157),0))=0," ",INDEX('Rock Climbing Log'!$C$8:$C$157,MATCH(0,COUNTIF($O$4:$O11,'Rock Climbing Log'!$C$8:$C$157),0)))</f>
        <v>Oz</v>
      </c>
      <c r="P12" s="93" t="str">
        <f t="array" aca="1" ref="P12" ca="1">_xlfn.IFNA(IF($Q12="None",VLOOKUP(SUMPRODUCT(LARGE(('RC Template'!$C$8:$C$157=O12)*'RC Template'!$A$8:$A$157,1)),'RC Template'!$A$7:$BD$157,MATCH("Tier",'RC Template'!$A$7:$BD$7,FALSE),FALSE),$Q12)," ")</f>
        <v>T4</v>
      </c>
      <c r="Q12" s="3" t="s">
        <v>137</v>
      </c>
      <c r="S12" s="2"/>
      <c r="T12" s="3"/>
    </row>
    <row r="13" spans="1:20" ht="18" thickBot="1" x14ac:dyDescent="0.4">
      <c r="A13" s="125">
        <v>1</v>
      </c>
      <c r="B13" s="9">
        <v>1</v>
      </c>
      <c r="D13" s="2" t="s">
        <v>9</v>
      </c>
      <c r="E13" s="11">
        <f t="shared" si="2"/>
        <v>67.867671846932893</v>
      </c>
      <c r="G13" s="167" t="s">
        <v>129</v>
      </c>
      <c r="H13" s="169"/>
      <c r="I13" s="169"/>
      <c r="J13" s="168"/>
      <c r="L13" s="90">
        <f t="array" ref="L13">IF(INDEX('Rock Climbing Log'!$B$8:$B$157,MATCH(0,COUNTIF($L$4:$L12,'Rock Climbing Log'!$B$8:$B$157),0))=0," ",INDEX('Rock Climbing Log'!$B$8:$B$157,MATCH(0,COUNTIF($L$4:$L12,'Rock Climbing Log'!$B$8:$B$157),0)))</f>
        <v>43126</v>
      </c>
      <c r="M13" s="9">
        <f ca="1">SUMIFS('RC Template'!$AW:$AW,'RC Template'!$B:$B,'RC Lookup'!$L13)</f>
        <v>292.02316267951176</v>
      </c>
      <c r="O13" s="90" t="str">
        <f t="array" ref="O13">IF(INDEX('Rock Climbing Log'!$C$8:$C$157,MATCH(0,COUNTIF($O$4:$O12,'Rock Climbing Log'!$C$8:$C$157),0))=0," ",INDEX('Rock Climbing Log'!$C$8:$C$157,MATCH(0,COUNTIF($O$4:$O12,'Rock Climbing Log'!$C$8:$C$157),0)))</f>
        <v>Benjie</v>
      </c>
      <c r="P13" s="93" t="str">
        <f t="array" aca="1" ref="P13" ca="1">_xlfn.IFNA(IF($Q13="None",VLOOKUP(SUMPRODUCT(LARGE(('RC Template'!$C$8:$C$157=O13)*'RC Template'!$A$8:$A$157,1)),'RC Template'!$A$7:$BD$157,MATCH("Tier",'RC Template'!$A$7:$BD$7,FALSE),FALSE),$Q13)," ")</f>
        <v>T2</v>
      </c>
      <c r="Q13" s="3" t="s">
        <v>137</v>
      </c>
      <c r="S13" s="4"/>
      <c r="T13" s="5"/>
    </row>
    <row r="14" spans="1:20" ht="15" thickBot="1" x14ac:dyDescent="0.35">
      <c r="A14" s="125">
        <v>2</v>
      </c>
      <c r="B14" s="9">
        <f>B13*('RC Chart Data'!$E$3)</f>
        <v>0.97499999999999998</v>
      </c>
      <c r="D14" s="2" t="s">
        <v>10</v>
      </c>
      <c r="E14" s="11">
        <f t="shared" si="2"/>
        <v>86.056207901910909</v>
      </c>
      <c r="G14" s="94" t="s">
        <v>134</v>
      </c>
      <c r="H14" s="95" t="s">
        <v>32</v>
      </c>
      <c r="I14" s="95" t="s">
        <v>33</v>
      </c>
      <c r="J14" s="96" t="s">
        <v>136</v>
      </c>
      <c r="L14" s="90">
        <f t="array" ref="L14">IF(INDEX('Rock Climbing Log'!$B$8:$B$157,MATCH(0,COUNTIF($L$4:$L13,'Rock Climbing Log'!$B$8:$B$157),0))=0," ",INDEX('Rock Climbing Log'!$B$8:$B$157,MATCH(0,COUNTIF($L$4:$L13,'Rock Climbing Log'!$B$8:$B$157),0)))</f>
        <v>43128</v>
      </c>
      <c r="M14" s="9">
        <f ca="1">SUMIFS('RC Template'!$AW:$AW,'RC Template'!$B:$B,'RC Lookup'!$L14)</f>
        <v>570.67413784911673</v>
      </c>
      <c r="O14" s="90" t="str">
        <f t="array" ref="O14">IF(INDEX('Rock Climbing Log'!$C$8:$C$157,MATCH(0,COUNTIF($O$4:$O13,'Rock Climbing Log'!$C$8:$C$157),0))=0," ",INDEX('Rock Climbing Log'!$C$8:$C$157,MATCH(0,COUNTIF($O$4:$O13,'Rock Climbing Log'!$C$8:$C$157),0)))</f>
        <v xml:space="preserve"> </v>
      </c>
      <c r="P14" s="93" t="str">
        <f t="array" ref="P14">_xlfn.IFNA(IF($Q14="None",VLOOKUP(SUMPRODUCT(LARGE(('RC Template'!$C$8:$C$157=O14)*'RC Template'!$A$8:$A$157,1)),'RC Template'!$A$7:$BD$157,MATCH("Tier",'RC Template'!$A$7:$BD$7,FALSE),FALSE),$Q14)," ")</f>
        <v xml:space="preserve"> </v>
      </c>
      <c r="Q14" s="3" t="s">
        <v>137</v>
      </c>
    </row>
    <row r="15" spans="1:20" x14ac:dyDescent="0.3">
      <c r="A15" s="125">
        <v>3</v>
      </c>
      <c r="B15" s="9">
        <f>B14*('RC Chart Data'!$E$3)</f>
        <v>0.95062499999999994</v>
      </c>
      <c r="D15" s="2" t="s">
        <v>11</v>
      </c>
      <c r="E15" s="11">
        <f t="shared" si="2"/>
        <v>110.15194611444596</v>
      </c>
      <c r="G15" s="98">
        <v>0</v>
      </c>
      <c r="H15" s="93" t="s">
        <v>133</v>
      </c>
      <c r="I15" s="30">
        <f>100/(VLOOKUP($J16,$D$3:$E$18,2,FALSE)*3)</f>
        <v>1.666458359371745</v>
      </c>
      <c r="J15" s="97" t="s">
        <v>137</v>
      </c>
      <c r="K15" t="s">
        <v>150</v>
      </c>
      <c r="L15" s="90">
        <f t="array" ref="L15">IF(INDEX('Rock Climbing Log'!$B$8:$B$157,MATCH(0,COUNTIF($L$4:$L14,'Rock Climbing Log'!$B$8:$B$157),0))=0," ",INDEX('Rock Climbing Log'!$B$8:$B$157,MATCH(0,COUNTIF($L$4:$L14,'Rock Climbing Log'!$B$8:$B$157),0)))</f>
        <v>43130</v>
      </c>
      <c r="M15" s="9">
        <f ca="1">SUMIFS('RC Template'!$AW:$AW,'RC Template'!$B:$B,'RC Lookup'!$L15)</f>
        <v>228.52558066953725</v>
      </c>
      <c r="O15" s="90" t="str">
        <f t="array" ref="O15">IF(INDEX('Rock Climbing Log'!$C$8:$C$157,MATCH(0,COUNTIF($O$4:$O14,'Rock Climbing Log'!$C$8:$C$157),0))=0," ",INDEX('Rock Climbing Log'!$C$8:$C$157,MATCH(0,COUNTIF($O$4:$O14,'Rock Climbing Log'!$C$8:$C$157),0)))</f>
        <v xml:space="preserve"> </v>
      </c>
      <c r="P15" s="93" t="str">
        <f t="array" ref="P15">_xlfn.IFNA(IF($Q15="None",VLOOKUP(SUMPRODUCT(LARGE(('RC Template'!$C$8:$C$157=O15)*'RC Template'!$A$8:$A$157,1)),'RC Template'!$A$7:$BD$157,MATCH("Tier",'RC Template'!$A$7:$BD$7,FALSE),FALSE),$Q15)," ")</f>
        <v xml:space="preserve"> </v>
      </c>
      <c r="Q15" s="3" t="s">
        <v>137</v>
      </c>
    </row>
    <row r="16" spans="1:20" x14ac:dyDescent="0.3">
      <c r="A16" s="125">
        <v>4</v>
      </c>
      <c r="B16" s="9">
        <f>B15*('RC Chart Data'!$E$3)</f>
        <v>0.92685937499999993</v>
      </c>
      <c r="D16" s="2" t="s">
        <v>12</v>
      </c>
      <c r="E16" s="11">
        <f t="shared" si="2"/>
        <v>142.3163143798642</v>
      </c>
      <c r="G16" s="98">
        <f t="shared" ref="G16:G21" si="3">(VLOOKUP($J16,$D$3:$E$18,2,FALSE)*3)</f>
        <v>60.007500000000007</v>
      </c>
      <c r="H16" s="93" t="s">
        <v>126</v>
      </c>
      <c r="I16" s="30">
        <f>100/(VLOOKUP($J17,$D$3:$E$18,2,FALSE)*3)</f>
        <v>1.1534435697438927</v>
      </c>
      <c r="J16" s="97" t="s">
        <v>3</v>
      </c>
      <c r="L16" s="90">
        <f t="array" ref="L16">IF(INDEX('Rock Climbing Log'!$B$8:$B$157,MATCH(0,COUNTIF($L$4:$L15,'Rock Climbing Log'!$B$8:$B$157),0))=0," ",INDEX('Rock Climbing Log'!$B$8:$B$157,MATCH(0,COUNTIF($L$4:$L15,'Rock Climbing Log'!$B$8:$B$157),0)))</f>
        <v>43132</v>
      </c>
      <c r="M16" s="9">
        <f ca="1">SUMIFS('RC Template'!$AW:$AW,'RC Template'!$B:$B,'RC Lookup'!$L16)</f>
        <v>368.28128838446224</v>
      </c>
      <c r="O16" s="90" t="str">
        <f t="array" ref="O16">IF(INDEX('Rock Climbing Log'!$C$8:$C$157,MATCH(0,COUNTIF($O$4:$O15,'Rock Climbing Log'!$C$8:$C$157),0))=0," ",INDEX('Rock Climbing Log'!$C$8:$C$157,MATCH(0,COUNTIF($O$4:$O15,'Rock Climbing Log'!$C$8:$C$157),0)))</f>
        <v xml:space="preserve"> </v>
      </c>
      <c r="P16" s="93" t="str">
        <f t="array" ref="P16">_xlfn.IFNA(IF($Q16="None",VLOOKUP(SUMPRODUCT(LARGE(('RC Template'!$C$8:$C$157=O16)*'RC Template'!$A$8:$A$157,1)),'RC Template'!$A$7:$BD$157,MATCH("Tier",'RC Template'!$A$7:$BD$7,FALSE),FALSE),$Q16)," ")</f>
        <v xml:space="preserve"> </v>
      </c>
      <c r="Q16" s="3" t="s">
        <v>137</v>
      </c>
    </row>
    <row r="17" spans="1:19" x14ac:dyDescent="0.3">
      <c r="A17" s="125">
        <v>5</v>
      </c>
      <c r="B17" s="9">
        <f>B16*('RC Chart Data'!$E$3)</f>
        <v>0.90368789062499988</v>
      </c>
      <c r="D17" s="2" t="s">
        <v>13</v>
      </c>
      <c r="E17" s="11">
        <f t="shared" si="2"/>
        <v>185.58047395134292</v>
      </c>
      <c r="G17" s="98">
        <f t="shared" si="3"/>
        <v>86.696915760000039</v>
      </c>
      <c r="H17" s="93" t="s">
        <v>127</v>
      </c>
      <c r="I17" s="30">
        <f>100/(VLOOKUP($J18,$D$3:$E$18,2,FALSE)*3)</f>
        <v>0.76740710143701596</v>
      </c>
      <c r="J17" s="97" t="s">
        <v>5</v>
      </c>
      <c r="L17" s="90">
        <f t="array" ref="L17">IF(INDEX('Rock Climbing Log'!$B$8:$B$157,MATCH(0,COUNTIF($L$4:$L16,'Rock Climbing Log'!$B$8:$B$157),0))=0," ",INDEX('Rock Climbing Log'!$B$8:$B$157,MATCH(0,COUNTIF($L$4:$L16,'Rock Climbing Log'!$B$8:$B$157),0)))</f>
        <v>43134</v>
      </c>
      <c r="M17" s="9">
        <f ca="1">SUMIFS('RC Template'!$AW:$AW,'RC Template'!$B:$B,'RC Lookup'!$L17)</f>
        <v>467.98007412982111</v>
      </c>
      <c r="O17" s="90" t="str">
        <f t="array" ref="O17">IF(INDEX('Rock Climbing Log'!$C$8:$C$157,MATCH(0,COUNTIF($O$4:$O16,'Rock Climbing Log'!$C$8:$C$157),0))=0," ",INDEX('Rock Climbing Log'!$C$8:$C$157,MATCH(0,COUNTIF($O$4:$O16,'Rock Climbing Log'!$C$8:$C$157),0)))</f>
        <v xml:space="preserve"> </v>
      </c>
      <c r="P17" s="93" t="str">
        <f t="array" ref="P17">_xlfn.IFNA(IF($Q17="None",VLOOKUP(SUMPRODUCT(LARGE(('RC Template'!$C$8:$C$157=O17)*'RC Template'!$A$8:$A$157,1)),'RC Template'!$A$7:$BD$157,MATCH("Tier",'RC Template'!$A$7:$BD$7,FALSE),FALSE),$Q17)," ")</f>
        <v xml:space="preserve"> </v>
      </c>
      <c r="Q17" s="3" t="s">
        <v>137</v>
      </c>
    </row>
    <row r="18" spans="1:19" x14ac:dyDescent="0.3">
      <c r="A18" s="125">
        <v>6</v>
      </c>
      <c r="B18" s="9">
        <f>B17*('RC Chart Data'!$E$3)</f>
        <v>0.88109569335937488</v>
      </c>
      <c r="D18" s="2" t="s">
        <v>40</v>
      </c>
      <c r="E18" s="11">
        <f t="shared" si="2"/>
        <v>244.2239037199673</v>
      </c>
      <c r="G18" s="98">
        <f t="shared" si="3"/>
        <v>130.30893226391049</v>
      </c>
      <c r="H18" s="93" t="s">
        <v>128</v>
      </c>
      <c r="I18" s="30">
        <f>100/(VLOOKUP($J19,$D$3:$E$18,2,FALSE)*3)</f>
        <v>0.49115186105856889</v>
      </c>
      <c r="J18" s="97" t="s">
        <v>7</v>
      </c>
      <c r="K18" t="s">
        <v>151</v>
      </c>
      <c r="L18" s="90">
        <f t="array" ref="L18">IF(INDEX('Rock Climbing Log'!$B$8:$B$157,MATCH(0,COUNTIF($L$4:$L17,'Rock Climbing Log'!$B$8:$B$157),0))=0," ",INDEX('Rock Climbing Log'!$B$8:$B$157,MATCH(0,COUNTIF($L$4:$L17,'Rock Climbing Log'!$B$8:$B$157),0)))</f>
        <v>43137</v>
      </c>
      <c r="M18" s="9">
        <f ca="1">SUMIFS('RC Template'!$AW:$AW,'RC Template'!$B:$B,'RC Lookup'!$L18)</f>
        <v>595.1051290615743</v>
      </c>
      <c r="O18" s="90" t="str">
        <f t="array" ref="O18">IF(INDEX('Rock Climbing Log'!$C$8:$C$157,MATCH(0,COUNTIF($O$4:$O17,'Rock Climbing Log'!$C$8:$C$157),0))=0," ",INDEX('Rock Climbing Log'!$C$8:$C$157,MATCH(0,COUNTIF($O$4:$O17,'Rock Climbing Log'!$C$8:$C$157),0)))</f>
        <v xml:space="preserve"> </v>
      </c>
      <c r="P18" s="93" t="str">
        <f t="array" ref="P18">_xlfn.IFNA(IF($Q18="None",VLOOKUP(SUMPRODUCT(LARGE(('RC Template'!$C$8:$C$157=O18)*'RC Template'!$A$8:$A$157,1)),'RC Template'!$A$7:$BD$157,MATCH("Tier",'RC Template'!$A$7:$BD$7,FALSE),FALSE),$Q18)," ")</f>
        <v xml:space="preserve"> </v>
      </c>
      <c r="Q18" s="3" t="s">
        <v>137</v>
      </c>
    </row>
    <row r="19" spans="1:19" x14ac:dyDescent="0.3">
      <c r="A19" s="125">
        <v>7</v>
      </c>
      <c r="B19" s="9">
        <f>B18*('RC Chart Data'!$E$3)</f>
        <v>0.85906830102539045</v>
      </c>
      <c r="D19" s="2" t="s">
        <v>39</v>
      </c>
      <c r="E19" s="11">
        <f t="shared" si="2"/>
        <v>324.32934414011658</v>
      </c>
      <c r="G19" s="98">
        <f t="shared" si="3"/>
        <v>203.60301554079868</v>
      </c>
      <c r="H19" s="93" t="s">
        <v>135</v>
      </c>
      <c r="I19" s="30">
        <f>100/(VLOOKUP($J20,$D$3:$E$18,2,FALSE)*3)</f>
        <v>0.30261229609779733</v>
      </c>
      <c r="J19" s="97" t="s">
        <v>9</v>
      </c>
      <c r="L19" s="90">
        <f t="array" ref="L19">IF(INDEX('Rock Climbing Log'!$B$8:$B$157,MATCH(0,COUNTIF($L$4:$L18,'Rock Climbing Log'!$B$8:$B$157),0))=0," ",INDEX('Rock Climbing Log'!$B$8:$B$157,MATCH(0,COUNTIF($L$4:$L18,'Rock Climbing Log'!$B$8:$B$157),0)))</f>
        <v>43139</v>
      </c>
      <c r="M19" s="9">
        <f ca="1">SUMIFS('RC Template'!$AW:$AW,'RC Template'!$B:$B,'RC Lookup'!$L19)</f>
        <v>354.94327627303841</v>
      </c>
      <c r="O19" s="90" t="str">
        <f t="array" ref="O19">IF(INDEX('Rock Climbing Log'!$C$8:$C$157,MATCH(0,COUNTIF($O$4:$O18,'Rock Climbing Log'!$C$8:$C$157),0))=0," ",INDEX('Rock Climbing Log'!$C$8:$C$157,MATCH(0,COUNTIF($O$4:$O18,'Rock Climbing Log'!$C$8:$C$157),0)))</f>
        <v xml:space="preserve"> </v>
      </c>
      <c r="P19" s="93" t="str">
        <f t="array" ref="P19">_xlfn.IFNA(IF($Q19="None",VLOOKUP(SUMPRODUCT(LARGE(('RC Template'!$C$8:$C$157=O19)*'RC Template'!$A$8:$A$157,1)),'RC Template'!$A$7:$BD$157,MATCH("Tier",'RC Template'!$A$7:$BD$7,FALSE),FALSE),$Q19)," ")</f>
        <v xml:space="preserve"> </v>
      </c>
      <c r="Q19" s="3" t="s">
        <v>137</v>
      </c>
    </row>
    <row r="20" spans="1:19" ht="15" thickBot="1" x14ac:dyDescent="0.35">
      <c r="A20" s="125">
        <v>8</v>
      </c>
      <c r="B20" s="9">
        <f>B19*('RC Chart Data'!$E$3)</f>
        <v>0.83759159349975565</v>
      </c>
      <c r="D20" s="2" t="s">
        <v>162</v>
      </c>
      <c r="E20" s="11">
        <f t="shared" si="2"/>
        <v>434.60132114775621</v>
      </c>
      <c r="G20" s="98">
        <f t="shared" si="3"/>
        <v>330.45583834333786</v>
      </c>
      <c r="H20" s="93" t="s">
        <v>147</v>
      </c>
      <c r="I20" s="30">
        <f>100/(VLOOKUP($J21,$D$3:$E$19,2,FALSE)*3)</f>
        <v>0.1796165977142237</v>
      </c>
      <c r="J20" s="97" t="s">
        <v>11</v>
      </c>
      <c r="K20" s="106"/>
      <c r="L20" s="90">
        <f t="array" ref="L20">IF(INDEX('Rock Climbing Log'!$B$8:$B$157,MATCH(0,COUNTIF($L$4:$L19,'Rock Climbing Log'!$B$8:$B$157),0))=0," ",INDEX('Rock Climbing Log'!$B$8:$B$157,MATCH(0,COUNTIF($L$4:$L19,'Rock Climbing Log'!$B$8:$B$157),0)))</f>
        <v>43142</v>
      </c>
      <c r="M20" s="9">
        <f ca="1">SUMIFS('RC Template'!$AW:$AW,'RC Template'!$B:$B,'RC Lookup'!$L20)</f>
        <v>53.754750000000001</v>
      </c>
      <c r="O20" s="90" t="str">
        <f t="array" ref="O20">IF(INDEX('Rock Climbing Log'!$C$8:$C$157,MATCH(0,COUNTIF($O$4:$O19,'Rock Climbing Log'!$C$8:$C$157),0))=0," ",INDEX('Rock Climbing Log'!$C$8:$C$157,MATCH(0,COUNTIF($O$4:$O19,'Rock Climbing Log'!$C$8:$C$157),0)))</f>
        <v xml:space="preserve"> </v>
      </c>
      <c r="P20" s="93" t="str">
        <f t="array" ref="P20">_xlfn.IFNA(IF($Q20="None",VLOOKUP(SUMPRODUCT(LARGE(('RC Template'!$C$8:$C$157=O20)*'RC Template'!$A$8:$A$157,1)),'RC Template'!$A$7:$BD$157,MATCH("Tier",'RC Template'!$A$7:$BD$7,FALSE),FALSE),$Q20)," ")</f>
        <v xml:space="preserve"> </v>
      </c>
      <c r="Q20" s="3" t="s">
        <v>137</v>
      </c>
    </row>
    <row r="21" spans="1:19" ht="15" thickBot="1" x14ac:dyDescent="0.35">
      <c r="A21" s="125">
        <v>9</v>
      </c>
      <c r="B21" s="9">
        <f>B20*('RC Chart Data'!$E$3)</f>
        <v>0.81665180366226175</v>
      </c>
      <c r="D21" s="107" t="s">
        <v>161</v>
      </c>
      <c r="E21" s="108">
        <f t="shared" si="2"/>
        <v>587.58098619176644</v>
      </c>
      <c r="G21" s="98">
        <f t="shared" si="3"/>
        <v>556.74142185402877</v>
      </c>
      <c r="H21" s="93" t="s">
        <v>158</v>
      </c>
      <c r="I21" s="30">
        <f>100/(VLOOKUP($J22,$D$3:$E$19,2,FALSE)*3)</f>
        <v>0.10277618703207035</v>
      </c>
      <c r="J21" s="97" t="s">
        <v>13</v>
      </c>
      <c r="K21" t="s">
        <v>152</v>
      </c>
      <c r="L21" s="90">
        <f t="array" ref="L21">IF(INDEX('Rock Climbing Log'!$B$8:$B$157,MATCH(0,COUNTIF($L$4:$L20,'Rock Climbing Log'!$B$8:$B$157),0))=0," ",INDEX('Rock Climbing Log'!$B$8:$B$157,MATCH(0,COUNTIF($L$4:$L20,'Rock Climbing Log'!$B$8:$B$157),0)))</f>
        <v>43146</v>
      </c>
      <c r="M21" s="9">
        <f ca="1">SUMIFS('RC Template'!$AW:$AW,'RC Template'!$B:$B,'RC Lookup'!$L21)</f>
        <v>199.69189596720011</v>
      </c>
      <c r="O21" s="90" t="str">
        <f t="array" ref="O21">IF(INDEX('Rock Climbing Log'!$C$8:$C$157,MATCH(0,COUNTIF($O$4:$O20,'Rock Climbing Log'!$C$8:$C$157),0))=0," ",INDEX('Rock Climbing Log'!$C$8:$C$157,MATCH(0,COUNTIF($O$4:$O20,'Rock Climbing Log'!$C$8:$C$157),0)))</f>
        <v xml:space="preserve"> </v>
      </c>
      <c r="P21" s="93" t="str">
        <f t="array" ref="P21">_xlfn.IFNA(IF($Q21="None",VLOOKUP(SUMPRODUCT(LARGE(('RC Template'!$C$8:$C$157=O21)*'RC Template'!$A$8:$A$157,1)),'RC Template'!$A$7:$BD$157,MATCH("Tier",'RC Template'!$A$7:$BD$7,FALSE),FALSE),$Q21)," ")</f>
        <v xml:space="preserve"> </v>
      </c>
      <c r="Q21" s="3" t="s">
        <v>137</v>
      </c>
    </row>
    <row r="22" spans="1:19" ht="15" thickBot="1" x14ac:dyDescent="0.35">
      <c r="A22" s="125">
        <v>10</v>
      </c>
      <c r="B22" s="9">
        <f>B21*('RC Chart Data'!$E$3)</f>
        <v>0.79623550857070524</v>
      </c>
      <c r="G22" s="98">
        <f>(VLOOKUP($J22,$D$3:$E$21,2,FALSE)*3)</f>
        <v>972.98803242034978</v>
      </c>
      <c r="H22" s="93" t="s">
        <v>159</v>
      </c>
      <c r="I22" s="30">
        <f>100/(VLOOKUP($J23,$D$3:$E$21,2,FALSE)*3)</f>
        <v>5.6729768519865734E-2</v>
      </c>
      <c r="J22" s="97" t="s">
        <v>39</v>
      </c>
      <c r="L22" s="90">
        <f t="array" ref="L22">IF(INDEX('Rock Climbing Log'!$B$8:$B$157,MATCH(0,COUNTIF($L$4:$L21,'Rock Climbing Log'!$B$8:$B$157),0))=0," ",INDEX('Rock Climbing Log'!$B$8:$B$157,MATCH(0,COUNTIF($L$4:$L21,'Rock Climbing Log'!$B$8:$B$157),0)))</f>
        <v>43149</v>
      </c>
      <c r="M22" s="9">
        <f ca="1">SUMIFS('RC Template'!$AW:$AW,'RC Template'!$B:$B,'RC Lookup'!$L22)</f>
        <v>608.39239567774507</v>
      </c>
      <c r="O22" s="90" t="str">
        <f t="array" ref="O22">IF(INDEX('Rock Climbing Log'!$C$8:$C$157,MATCH(0,COUNTIF($O$4:$O21,'Rock Climbing Log'!$C$8:$C$157),0))=0," ",INDEX('Rock Climbing Log'!$C$8:$C$157,MATCH(0,COUNTIF($O$4:$O21,'Rock Climbing Log'!$C$8:$C$157),0)))</f>
        <v xml:space="preserve"> </v>
      </c>
      <c r="P22" s="93" t="str">
        <f t="array" ref="P22">_xlfn.IFNA(IF($Q22="None",VLOOKUP(SUMPRODUCT(LARGE(('RC Template'!$C$8:$C$157=O22)*'RC Template'!$A$8:$A$157,1)),'RC Template'!$A$7:$BD$157,MATCH("Tier",'RC Template'!$A$7:$BD$7,FALSE),FALSE),$Q22)," ")</f>
        <v xml:space="preserve"> </v>
      </c>
      <c r="Q22" s="3" t="s">
        <v>137</v>
      </c>
    </row>
    <row r="23" spans="1:19" ht="15" thickBot="1" x14ac:dyDescent="0.35">
      <c r="A23" s="125">
        <v>11</v>
      </c>
      <c r="B23" s="9">
        <f>B22*('RC Chart Data'!$E$3)</f>
        <v>0.77632962085643764</v>
      </c>
      <c r="G23" s="109" t="e">
        <f>(VLOOKUP($J23,$D$3:$E$19,2,FALSE)*3)</f>
        <v>#N/A</v>
      </c>
      <c r="H23" s="110" t="s">
        <v>153</v>
      </c>
      <c r="I23" s="110"/>
      <c r="J23" s="111" t="s">
        <v>161</v>
      </c>
      <c r="L23" s="90">
        <f t="array" ref="L23">IF(INDEX('Rock Climbing Log'!$B$8:$B$157,MATCH(0,COUNTIF($L$4:$L22,'Rock Climbing Log'!$B$8:$B$157),0))=0," ",INDEX('Rock Climbing Log'!$B$8:$B$157,MATCH(0,COUNTIF($L$4:$L22,'Rock Climbing Log'!$B$8:$B$157),0)))</f>
        <v>43153</v>
      </c>
      <c r="M23" s="9">
        <f ca="1">SUMIFS('RC Template'!$AW:$AW,'RC Template'!$B:$B,'RC Lookup'!$L23)</f>
        <v>369.38075276799873</v>
      </c>
      <c r="O23" s="90" t="str">
        <f t="array" ref="O23">IF(INDEX('Rock Climbing Log'!$C$8:$C$157,MATCH(0,COUNTIF($O$4:$O22,'Rock Climbing Log'!$C$8:$C$157),0))=0," ",INDEX('Rock Climbing Log'!$C$8:$C$157,MATCH(0,COUNTIF($O$4:$O22,'Rock Climbing Log'!$C$8:$C$157),0)))</f>
        <v xml:space="preserve"> </v>
      </c>
      <c r="P23" s="93" t="str">
        <f t="array" ref="P23">_xlfn.IFNA(IF($Q23="None",VLOOKUP(SUMPRODUCT(LARGE(('RC Template'!$C$8:$C$157=O23)*'RC Template'!$A$8:$A$157,1)),'RC Template'!$A$7:$BD$157,MATCH("Tier",'RC Template'!$A$7:$BD$7,FALSE),FALSE),$Q23)," ")</f>
        <v xml:space="preserve"> </v>
      </c>
      <c r="Q23" s="3" t="s">
        <v>137</v>
      </c>
    </row>
    <row r="24" spans="1:19" x14ac:dyDescent="0.3">
      <c r="A24" s="125">
        <v>12</v>
      </c>
      <c r="B24" s="9">
        <f>B23*('RC Chart Data'!$E$3)</f>
        <v>0.75692138033502665</v>
      </c>
      <c r="H24" s="119" t="s">
        <v>137</v>
      </c>
      <c r="L24" s="90">
        <f t="array" ref="L24">IF(INDEX('Rock Climbing Log'!$B$8:$B$157,MATCH(0,COUNTIF($L$4:$L23,'Rock Climbing Log'!$B$8:$B$157),0))=0," ",INDEX('Rock Climbing Log'!$B$8:$B$157,MATCH(0,COUNTIF($L$4:$L23,'Rock Climbing Log'!$B$8:$B$157),0)))</f>
        <v>43156</v>
      </c>
      <c r="M24" s="9">
        <f ca="1">SUMIFS('RC Template'!$AW:$AW,'RC Template'!$B:$B,'RC Lookup'!$L24)</f>
        <v>705.74507610446244</v>
      </c>
      <c r="O24" s="90" t="str">
        <f t="array" ref="O24">IF(INDEX('Rock Climbing Log'!$C$8:$C$157,MATCH(0,COUNTIF($O$4:$O23,'Rock Climbing Log'!$C$8:$C$157),0))=0," ",INDEX('Rock Climbing Log'!$C$8:$C$157,MATCH(0,COUNTIF($O$4:$O23,'Rock Climbing Log'!$C$8:$C$157),0)))</f>
        <v xml:space="preserve"> </v>
      </c>
      <c r="P24" s="93" t="str">
        <f t="array" ref="P24">_xlfn.IFNA(IF($Q24="None",VLOOKUP(SUMPRODUCT(LARGE(('RC Template'!$C$8:$C$157=O24)*'RC Template'!$A$8:$A$157,1)),'RC Template'!$A$7:$BD$157,MATCH("Tier",'RC Template'!$A$7:$BD$7,FALSE),FALSE),$Q24)," ")</f>
        <v xml:space="preserve"> </v>
      </c>
      <c r="Q24" s="3" t="s">
        <v>137</v>
      </c>
    </row>
    <row r="25" spans="1:19" x14ac:dyDescent="0.3">
      <c r="A25" s="125">
        <v>13</v>
      </c>
      <c r="B25" s="9">
        <f>B24*('RC Chart Data'!$E$3)</f>
        <v>0.73799834582665091</v>
      </c>
      <c r="L25" s="90">
        <f t="array" ref="L25">IF(INDEX('Rock Climbing Log'!$B$8:$B$157,MATCH(0,COUNTIF($L$4:$L24,'Rock Climbing Log'!$B$8:$B$157),0))=0," ",INDEX('Rock Climbing Log'!$B$8:$B$157,MATCH(0,COUNTIF($L$4:$L24,'Rock Climbing Log'!$B$8:$B$157),0)))</f>
        <v>43158</v>
      </c>
      <c r="M25" s="9">
        <f ca="1">SUMIFS('RC Template'!$AW:$AW,'RC Template'!$B:$B,'RC Lookup'!$L25)</f>
        <v>75.261745742400024</v>
      </c>
      <c r="O25" s="90" t="str">
        <f t="array" ref="O25">IF(INDEX('Rock Climbing Log'!$C$8:$C$157,MATCH(0,COUNTIF($O$4:$O24,'Rock Climbing Log'!$C$8:$C$157),0))=0," ",INDEX('Rock Climbing Log'!$C$8:$C$157,MATCH(0,COUNTIF($O$4:$O24,'Rock Climbing Log'!$C$8:$C$157),0)))</f>
        <v xml:space="preserve"> </v>
      </c>
      <c r="P25" s="93" t="str">
        <f t="array" ref="P25">_xlfn.IFNA(IF($Q25="None",VLOOKUP(SUMPRODUCT(LARGE(('RC Template'!$C$8:$C$157=O25)*'RC Template'!$A$8:$A$157,1)),'RC Template'!$A$7:$BD$157,MATCH("Tier",'RC Template'!$A$7:$BD$7,FALSE),FALSE),$Q25)," ")</f>
        <v xml:space="preserve"> </v>
      </c>
      <c r="Q25" s="3" t="s">
        <v>137</v>
      </c>
      <c r="S25">
        <f>95300-79800</f>
        <v>15500</v>
      </c>
    </row>
    <row r="26" spans="1:19" ht="15" thickBot="1" x14ac:dyDescent="0.35">
      <c r="A26" s="130">
        <v>14</v>
      </c>
      <c r="B26" s="10">
        <f>B25*('RC Chart Data'!$E$3)</f>
        <v>0.71954838718098457</v>
      </c>
      <c r="L26" s="90">
        <f t="array" ref="L26">IF(INDEX('Rock Climbing Log'!$B$8:$B$157,MATCH(0,COUNTIF($L$4:$L25,'Rock Climbing Log'!$B$8:$B$157),0))=0," ",INDEX('Rock Climbing Log'!$B$8:$B$157,MATCH(0,COUNTIF($L$4:$L25,'Rock Climbing Log'!$B$8:$B$157),0)))</f>
        <v>43159</v>
      </c>
      <c r="M26" s="9">
        <f ca="1">SUMIFS('RC Template'!$AW:$AW,'RC Template'!$B:$B,'RC Lookup'!$L26)</f>
        <v>394.21748544309531</v>
      </c>
      <c r="O26" s="90" t="str">
        <f t="array" ref="O26">IF(INDEX('Rock Climbing Log'!$C$8:$C$157,MATCH(0,COUNTIF($O$4:$O25,'Rock Climbing Log'!$C$8:$C$157),0))=0," ",INDEX('Rock Climbing Log'!$C$8:$C$157,MATCH(0,COUNTIF($O$4:$O25,'Rock Climbing Log'!$C$8:$C$157),0)))</f>
        <v xml:space="preserve"> </v>
      </c>
      <c r="P26" s="93" t="str">
        <f t="array" ref="P26">_xlfn.IFNA(IF($Q26="None",VLOOKUP(SUMPRODUCT(LARGE(('RC Template'!$C$8:$C$157=O26)*'RC Template'!$A$8:$A$157,1)),'RC Template'!$A$7:$BD$157,MATCH("Tier",'RC Template'!$A$7:$BD$7,FALSE),FALSE),$Q26)," ")</f>
        <v xml:space="preserve"> </v>
      </c>
      <c r="Q26" s="3" t="s">
        <v>137</v>
      </c>
    </row>
    <row r="27" spans="1:19" x14ac:dyDescent="0.3">
      <c r="L27" s="90">
        <f t="array" ref="L27">IF(INDEX('Rock Climbing Log'!$B$8:$B$157,MATCH(0,COUNTIF($L$4:$L26,'Rock Climbing Log'!$B$8:$B$157),0))=0," ",INDEX('Rock Climbing Log'!$B$8:$B$157,MATCH(0,COUNTIF($L$4:$L26,'Rock Climbing Log'!$B$8:$B$157),0)))</f>
        <v>43161</v>
      </c>
      <c r="M27" s="9">
        <f ca="1">SUMIFS('RC Template'!$AW:$AW,'RC Template'!$B:$B,'RC Lookup'!$L27)</f>
        <v>337.80630493601507</v>
      </c>
      <c r="O27" s="90" t="str">
        <f t="array" ref="O27">IF(INDEX('Rock Climbing Log'!$C$8:$C$157,MATCH(0,COUNTIF($O$4:$O26,'Rock Climbing Log'!$C$8:$C$157),0))=0," ",INDEX('Rock Climbing Log'!$C$8:$C$157,MATCH(0,COUNTIF($O$4:$O26,'Rock Climbing Log'!$C$8:$C$157),0)))</f>
        <v xml:space="preserve"> </v>
      </c>
      <c r="P27" s="93" t="str">
        <f t="array" ref="P27">_xlfn.IFNA(IF($Q27="None",VLOOKUP(SUMPRODUCT(LARGE(('RC Template'!$C$8:$C$157=O27)*'RC Template'!$A$8:$A$157,1)),'RC Template'!$A$7:$BD$157,MATCH("Tier",'RC Template'!$A$7:$BD$7,FALSE),FALSE),$Q27)," ")</f>
        <v xml:space="preserve"> </v>
      </c>
      <c r="Q27" s="3" t="s">
        <v>137</v>
      </c>
      <c r="S27">
        <f>13500+15500-14250</f>
        <v>14750</v>
      </c>
    </row>
    <row r="28" spans="1:19" x14ac:dyDescent="0.3">
      <c r="L28" s="90">
        <f t="array" ref="L28">IF(INDEX('Rock Climbing Log'!$B$8:$B$157,MATCH(0,COUNTIF($L$4:$L27,'Rock Climbing Log'!$B$8:$B$157),0))=0," ",INDEX('Rock Climbing Log'!$B$8:$B$157,MATCH(0,COUNTIF($L$4:$L27,'Rock Climbing Log'!$B$8:$B$157),0)))</f>
        <v>43163</v>
      </c>
      <c r="M28" s="9">
        <f ca="1">SUMIFS('RC Template'!$AW:$AW,'RC Template'!$B:$B,'RC Lookup'!$L28)</f>
        <v>166.39801925979711</v>
      </c>
      <c r="O28" s="90" t="str">
        <f t="array" ref="O28">IF(INDEX('Rock Climbing Log'!$C$8:$C$157,MATCH(0,COUNTIF($O$4:$O27,'Rock Climbing Log'!$C$8:$C$157),0))=0," ",INDEX('Rock Climbing Log'!$C$8:$C$157,MATCH(0,COUNTIF($O$4:$O27,'Rock Climbing Log'!$C$8:$C$157),0)))</f>
        <v xml:space="preserve"> </v>
      </c>
      <c r="P28" s="93" t="str">
        <f t="array" ref="P28">_xlfn.IFNA(IF($Q28="None",VLOOKUP(SUMPRODUCT(LARGE(('RC Template'!$C$8:$C$157=O28)*'RC Template'!$A$8:$A$157,1)),'RC Template'!$A$7:$BD$157,MATCH("Tier",'RC Template'!$A$7:$BD$7,FALSE),FALSE),$Q28)," ")</f>
        <v xml:space="preserve"> </v>
      </c>
      <c r="Q28" s="3" t="s">
        <v>137</v>
      </c>
    </row>
    <row r="29" spans="1:19" x14ac:dyDescent="0.3">
      <c r="L29" s="90">
        <f t="array" ref="L29">IF(INDEX('Rock Climbing Log'!$B$8:$B$157,MATCH(0,COUNTIF($L$4:$L28,'Rock Climbing Log'!$B$8:$B$157),0))=0," ",INDEX('Rock Climbing Log'!$B$8:$B$157,MATCH(0,COUNTIF($L$4:$L28,'Rock Climbing Log'!$B$8:$B$157),0)))</f>
        <v>43165</v>
      </c>
      <c r="M29" s="9">
        <f ca="1">SUMIFS('RC Template'!$AW:$AW,'RC Template'!$B:$B,'RC Lookup'!$L29)</f>
        <v>321.33070978687203</v>
      </c>
      <c r="O29" s="90" t="str">
        <f t="array" ref="O29">IF(INDEX('Rock Climbing Log'!$C$8:$C$157,MATCH(0,COUNTIF($O$4:$O28,'Rock Climbing Log'!$C$8:$C$157),0))=0," ",INDEX('Rock Climbing Log'!$C$8:$C$157,MATCH(0,COUNTIF($O$4:$O28,'Rock Climbing Log'!$C$8:$C$157),0)))</f>
        <v xml:space="preserve"> </v>
      </c>
      <c r="P29" s="93" t="str">
        <f t="array" ref="P29">_xlfn.IFNA(IF($Q29="None",VLOOKUP(SUMPRODUCT(LARGE(('RC Template'!$C$8:$C$157=O29)*'RC Template'!$A$8:$A$157,1)),'RC Template'!$A$7:$BD$157,MATCH("Tier",'RC Template'!$A$7:$BD$7,FALSE),FALSE),$Q29)," ")</f>
        <v xml:space="preserve"> </v>
      </c>
      <c r="Q29" s="3" t="s">
        <v>137</v>
      </c>
      <c r="S29">
        <f>-52700+51450</f>
        <v>-1250</v>
      </c>
    </row>
    <row r="30" spans="1:19" x14ac:dyDescent="0.3">
      <c r="L30" s="90">
        <f t="array" ref="L30">IF(INDEX('Rock Climbing Log'!$B$8:$B$157,MATCH(0,COUNTIF($L$4:$L29,'Rock Climbing Log'!$B$8:$B$157),0))=0," ",INDEX('Rock Climbing Log'!$B$8:$B$157,MATCH(0,COUNTIF($L$4:$L29,'Rock Climbing Log'!$B$8:$B$157),0)))</f>
        <v>43166</v>
      </c>
      <c r="M30" s="9">
        <f ca="1">SUMIFS('RC Template'!$AW:$AW,'RC Template'!$B:$B,'RC Lookup'!$L30)</f>
        <v>279.69356299375391</v>
      </c>
      <c r="O30" s="90" t="str">
        <f t="array" ref="O30">IF(INDEX('Rock Climbing Log'!$C$8:$C$157,MATCH(0,COUNTIF($O$4:$O29,'Rock Climbing Log'!$C$8:$C$157),0))=0," ",INDEX('Rock Climbing Log'!$C$8:$C$157,MATCH(0,COUNTIF($O$4:$O29,'Rock Climbing Log'!$C$8:$C$157),0)))</f>
        <v xml:space="preserve"> </v>
      </c>
      <c r="P30" s="93" t="str">
        <f t="array" ref="P30">_xlfn.IFNA(IF($Q30="None",VLOOKUP(SUMPRODUCT(LARGE(('RC Template'!$C$8:$C$157=O30)*'RC Template'!$A$8:$A$157,1)),'RC Template'!$A$7:$BD$157,MATCH("Tier",'RC Template'!$A$7:$BD$7,FALSE),FALSE),$Q30)," ")</f>
        <v xml:space="preserve"> </v>
      </c>
      <c r="Q30" s="3" t="s">
        <v>137</v>
      </c>
    </row>
    <row r="31" spans="1:19" x14ac:dyDescent="0.3">
      <c r="L31" s="90">
        <f t="array" ref="L31">IF(INDEX('Rock Climbing Log'!$B$8:$B$157,MATCH(0,COUNTIF($L$4:$L30,'Rock Climbing Log'!$B$8:$B$157),0))=0," ",INDEX('Rock Climbing Log'!$B$8:$B$157,MATCH(0,COUNTIF($L$4:$L30,'Rock Climbing Log'!$B$8:$B$157),0)))</f>
        <v>43168</v>
      </c>
      <c r="M31" s="9">
        <f ca="1">SUMIFS('RC Template'!$AW:$AW,'RC Template'!$B:$B,'RC Lookup'!$L31)</f>
        <v>228.89715481653298</v>
      </c>
      <c r="O31" s="90" t="str">
        <f t="array" ref="O31">IF(INDEX('Rock Climbing Log'!$C$8:$C$157,MATCH(0,COUNTIF($O$4:$O30,'Rock Climbing Log'!$C$8:$C$157),0))=0," ",INDEX('Rock Climbing Log'!$C$8:$C$157,MATCH(0,COUNTIF($O$4:$O30,'Rock Climbing Log'!$C$8:$C$157),0)))</f>
        <v xml:space="preserve"> </v>
      </c>
      <c r="P31" s="93" t="str">
        <f t="array" ref="P31">_xlfn.IFNA(IF($Q31="None",VLOOKUP(SUMPRODUCT(LARGE(('RC Template'!$C$8:$C$157=O31)*'RC Template'!$A$8:$A$157,1)),'RC Template'!$A$7:$BD$157,MATCH("Tier",'RC Template'!$A$7:$BD$7,FALSE),FALSE),$Q31)," ")</f>
        <v xml:space="preserve"> </v>
      </c>
      <c r="Q31" s="3" t="s">
        <v>137</v>
      </c>
    </row>
    <row r="32" spans="1:19" x14ac:dyDescent="0.3">
      <c r="L32" s="90">
        <f t="array" ref="L32">IF(INDEX('Rock Climbing Log'!$B$8:$B$157,MATCH(0,COUNTIF($L$4:$L31,'Rock Climbing Log'!$B$8:$B$157),0))=0," ",INDEX('Rock Climbing Log'!$B$8:$B$157,MATCH(0,COUNTIF($L$4:$L31,'Rock Climbing Log'!$B$8:$B$157),0)))</f>
        <v>43170</v>
      </c>
      <c r="M32" s="9">
        <f ca="1">SUMIFS('RC Template'!$AW:$AW,'RC Template'!$B:$B,'RC Lookup'!$L32)</f>
        <v>318.28985509819034</v>
      </c>
      <c r="O32" s="90" t="str">
        <f t="array" ref="O32">IF(INDEX('Rock Climbing Log'!$C$8:$C$157,MATCH(0,COUNTIF($O$4:$O31,'Rock Climbing Log'!$C$8:$C$157),0))=0," ",INDEX('Rock Climbing Log'!$C$8:$C$157,MATCH(0,COUNTIF($O$4:$O31,'Rock Climbing Log'!$C$8:$C$157),0)))</f>
        <v xml:space="preserve"> </v>
      </c>
      <c r="P32" s="93" t="str">
        <f t="array" ref="P32">_xlfn.IFNA(IF($Q32="None",VLOOKUP(SUMPRODUCT(LARGE(('RC Template'!$C$8:$C$157=O32)*'RC Template'!$A$8:$A$157,1)),'RC Template'!$A$7:$BD$157,MATCH("Tier",'RC Template'!$A$7:$BD$7,FALSE),FALSE),$Q32)," ")</f>
        <v xml:space="preserve"> </v>
      </c>
      <c r="Q32" s="3" t="s">
        <v>137</v>
      </c>
    </row>
    <row r="33" spans="12:17" x14ac:dyDescent="0.3">
      <c r="L33" s="90">
        <f t="array" ref="L33">IF(INDEX('Rock Climbing Log'!$B$8:$B$157,MATCH(0,COUNTIF($L$4:$L32,'Rock Climbing Log'!$B$8:$B$157),0))=0," ",INDEX('Rock Climbing Log'!$B$8:$B$157,MATCH(0,COUNTIF($L$4:$L32,'Rock Climbing Log'!$B$8:$B$157),0)))</f>
        <v>43173</v>
      </c>
      <c r="M33" s="9">
        <f ca="1">SUMIFS('RC Template'!$AW:$AW,'RC Template'!$B:$B,'RC Lookup'!$L33)</f>
        <v>473.1364051977601</v>
      </c>
      <c r="O33" s="90" t="str">
        <f t="array" ref="O33">IF(INDEX('Rock Climbing Log'!$C$8:$C$157,MATCH(0,COUNTIF($O$4:$O32,'Rock Climbing Log'!$C$8:$C$157),0))=0," ",INDEX('Rock Climbing Log'!$C$8:$C$157,MATCH(0,COUNTIF($O$4:$O32,'Rock Climbing Log'!$C$8:$C$157),0)))</f>
        <v xml:space="preserve"> </v>
      </c>
      <c r="P33" s="93" t="str">
        <f t="array" ref="P33">_xlfn.IFNA(IF($Q33="None",VLOOKUP(SUMPRODUCT(LARGE(('RC Template'!$C$8:$C$157=O33)*'RC Template'!$A$8:$A$157,1)),'RC Template'!$A$7:$BD$157,MATCH("Tier",'RC Template'!$A$7:$BD$7,FALSE),FALSE),$Q33)," ")</f>
        <v xml:space="preserve"> </v>
      </c>
      <c r="Q33" s="3" t="s">
        <v>137</v>
      </c>
    </row>
    <row r="34" spans="12:17" x14ac:dyDescent="0.3">
      <c r="L34" s="90">
        <f t="array" ref="L34">IF(INDEX('Rock Climbing Log'!$B$8:$B$157,MATCH(0,COUNTIF($L$4:$L33,'Rock Climbing Log'!$B$8:$B$157),0))=0," ",INDEX('Rock Climbing Log'!$B$8:$B$157,MATCH(0,COUNTIF($L$4:$L33,'Rock Climbing Log'!$B$8:$B$157),0)))</f>
        <v>43176</v>
      </c>
      <c r="M34" s="9">
        <f ca="1">SUMIFS('RC Template'!$AW:$AW,'RC Template'!$B:$B,'RC Lookup'!$L34)</f>
        <v>341.82602667131255</v>
      </c>
      <c r="O34" s="90" t="str">
        <f t="array" ref="O34">IF(INDEX('Rock Climbing Log'!$C$8:$C$157,MATCH(0,COUNTIF($O$4:$O33,'Rock Climbing Log'!$C$8:$C$157),0))=0," ",INDEX('Rock Climbing Log'!$C$8:$C$157,MATCH(0,COUNTIF($O$4:$O33,'Rock Climbing Log'!$C$8:$C$157),0)))</f>
        <v xml:space="preserve"> </v>
      </c>
      <c r="P34" s="93" t="str">
        <f t="array" ref="P34">_xlfn.IFNA(IF($Q34="None",VLOOKUP(SUMPRODUCT(LARGE(('RC Template'!$C$8:$C$157=O34)*'RC Template'!$A$8:$A$157,1)),'RC Template'!$A$7:$BD$157,MATCH("Tier",'RC Template'!$A$7:$BD$7,FALSE),FALSE),$Q34)," ")</f>
        <v xml:space="preserve"> </v>
      </c>
      <c r="Q34" s="3" t="s">
        <v>137</v>
      </c>
    </row>
    <row r="35" spans="12:17" x14ac:dyDescent="0.3">
      <c r="L35" s="90">
        <f t="array" ref="L35">IF(INDEX('Rock Climbing Log'!$B$8:$B$157,MATCH(0,COUNTIF($L$4:$L34,'Rock Climbing Log'!$B$8:$B$157),0))=0," ",INDEX('Rock Climbing Log'!$B$8:$B$157,MATCH(0,COUNTIF($L$4:$L34,'Rock Climbing Log'!$B$8:$B$157),0)))</f>
        <v>43178</v>
      </c>
      <c r="M35" s="9">
        <f ca="1">SUMIFS('RC Template'!$AW:$AW,'RC Template'!$B:$B,'RC Lookup'!$L35)</f>
        <v>576.11854526102684</v>
      </c>
      <c r="O35" s="90" t="str">
        <f t="array" ref="O35">IF(INDEX('Rock Climbing Log'!$C$8:$C$157,MATCH(0,COUNTIF($O$4:$O34,'Rock Climbing Log'!$C$8:$C$157),0))=0," ",INDEX('Rock Climbing Log'!$C$8:$C$157,MATCH(0,COUNTIF($O$4:$O34,'Rock Climbing Log'!$C$8:$C$157),0)))</f>
        <v xml:space="preserve"> </v>
      </c>
      <c r="P35" s="93" t="str">
        <f t="array" ref="P35">_xlfn.IFNA(IF($Q35="None",VLOOKUP(SUMPRODUCT(LARGE(('RC Template'!$C$8:$C$157=O35)*'RC Template'!$A$8:$A$157,1)),'RC Template'!$A$7:$BD$157,MATCH("Tier",'RC Template'!$A$7:$BD$7,FALSE),FALSE),$Q35)," ")</f>
        <v xml:space="preserve"> </v>
      </c>
      <c r="Q35" s="3" t="s">
        <v>137</v>
      </c>
    </row>
    <row r="36" spans="12:17" x14ac:dyDescent="0.3">
      <c r="L36" s="90">
        <f t="array" ref="L36">IF(INDEX('Rock Climbing Log'!$B$8:$B$157,MATCH(0,COUNTIF($L$4:$L35,'Rock Climbing Log'!$B$8:$B$157),0))=0," ",INDEX('Rock Climbing Log'!$B$8:$B$157,MATCH(0,COUNTIF($L$4:$L35,'Rock Climbing Log'!$B$8:$B$157),0)))</f>
        <v>43182</v>
      </c>
      <c r="M36" s="9">
        <f ca="1">SUMIFS('RC Template'!$AW:$AW,'RC Template'!$B:$B,'RC Lookup'!$L36)</f>
        <v>211.54047445440011</v>
      </c>
      <c r="O36" s="90" t="str">
        <f t="array" ref="O36">IF(INDEX('Rock Climbing Log'!$C$8:$C$157,MATCH(0,COUNTIF($O$4:$O35,'Rock Climbing Log'!$C$8:$C$157),0))=0," ",INDEX('Rock Climbing Log'!$C$8:$C$157,MATCH(0,COUNTIF($O$4:$O35,'Rock Climbing Log'!$C$8:$C$157),0)))</f>
        <v xml:space="preserve"> </v>
      </c>
      <c r="P36" s="93" t="str">
        <f t="array" ref="P36">_xlfn.IFNA(IF($Q36="None",VLOOKUP(SUMPRODUCT(LARGE(('RC Template'!$C$8:$C$157=O36)*'RC Template'!$A$8:$A$157,1)),'RC Template'!$A$7:$BD$157,MATCH("Tier",'RC Template'!$A$7:$BD$7,FALSE),FALSE),$Q36)," ")</f>
        <v xml:space="preserve"> </v>
      </c>
      <c r="Q36" s="3" t="s">
        <v>137</v>
      </c>
    </row>
    <row r="37" spans="12:17" x14ac:dyDescent="0.3">
      <c r="L37" s="90">
        <f t="array" ref="L37">IF(INDEX('Rock Climbing Log'!$B$8:$B$157,MATCH(0,COUNTIF($L$4:$L36,'Rock Climbing Log'!$B$8:$B$157),0))=0," ",INDEX('Rock Climbing Log'!$B$8:$B$157,MATCH(0,COUNTIF($L$4:$L36,'Rock Climbing Log'!$B$8:$B$157),0)))</f>
        <v>43185</v>
      </c>
      <c r="M37" s="9">
        <f ca="1">SUMIFS('RC Template'!$AW:$AW,'RC Template'!$B:$B,'RC Lookup'!$L37)</f>
        <v>51.502499999999998</v>
      </c>
      <c r="O37" s="90" t="str">
        <f t="array" ref="O37">IF(INDEX('Rock Climbing Log'!$C$8:$C$157,MATCH(0,COUNTIF($O$4:$O36,'Rock Climbing Log'!$C$8:$C$157),0))=0," ",INDEX('Rock Climbing Log'!$C$8:$C$157,MATCH(0,COUNTIF($O$4:$O36,'Rock Climbing Log'!$C$8:$C$157),0)))</f>
        <v xml:space="preserve"> </v>
      </c>
      <c r="P37" s="93" t="str">
        <f t="array" ref="P37">_xlfn.IFNA(IF($Q37="None",VLOOKUP(SUMPRODUCT(LARGE(('RC Template'!$C$8:$C$157=O37)*'RC Template'!$A$8:$A$157,1)),'RC Template'!$A$7:$BD$157,MATCH("Tier",'RC Template'!$A$7:$BD$7,FALSE),FALSE),$Q37)," ")</f>
        <v xml:space="preserve"> </v>
      </c>
      <c r="Q37" s="3" t="s">
        <v>137</v>
      </c>
    </row>
    <row r="38" spans="12:17" x14ac:dyDescent="0.3">
      <c r="L38" s="90">
        <f t="array" ref="L38">IF(INDEX('Rock Climbing Log'!$B$8:$B$157,MATCH(0,COUNTIF($L$4:$L37,'Rock Climbing Log'!$B$8:$B$157),0))=0," ",INDEX('Rock Climbing Log'!$B$8:$B$157,MATCH(0,COUNTIF($L$4:$L37,'Rock Climbing Log'!$B$8:$B$157),0)))</f>
        <v>43187</v>
      </c>
      <c r="M38" s="9">
        <f ca="1">SUMIFS('RC Template'!$AW:$AW,'RC Template'!$B:$B,'RC Lookup'!$L38)</f>
        <v>583.98511574249551</v>
      </c>
      <c r="O38" s="90" t="str">
        <f t="array" ref="O38">IF(INDEX('Rock Climbing Log'!$C$8:$C$157,MATCH(0,COUNTIF($O$4:$O37,'Rock Climbing Log'!$C$8:$C$157),0))=0," ",INDEX('Rock Climbing Log'!$C$8:$C$157,MATCH(0,COUNTIF($O$4:$O37,'Rock Climbing Log'!$C$8:$C$157),0)))</f>
        <v xml:space="preserve"> </v>
      </c>
      <c r="P38" s="93" t="str">
        <f t="array" ref="P38">_xlfn.IFNA(IF($Q38="None",VLOOKUP(SUMPRODUCT(LARGE(('RC Template'!$C$8:$C$157=O38)*'RC Template'!$A$8:$A$157,1)),'RC Template'!$A$7:$BD$157,MATCH("Tier",'RC Template'!$A$7:$BD$7,FALSE),FALSE),$Q38)," ")</f>
        <v xml:space="preserve"> </v>
      </c>
      <c r="Q38" s="3" t="s">
        <v>137</v>
      </c>
    </row>
    <row r="39" spans="12:17" x14ac:dyDescent="0.3">
      <c r="L39" s="90">
        <f t="array" ref="L39">IF(INDEX('Rock Climbing Log'!$B$8:$B$157,MATCH(0,COUNTIF($L$4:$L38,'Rock Climbing Log'!$B$8:$B$157),0))=0," ",INDEX('Rock Climbing Log'!$B$8:$B$157,MATCH(0,COUNTIF($L$4:$L38,'Rock Climbing Log'!$B$8:$B$157),0)))</f>
        <v>43189</v>
      </c>
      <c r="M39" s="9">
        <f ca="1">SUMIFS('RC Template'!$AW:$AW,'RC Template'!$B:$B,'RC Lookup'!$L39)</f>
        <v>710.8365952726399</v>
      </c>
      <c r="O39" s="90" t="str">
        <f t="array" ref="O39">IF(INDEX('Rock Climbing Log'!$C$8:$C$157,MATCH(0,COUNTIF($O$4:$O38,'Rock Climbing Log'!$C$8:$C$157),0))=0," ",INDEX('Rock Climbing Log'!$C$8:$C$157,MATCH(0,COUNTIF($O$4:$O38,'Rock Climbing Log'!$C$8:$C$157),0)))</f>
        <v xml:space="preserve"> </v>
      </c>
      <c r="P39" s="93" t="str">
        <f t="array" ref="P39">_xlfn.IFNA(IF($Q39="None",VLOOKUP(SUMPRODUCT(LARGE(('RC Template'!$C$8:$C$157=O39)*'RC Template'!$A$8:$A$157,1)),'RC Template'!$A$7:$BD$157,MATCH("Tier",'RC Template'!$A$7:$BD$7,FALSE),FALSE),$Q39)," ")</f>
        <v xml:space="preserve"> </v>
      </c>
      <c r="Q39" s="3" t="s">
        <v>137</v>
      </c>
    </row>
    <row r="40" spans="12:17" x14ac:dyDescent="0.3">
      <c r="L40" s="90">
        <f t="array" ref="L40">IF(INDEX('Rock Climbing Log'!$B$8:$B$157,MATCH(0,COUNTIF($L$4:$L39,'Rock Climbing Log'!$B$8:$B$157),0))=0," ",INDEX('Rock Climbing Log'!$B$8:$B$157,MATCH(0,COUNTIF($L$4:$L39,'Rock Climbing Log'!$B$8:$B$157),0)))</f>
        <v>43212</v>
      </c>
      <c r="M40" s="9">
        <f ca="1">SUMIFS('RC Template'!$AW:$AW,'RC Template'!$B:$B,'RC Lookup'!$L40)</f>
        <v>575.74358078789089</v>
      </c>
      <c r="O40" s="90" t="str">
        <f t="array" ref="O40">IF(INDEX('Rock Climbing Log'!$C$8:$C$157,MATCH(0,COUNTIF($O$4:$O39,'Rock Climbing Log'!$C$8:$C$157),0))=0," ",INDEX('Rock Climbing Log'!$C$8:$C$157,MATCH(0,COUNTIF($O$4:$O39,'Rock Climbing Log'!$C$8:$C$157),0)))</f>
        <v xml:space="preserve"> </v>
      </c>
      <c r="P40" s="93" t="str">
        <f t="array" ref="P40">_xlfn.IFNA(IF($Q40="None",VLOOKUP(SUMPRODUCT(LARGE(('RC Template'!$C$8:$C$157=O40)*'RC Template'!$A$8:$A$157,1)),'RC Template'!$A$7:$BD$157,MATCH("Tier",'RC Template'!$A$7:$BD$7,FALSE),FALSE),$Q40)," ")</f>
        <v xml:space="preserve"> </v>
      </c>
      <c r="Q40" s="3" t="s">
        <v>137</v>
      </c>
    </row>
    <row r="41" spans="12:17" x14ac:dyDescent="0.3">
      <c r="L41" s="90">
        <f t="array" ref="L41">IF(INDEX('Rock Climbing Log'!$B$8:$B$157,MATCH(0,COUNTIF($L$4:$L40,'Rock Climbing Log'!$B$8:$B$157),0))=0," ",INDEX('Rock Climbing Log'!$B$8:$B$157,MATCH(0,COUNTIF($L$4:$L40,'Rock Climbing Log'!$B$8:$B$157),0)))</f>
        <v>43219</v>
      </c>
      <c r="M41" s="9">
        <f ca="1">SUMIFS('RC Template'!$AW:$AW,'RC Template'!$B:$B,'RC Lookup'!$L41)</f>
        <v>510.32352123492819</v>
      </c>
      <c r="O41" s="90" t="str">
        <f t="array" ref="O41">IF(INDEX('Rock Climbing Log'!$C$8:$C$157,MATCH(0,COUNTIF($O$4:$O40,'Rock Climbing Log'!$C$8:$C$157),0))=0," ",INDEX('Rock Climbing Log'!$C$8:$C$157,MATCH(0,COUNTIF($O$4:$O40,'Rock Climbing Log'!$C$8:$C$157),0)))</f>
        <v xml:space="preserve"> </v>
      </c>
      <c r="P41" s="93" t="str">
        <f t="array" ref="P41">_xlfn.IFNA(IF($Q41="None",VLOOKUP(SUMPRODUCT(LARGE(('RC Template'!$C$8:$C$157=O41)*'RC Template'!$A$8:$A$157,1)),'RC Template'!$A$7:$BD$157,MATCH("Tier",'RC Template'!$A$7:$BD$7,FALSE),FALSE),$Q41)," ")</f>
        <v xml:space="preserve"> </v>
      </c>
      <c r="Q41" s="3" t="s">
        <v>137</v>
      </c>
    </row>
    <row r="42" spans="12:17" x14ac:dyDescent="0.3">
      <c r="L42" s="90" t="str">
        <f t="array" ref="L42">IF(INDEX('Rock Climbing Log'!$B$8:$B$157,MATCH(0,COUNTIF($L$4:$L41,'Rock Climbing Log'!$B$8:$B$157),0))=0," ",INDEX('Rock Climbing Log'!$B$8:$B$157,MATCH(0,COUNTIF($L$4:$L41,'Rock Climbing Log'!$B$8:$B$157),0)))</f>
        <v xml:space="preserve"> </v>
      </c>
      <c r="M42" s="9">
        <f>SUMIFS('RC Template'!$AW:$AW,'RC Template'!$B:$B,'RC Lookup'!$L42)</f>
        <v>0</v>
      </c>
      <c r="O42" s="90" t="str">
        <f t="array" ref="O42">IF(INDEX('Rock Climbing Log'!$C$8:$C$157,MATCH(0,COUNTIF($O$4:$O41,'Rock Climbing Log'!$C$8:$C$157),0))=0," ",INDEX('Rock Climbing Log'!$C$8:$C$157,MATCH(0,COUNTIF($O$4:$O41,'Rock Climbing Log'!$C$8:$C$157),0)))</f>
        <v xml:space="preserve"> </v>
      </c>
      <c r="P42" s="93" t="str">
        <f t="array" ref="P42">_xlfn.IFNA(IF($Q42="None",VLOOKUP(SUMPRODUCT(LARGE(('RC Template'!$C$8:$C$157=O42)*'RC Template'!$A$8:$A$157,1)),'RC Template'!$A$7:$BD$157,MATCH("Tier",'RC Template'!$A$7:$BD$7,FALSE),FALSE),$Q42)," ")</f>
        <v xml:space="preserve"> </v>
      </c>
      <c r="Q42" s="3" t="s">
        <v>137</v>
      </c>
    </row>
    <row r="43" spans="12:17" x14ac:dyDescent="0.3">
      <c r="L43" s="90" t="str">
        <f t="array" ref="L43">IF(INDEX('Rock Climbing Log'!$B$8:$B$157,MATCH(0,COUNTIF($L$4:$L42,'Rock Climbing Log'!$B$8:$B$157),0))=0," ",INDEX('Rock Climbing Log'!$B$8:$B$157,MATCH(0,COUNTIF($L$4:$L42,'Rock Climbing Log'!$B$8:$B$157),0)))</f>
        <v xml:space="preserve"> </v>
      </c>
      <c r="M43" s="9">
        <f>SUMIFS('RC Template'!$AW:$AW,'RC Template'!$B:$B,'RC Lookup'!$L43)</f>
        <v>0</v>
      </c>
      <c r="O43" s="90" t="str">
        <f t="array" ref="O43">IF(INDEX('Rock Climbing Log'!$C$8:$C$157,MATCH(0,COUNTIF($O$4:$O42,'Rock Climbing Log'!$C$8:$C$157),0))=0," ",INDEX('Rock Climbing Log'!$C$8:$C$157,MATCH(0,COUNTIF($O$4:$O42,'Rock Climbing Log'!$C$8:$C$157),0)))</f>
        <v xml:space="preserve"> </v>
      </c>
      <c r="P43" s="93" t="str">
        <f t="array" ref="P43">_xlfn.IFNA(IF($Q43="None",VLOOKUP(SUMPRODUCT(LARGE(('RC Template'!$C$8:$C$157=O43)*'RC Template'!$A$8:$A$157,1)),'RC Template'!$A$7:$BD$157,MATCH("Tier",'RC Template'!$A$7:$BD$7,FALSE),FALSE),$Q43)," ")</f>
        <v xml:space="preserve"> </v>
      </c>
      <c r="Q43" s="3" t="s">
        <v>137</v>
      </c>
    </row>
    <row r="44" spans="12:17" x14ac:dyDescent="0.3">
      <c r="L44" s="90" t="str">
        <f t="array" ref="L44">IF(INDEX('Rock Climbing Log'!$B$8:$B$157,MATCH(0,COUNTIF($L$4:$L43,'Rock Climbing Log'!$B$8:$B$157),0))=0," ",INDEX('Rock Climbing Log'!$B$8:$B$157,MATCH(0,COUNTIF($L$4:$L43,'Rock Climbing Log'!$B$8:$B$157),0)))</f>
        <v xml:space="preserve"> </v>
      </c>
      <c r="M44" s="9">
        <f>SUMIFS('RC Template'!$AW:$AW,'RC Template'!$B:$B,'RC Lookup'!$L44)</f>
        <v>0</v>
      </c>
      <c r="O44" s="90" t="str">
        <f t="array" ref="O44">IF(INDEX('Rock Climbing Log'!$C$8:$C$157,MATCH(0,COUNTIF($O$4:$O43,'Rock Climbing Log'!$C$8:$C$157),0))=0," ",INDEX('Rock Climbing Log'!$C$8:$C$157,MATCH(0,COUNTIF($O$4:$O43,'Rock Climbing Log'!$C$8:$C$157),0)))</f>
        <v xml:space="preserve"> </v>
      </c>
      <c r="P44" s="93" t="str">
        <f t="array" ref="P44">_xlfn.IFNA(IF($Q44="None",VLOOKUP(SUMPRODUCT(LARGE(('RC Template'!$C$8:$C$157=O44)*'RC Template'!$A$8:$A$157,1)),'RC Template'!$A$7:$BD$157,MATCH("Tier",'RC Template'!$A$7:$BD$7,FALSE),FALSE),$Q44)," ")</f>
        <v xml:space="preserve"> </v>
      </c>
      <c r="Q44" s="3" t="s">
        <v>137</v>
      </c>
    </row>
    <row r="45" spans="12:17" x14ac:dyDescent="0.3">
      <c r="L45" s="90" t="str">
        <f t="array" ref="L45">IF(INDEX('Rock Climbing Log'!$B$8:$B$157,MATCH(0,COUNTIF($L$4:$L44,'Rock Climbing Log'!$B$8:$B$157),0))=0," ",INDEX('Rock Climbing Log'!$B$8:$B$157,MATCH(0,COUNTIF($L$4:$L44,'Rock Climbing Log'!$B$8:$B$157),0)))</f>
        <v xml:space="preserve"> </v>
      </c>
      <c r="M45" s="9">
        <f>SUMIFS('RC Template'!$AW:$AW,'RC Template'!$B:$B,'RC Lookup'!$L45)</f>
        <v>0</v>
      </c>
      <c r="O45" s="90" t="str">
        <f t="array" ref="O45">IF(INDEX('Rock Climbing Log'!$C$8:$C$157,MATCH(0,COUNTIF($O$4:$O44,'Rock Climbing Log'!$C$8:$C$157),0))=0," ",INDEX('Rock Climbing Log'!$C$8:$C$157,MATCH(0,COUNTIF($O$4:$O44,'Rock Climbing Log'!$C$8:$C$157),0)))</f>
        <v xml:space="preserve"> </v>
      </c>
      <c r="P45" s="93" t="str">
        <f t="array" ref="P45">_xlfn.IFNA(IF($Q45="None",VLOOKUP(SUMPRODUCT(LARGE(('RC Template'!$C$8:$C$157=O45)*'RC Template'!$A$8:$A$157,1)),'RC Template'!$A$7:$BD$157,MATCH("Tier",'RC Template'!$A$7:$BD$7,FALSE),FALSE),$Q45)," ")</f>
        <v xml:space="preserve"> </v>
      </c>
      <c r="Q45" s="3" t="s">
        <v>137</v>
      </c>
    </row>
    <row r="46" spans="12:17" x14ac:dyDescent="0.3">
      <c r="L46" s="90" t="str">
        <f t="array" ref="L46">IF(INDEX('Rock Climbing Log'!$B$8:$B$157,MATCH(0,COUNTIF($L$4:$L45,'Rock Climbing Log'!$B$8:$B$157),0))=0," ",INDEX('Rock Climbing Log'!$B$8:$B$157,MATCH(0,COUNTIF($L$4:$L45,'Rock Climbing Log'!$B$8:$B$157),0)))</f>
        <v xml:space="preserve"> </v>
      </c>
      <c r="M46" s="9">
        <f>SUMIFS('RC Template'!$AW:$AW,'RC Template'!$B:$B,'RC Lookup'!$L46)</f>
        <v>0</v>
      </c>
      <c r="O46" s="90" t="str">
        <f t="array" ref="O46">IF(INDEX('Rock Climbing Log'!$C$8:$C$157,MATCH(0,COUNTIF($O$4:$O45,'Rock Climbing Log'!$C$8:$C$157),0))=0," ",INDEX('Rock Climbing Log'!$C$8:$C$157,MATCH(0,COUNTIF($O$4:$O45,'Rock Climbing Log'!$C$8:$C$157),0)))</f>
        <v xml:space="preserve"> </v>
      </c>
      <c r="P46" s="93" t="str">
        <f t="array" ref="P46">_xlfn.IFNA(IF($Q46="None",VLOOKUP(SUMPRODUCT(LARGE(('RC Template'!$C$8:$C$157=O46)*'RC Template'!$A$8:$A$157,1)),'RC Template'!$A$7:$BD$157,MATCH("Tier",'RC Template'!$A$7:$BD$7,FALSE),FALSE),$Q46)," ")</f>
        <v xml:space="preserve"> </v>
      </c>
      <c r="Q46" s="3" t="s">
        <v>137</v>
      </c>
    </row>
    <row r="47" spans="12:17" x14ac:dyDescent="0.3">
      <c r="L47" s="90" t="str">
        <f t="array" ref="L47">IF(INDEX('Rock Climbing Log'!$B$8:$B$157,MATCH(0,COUNTIF($L$4:$L46,'Rock Climbing Log'!$B$8:$B$157),0))=0," ",INDEX('Rock Climbing Log'!$B$8:$B$157,MATCH(0,COUNTIF($L$4:$L46,'Rock Climbing Log'!$B$8:$B$157),0)))</f>
        <v xml:space="preserve"> </v>
      </c>
      <c r="M47" s="9">
        <f>SUMIFS('RC Template'!$AW:$AW,'RC Template'!$B:$B,'RC Lookup'!$L47)</f>
        <v>0</v>
      </c>
      <c r="O47" s="90" t="str">
        <f t="array" ref="O47">IF(INDEX('Rock Climbing Log'!$C$8:$C$157,MATCH(0,COUNTIF($O$4:$O46,'Rock Climbing Log'!$C$8:$C$157),0))=0," ",INDEX('Rock Climbing Log'!$C$8:$C$157,MATCH(0,COUNTIF($O$4:$O46,'Rock Climbing Log'!$C$8:$C$157),0)))</f>
        <v xml:space="preserve"> </v>
      </c>
      <c r="P47" s="93" t="str">
        <f t="array" ref="P47">_xlfn.IFNA(IF($Q47="None",VLOOKUP(SUMPRODUCT(LARGE(('RC Template'!$C$8:$C$157=O47)*'RC Template'!$A$8:$A$157,1)),'RC Template'!$A$7:$BD$157,MATCH("Tier",'RC Template'!$A$7:$BD$7,FALSE),FALSE),$Q47)," ")</f>
        <v xml:space="preserve"> </v>
      </c>
      <c r="Q47" s="3" t="s">
        <v>137</v>
      </c>
    </row>
    <row r="48" spans="12:17" x14ac:dyDescent="0.3">
      <c r="L48" s="90" t="str">
        <f t="array" ref="L48">IF(INDEX('Rock Climbing Log'!$B$8:$B$157,MATCH(0,COUNTIF($L$4:$L47,'Rock Climbing Log'!$B$8:$B$157),0))=0," ",INDEX('Rock Climbing Log'!$B$8:$B$157,MATCH(0,COUNTIF($L$4:$L47,'Rock Climbing Log'!$B$8:$B$157),0)))</f>
        <v xml:space="preserve"> </v>
      </c>
      <c r="M48" s="9">
        <f>SUMIFS('RC Template'!$AW:$AW,'RC Template'!$B:$B,'RC Lookup'!$L48)</f>
        <v>0</v>
      </c>
      <c r="O48" s="90" t="str">
        <f t="array" ref="O48">IF(INDEX('Rock Climbing Log'!$C$8:$C$157,MATCH(0,COUNTIF($O$4:$O47,'Rock Climbing Log'!$C$8:$C$157),0))=0," ",INDEX('Rock Climbing Log'!$C$8:$C$157,MATCH(0,COUNTIF($O$4:$O47,'Rock Climbing Log'!$C$8:$C$157),0)))</f>
        <v xml:space="preserve"> </v>
      </c>
      <c r="P48" s="93" t="str">
        <f t="array" ref="P48">_xlfn.IFNA(IF($Q48="None",VLOOKUP(SUMPRODUCT(LARGE(('RC Template'!$C$8:$C$157=O48)*'RC Template'!$A$8:$A$157,1)),'RC Template'!$A$7:$BD$157,MATCH("Tier",'RC Template'!$A$7:$BD$7,FALSE),FALSE),$Q48)," ")</f>
        <v xml:space="preserve"> </v>
      </c>
      <c r="Q48" s="3" t="s">
        <v>137</v>
      </c>
    </row>
    <row r="49" spans="12:17" x14ac:dyDescent="0.3">
      <c r="L49" s="90" t="str">
        <f t="array" ref="L49">IF(INDEX('Rock Climbing Log'!$B$8:$B$157,MATCH(0,COUNTIF($L$4:$L48,'Rock Climbing Log'!$B$8:$B$157),0))=0," ",INDEX('Rock Climbing Log'!$B$8:$B$157,MATCH(0,COUNTIF($L$4:$L48,'Rock Climbing Log'!$B$8:$B$157),0)))</f>
        <v xml:space="preserve"> </v>
      </c>
      <c r="M49" s="9">
        <f>SUMIFS('RC Template'!$AW:$AW,'RC Template'!$B:$B,'RC Lookup'!$L49)</f>
        <v>0</v>
      </c>
      <c r="O49" s="90" t="str">
        <f t="array" ref="O49">IF(INDEX('Rock Climbing Log'!$C$8:$C$157,MATCH(0,COUNTIF($O$4:$O48,'Rock Climbing Log'!$C$8:$C$157),0))=0," ",INDEX('Rock Climbing Log'!$C$8:$C$157,MATCH(0,COUNTIF($O$4:$O48,'Rock Climbing Log'!$C$8:$C$157),0)))</f>
        <v xml:space="preserve"> </v>
      </c>
      <c r="P49" s="93" t="str">
        <f t="array" ref="P49">_xlfn.IFNA(IF($Q49="None",VLOOKUP(SUMPRODUCT(LARGE(('RC Template'!$C$8:$C$157=O49)*'RC Template'!$A$8:$A$157,1)),'RC Template'!$A$7:$BD$157,MATCH("Tier",'RC Template'!$A$7:$BD$7,FALSE),FALSE),$Q49)," ")</f>
        <v xml:space="preserve"> </v>
      </c>
      <c r="Q49" s="3" t="s">
        <v>137</v>
      </c>
    </row>
    <row r="50" spans="12:17" ht="15" thickBot="1" x14ac:dyDescent="0.35">
      <c r="L50" s="91" t="str">
        <f t="array" ref="L50">IF(INDEX('Rock Climbing Log'!$B$8:$B$157,MATCH(0,COUNTIF($L$4:$L49,'Rock Climbing Log'!$B$8:$B$157),0))=0," ",INDEX('Rock Climbing Log'!$B$8:$B$157,MATCH(0,COUNTIF($L$4:$L49,'Rock Climbing Log'!$B$8:$B$157),0)))</f>
        <v xml:space="preserve"> </v>
      </c>
      <c r="M50" s="10">
        <f>SUMIFS('RC Template'!$AW:$AW,'RC Template'!$B:$B,'RC Lookup'!$L50)</f>
        <v>0</v>
      </c>
      <c r="O50" s="91" t="str">
        <f t="array" ref="O50">IF(INDEX('Rock Climbing Log'!$C$8:$C$157,MATCH(0,COUNTIF($O$4:$O49,'Rock Climbing Log'!$C$8:$C$157),0))=0," ",INDEX('Rock Climbing Log'!$C$8:$C$157,MATCH(0,COUNTIF($O$4:$O49,'Rock Climbing Log'!$C$8:$C$157),0)))</f>
        <v xml:space="preserve"> </v>
      </c>
      <c r="P50" s="113" t="str">
        <f t="array" ref="P50">_xlfn.IFNA(IF($Q50="None",VLOOKUP(SUMPRODUCT(LARGE(('RC Template'!$C$8:$C$157=O50)*'RC Template'!$A$8:$A$157,1)),'RC Template'!$A$7:$BD$157,MATCH("Tier",'RC Template'!$A$7:$BD$7,FALSE),FALSE),$Q50)," ")</f>
        <v xml:space="preserve"> </v>
      </c>
      <c r="Q50" s="5" t="s">
        <v>137</v>
      </c>
    </row>
  </sheetData>
  <mergeCells count="8">
    <mergeCell ref="S2:T2"/>
    <mergeCell ref="G13:J13"/>
    <mergeCell ref="A2:B2"/>
    <mergeCell ref="D2:E2"/>
    <mergeCell ref="G2:H2"/>
    <mergeCell ref="O2:Q2"/>
    <mergeCell ref="A11:B11"/>
    <mergeCell ref="L2:M2"/>
  </mergeCells>
  <dataValidations count="1">
    <dataValidation type="list" allowBlank="1" showInputMessage="1" showErrorMessage="1" sqref="Q4:Q50" xr:uid="{3E38BABE-B616-4E48-980B-37376090D69F}">
      <formula1>$H$15:$H$24</formula1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0B6B31-2EFF-456B-9846-7FE8C54FEDA7}">
  <sheetPr codeName="Sheet7">
    <tabColor theme="5" tint="-0.249977111117893"/>
    <pageSetUpPr fitToPage="1"/>
  </sheetPr>
  <dimension ref="A1:BR158"/>
  <sheetViews>
    <sheetView zoomScale="106" workbookViewId="0">
      <pane xSplit="3" ySplit="7" topLeftCell="AC8" activePane="bottomRight" state="frozen"/>
      <selection activeCell="BD14" sqref="BD14"/>
      <selection pane="topRight" activeCell="BD14" sqref="BD14"/>
      <selection pane="bottomLeft" activeCell="BD14" sqref="BD14"/>
      <selection pane="bottomRight" activeCell="AW1" sqref="AW1"/>
    </sheetView>
  </sheetViews>
  <sheetFormatPr defaultRowHeight="14.4" x14ac:dyDescent="0.3"/>
  <cols>
    <col min="1" max="1" width="8.88671875" customWidth="1"/>
    <col min="2" max="2" width="9.77734375" bestFit="1" customWidth="1"/>
    <col min="3" max="3" width="21" bestFit="1" customWidth="1"/>
    <col min="4" max="48" width="3.77734375" customWidth="1"/>
    <col min="49" max="50" width="12.21875" bestFit="1" customWidth="1"/>
    <col min="51" max="51" width="32.5546875" bestFit="1" customWidth="1"/>
    <col min="52" max="52" width="8.88671875" customWidth="1"/>
    <col min="53" max="53" width="13.6640625" customWidth="1"/>
    <col min="54" max="54" width="5.109375" customWidth="1"/>
    <col min="55" max="57" width="16.88671875" customWidth="1"/>
    <col min="58" max="59" width="8.88671875" customWidth="1"/>
    <col min="60" max="60" width="13.6640625" customWidth="1"/>
    <col min="61" max="63" width="16.88671875" customWidth="1"/>
    <col min="64" max="64" width="12.44140625" customWidth="1"/>
    <col min="65" max="65" width="12.5546875" customWidth="1"/>
    <col min="66" max="66" width="16.6640625" customWidth="1"/>
    <col min="67" max="67" width="18.33203125" customWidth="1"/>
    <col min="68" max="68" width="8.88671875" customWidth="1"/>
  </cols>
  <sheetData>
    <row r="1" spans="1:62" ht="15" thickBot="1" x14ac:dyDescent="0.35">
      <c r="A1" s="144" t="s">
        <v>17</v>
      </c>
      <c r="B1" s="145"/>
      <c r="D1" s="88"/>
      <c r="T1" s="88"/>
      <c r="U1" s="88"/>
      <c r="V1" s="88"/>
      <c r="W1" s="88"/>
      <c r="X1" s="88"/>
      <c r="Y1" s="88"/>
      <c r="Z1" s="88"/>
      <c r="AA1" s="88"/>
      <c r="AB1" s="88"/>
      <c r="AC1" s="88"/>
      <c r="AD1" s="88"/>
      <c r="AE1" s="88"/>
      <c r="AF1" s="88"/>
      <c r="AG1" s="88"/>
      <c r="AH1" s="88"/>
      <c r="AI1" s="88"/>
      <c r="AJ1" s="88"/>
      <c r="AK1" s="88"/>
      <c r="AL1" s="88"/>
      <c r="AM1" s="88"/>
      <c r="AN1" s="88"/>
      <c r="AO1" s="88"/>
      <c r="AP1" s="88"/>
      <c r="AQ1" s="88"/>
      <c r="AR1" s="88"/>
      <c r="AS1" s="88"/>
      <c r="AT1" s="88"/>
      <c r="AU1" s="88"/>
      <c r="AV1" s="88"/>
      <c r="AW1" s="88"/>
      <c r="AX1" s="88"/>
      <c r="AY1" s="68"/>
      <c r="BI1" s="46"/>
      <c r="BJ1" s="46"/>
    </row>
    <row r="2" spans="1:62" x14ac:dyDescent="0.3">
      <c r="A2" s="2" t="s">
        <v>19</v>
      </c>
      <c r="B2" s="3" t="s">
        <v>18</v>
      </c>
    </row>
    <row r="3" spans="1:62" ht="15" thickBot="1" x14ac:dyDescent="0.35">
      <c r="A3" s="2" t="s">
        <v>20</v>
      </c>
      <c r="B3" s="3" t="s">
        <v>22</v>
      </c>
      <c r="C3" t="s">
        <v>207</v>
      </c>
      <c r="G3" s="146" t="s">
        <v>183</v>
      </c>
      <c r="H3" s="146"/>
      <c r="I3" s="146"/>
      <c r="J3" s="146"/>
      <c r="K3" s="146"/>
      <c r="L3" s="146"/>
      <c r="M3" s="146" t="s">
        <v>184</v>
      </c>
      <c r="N3" s="146"/>
      <c r="O3" s="146"/>
      <c r="P3" s="146"/>
      <c r="Q3" s="146"/>
      <c r="R3" s="146"/>
      <c r="S3" s="146" t="s">
        <v>185</v>
      </c>
      <c r="T3" s="146"/>
      <c r="U3" s="146"/>
      <c r="V3" s="146"/>
      <c r="W3" s="146"/>
      <c r="X3" s="146"/>
      <c r="Y3" s="146"/>
      <c r="Z3" s="146"/>
      <c r="AA3" s="146"/>
      <c r="AB3" s="146" t="s">
        <v>186</v>
      </c>
      <c r="AC3" s="146"/>
      <c r="AD3" s="146"/>
      <c r="AE3" s="146"/>
      <c r="AF3" s="146"/>
      <c r="AG3" s="146"/>
      <c r="AH3" s="146"/>
      <c r="AI3" s="146"/>
      <c r="AJ3" s="146"/>
      <c r="AK3" s="146" t="s">
        <v>187</v>
      </c>
      <c r="AL3" s="146"/>
      <c r="AM3" s="146"/>
      <c r="AN3" s="146"/>
      <c r="AO3" s="146"/>
      <c r="AP3" s="146"/>
      <c r="AQ3" s="146"/>
      <c r="AR3" s="146"/>
      <c r="AS3" s="146"/>
      <c r="AT3" s="146" t="s">
        <v>188</v>
      </c>
      <c r="AU3" s="146"/>
      <c r="AV3" s="146"/>
    </row>
    <row r="4" spans="1:62" ht="15" thickBot="1" x14ac:dyDescent="0.35">
      <c r="A4" s="4" t="s">
        <v>21</v>
      </c>
      <c r="B4" s="5" t="s">
        <v>23</v>
      </c>
      <c r="C4" t="s">
        <v>206</v>
      </c>
      <c r="D4" s="146"/>
      <c r="E4" s="146"/>
      <c r="F4" s="146"/>
      <c r="G4" s="146" t="s">
        <v>55</v>
      </c>
      <c r="H4" s="146"/>
      <c r="I4" s="146"/>
      <c r="J4" s="146"/>
      <c r="K4" s="146"/>
      <c r="L4" s="146"/>
      <c r="M4" s="146"/>
      <c r="N4" s="146"/>
      <c r="O4" s="146"/>
      <c r="P4" s="146" t="s">
        <v>56</v>
      </c>
      <c r="Q4" s="146"/>
      <c r="R4" s="146"/>
      <c r="S4" s="146"/>
      <c r="T4" s="146"/>
      <c r="U4" s="146"/>
      <c r="V4" s="146" t="s">
        <v>57</v>
      </c>
      <c r="W4" s="146"/>
      <c r="X4" s="146"/>
      <c r="Y4" s="146"/>
      <c r="Z4" s="146"/>
      <c r="AA4" s="146"/>
      <c r="AB4" s="146" t="s">
        <v>58</v>
      </c>
      <c r="AC4" s="146"/>
      <c r="AD4" s="146"/>
      <c r="AE4" s="146"/>
      <c r="AF4" s="146"/>
      <c r="AG4" s="146"/>
      <c r="AH4" s="146" t="s">
        <v>59</v>
      </c>
      <c r="AI4" s="146"/>
      <c r="AJ4" s="146"/>
      <c r="AK4" s="146"/>
      <c r="AL4" s="146"/>
      <c r="AM4" s="146"/>
      <c r="AN4" s="146" t="s">
        <v>60</v>
      </c>
      <c r="AO4" s="146"/>
      <c r="AP4" s="146"/>
      <c r="AQ4" s="146"/>
      <c r="AR4" s="146"/>
      <c r="AS4" s="146"/>
      <c r="AT4" s="146" t="s">
        <v>61</v>
      </c>
      <c r="AU4" s="146"/>
      <c r="AV4" s="146"/>
    </row>
    <row r="5" spans="1:62" ht="18" customHeight="1" x14ac:dyDescent="0.3">
      <c r="A5" s="147" t="s">
        <v>47</v>
      </c>
      <c r="B5" s="148"/>
      <c r="C5" s="148"/>
      <c r="D5" s="148"/>
      <c r="E5" s="148"/>
      <c r="F5" s="148"/>
      <c r="G5" s="148"/>
      <c r="H5" s="148"/>
      <c r="I5" s="148"/>
      <c r="J5" s="148"/>
      <c r="K5" s="148"/>
      <c r="L5" s="148"/>
      <c r="M5" s="148"/>
      <c r="N5" s="148"/>
      <c r="O5" s="148"/>
      <c r="P5" s="148"/>
      <c r="Q5" s="148"/>
      <c r="R5" s="148"/>
      <c r="S5" s="148"/>
      <c r="T5" s="148"/>
      <c r="U5" s="148"/>
      <c r="V5" s="148"/>
      <c r="W5" s="148"/>
      <c r="X5" s="148"/>
      <c r="Y5" s="148"/>
      <c r="Z5" s="148"/>
      <c r="AA5" s="148"/>
      <c r="AB5" s="148"/>
      <c r="AC5" s="148"/>
      <c r="AD5" s="148"/>
      <c r="AE5" s="148"/>
      <c r="AF5" s="148"/>
      <c r="AG5" s="148"/>
      <c r="AH5" s="148"/>
      <c r="AI5" s="148"/>
      <c r="AJ5" s="148"/>
      <c r="AK5" s="148"/>
      <c r="AL5" s="148"/>
      <c r="AM5" s="148"/>
      <c r="AN5" s="148"/>
      <c r="AO5" s="148"/>
      <c r="AP5" s="148"/>
      <c r="AQ5" s="148"/>
      <c r="AR5" s="148"/>
      <c r="AS5" s="148"/>
      <c r="AT5" s="148"/>
      <c r="AU5" s="148"/>
      <c r="AV5" s="148"/>
      <c r="AW5" s="148"/>
      <c r="AX5" s="148"/>
      <c r="AY5" s="149"/>
    </row>
    <row r="6" spans="1:62" ht="15" customHeight="1" thickBot="1" x14ac:dyDescent="0.35">
      <c r="A6" s="150"/>
      <c r="B6" s="151"/>
      <c r="C6" s="151"/>
      <c r="D6" s="151"/>
      <c r="E6" s="151"/>
      <c r="F6" s="151"/>
      <c r="G6" s="151"/>
      <c r="H6" s="151"/>
      <c r="I6" s="151"/>
      <c r="J6" s="151"/>
      <c r="K6" s="151"/>
      <c r="L6" s="151"/>
      <c r="M6" s="151"/>
      <c r="N6" s="151"/>
      <c r="O6" s="151"/>
      <c r="P6" s="151"/>
      <c r="Q6" s="151"/>
      <c r="R6" s="151"/>
      <c r="S6" s="151"/>
      <c r="T6" s="151"/>
      <c r="U6" s="151"/>
      <c r="V6" s="151"/>
      <c r="W6" s="151"/>
      <c r="X6" s="151"/>
      <c r="Y6" s="151"/>
      <c r="Z6" s="151"/>
      <c r="AA6" s="151"/>
      <c r="AB6" s="151"/>
      <c r="AC6" s="151"/>
      <c r="AD6" s="151"/>
      <c r="AE6" s="151"/>
      <c r="AF6" s="151"/>
      <c r="AG6" s="151"/>
      <c r="AH6" s="151"/>
      <c r="AI6" s="151"/>
      <c r="AJ6" s="151"/>
      <c r="AK6" s="151"/>
      <c r="AL6" s="151"/>
      <c r="AM6" s="151"/>
      <c r="AN6" s="151"/>
      <c r="AO6" s="151"/>
      <c r="AP6" s="151"/>
      <c r="AQ6" s="151"/>
      <c r="AR6" s="151"/>
      <c r="AS6" s="151"/>
      <c r="AT6" s="151"/>
      <c r="AU6" s="151"/>
      <c r="AV6" s="151"/>
      <c r="AW6" s="151"/>
      <c r="AX6" s="151"/>
      <c r="AY6" s="152"/>
    </row>
    <row r="7" spans="1:62" ht="15" thickBot="1" x14ac:dyDescent="0.35">
      <c r="A7" s="27" t="s">
        <v>45</v>
      </c>
      <c r="B7" s="17" t="s">
        <v>14</v>
      </c>
      <c r="C7" s="18" t="s">
        <v>15</v>
      </c>
      <c r="D7" s="156" t="s">
        <v>0</v>
      </c>
      <c r="E7" s="157"/>
      <c r="F7" s="158"/>
      <c r="G7" s="156" t="s">
        <v>1</v>
      </c>
      <c r="H7" s="157"/>
      <c r="I7" s="158"/>
      <c r="J7" s="156" t="s">
        <v>2</v>
      </c>
      <c r="K7" s="157"/>
      <c r="L7" s="158"/>
      <c r="M7" s="156" t="s">
        <v>3</v>
      </c>
      <c r="N7" s="157"/>
      <c r="O7" s="158"/>
      <c r="P7" s="156" t="s">
        <v>4</v>
      </c>
      <c r="Q7" s="157"/>
      <c r="R7" s="158"/>
      <c r="S7" s="156" t="s">
        <v>5</v>
      </c>
      <c r="T7" s="157"/>
      <c r="U7" s="158"/>
      <c r="V7" s="156" t="s">
        <v>6</v>
      </c>
      <c r="W7" s="157"/>
      <c r="X7" s="158"/>
      <c r="Y7" s="156" t="s">
        <v>7</v>
      </c>
      <c r="Z7" s="157"/>
      <c r="AA7" s="158"/>
      <c r="AB7" s="156" t="s">
        <v>8</v>
      </c>
      <c r="AC7" s="157"/>
      <c r="AD7" s="158"/>
      <c r="AE7" s="156" t="s">
        <v>9</v>
      </c>
      <c r="AF7" s="157"/>
      <c r="AG7" s="158"/>
      <c r="AH7" s="156" t="s">
        <v>10</v>
      </c>
      <c r="AI7" s="157"/>
      <c r="AJ7" s="158"/>
      <c r="AK7" s="156" t="s">
        <v>11</v>
      </c>
      <c r="AL7" s="157"/>
      <c r="AM7" s="158"/>
      <c r="AN7" s="156" t="s">
        <v>12</v>
      </c>
      <c r="AO7" s="157"/>
      <c r="AP7" s="158"/>
      <c r="AQ7" s="156" t="s">
        <v>13</v>
      </c>
      <c r="AR7" s="157"/>
      <c r="AS7" s="158"/>
      <c r="AT7" s="156" t="s">
        <v>40</v>
      </c>
      <c r="AU7" s="157"/>
      <c r="AV7" s="158"/>
      <c r="AW7" s="16" t="s">
        <v>141</v>
      </c>
      <c r="AX7" s="16" t="s">
        <v>142</v>
      </c>
      <c r="AY7" s="16" t="s">
        <v>75</v>
      </c>
    </row>
    <row r="8" spans="1:62" ht="15" hidden="1" thickTop="1" x14ac:dyDescent="0.3">
      <c r="A8" s="129"/>
      <c r="B8" s="19"/>
      <c r="C8" s="24"/>
      <c r="D8" s="81"/>
      <c r="E8" s="82"/>
      <c r="F8" s="83"/>
      <c r="G8" s="81"/>
      <c r="H8" s="82"/>
      <c r="I8" s="83"/>
      <c r="J8" s="81"/>
      <c r="K8" s="82"/>
      <c r="L8" s="83"/>
      <c r="M8" s="81"/>
      <c r="N8" s="82"/>
      <c r="O8" s="83"/>
      <c r="P8" s="81"/>
      <c r="Q8" s="82"/>
      <c r="R8" s="83"/>
      <c r="S8" s="81"/>
      <c r="T8" s="82"/>
      <c r="U8" s="83"/>
      <c r="V8" s="81"/>
      <c r="W8" s="82"/>
      <c r="X8" s="83"/>
      <c r="Y8" s="81"/>
      <c r="Z8" s="82"/>
      <c r="AA8" s="83"/>
      <c r="AB8" s="81"/>
      <c r="AC8" s="82"/>
      <c r="AD8" s="83"/>
      <c r="AE8" s="81"/>
      <c r="AF8" s="82"/>
      <c r="AG8" s="83"/>
      <c r="AH8" s="81"/>
      <c r="AI8" s="82"/>
      <c r="AJ8" s="83"/>
      <c r="AK8" s="81"/>
      <c r="AL8" s="82"/>
      <c r="AM8" s="83"/>
      <c r="AN8" s="81"/>
      <c r="AO8" s="82"/>
      <c r="AP8" s="83"/>
      <c r="AQ8" s="81"/>
      <c r="AR8" s="82"/>
      <c r="AS8" s="83"/>
      <c r="AT8" s="81"/>
      <c r="AU8" s="82"/>
      <c r="AV8" s="83"/>
      <c r="AW8" s="66"/>
      <c r="AX8" s="66"/>
      <c r="AY8" s="75"/>
    </row>
    <row r="9" spans="1:62" ht="15" customHeight="1" thickTop="1" x14ac:dyDescent="0.3">
      <c r="A9" s="123">
        <v>1</v>
      </c>
      <c r="B9" s="19"/>
      <c r="C9" s="24"/>
      <c r="D9" s="81"/>
      <c r="E9" s="82"/>
      <c r="F9" s="83"/>
      <c r="G9" s="81"/>
      <c r="H9" s="82"/>
      <c r="I9" s="83"/>
      <c r="J9" s="81"/>
      <c r="K9" s="82"/>
      <c r="L9" s="83"/>
      <c r="M9" s="81"/>
      <c r="N9" s="82"/>
      <c r="O9" s="83"/>
      <c r="P9" s="81"/>
      <c r="Q9" s="82"/>
      <c r="R9" s="83"/>
      <c r="S9" s="81"/>
      <c r="T9" s="82"/>
      <c r="U9" s="83"/>
      <c r="V9" s="81"/>
      <c r="W9" s="82"/>
      <c r="X9" s="83"/>
      <c r="Y9" s="81"/>
      <c r="Z9" s="82"/>
      <c r="AA9" s="83"/>
      <c r="AB9" s="81"/>
      <c r="AC9" s="82"/>
      <c r="AD9" s="83"/>
      <c r="AE9" s="81"/>
      <c r="AF9" s="82"/>
      <c r="AG9" s="83"/>
      <c r="AH9" s="81"/>
      <c r="AI9" s="82"/>
      <c r="AJ9" s="83"/>
      <c r="AK9" s="81"/>
      <c r="AL9" s="82"/>
      <c r="AM9" s="83"/>
      <c r="AN9" s="81"/>
      <c r="AO9" s="82"/>
      <c r="AP9" s="83"/>
      <c r="AQ9" s="81"/>
      <c r="AR9" s="82"/>
      <c r="AS9" s="83"/>
      <c r="AT9" s="81"/>
      <c r="AU9" s="82"/>
      <c r="AV9" s="83"/>
      <c r="AW9" s="66"/>
      <c r="AX9" s="66"/>
      <c r="AY9" s="75"/>
    </row>
    <row r="10" spans="1:62" ht="15" customHeight="1" x14ac:dyDescent="0.3">
      <c r="A10" s="123">
        <f t="shared" ref="A10:A41" si="0">+A9+1</f>
        <v>2</v>
      </c>
      <c r="B10" s="19"/>
      <c r="C10" s="24"/>
      <c r="D10" s="81"/>
      <c r="E10" s="82"/>
      <c r="F10" s="83"/>
      <c r="G10" s="81"/>
      <c r="H10" s="82"/>
      <c r="I10" s="83"/>
      <c r="J10" s="81"/>
      <c r="K10" s="82"/>
      <c r="L10" s="83"/>
      <c r="M10" s="81"/>
      <c r="N10" s="82"/>
      <c r="O10" s="83"/>
      <c r="P10" s="81"/>
      <c r="Q10" s="82"/>
      <c r="R10" s="83"/>
      <c r="S10" s="81"/>
      <c r="T10" s="82"/>
      <c r="U10" s="83"/>
      <c r="V10" s="81"/>
      <c r="W10" s="82"/>
      <c r="X10" s="83"/>
      <c r="Y10" s="81"/>
      <c r="Z10" s="82"/>
      <c r="AA10" s="83"/>
      <c r="AB10" s="81"/>
      <c r="AC10" s="82"/>
      <c r="AD10" s="83"/>
      <c r="AE10" s="81"/>
      <c r="AF10" s="82"/>
      <c r="AG10" s="83"/>
      <c r="AH10" s="81"/>
      <c r="AI10" s="82"/>
      <c r="AJ10" s="83"/>
      <c r="AK10" s="81"/>
      <c r="AL10" s="82"/>
      <c r="AM10" s="83"/>
      <c r="AN10" s="81"/>
      <c r="AO10" s="82"/>
      <c r="AP10" s="83"/>
      <c r="AQ10" s="81"/>
      <c r="AR10" s="82"/>
      <c r="AS10" s="83"/>
      <c r="AT10" s="81"/>
      <c r="AU10" s="82"/>
      <c r="AV10" s="83"/>
      <c r="AW10" s="66"/>
      <c r="AX10" s="66"/>
      <c r="AY10" s="75"/>
    </row>
    <row r="11" spans="1:62" x14ac:dyDescent="0.3">
      <c r="A11" s="123">
        <f t="shared" si="0"/>
        <v>3</v>
      </c>
      <c r="B11" s="19"/>
      <c r="C11" s="24"/>
      <c r="D11" s="81"/>
      <c r="E11" s="82"/>
      <c r="F11" s="83"/>
      <c r="G11" s="81"/>
      <c r="H11" s="82"/>
      <c r="I11" s="83"/>
      <c r="J11" s="81"/>
      <c r="K11" s="82"/>
      <c r="L11" s="83"/>
      <c r="M11" s="81"/>
      <c r="N11" s="82"/>
      <c r="O11" s="83"/>
      <c r="P11" s="81"/>
      <c r="Q11" s="82"/>
      <c r="R11" s="83"/>
      <c r="S11" s="81"/>
      <c r="T11" s="82"/>
      <c r="U11" s="83"/>
      <c r="V11" s="81"/>
      <c r="W11" s="82"/>
      <c r="X11" s="83"/>
      <c r="Y11" s="81"/>
      <c r="Z11" s="82"/>
      <c r="AA11" s="83"/>
      <c r="AB11" s="81"/>
      <c r="AC11" s="82"/>
      <c r="AD11" s="83"/>
      <c r="AE11" s="81"/>
      <c r="AF11" s="82"/>
      <c r="AG11" s="83"/>
      <c r="AH11" s="81"/>
      <c r="AI11" s="82"/>
      <c r="AJ11" s="83"/>
      <c r="AK11" s="81"/>
      <c r="AL11" s="82"/>
      <c r="AM11" s="83"/>
      <c r="AN11" s="81"/>
      <c r="AO11" s="82"/>
      <c r="AP11" s="83"/>
      <c r="AQ11" s="81"/>
      <c r="AR11" s="82"/>
      <c r="AS11" s="83"/>
      <c r="AT11" s="81"/>
      <c r="AU11" s="82"/>
      <c r="AV11" s="83"/>
      <c r="AW11" s="66"/>
      <c r="AX11" s="66"/>
      <c r="AY11" s="75"/>
    </row>
    <row r="12" spans="1:62" x14ac:dyDescent="0.3">
      <c r="A12" s="123">
        <f t="shared" si="0"/>
        <v>4</v>
      </c>
      <c r="B12" s="19"/>
      <c r="C12" s="24"/>
      <c r="D12" s="81"/>
      <c r="E12" s="82"/>
      <c r="F12" s="83"/>
      <c r="G12" s="81"/>
      <c r="H12" s="82"/>
      <c r="I12" s="83"/>
      <c r="J12" s="81"/>
      <c r="K12" s="82"/>
      <c r="L12" s="83"/>
      <c r="M12" s="81"/>
      <c r="N12" s="82"/>
      <c r="O12" s="83"/>
      <c r="P12" s="81"/>
      <c r="Q12" s="82"/>
      <c r="R12" s="83"/>
      <c r="S12" s="81"/>
      <c r="T12" s="82"/>
      <c r="U12" s="83"/>
      <c r="V12" s="81"/>
      <c r="W12" s="82"/>
      <c r="X12" s="83"/>
      <c r="Y12" s="81"/>
      <c r="Z12" s="82"/>
      <c r="AA12" s="83"/>
      <c r="AB12" s="81"/>
      <c r="AC12" s="82"/>
      <c r="AD12" s="83"/>
      <c r="AE12" s="81"/>
      <c r="AF12" s="82"/>
      <c r="AG12" s="83"/>
      <c r="AH12" s="81"/>
      <c r="AI12" s="82"/>
      <c r="AJ12" s="83"/>
      <c r="AK12" s="81"/>
      <c r="AL12" s="82"/>
      <c r="AM12" s="83"/>
      <c r="AN12" s="81"/>
      <c r="AO12" s="82"/>
      <c r="AP12" s="83"/>
      <c r="AQ12" s="81"/>
      <c r="AR12" s="82"/>
      <c r="AS12" s="83"/>
      <c r="AT12" s="81"/>
      <c r="AU12" s="82"/>
      <c r="AV12" s="83"/>
      <c r="AW12" s="66"/>
      <c r="AX12" s="66"/>
      <c r="AY12" s="75"/>
    </row>
    <row r="13" spans="1:62" x14ac:dyDescent="0.3">
      <c r="A13" s="123">
        <f t="shared" si="0"/>
        <v>5</v>
      </c>
      <c r="B13" s="19"/>
      <c r="C13" s="24"/>
      <c r="D13" s="81"/>
      <c r="E13" s="82"/>
      <c r="F13" s="83"/>
      <c r="G13" s="81"/>
      <c r="H13" s="82"/>
      <c r="I13" s="83"/>
      <c r="J13" s="81"/>
      <c r="K13" s="82"/>
      <c r="L13" s="83"/>
      <c r="M13" s="81"/>
      <c r="N13" s="82"/>
      <c r="O13" s="83"/>
      <c r="P13" s="81"/>
      <c r="Q13" s="82"/>
      <c r="R13" s="83"/>
      <c r="S13" s="81"/>
      <c r="T13" s="82"/>
      <c r="U13" s="83"/>
      <c r="V13" s="81"/>
      <c r="W13" s="82"/>
      <c r="X13" s="83"/>
      <c r="Y13" s="81"/>
      <c r="Z13" s="82"/>
      <c r="AA13" s="83"/>
      <c r="AB13" s="81"/>
      <c r="AC13" s="82"/>
      <c r="AD13" s="83"/>
      <c r="AE13" s="81"/>
      <c r="AF13" s="82"/>
      <c r="AG13" s="83"/>
      <c r="AH13" s="81"/>
      <c r="AI13" s="82"/>
      <c r="AJ13" s="83"/>
      <c r="AK13" s="81"/>
      <c r="AL13" s="82"/>
      <c r="AM13" s="83"/>
      <c r="AN13" s="81"/>
      <c r="AO13" s="82"/>
      <c r="AP13" s="83"/>
      <c r="AQ13" s="81"/>
      <c r="AR13" s="82"/>
      <c r="AS13" s="83"/>
      <c r="AT13" s="81"/>
      <c r="AU13" s="82"/>
      <c r="AV13" s="83"/>
      <c r="AW13" s="66"/>
      <c r="AX13" s="66"/>
      <c r="AY13" s="75"/>
    </row>
    <row r="14" spans="1:62" x14ac:dyDescent="0.3">
      <c r="A14" s="123">
        <f t="shared" si="0"/>
        <v>6</v>
      </c>
      <c r="B14" s="19"/>
      <c r="C14" s="24"/>
      <c r="D14" s="81"/>
      <c r="E14" s="82"/>
      <c r="F14" s="83"/>
      <c r="G14" s="81"/>
      <c r="H14" s="82"/>
      <c r="I14" s="83"/>
      <c r="J14" s="81"/>
      <c r="K14" s="82"/>
      <c r="L14" s="83"/>
      <c r="M14" s="81"/>
      <c r="N14" s="82"/>
      <c r="O14" s="83"/>
      <c r="P14" s="81"/>
      <c r="Q14" s="82"/>
      <c r="R14" s="83"/>
      <c r="S14" s="81"/>
      <c r="T14" s="82"/>
      <c r="U14" s="83"/>
      <c r="V14" s="81"/>
      <c r="W14" s="82"/>
      <c r="X14" s="83"/>
      <c r="Y14" s="81"/>
      <c r="Z14" s="82"/>
      <c r="AA14" s="83"/>
      <c r="AB14" s="81"/>
      <c r="AC14" s="82"/>
      <c r="AD14" s="83"/>
      <c r="AE14" s="81"/>
      <c r="AF14" s="82"/>
      <c r="AG14" s="83"/>
      <c r="AH14" s="81"/>
      <c r="AI14" s="82"/>
      <c r="AJ14" s="83"/>
      <c r="AK14" s="81"/>
      <c r="AL14" s="82"/>
      <c r="AM14" s="83"/>
      <c r="AN14" s="81"/>
      <c r="AO14" s="82"/>
      <c r="AP14" s="83"/>
      <c r="AQ14" s="81"/>
      <c r="AR14" s="82"/>
      <c r="AS14" s="83"/>
      <c r="AT14" s="81"/>
      <c r="AU14" s="82"/>
      <c r="AV14" s="83"/>
      <c r="AW14" s="66"/>
      <c r="AX14" s="66"/>
      <c r="AY14" s="75"/>
    </row>
    <row r="15" spans="1:62" x14ac:dyDescent="0.3">
      <c r="A15" s="123">
        <f t="shared" si="0"/>
        <v>7</v>
      </c>
      <c r="B15" s="19"/>
      <c r="C15" s="20"/>
      <c r="D15" s="81"/>
      <c r="E15" s="82"/>
      <c r="F15" s="83"/>
      <c r="G15" s="81"/>
      <c r="H15" s="82"/>
      <c r="I15" s="83"/>
      <c r="J15" s="81"/>
      <c r="K15" s="82"/>
      <c r="L15" s="83"/>
      <c r="M15" s="81"/>
      <c r="N15" s="82"/>
      <c r="O15" s="83"/>
      <c r="P15" s="81"/>
      <c r="Q15" s="82"/>
      <c r="R15" s="83"/>
      <c r="S15" s="81"/>
      <c r="T15" s="82"/>
      <c r="U15" s="83"/>
      <c r="V15" s="81"/>
      <c r="W15" s="82"/>
      <c r="X15" s="83"/>
      <c r="Y15" s="81"/>
      <c r="Z15" s="82"/>
      <c r="AA15" s="83"/>
      <c r="AB15" s="81"/>
      <c r="AC15" s="82"/>
      <c r="AD15" s="83"/>
      <c r="AE15" s="81"/>
      <c r="AF15" s="82"/>
      <c r="AG15" s="83"/>
      <c r="AH15" s="81"/>
      <c r="AI15" s="82"/>
      <c r="AJ15" s="83"/>
      <c r="AK15" s="81"/>
      <c r="AL15" s="82"/>
      <c r="AM15" s="83"/>
      <c r="AN15" s="81"/>
      <c r="AO15" s="82"/>
      <c r="AP15" s="83"/>
      <c r="AQ15" s="81"/>
      <c r="AR15" s="82"/>
      <c r="AS15" s="83"/>
      <c r="AT15" s="81"/>
      <c r="AU15" s="82"/>
      <c r="AV15" s="83"/>
      <c r="AW15" s="66"/>
      <c r="AX15" s="66"/>
      <c r="AY15" s="75"/>
    </row>
    <row r="16" spans="1:62" x14ac:dyDescent="0.3">
      <c r="A16" s="123">
        <f t="shared" si="0"/>
        <v>8</v>
      </c>
      <c r="B16" s="19"/>
      <c r="C16" s="20"/>
      <c r="D16" s="81"/>
      <c r="E16" s="82"/>
      <c r="F16" s="83"/>
      <c r="G16" s="81"/>
      <c r="H16" s="82"/>
      <c r="I16" s="83"/>
      <c r="J16" s="81"/>
      <c r="K16" s="82"/>
      <c r="L16" s="83"/>
      <c r="M16" s="81"/>
      <c r="N16" s="82"/>
      <c r="O16" s="83"/>
      <c r="P16" s="81"/>
      <c r="Q16" s="82"/>
      <c r="R16" s="83"/>
      <c r="S16" s="81"/>
      <c r="T16" s="82"/>
      <c r="U16" s="83"/>
      <c r="V16" s="81"/>
      <c r="W16" s="82"/>
      <c r="X16" s="83"/>
      <c r="Y16" s="81"/>
      <c r="Z16" s="82"/>
      <c r="AA16" s="83"/>
      <c r="AB16" s="81"/>
      <c r="AC16" s="82"/>
      <c r="AD16" s="83"/>
      <c r="AE16" s="81"/>
      <c r="AF16" s="82"/>
      <c r="AG16" s="83"/>
      <c r="AH16" s="81"/>
      <c r="AI16" s="82"/>
      <c r="AJ16" s="83"/>
      <c r="AK16" s="81"/>
      <c r="AL16" s="82"/>
      <c r="AM16" s="83"/>
      <c r="AN16" s="81"/>
      <c r="AO16" s="82"/>
      <c r="AP16" s="83"/>
      <c r="AQ16" s="81"/>
      <c r="AR16" s="82"/>
      <c r="AS16" s="83"/>
      <c r="AT16" s="81"/>
      <c r="AU16" s="82"/>
      <c r="AV16" s="83"/>
      <c r="AW16" s="66"/>
      <c r="AX16" s="66"/>
      <c r="AY16" s="75"/>
      <c r="AZ16" s="52"/>
    </row>
    <row r="17" spans="1:70" x14ac:dyDescent="0.3">
      <c r="A17" s="123">
        <f t="shared" si="0"/>
        <v>9</v>
      </c>
      <c r="B17" s="19"/>
      <c r="C17" s="20"/>
      <c r="D17" s="81"/>
      <c r="E17" s="82"/>
      <c r="F17" s="83"/>
      <c r="G17" s="81"/>
      <c r="H17" s="82"/>
      <c r="I17" s="83"/>
      <c r="J17" s="81"/>
      <c r="K17" s="82"/>
      <c r="L17" s="83"/>
      <c r="M17" s="81"/>
      <c r="N17" s="82"/>
      <c r="O17" s="83"/>
      <c r="P17" s="81"/>
      <c r="Q17" s="82"/>
      <c r="R17" s="83"/>
      <c r="S17" s="81"/>
      <c r="T17" s="82"/>
      <c r="U17" s="83"/>
      <c r="V17" s="81"/>
      <c r="W17" s="82"/>
      <c r="X17" s="83"/>
      <c r="Y17" s="81"/>
      <c r="Z17" s="82"/>
      <c r="AA17" s="83"/>
      <c r="AB17" s="81"/>
      <c r="AC17" s="82"/>
      <c r="AD17" s="83"/>
      <c r="AE17" s="81"/>
      <c r="AF17" s="82"/>
      <c r="AG17" s="83"/>
      <c r="AH17" s="81"/>
      <c r="AI17" s="82"/>
      <c r="AJ17" s="83"/>
      <c r="AK17" s="81"/>
      <c r="AL17" s="82"/>
      <c r="AM17" s="83"/>
      <c r="AN17" s="81"/>
      <c r="AO17" s="82"/>
      <c r="AP17" s="83"/>
      <c r="AQ17" s="81"/>
      <c r="AR17" s="82"/>
      <c r="AS17" s="83"/>
      <c r="AT17" s="81"/>
      <c r="AU17" s="82"/>
      <c r="AV17" s="83"/>
      <c r="AW17" s="66"/>
      <c r="AX17" s="66"/>
      <c r="AY17" s="75"/>
    </row>
    <row r="18" spans="1:70" ht="14.4" customHeight="1" x14ac:dyDescent="0.3">
      <c r="A18" s="123">
        <f t="shared" si="0"/>
        <v>10</v>
      </c>
      <c r="B18" s="19"/>
      <c r="C18" s="24"/>
      <c r="D18" s="81"/>
      <c r="E18" s="82"/>
      <c r="F18" s="83"/>
      <c r="G18" s="81"/>
      <c r="H18" s="82"/>
      <c r="I18" s="83"/>
      <c r="J18" s="81"/>
      <c r="K18" s="82"/>
      <c r="L18" s="83"/>
      <c r="M18" s="81"/>
      <c r="N18" s="82"/>
      <c r="O18" s="83"/>
      <c r="P18" s="81"/>
      <c r="Q18" s="82"/>
      <c r="R18" s="83"/>
      <c r="S18" s="81"/>
      <c r="T18" s="82"/>
      <c r="U18" s="83"/>
      <c r="V18" s="81"/>
      <c r="W18" s="82"/>
      <c r="X18" s="83"/>
      <c r="Y18" s="81"/>
      <c r="Z18" s="82"/>
      <c r="AA18" s="83"/>
      <c r="AB18" s="81"/>
      <c r="AC18" s="82"/>
      <c r="AD18" s="83"/>
      <c r="AE18" s="81"/>
      <c r="AF18" s="82"/>
      <c r="AG18" s="83"/>
      <c r="AH18" s="81"/>
      <c r="AI18" s="82"/>
      <c r="AJ18" s="83"/>
      <c r="AK18" s="81"/>
      <c r="AL18" s="82"/>
      <c r="AM18" s="83"/>
      <c r="AN18" s="81"/>
      <c r="AO18" s="82"/>
      <c r="AP18" s="83"/>
      <c r="AQ18" s="81"/>
      <c r="AR18" s="82"/>
      <c r="AS18" s="83"/>
      <c r="AT18" s="81"/>
      <c r="AU18" s="82"/>
      <c r="AV18" s="83"/>
      <c r="AW18" s="66"/>
      <c r="AX18" s="66"/>
      <c r="AY18" s="75"/>
    </row>
    <row r="19" spans="1:70" ht="15" customHeight="1" x14ac:dyDescent="0.3">
      <c r="A19" s="123">
        <f t="shared" si="0"/>
        <v>11</v>
      </c>
      <c r="B19" s="19"/>
      <c r="C19" s="24"/>
      <c r="D19" s="81"/>
      <c r="E19" s="82"/>
      <c r="F19" s="83"/>
      <c r="G19" s="81"/>
      <c r="H19" s="82"/>
      <c r="I19" s="83"/>
      <c r="J19" s="81"/>
      <c r="K19" s="82"/>
      <c r="L19" s="83"/>
      <c r="M19" s="81"/>
      <c r="N19" s="82"/>
      <c r="O19" s="83"/>
      <c r="P19" s="81"/>
      <c r="Q19" s="82"/>
      <c r="R19" s="83"/>
      <c r="S19" s="81"/>
      <c r="T19" s="82"/>
      <c r="U19" s="83"/>
      <c r="V19" s="81"/>
      <c r="W19" s="82"/>
      <c r="X19" s="83"/>
      <c r="Y19" s="81"/>
      <c r="Z19" s="82"/>
      <c r="AA19" s="83"/>
      <c r="AB19" s="81"/>
      <c r="AC19" s="82"/>
      <c r="AD19" s="83"/>
      <c r="AE19" s="81"/>
      <c r="AF19" s="82"/>
      <c r="AG19" s="83"/>
      <c r="AH19" s="81"/>
      <c r="AI19" s="82"/>
      <c r="AJ19" s="83"/>
      <c r="AK19" s="81"/>
      <c r="AL19" s="82"/>
      <c r="AM19" s="83"/>
      <c r="AN19" s="81"/>
      <c r="AO19" s="82"/>
      <c r="AP19" s="83"/>
      <c r="AQ19" s="81"/>
      <c r="AR19" s="82"/>
      <c r="AS19" s="83"/>
      <c r="AT19" s="81"/>
      <c r="AU19" s="82"/>
      <c r="AV19" s="83"/>
      <c r="AW19" s="66"/>
      <c r="AX19" s="66"/>
      <c r="AY19" s="76"/>
    </row>
    <row r="20" spans="1:70" x14ac:dyDescent="0.3">
      <c r="A20" s="123">
        <f t="shared" si="0"/>
        <v>12</v>
      </c>
      <c r="B20" s="48"/>
      <c r="C20" s="24"/>
      <c r="D20" s="81"/>
      <c r="E20" s="82"/>
      <c r="F20" s="83"/>
      <c r="G20" s="81"/>
      <c r="H20" s="82"/>
      <c r="I20" s="83"/>
      <c r="J20" s="81"/>
      <c r="K20" s="82"/>
      <c r="L20" s="83"/>
      <c r="M20" s="81"/>
      <c r="N20" s="82"/>
      <c r="O20" s="83"/>
      <c r="P20" s="81"/>
      <c r="Q20" s="82"/>
      <c r="R20" s="83"/>
      <c r="S20" s="81"/>
      <c r="T20" s="82"/>
      <c r="U20" s="83"/>
      <c r="V20" s="81"/>
      <c r="W20" s="82"/>
      <c r="X20" s="83"/>
      <c r="Y20" s="81"/>
      <c r="Z20" s="82"/>
      <c r="AA20" s="83"/>
      <c r="AB20" s="81"/>
      <c r="AC20" s="82"/>
      <c r="AD20" s="83"/>
      <c r="AE20" s="81"/>
      <c r="AF20" s="82"/>
      <c r="AG20" s="83"/>
      <c r="AH20" s="81"/>
      <c r="AI20" s="82"/>
      <c r="AJ20" s="83"/>
      <c r="AK20" s="81"/>
      <c r="AL20" s="82"/>
      <c r="AM20" s="83"/>
      <c r="AN20" s="81"/>
      <c r="AO20" s="82"/>
      <c r="AP20" s="83"/>
      <c r="AQ20" s="81"/>
      <c r="AR20" s="82"/>
      <c r="AS20" s="83"/>
      <c r="AT20" s="81"/>
      <c r="AU20" s="82"/>
      <c r="AV20" s="83"/>
      <c r="AW20" s="66"/>
      <c r="AX20" s="66"/>
      <c r="AY20" s="75"/>
    </row>
    <row r="21" spans="1:70" x14ac:dyDescent="0.3">
      <c r="A21" s="123">
        <f t="shared" si="0"/>
        <v>13</v>
      </c>
      <c r="B21" s="48"/>
      <c r="C21" s="24"/>
      <c r="D21" s="81"/>
      <c r="E21" s="82"/>
      <c r="F21" s="83"/>
      <c r="G21" s="81"/>
      <c r="H21" s="82"/>
      <c r="I21" s="83"/>
      <c r="J21" s="81"/>
      <c r="K21" s="82"/>
      <c r="L21" s="83"/>
      <c r="M21" s="81"/>
      <c r="N21" s="82"/>
      <c r="O21" s="83"/>
      <c r="P21" s="81"/>
      <c r="Q21" s="82"/>
      <c r="R21" s="83"/>
      <c r="S21" s="81"/>
      <c r="T21" s="82"/>
      <c r="U21" s="83"/>
      <c r="V21" s="81"/>
      <c r="W21" s="82"/>
      <c r="X21" s="83"/>
      <c r="Y21" s="81"/>
      <c r="Z21" s="82"/>
      <c r="AA21" s="83"/>
      <c r="AB21" s="81"/>
      <c r="AC21" s="82"/>
      <c r="AD21" s="83"/>
      <c r="AE21" s="81"/>
      <c r="AF21" s="82"/>
      <c r="AG21" s="83"/>
      <c r="AH21" s="81"/>
      <c r="AI21" s="82"/>
      <c r="AJ21" s="83"/>
      <c r="AK21" s="81"/>
      <c r="AL21" s="82"/>
      <c r="AM21" s="83"/>
      <c r="AN21" s="81"/>
      <c r="AO21" s="82"/>
      <c r="AP21" s="83"/>
      <c r="AQ21" s="81"/>
      <c r="AR21" s="82"/>
      <c r="AS21" s="83"/>
      <c r="AT21" s="81"/>
      <c r="AU21" s="82"/>
      <c r="AV21" s="83"/>
      <c r="AW21" s="66"/>
      <c r="AX21" s="66"/>
      <c r="AY21" s="76"/>
    </row>
    <row r="22" spans="1:70" x14ac:dyDescent="0.3">
      <c r="A22" s="123">
        <f t="shared" si="0"/>
        <v>14</v>
      </c>
      <c r="B22" s="19"/>
      <c r="C22" s="24"/>
      <c r="D22" s="81"/>
      <c r="E22" s="82"/>
      <c r="F22" s="83"/>
      <c r="G22" s="81"/>
      <c r="H22" s="82"/>
      <c r="I22" s="83"/>
      <c r="J22" s="81"/>
      <c r="K22" s="82"/>
      <c r="L22" s="83"/>
      <c r="M22" s="81"/>
      <c r="N22" s="82"/>
      <c r="O22" s="83"/>
      <c r="P22" s="81"/>
      <c r="Q22" s="82"/>
      <c r="R22" s="83"/>
      <c r="S22" s="81"/>
      <c r="T22" s="82"/>
      <c r="U22" s="83"/>
      <c r="V22" s="81"/>
      <c r="W22" s="82"/>
      <c r="X22" s="83"/>
      <c r="Y22" s="81"/>
      <c r="Z22" s="82"/>
      <c r="AA22" s="83"/>
      <c r="AB22" s="81"/>
      <c r="AC22" s="82"/>
      <c r="AD22" s="83"/>
      <c r="AE22" s="81"/>
      <c r="AF22" s="82"/>
      <c r="AG22" s="83"/>
      <c r="AH22" s="81"/>
      <c r="AI22" s="82"/>
      <c r="AJ22" s="83"/>
      <c r="AK22" s="81"/>
      <c r="AL22" s="82"/>
      <c r="AM22" s="83"/>
      <c r="AN22" s="81"/>
      <c r="AO22" s="82"/>
      <c r="AP22" s="83"/>
      <c r="AQ22" s="81"/>
      <c r="AR22" s="82"/>
      <c r="AS22" s="83"/>
      <c r="AT22" s="81"/>
      <c r="AU22" s="82"/>
      <c r="AV22" s="83"/>
      <c r="AW22" s="66"/>
      <c r="AX22" s="66"/>
      <c r="AY22" s="75"/>
    </row>
    <row r="23" spans="1:70" x14ac:dyDescent="0.3">
      <c r="A23" s="123">
        <f t="shared" si="0"/>
        <v>15</v>
      </c>
      <c r="B23" s="19"/>
      <c r="C23" s="24"/>
      <c r="D23" s="81"/>
      <c r="E23" s="82"/>
      <c r="F23" s="83"/>
      <c r="G23" s="81"/>
      <c r="H23" s="82"/>
      <c r="I23" s="83"/>
      <c r="J23" s="81"/>
      <c r="K23" s="82"/>
      <c r="L23" s="83"/>
      <c r="M23" s="81"/>
      <c r="N23" s="82"/>
      <c r="O23" s="83"/>
      <c r="P23" s="81"/>
      <c r="Q23" s="82"/>
      <c r="R23" s="83"/>
      <c r="S23" s="81"/>
      <c r="T23" s="82"/>
      <c r="U23" s="83"/>
      <c r="V23" s="81"/>
      <c r="W23" s="82"/>
      <c r="X23" s="83"/>
      <c r="Y23" s="81"/>
      <c r="Z23" s="82"/>
      <c r="AA23" s="83"/>
      <c r="AB23" s="81"/>
      <c r="AC23" s="82"/>
      <c r="AD23" s="83"/>
      <c r="AE23" s="81"/>
      <c r="AF23" s="82"/>
      <c r="AG23" s="83"/>
      <c r="AH23" s="81"/>
      <c r="AI23" s="82"/>
      <c r="AJ23" s="83"/>
      <c r="AK23" s="81"/>
      <c r="AL23" s="82"/>
      <c r="AM23" s="83"/>
      <c r="AN23" s="81"/>
      <c r="AO23" s="82"/>
      <c r="AP23" s="83"/>
      <c r="AQ23" s="81"/>
      <c r="AR23" s="82"/>
      <c r="AS23" s="83"/>
      <c r="AT23" s="81"/>
      <c r="AU23" s="82"/>
      <c r="AV23" s="83"/>
      <c r="AW23" s="66"/>
      <c r="AX23" s="66"/>
      <c r="AY23" s="75"/>
    </row>
    <row r="24" spans="1:70" ht="14.4" customHeight="1" x14ac:dyDescent="0.3">
      <c r="A24" s="123">
        <f t="shared" si="0"/>
        <v>16</v>
      </c>
      <c r="B24" s="19"/>
      <c r="C24" s="24"/>
      <c r="D24" s="81"/>
      <c r="E24" s="82"/>
      <c r="F24" s="83"/>
      <c r="G24" s="81"/>
      <c r="H24" s="82"/>
      <c r="I24" s="83"/>
      <c r="J24" s="81"/>
      <c r="K24" s="82"/>
      <c r="L24" s="83"/>
      <c r="M24" s="81"/>
      <c r="N24" s="82"/>
      <c r="O24" s="83"/>
      <c r="P24" s="81"/>
      <c r="Q24" s="82"/>
      <c r="R24" s="83"/>
      <c r="S24" s="81"/>
      <c r="T24" s="82"/>
      <c r="U24" s="83"/>
      <c r="V24" s="81"/>
      <c r="W24" s="82"/>
      <c r="X24" s="83"/>
      <c r="Y24" s="81"/>
      <c r="Z24" s="82"/>
      <c r="AA24" s="83"/>
      <c r="AB24" s="81"/>
      <c r="AC24" s="82"/>
      <c r="AD24" s="83"/>
      <c r="AE24" s="81"/>
      <c r="AF24" s="82"/>
      <c r="AG24" s="83"/>
      <c r="AH24" s="81"/>
      <c r="AI24" s="82"/>
      <c r="AJ24" s="83"/>
      <c r="AK24" s="81"/>
      <c r="AL24" s="82"/>
      <c r="AM24" s="83"/>
      <c r="AN24" s="81"/>
      <c r="AO24" s="82"/>
      <c r="AP24" s="83"/>
      <c r="AQ24" s="81"/>
      <c r="AR24" s="82"/>
      <c r="AS24" s="83"/>
      <c r="AT24" s="81"/>
      <c r="AU24" s="82"/>
      <c r="AV24" s="83"/>
      <c r="AW24" s="66"/>
      <c r="AX24" s="66"/>
      <c r="AY24" s="76"/>
    </row>
    <row r="25" spans="1:70" ht="15" customHeight="1" x14ac:dyDescent="0.3">
      <c r="A25" s="123">
        <f t="shared" si="0"/>
        <v>17</v>
      </c>
      <c r="B25" s="19"/>
      <c r="C25" s="24"/>
      <c r="D25" s="81"/>
      <c r="E25" s="82"/>
      <c r="F25" s="83"/>
      <c r="G25" s="81"/>
      <c r="H25" s="82"/>
      <c r="I25" s="83"/>
      <c r="J25" s="81"/>
      <c r="K25" s="82"/>
      <c r="L25" s="83"/>
      <c r="M25" s="81"/>
      <c r="N25" s="82"/>
      <c r="O25" s="83"/>
      <c r="P25" s="81"/>
      <c r="Q25" s="82"/>
      <c r="R25" s="83"/>
      <c r="S25" s="81"/>
      <c r="T25" s="82"/>
      <c r="U25" s="83"/>
      <c r="V25" s="81"/>
      <c r="W25" s="82"/>
      <c r="X25" s="83"/>
      <c r="Y25" s="81"/>
      <c r="Z25" s="82"/>
      <c r="AA25" s="83"/>
      <c r="AB25" s="81"/>
      <c r="AC25" s="82"/>
      <c r="AD25" s="83"/>
      <c r="AE25" s="81"/>
      <c r="AF25" s="82"/>
      <c r="AG25" s="83"/>
      <c r="AH25" s="81"/>
      <c r="AI25" s="82"/>
      <c r="AJ25" s="83"/>
      <c r="AK25" s="81"/>
      <c r="AL25" s="82"/>
      <c r="AM25" s="83"/>
      <c r="AN25" s="81"/>
      <c r="AO25" s="82"/>
      <c r="AP25" s="83"/>
      <c r="AQ25" s="81"/>
      <c r="AR25" s="82"/>
      <c r="AS25" s="83"/>
      <c r="AT25" s="81"/>
      <c r="AU25" s="82"/>
      <c r="AV25" s="83"/>
      <c r="AW25" s="66"/>
      <c r="AX25" s="66"/>
      <c r="AY25" s="75"/>
    </row>
    <row r="26" spans="1:70" x14ac:dyDescent="0.3">
      <c r="A26" s="123">
        <f t="shared" si="0"/>
        <v>18</v>
      </c>
      <c r="B26" s="19"/>
      <c r="C26" s="24"/>
      <c r="D26" s="81"/>
      <c r="E26" s="82"/>
      <c r="F26" s="83"/>
      <c r="G26" s="81"/>
      <c r="H26" s="82"/>
      <c r="I26" s="83"/>
      <c r="J26" s="81"/>
      <c r="K26" s="82"/>
      <c r="L26" s="83"/>
      <c r="M26" s="81"/>
      <c r="N26" s="82"/>
      <c r="O26" s="83"/>
      <c r="P26" s="81"/>
      <c r="Q26" s="82"/>
      <c r="R26" s="83"/>
      <c r="S26" s="81"/>
      <c r="T26" s="82"/>
      <c r="U26" s="83"/>
      <c r="V26" s="81"/>
      <c r="W26" s="82"/>
      <c r="X26" s="83"/>
      <c r="Y26" s="81"/>
      <c r="Z26" s="82"/>
      <c r="AA26" s="83"/>
      <c r="AB26" s="81"/>
      <c r="AC26" s="82"/>
      <c r="AD26" s="83"/>
      <c r="AE26" s="81"/>
      <c r="AF26" s="82"/>
      <c r="AG26" s="83"/>
      <c r="AH26" s="81"/>
      <c r="AI26" s="82"/>
      <c r="AJ26" s="83"/>
      <c r="AK26" s="81"/>
      <c r="AL26" s="82"/>
      <c r="AM26" s="83"/>
      <c r="AN26" s="81"/>
      <c r="AO26" s="82"/>
      <c r="AP26" s="83"/>
      <c r="AQ26" s="81"/>
      <c r="AR26" s="82"/>
      <c r="AS26" s="83"/>
      <c r="AT26" s="81"/>
      <c r="AU26" s="82"/>
      <c r="AV26" s="83"/>
      <c r="AW26" s="66"/>
      <c r="AX26" s="66"/>
      <c r="AY26" s="76"/>
    </row>
    <row r="27" spans="1:70" x14ac:dyDescent="0.3">
      <c r="A27" s="123">
        <f t="shared" si="0"/>
        <v>19</v>
      </c>
      <c r="B27" s="19"/>
      <c r="C27" s="24"/>
      <c r="D27" s="81"/>
      <c r="E27" s="82"/>
      <c r="F27" s="83"/>
      <c r="G27" s="81"/>
      <c r="H27" s="82"/>
      <c r="I27" s="83"/>
      <c r="J27" s="81"/>
      <c r="K27" s="82"/>
      <c r="L27" s="83"/>
      <c r="M27" s="81"/>
      <c r="N27" s="82"/>
      <c r="O27" s="83"/>
      <c r="P27" s="81"/>
      <c r="Q27" s="82"/>
      <c r="R27" s="83"/>
      <c r="S27" s="81"/>
      <c r="T27" s="82"/>
      <c r="U27" s="83"/>
      <c r="V27" s="81"/>
      <c r="W27" s="82"/>
      <c r="X27" s="83"/>
      <c r="Y27" s="81"/>
      <c r="Z27" s="82"/>
      <c r="AA27" s="83"/>
      <c r="AB27" s="81"/>
      <c r="AC27" s="82"/>
      <c r="AD27" s="83"/>
      <c r="AE27" s="81"/>
      <c r="AF27" s="82"/>
      <c r="AG27" s="83"/>
      <c r="AH27" s="81"/>
      <c r="AI27" s="82"/>
      <c r="AJ27" s="83"/>
      <c r="AK27" s="81"/>
      <c r="AL27" s="82"/>
      <c r="AM27" s="83"/>
      <c r="AN27" s="81"/>
      <c r="AO27" s="82"/>
      <c r="AP27" s="83"/>
      <c r="AQ27" s="81"/>
      <c r="AR27" s="82"/>
      <c r="AS27" s="83"/>
      <c r="AT27" s="81"/>
      <c r="AU27" s="82"/>
      <c r="AV27" s="83"/>
      <c r="AW27" s="66"/>
      <c r="AX27" s="66"/>
      <c r="AY27" s="75"/>
    </row>
    <row r="28" spans="1:70" x14ac:dyDescent="0.3">
      <c r="A28" s="123">
        <f t="shared" si="0"/>
        <v>20</v>
      </c>
      <c r="B28" s="19"/>
      <c r="C28" s="24"/>
      <c r="D28" s="81"/>
      <c r="E28" s="82"/>
      <c r="F28" s="83"/>
      <c r="G28" s="81"/>
      <c r="H28" s="82"/>
      <c r="I28" s="83"/>
      <c r="J28" s="81"/>
      <c r="K28" s="82"/>
      <c r="L28" s="83"/>
      <c r="M28" s="81"/>
      <c r="N28" s="82"/>
      <c r="O28" s="83"/>
      <c r="P28" s="81"/>
      <c r="Q28" s="82"/>
      <c r="R28" s="83"/>
      <c r="S28" s="81"/>
      <c r="T28" s="82"/>
      <c r="U28" s="83"/>
      <c r="V28" s="81"/>
      <c r="W28" s="82"/>
      <c r="X28" s="83"/>
      <c r="Y28" s="81"/>
      <c r="Z28" s="82"/>
      <c r="AA28" s="83"/>
      <c r="AB28" s="81"/>
      <c r="AC28" s="82"/>
      <c r="AD28" s="83"/>
      <c r="AE28" s="81"/>
      <c r="AF28" s="82"/>
      <c r="AG28" s="83"/>
      <c r="AH28" s="81"/>
      <c r="AI28" s="82"/>
      <c r="AJ28" s="83"/>
      <c r="AK28" s="81"/>
      <c r="AL28" s="82"/>
      <c r="AM28" s="83"/>
      <c r="AN28" s="81"/>
      <c r="AO28" s="82"/>
      <c r="AP28" s="83"/>
      <c r="AQ28" s="81"/>
      <c r="AR28" s="82"/>
      <c r="AS28" s="83"/>
      <c r="AT28" s="81"/>
      <c r="AU28" s="82"/>
      <c r="AV28" s="83"/>
      <c r="AW28" s="66"/>
      <c r="AX28" s="66"/>
      <c r="AY28" s="75"/>
    </row>
    <row r="29" spans="1:70" x14ac:dyDescent="0.3">
      <c r="A29" s="123">
        <f t="shared" si="0"/>
        <v>21</v>
      </c>
      <c r="B29" s="19"/>
      <c r="C29" s="24"/>
      <c r="D29" s="81"/>
      <c r="E29" s="82"/>
      <c r="F29" s="83"/>
      <c r="G29" s="81"/>
      <c r="H29" s="82"/>
      <c r="I29" s="83"/>
      <c r="J29" s="81"/>
      <c r="K29" s="82"/>
      <c r="L29" s="83"/>
      <c r="M29" s="81"/>
      <c r="N29" s="82"/>
      <c r="O29" s="83"/>
      <c r="P29" s="81"/>
      <c r="Q29" s="82"/>
      <c r="R29" s="83"/>
      <c r="S29" s="81"/>
      <c r="T29" s="82"/>
      <c r="U29" s="83"/>
      <c r="V29" s="81"/>
      <c r="W29" s="82"/>
      <c r="X29" s="83"/>
      <c r="Y29" s="81"/>
      <c r="Z29" s="82"/>
      <c r="AA29" s="83"/>
      <c r="AB29" s="81"/>
      <c r="AC29" s="82"/>
      <c r="AD29" s="83"/>
      <c r="AE29" s="81"/>
      <c r="AF29" s="82"/>
      <c r="AG29" s="83"/>
      <c r="AH29" s="81"/>
      <c r="AI29" s="82"/>
      <c r="AJ29" s="83"/>
      <c r="AK29" s="81"/>
      <c r="AL29" s="82"/>
      <c r="AM29" s="83"/>
      <c r="AN29" s="81"/>
      <c r="AO29" s="82"/>
      <c r="AP29" s="83"/>
      <c r="AQ29" s="81"/>
      <c r="AR29" s="82"/>
      <c r="AS29" s="83"/>
      <c r="AT29" s="81"/>
      <c r="AU29" s="82"/>
      <c r="AV29" s="83"/>
      <c r="AW29" s="66"/>
      <c r="AX29" s="66"/>
      <c r="AY29" s="75"/>
    </row>
    <row r="30" spans="1:70" x14ac:dyDescent="0.3">
      <c r="A30" s="123">
        <f t="shared" si="0"/>
        <v>22</v>
      </c>
      <c r="B30" s="19"/>
      <c r="C30" s="24"/>
      <c r="D30" s="81"/>
      <c r="E30" s="82"/>
      <c r="F30" s="83"/>
      <c r="G30" s="81"/>
      <c r="H30" s="82"/>
      <c r="I30" s="83"/>
      <c r="J30" s="81"/>
      <c r="K30" s="82"/>
      <c r="L30" s="83"/>
      <c r="M30" s="81"/>
      <c r="N30" s="82"/>
      <c r="O30" s="83"/>
      <c r="P30" s="81"/>
      <c r="Q30" s="82"/>
      <c r="R30" s="83"/>
      <c r="S30" s="81"/>
      <c r="T30" s="82"/>
      <c r="U30" s="83"/>
      <c r="V30" s="81"/>
      <c r="W30" s="82"/>
      <c r="X30" s="83"/>
      <c r="Y30" s="81"/>
      <c r="Z30" s="82"/>
      <c r="AA30" s="83"/>
      <c r="AB30" s="81"/>
      <c r="AC30" s="82"/>
      <c r="AD30" s="83"/>
      <c r="AE30" s="81"/>
      <c r="AF30" s="82"/>
      <c r="AG30" s="83"/>
      <c r="AH30" s="81"/>
      <c r="AI30" s="82"/>
      <c r="AJ30" s="83"/>
      <c r="AK30" s="81"/>
      <c r="AL30" s="82"/>
      <c r="AM30" s="83"/>
      <c r="AN30" s="81"/>
      <c r="AO30" s="82"/>
      <c r="AP30" s="83"/>
      <c r="AQ30" s="81"/>
      <c r="AR30" s="82"/>
      <c r="AS30" s="83"/>
      <c r="AT30" s="81"/>
      <c r="AU30" s="82"/>
      <c r="AV30" s="83"/>
      <c r="AW30" s="66"/>
      <c r="AX30" s="66"/>
      <c r="AY30" s="75"/>
    </row>
    <row r="31" spans="1:70" x14ac:dyDescent="0.3">
      <c r="A31" s="123">
        <f t="shared" si="0"/>
        <v>23</v>
      </c>
      <c r="B31" s="19"/>
      <c r="C31" s="24"/>
      <c r="D31" s="81"/>
      <c r="E31" s="82"/>
      <c r="F31" s="83"/>
      <c r="G31" s="81"/>
      <c r="H31" s="82"/>
      <c r="I31" s="83"/>
      <c r="J31" s="81"/>
      <c r="K31" s="82"/>
      <c r="L31" s="83"/>
      <c r="M31" s="81"/>
      <c r="N31" s="82"/>
      <c r="O31" s="83"/>
      <c r="P31" s="81"/>
      <c r="Q31" s="82"/>
      <c r="R31" s="83"/>
      <c r="S31" s="81"/>
      <c r="T31" s="82"/>
      <c r="U31" s="83"/>
      <c r="V31" s="81"/>
      <c r="W31" s="82"/>
      <c r="X31" s="83"/>
      <c r="Y31" s="81"/>
      <c r="Z31" s="82"/>
      <c r="AA31" s="83"/>
      <c r="AB31" s="81"/>
      <c r="AC31" s="82"/>
      <c r="AD31" s="83"/>
      <c r="AE31" s="81"/>
      <c r="AF31" s="82"/>
      <c r="AG31" s="83"/>
      <c r="AH31" s="81"/>
      <c r="AI31" s="82"/>
      <c r="AJ31" s="83"/>
      <c r="AK31" s="81"/>
      <c r="AL31" s="82"/>
      <c r="AM31" s="83"/>
      <c r="AN31" s="81"/>
      <c r="AO31" s="82"/>
      <c r="AP31" s="83"/>
      <c r="AQ31" s="81"/>
      <c r="AR31" s="82"/>
      <c r="AS31" s="83"/>
      <c r="AT31" s="81"/>
      <c r="AU31" s="82"/>
      <c r="AV31" s="83"/>
      <c r="AW31" s="66"/>
      <c r="AX31" s="66"/>
      <c r="AY31" s="75"/>
      <c r="BR31">
        <f>(AX31+AX35+AX36)/3</f>
        <v>0</v>
      </c>
    </row>
    <row r="32" spans="1:70" x14ac:dyDescent="0.3">
      <c r="A32" s="123">
        <f t="shared" si="0"/>
        <v>24</v>
      </c>
      <c r="B32" s="19"/>
      <c r="C32" s="24"/>
      <c r="D32" s="81"/>
      <c r="E32" s="82"/>
      <c r="F32" s="83"/>
      <c r="G32" s="81"/>
      <c r="H32" s="82"/>
      <c r="I32" s="83"/>
      <c r="J32" s="81"/>
      <c r="K32" s="82"/>
      <c r="L32" s="83"/>
      <c r="M32" s="81"/>
      <c r="N32" s="82"/>
      <c r="O32" s="83"/>
      <c r="P32" s="81"/>
      <c r="Q32" s="82"/>
      <c r="R32" s="83"/>
      <c r="S32" s="81"/>
      <c r="T32" s="82"/>
      <c r="U32" s="83"/>
      <c r="V32" s="81"/>
      <c r="W32" s="82"/>
      <c r="X32" s="83"/>
      <c r="Y32" s="81"/>
      <c r="Z32" s="82"/>
      <c r="AA32" s="83"/>
      <c r="AB32" s="81"/>
      <c r="AC32" s="82"/>
      <c r="AD32" s="83"/>
      <c r="AE32" s="81"/>
      <c r="AF32" s="82"/>
      <c r="AG32" s="83"/>
      <c r="AH32" s="81"/>
      <c r="AI32" s="82"/>
      <c r="AJ32" s="83"/>
      <c r="AK32" s="81"/>
      <c r="AL32" s="82"/>
      <c r="AM32" s="83"/>
      <c r="AN32" s="81"/>
      <c r="AO32" s="82"/>
      <c r="AP32" s="83"/>
      <c r="AQ32" s="81"/>
      <c r="AR32" s="82"/>
      <c r="AS32" s="83"/>
      <c r="AT32" s="81"/>
      <c r="AU32" s="82"/>
      <c r="AV32" s="83"/>
      <c r="AW32" s="66"/>
      <c r="AX32" s="66"/>
      <c r="AY32" s="75"/>
    </row>
    <row r="33" spans="1:70" x14ac:dyDescent="0.3">
      <c r="A33" s="123">
        <f t="shared" si="0"/>
        <v>25</v>
      </c>
      <c r="B33" s="19"/>
      <c r="C33" s="24"/>
      <c r="D33" s="81"/>
      <c r="E33" s="82"/>
      <c r="F33" s="83"/>
      <c r="G33" s="81"/>
      <c r="H33" s="82"/>
      <c r="I33" s="83"/>
      <c r="J33" s="81"/>
      <c r="K33" s="82"/>
      <c r="L33" s="83"/>
      <c r="M33" s="81"/>
      <c r="N33" s="82"/>
      <c r="O33" s="83"/>
      <c r="P33" s="81"/>
      <c r="Q33" s="82"/>
      <c r="R33" s="83"/>
      <c r="S33" s="81"/>
      <c r="T33" s="82"/>
      <c r="U33" s="83"/>
      <c r="V33" s="81"/>
      <c r="W33" s="82"/>
      <c r="X33" s="83"/>
      <c r="Y33" s="81"/>
      <c r="Z33" s="82"/>
      <c r="AA33" s="83"/>
      <c r="AB33" s="81"/>
      <c r="AC33" s="82"/>
      <c r="AD33" s="83"/>
      <c r="AE33" s="81"/>
      <c r="AF33" s="82"/>
      <c r="AG33" s="83"/>
      <c r="AH33" s="81"/>
      <c r="AI33" s="82"/>
      <c r="AJ33" s="83"/>
      <c r="AK33" s="81"/>
      <c r="AL33" s="82"/>
      <c r="AM33" s="83"/>
      <c r="AN33" s="81"/>
      <c r="AO33" s="82"/>
      <c r="AP33" s="83"/>
      <c r="AQ33" s="81"/>
      <c r="AR33" s="82"/>
      <c r="AS33" s="83"/>
      <c r="AT33" s="81"/>
      <c r="AU33" s="82"/>
      <c r="AV33" s="83"/>
      <c r="AW33" s="66"/>
      <c r="AX33" s="66"/>
      <c r="AY33" s="76"/>
    </row>
    <row r="34" spans="1:70" x14ac:dyDescent="0.3">
      <c r="A34" s="123">
        <f t="shared" si="0"/>
        <v>26</v>
      </c>
      <c r="B34" s="19"/>
      <c r="C34" s="24"/>
      <c r="D34" s="81"/>
      <c r="E34" s="82"/>
      <c r="F34" s="83"/>
      <c r="G34" s="81"/>
      <c r="H34" s="82"/>
      <c r="I34" s="83"/>
      <c r="J34" s="81"/>
      <c r="K34" s="82"/>
      <c r="L34" s="83"/>
      <c r="M34" s="81"/>
      <c r="N34" s="82"/>
      <c r="O34" s="83"/>
      <c r="P34" s="81"/>
      <c r="Q34" s="82"/>
      <c r="R34" s="83"/>
      <c r="S34" s="81"/>
      <c r="T34" s="82"/>
      <c r="U34" s="83"/>
      <c r="V34" s="81"/>
      <c r="W34" s="82"/>
      <c r="X34" s="83"/>
      <c r="Y34" s="81"/>
      <c r="Z34" s="82"/>
      <c r="AA34" s="83"/>
      <c r="AB34" s="81"/>
      <c r="AC34" s="82"/>
      <c r="AD34" s="83"/>
      <c r="AE34" s="81"/>
      <c r="AF34" s="82"/>
      <c r="AG34" s="83"/>
      <c r="AH34" s="81"/>
      <c r="AI34" s="82"/>
      <c r="AJ34" s="83"/>
      <c r="AK34" s="81"/>
      <c r="AL34" s="82"/>
      <c r="AM34" s="83"/>
      <c r="AN34" s="81"/>
      <c r="AO34" s="82"/>
      <c r="AP34" s="83"/>
      <c r="AQ34" s="81"/>
      <c r="AR34" s="82"/>
      <c r="AS34" s="83"/>
      <c r="AT34" s="81"/>
      <c r="AU34" s="82"/>
      <c r="AV34" s="83"/>
      <c r="AW34" s="66"/>
      <c r="AX34" s="66"/>
      <c r="AY34" s="76"/>
      <c r="BP34">
        <f>_xlfn.MINIFS($A$9:$A$78,$B$9:$B$78,$BI$9)+7</f>
        <v>7</v>
      </c>
    </row>
    <row r="35" spans="1:70" x14ac:dyDescent="0.3">
      <c r="A35" s="123">
        <f t="shared" si="0"/>
        <v>27</v>
      </c>
      <c r="B35" s="19"/>
      <c r="C35" s="24"/>
      <c r="D35" s="81"/>
      <c r="E35" s="82"/>
      <c r="F35" s="83"/>
      <c r="G35" s="81"/>
      <c r="H35" s="82"/>
      <c r="I35" s="83"/>
      <c r="J35" s="81"/>
      <c r="K35" s="82"/>
      <c r="L35" s="83"/>
      <c r="M35" s="81"/>
      <c r="N35" s="82"/>
      <c r="O35" s="83"/>
      <c r="P35" s="81"/>
      <c r="Q35" s="82"/>
      <c r="R35" s="83"/>
      <c r="S35" s="81"/>
      <c r="T35" s="82"/>
      <c r="U35" s="83"/>
      <c r="V35" s="81"/>
      <c r="W35" s="82"/>
      <c r="X35" s="83"/>
      <c r="Y35" s="81"/>
      <c r="Z35" s="82"/>
      <c r="AA35" s="83"/>
      <c r="AB35" s="81"/>
      <c r="AC35" s="82"/>
      <c r="AD35" s="83"/>
      <c r="AE35" s="81"/>
      <c r="AF35" s="82"/>
      <c r="AG35" s="83"/>
      <c r="AH35" s="81"/>
      <c r="AI35" s="82"/>
      <c r="AJ35" s="83"/>
      <c r="AK35" s="81"/>
      <c r="AL35" s="82"/>
      <c r="AM35" s="83"/>
      <c r="AN35" s="81"/>
      <c r="AO35" s="82"/>
      <c r="AP35" s="83"/>
      <c r="AQ35" s="81"/>
      <c r="AR35" s="82"/>
      <c r="AS35" s="83"/>
      <c r="AT35" s="81"/>
      <c r="AU35" s="82"/>
      <c r="AV35" s="83"/>
      <c r="AW35" s="66"/>
      <c r="AX35" s="66"/>
      <c r="AY35" s="76"/>
    </row>
    <row r="36" spans="1:70" ht="14.4" customHeight="1" x14ac:dyDescent="0.3">
      <c r="A36" s="123">
        <f t="shared" si="0"/>
        <v>28</v>
      </c>
      <c r="B36" s="19"/>
      <c r="C36" s="24"/>
      <c r="D36" s="81"/>
      <c r="E36" s="82"/>
      <c r="F36" s="83"/>
      <c r="G36" s="81"/>
      <c r="H36" s="82"/>
      <c r="I36" s="83"/>
      <c r="J36" s="81"/>
      <c r="K36" s="82"/>
      <c r="L36" s="83"/>
      <c r="M36" s="81"/>
      <c r="N36" s="82"/>
      <c r="O36" s="83"/>
      <c r="P36" s="81"/>
      <c r="Q36" s="82"/>
      <c r="R36" s="83"/>
      <c r="S36" s="81"/>
      <c r="T36" s="82"/>
      <c r="U36" s="83"/>
      <c r="V36" s="81"/>
      <c r="W36" s="82"/>
      <c r="X36" s="83"/>
      <c r="Y36" s="81"/>
      <c r="Z36" s="82"/>
      <c r="AA36" s="83"/>
      <c r="AB36" s="81"/>
      <c r="AC36" s="82"/>
      <c r="AD36" s="83"/>
      <c r="AE36" s="81"/>
      <c r="AF36" s="82"/>
      <c r="AG36" s="83"/>
      <c r="AH36" s="81"/>
      <c r="AI36" s="82"/>
      <c r="AJ36" s="83"/>
      <c r="AK36" s="81"/>
      <c r="AL36" s="82"/>
      <c r="AM36" s="83"/>
      <c r="AN36" s="81"/>
      <c r="AO36" s="82"/>
      <c r="AP36" s="83"/>
      <c r="AQ36" s="81"/>
      <c r="AR36" s="82"/>
      <c r="AS36" s="83"/>
      <c r="AT36" s="81"/>
      <c r="AU36" s="82"/>
      <c r="AV36" s="83"/>
      <c r="AW36" s="66"/>
      <c r="AX36" s="66"/>
      <c r="AY36" s="75"/>
    </row>
    <row r="37" spans="1:70" ht="15" customHeight="1" x14ac:dyDescent="0.3">
      <c r="A37" s="123">
        <f t="shared" si="0"/>
        <v>29</v>
      </c>
      <c r="B37" s="19"/>
      <c r="C37" s="24"/>
      <c r="D37" s="81"/>
      <c r="E37" s="82"/>
      <c r="F37" s="83"/>
      <c r="G37" s="81"/>
      <c r="H37" s="82"/>
      <c r="I37" s="83"/>
      <c r="J37" s="81"/>
      <c r="K37" s="82"/>
      <c r="L37" s="83"/>
      <c r="M37" s="81"/>
      <c r="N37" s="82"/>
      <c r="O37" s="83"/>
      <c r="P37" s="81"/>
      <c r="Q37" s="82"/>
      <c r="R37" s="83"/>
      <c r="S37" s="81"/>
      <c r="T37" s="82"/>
      <c r="U37" s="83"/>
      <c r="V37" s="81"/>
      <c r="W37" s="82"/>
      <c r="X37" s="83"/>
      <c r="Y37" s="81"/>
      <c r="Z37" s="82"/>
      <c r="AA37" s="83"/>
      <c r="AB37" s="81"/>
      <c r="AC37" s="82"/>
      <c r="AD37" s="83"/>
      <c r="AE37" s="81"/>
      <c r="AF37" s="82"/>
      <c r="AG37" s="83"/>
      <c r="AH37" s="81"/>
      <c r="AI37" s="82"/>
      <c r="AJ37" s="83"/>
      <c r="AK37" s="81"/>
      <c r="AL37" s="82"/>
      <c r="AM37" s="83"/>
      <c r="AN37" s="81"/>
      <c r="AO37" s="82"/>
      <c r="AP37" s="83"/>
      <c r="AQ37" s="81"/>
      <c r="AR37" s="82"/>
      <c r="AS37" s="83"/>
      <c r="AT37" s="81"/>
      <c r="AU37" s="82"/>
      <c r="AV37" s="83"/>
      <c r="AW37" s="66"/>
      <c r="AX37" s="66"/>
      <c r="AY37" s="75"/>
    </row>
    <row r="38" spans="1:70" x14ac:dyDescent="0.3">
      <c r="A38" s="123">
        <f t="shared" si="0"/>
        <v>30</v>
      </c>
      <c r="B38" s="19"/>
      <c r="C38" s="24"/>
      <c r="D38" s="81"/>
      <c r="E38" s="82"/>
      <c r="F38" s="83"/>
      <c r="G38" s="81"/>
      <c r="H38" s="82"/>
      <c r="I38" s="83"/>
      <c r="J38" s="81"/>
      <c r="K38" s="82"/>
      <c r="L38" s="83"/>
      <c r="M38" s="81"/>
      <c r="N38" s="82"/>
      <c r="O38" s="83"/>
      <c r="P38" s="81"/>
      <c r="Q38" s="82"/>
      <c r="R38" s="83"/>
      <c r="S38" s="81"/>
      <c r="T38" s="82"/>
      <c r="U38" s="83"/>
      <c r="V38" s="81"/>
      <c r="W38" s="82"/>
      <c r="X38" s="83"/>
      <c r="Y38" s="81"/>
      <c r="Z38" s="82"/>
      <c r="AA38" s="83"/>
      <c r="AB38" s="81"/>
      <c r="AC38" s="82"/>
      <c r="AD38" s="83"/>
      <c r="AE38" s="81"/>
      <c r="AF38" s="82"/>
      <c r="AG38" s="83"/>
      <c r="AH38" s="81"/>
      <c r="AI38" s="82"/>
      <c r="AJ38" s="83"/>
      <c r="AK38" s="81"/>
      <c r="AL38" s="82"/>
      <c r="AM38" s="83"/>
      <c r="AN38" s="81"/>
      <c r="AO38" s="82"/>
      <c r="AP38" s="83"/>
      <c r="AQ38" s="81"/>
      <c r="AR38" s="82"/>
      <c r="AS38" s="83"/>
      <c r="AT38" s="81"/>
      <c r="AU38" s="82"/>
      <c r="AV38" s="83"/>
      <c r="AW38" s="66"/>
      <c r="AX38" s="66"/>
      <c r="AY38" s="75"/>
      <c r="BR38">
        <f>(AX38+AX41+AX46)/3</f>
        <v>0</v>
      </c>
    </row>
    <row r="39" spans="1:70" x14ac:dyDescent="0.3">
      <c r="A39" s="123">
        <f t="shared" si="0"/>
        <v>31</v>
      </c>
      <c r="B39" s="19"/>
      <c r="C39" s="24"/>
      <c r="D39" s="81"/>
      <c r="E39" s="82"/>
      <c r="F39" s="83"/>
      <c r="G39" s="81"/>
      <c r="H39" s="82"/>
      <c r="I39" s="83"/>
      <c r="J39" s="81"/>
      <c r="K39" s="82"/>
      <c r="L39" s="83"/>
      <c r="M39" s="81"/>
      <c r="N39" s="82"/>
      <c r="O39" s="83"/>
      <c r="P39" s="81"/>
      <c r="Q39" s="82"/>
      <c r="R39" s="83"/>
      <c r="S39" s="81"/>
      <c r="T39" s="82"/>
      <c r="U39" s="83"/>
      <c r="V39" s="81"/>
      <c r="W39" s="82"/>
      <c r="X39" s="83"/>
      <c r="Y39" s="81"/>
      <c r="Z39" s="82"/>
      <c r="AA39" s="83"/>
      <c r="AB39" s="81"/>
      <c r="AC39" s="82"/>
      <c r="AD39" s="83"/>
      <c r="AE39" s="81"/>
      <c r="AF39" s="82"/>
      <c r="AG39" s="83"/>
      <c r="AH39" s="81"/>
      <c r="AI39" s="82"/>
      <c r="AJ39" s="83"/>
      <c r="AK39" s="81"/>
      <c r="AL39" s="82"/>
      <c r="AM39" s="83"/>
      <c r="AN39" s="81"/>
      <c r="AO39" s="82"/>
      <c r="AP39" s="83"/>
      <c r="AQ39" s="81"/>
      <c r="AR39" s="82"/>
      <c r="AS39" s="83"/>
      <c r="AT39" s="81"/>
      <c r="AU39" s="82"/>
      <c r="AV39" s="83"/>
      <c r="AW39" s="66"/>
      <c r="AX39" s="66"/>
      <c r="AY39" s="75"/>
    </row>
    <row r="40" spans="1:70" x14ac:dyDescent="0.3">
      <c r="A40" s="123">
        <f t="shared" si="0"/>
        <v>32</v>
      </c>
      <c r="B40" s="19"/>
      <c r="C40" s="24"/>
      <c r="D40" s="81"/>
      <c r="E40" s="82"/>
      <c r="F40" s="83"/>
      <c r="G40" s="81"/>
      <c r="H40" s="82"/>
      <c r="I40" s="83"/>
      <c r="J40" s="81"/>
      <c r="K40" s="82"/>
      <c r="L40" s="83"/>
      <c r="M40" s="81"/>
      <c r="N40" s="82"/>
      <c r="O40" s="83"/>
      <c r="P40" s="81"/>
      <c r="Q40" s="82"/>
      <c r="R40" s="83"/>
      <c r="S40" s="81"/>
      <c r="T40" s="82"/>
      <c r="U40" s="83"/>
      <c r="V40" s="81"/>
      <c r="W40" s="82"/>
      <c r="X40" s="83"/>
      <c r="Y40" s="81"/>
      <c r="Z40" s="82"/>
      <c r="AA40" s="83"/>
      <c r="AB40" s="81"/>
      <c r="AC40" s="82"/>
      <c r="AD40" s="83"/>
      <c r="AE40" s="81"/>
      <c r="AF40" s="82"/>
      <c r="AG40" s="83"/>
      <c r="AH40" s="81"/>
      <c r="AI40" s="82"/>
      <c r="AJ40" s="83"/>
      <c r="AK40" s="81"/>
      <c r="AL40" s="82"/>
      <c r="AM40" s="83"/>
      <c r="AN40" s="81"/>
      <c r="AO40" s="82"/>
      <c r="AP40" s="83"/>
      <c r="AQ40" s="81"/>
      <c r="AR40" s="82"/>
      <c r="AS40" s="83"/>
      <c r="AT40" s="81"/>
      <c r="AU40" s="82"/>
      <c r="AV40" s="83"/>
      <c r="AW40" s="66"/>
      <c r="AX40" s="66"/>
      <c r="AY40" s="75"/>
    </row>
    <row r="41" spans="1:70" x14ac:dyDescent="0.3">
      <c r="A41" s="123">
        <f t="shared" si="0"/>
        <v>33</v>
      </c>
      <c r="B41" s="19"/>
      <c r="C41" s="24"/>
      <c r="D41" s="81"/>
      <c r="E41" s="82"/>
      <c r="F41" s="83"/>
      <c r="G41" s="81"/>
      <c r="H41" s="82"/>
      <c r="I41" s="83"/>
      <c r="J41" s="81"/>
      <c r="K41" s="82"/>
      <c r="L41" s="83"/>
      <c r="M41" s="81"/>
      <c r="N41" s="82"/>
      <c r="O41" s="83"/>
      <c r="P41" s="81"/>
      <c r="Q41" s="82"/>
      <c r="R41" s="83"/>
      <c r="S41" s="81"/>
      <c r="T41" s="82"/>
      <c r="U41" s="83"/>
      <c r="V41" s="81"/>
      <c r="W41" s="82"/>
      <c r="X41" s="83"/>
      <c r="Y41" s="81"/>
      <c r="Z41" s="82"/>
      <c r="AA41" s="83"/>
      <c r="AB41" s="81"/>
      <c r="AC41" s="82"/>
      <c r="AD41" s="83"/>
      <c r="AE41" s="81"/>
      <c r="AF41" s="82"/>
      <c r="AG41" s="83"/>
      <c r="AH41" s="81"/>
      <c r="AI41" s="82"/>
      <c r="AJ41" s="83"/>
      <c r="AK41" s="81"/>
      <c r="AL41" s="82"/>
      <c r="AM41" s="83"/>
      <c r="AN41" s="81"/>
      <c r="AO41" s="82"/>
      <c r="AP41" s="83"/>
      <c r="AQ41" s="81"/>
      <c r="AR41" s="82"/>
      <c r="AS41" s="83"/>
      <c r="AT41" s="81"/>
      <c r="AU41" s="82"/>
      <c r="AV41" s="83"/>
      <c r="AW41" s="66"/>
      <c r="AX41" s="66"/>
      <c r="AY41" s="76"/>
    </row>
    <row r="42" spans="1:70" x14ac:dyDescent="0.3">
      <c r="A42" s="123">
        <f>+A41+1</f>
        <v>34</v>
      </c>
      <c r="B42" s="19"/>
      <c r="C42" s="24"/>
      <c r="D42" s="81"/>
      <c r="E42" s="82"/>
      <c r="F42" s="83"/>
      <c r="G42" s="81"/>
      <c r="H42" s="82"/>
      <c r="I42" s="83"/>
      <c r="J42" s="81"/>
      <c r="K42" s="82"/>
      <c r="L42" s="83"/>
      <c r="M42" s="81"/>
      <c r="N42" s="82"/>
      <c r="O42" s="83"/>
      <c r="P42" s="81"/>
      <c r="Q42" s="82"/>
      <c r="R42" s="83"/>
      <c r="S42" s="81"/>
      <c r="T42" s="82"/>
      <c r="U42" s="83"/>
      <c r="V42" s="81"/>
      <c r="W42" s="82"/>
      <c r="X42" s="83"/>
      <c r="Y42" s="81"/>
      <c r="Z42" s="82"/>
      <c r="AA42" s="83"/>
      <c r="AB42" s="81"/>
      <c r="AC42" s="82"/>
      <c r="AD42" s="83"/>
      <c r="AE42" s="81"/>
      <c r="AF42" s="82"/>
      <c r="AG42" s="83"/>
      <c r="AH42" s="81"/>
      <c r="AI42" s="82"/>
      <c r="AJ42" s="83"/>
      <c r="AK42" s="81"/>
      <c r="AL42" s="82"/>
      <c r="AM42" s="83"/>
      <c r="AN42" s="81"/>
      <c r="AO42" s="82"/>
      <c r="AP42" s="83"/>
      <c r="AQ42" s="81"/>
      <c r="AR42" s="82"/>
      <c r="AS42" s="83"/>
      <c r="AT42" s="81"/>
      <c r="AU42" s="82"/>
      <c r="AV42" s="83"/>
      <c r="AW42" s="66"/>
      <c r="AX42" s="66"/>
      <c r="AY42" s="76"/>
    </row>
    <row r="43" spans="1:70" x14ac:dyDescent="0.3">
      <c r="A43" s="123">
        <f t="shared" ref="A43:A106" si="1">+A42+1</f>
        <v>35</v>
      </c>
      <c r="B43" s="19"/>
      <c r="C43" s="24"/>
      <c r="D43" s="81"/>
      <c r="E43" s="82"/>
      <c r="F43" s="83"/>
      <c r="G43" s="81"/>
      <c r="H43" s="82"/>
      <c r="I43" s="83"/>
      <c r="J43" s="81"/>
      <c r="K43" s="82"/>
      <c r="L43" s="83"/>
      <c r="M43" s="81"/>
      <c r="N43" s="82"/>
      <c r="O43" s="83"/>
      <c r="P43" s="81"/>
      <c r="Q43" s="82"/>
      <c r="R43" s="83"/>
      <c r="S43" s="81"/>
      <c r="T43" s="82"/>
      <c r="U43" s="83"/>
      <c r="V43" s="81"/>
      <c r="W43" s="82"/>
      <c r="X43" s="83"/>
      <c r="Y43" s="81"/>
      <c r="Z43" s="82"/>
      <c r="AA43" s="83"/>
      <c r="AB43" s="81"/>
      <c r="AC43" s="82"/>
      <c r="AD43" s="83"/>
      <c r="AE43" s="81"/>
      <c r="AF43" s="82"/>
      <c r="AG43" s="83"/>
      <c r="AH43" s="81"/>
      <c r="AI43" s="82"/>
      <c r="AJ43" s="83"/>
      <c r="AK43" s="81"/>
      <c r="AL43" s="82"/>
      <c r="AM43" s="83"/>
      <c r="AN43" s="81"/>
      <c r="AO43" s="82"/>
      <c r="AP43" s="83"/>
      <c r="AQ43" s="81"/>
      <c r="AR43" s="82"/>
      <c r="AS43" s="83"/>
      <c r="AT43" s="81"/>
      <c r="AU43" s="82"/>
      <c r="AV43" s="83"/>
      <c r="AW43" s="66"/>
      <c r="AX43" s="66"/>
      <c r="AY43" s="76"/>
    </row>
    <row r="44" spans="1:70" x14ac:dyDescent="0.3">
      <c r="A44" s="123">
        <f t="shared" si="1"/>
        <v>36</v>
      </c>
      <c r="B44" s="19"/>
      <c r="C44" s="24"/>
      <c r="D44" s="81"/>
      <c r="E44" s="82"/>
      <c r="F44" s="83"/>
      <c r="G44" s="81"/>
      <c r="H44" s="82"/>
      <c r="I44" s="83"/>
      <c r="J44" s="81"/>
      <c r="K44" s="82"/>
      <c r="L44" s="83"/>
      <c r="M44" s="81"/>
      <c r="N44" s="82"/>
      <c r="O44" s="83"/>
      <c r="P44" s="81"/>
      <c r="Q44" s="82"/>
      <c r="R44" s="83"/>
      <c r="S44" s="81"/>
      <c r="T44" s="82"/>
      <c r="U44" s="83"/>
      <c r="V44" s="81"/>
      <c r="W44" s="82"/>
      <c r="X44" s="83"/>
      <c r="Y44" s="81"/>
      <c r="Z44" s="82"/>
      <c r="AA44" s="83"/>
      <c r="AB44" s="81"/>
      <c r="AC44" s="82"/>
      <c r="AD44" s="83"/>
      <c r="AE44" s="81"/>
      <c r="AF44" s="82"/>
      <c r="AG44" s="83"/>
      <c r="AH44" s="81"/>
      <c r="AI44" s="82"/>
      <c r="AJ44" s="83"/>
      <c r="AK44" s="81"/>
      <c r="AL44" s="82"/>
      <c r="AM44" s="83"/>
      <c r="AN44" s="81"/>
      <c r="AO44" s="82"/>
      <c r="AP44" s="83"/>
      <c r="AQ44" s="81"/>
      <c r="AR44" s="82"/>
      <c r="AS44" s="83"/>
      <c r="AT44" s="81"/>
      <c r="AU44" s="82"/>
      <c r="AV44" s="83"/>
      <c r="AW44" s="66"/>
      <c r="AX44" s="66"/>
      <c r="AY44" s="76"/>
    </row>
    <row r="45" spans="1:70" x14ac:dyDescent="0.3">
      <c r="A45" s="123">
        <f t="shared" si="1"/>
        <v>37</v>
      </c>
      <c r="B45" s="19"/>
      <c r="C45" s="24"/>
      <c r="D45" s="81"/>
      <c r="E45" s="82"/>
      <c r="F45" s="83"/>
      <c r="G45" s="81"/>
      <c r="H45" s="82"/>
      <c r="I45" s="83"/>
      <c r="J45" s="81"/>
      <c r="K45" s="82"/>
      <c r="L45" s="83"/>
      <c r="M45" s="81"/>
      <c r="N45" s="82"/>
      <c r="O45" s="83"/>
      <c r="P45" s="81"/>
      <c r="Q45" s="82"/>
      <c r="R45" s="83"/>
      <c r="S45" s="81"/>
      <c r="T45" s="82"/>
      <c r="U45" s="83"/>
      <c r="V45" s="81"/>
      <c r="W45" s="82"/>
      <c r="X45" s="83"/>
      <c r="Y45" s="81"/>
      <c r="Z45" s="82"/>
      <c r="AA45" s="83"/>
      <c r="AB45" s="81"/>
      <c r="AC45" s="82"/>
      <c r="AD45" s="83"/>
      <c r="AE45" s="81"/>
      <c r="AF45" s="82"/>
      <c r="AG45" s="83"/>
      <c r="AH45" s="81"/>
      <c r="AI45" s="82"/>
      <c r="AJ45" s="83"/>
      <c r="AK45" s="81"/>
      <c r="AL45" s="82"/>
      <c r="AM45" s="83"/>
      <c r="AN45" s="81"/>
      <c r="AO45" s="82"/>
      <c r="AP45" s="83"/>
      <c r="AQ45" s="81"/>
      <c r="AR45" s="82"/>
      <c r="AS45" s="83"/>
      <c r="AT45" s="81"/>
      <c r="AU45" s="82"/>
      <c r="AV45" s="83"/>
      <c r="AW45" s="66"/>
      <c r="AX45" s="66"/>
      <c r="AY45" s="76"/>
    </row>
    <row r="46" spans="1:70" x14ac:dyDescent="0.3">
      <c r="A46" s="123">
        <f t="shared" si="1"/>
        <v>38</v>
      </c>
      <c r="B46" s="19"/>
      <c r="C46" s="24"/>
      <c r="D46" s="81"/>
      <c r="E46" s="82"/>
      <c r="F46" s="83"/>
      <c r="G46" s="81"/>
      <c r="H46" s="82"/>
      <c r="I46" s="83"/>
      <c r="J46" s="81"/>
      <c r="K46" s="82"/>
      <c r="L46" s="83"/>
      <c r="M46" s="81"/>
      <c r="N46" s="82"/>
      <c r="O46" s="83"/>
      <c r="P46" s="81"/>
      <c r="Q46" s="82"/>
      <c r="R46" s="83"/>
      <c r="S46" s="81"/>
      <c r="T46" s="82"/>
      <c r="U46" s="83"/>
      <c r="V46" s="81"/>
      <c r="W46" s="82"/>
      <c r="X46" s="83"/>
      <c r="Y46" s="81"/>
      <c r="Z46" s="82"/>
      <c r="AA46" s="83"/>
      <c r="AB46" s="81"/>
      <c r="AC46" s="82"/>
      <c r="AD46" s="83"/>
      <c r="AE46" s="81"/>
      <c r="AF46" s="82"/>
      <c r="AG46" s="83"/>
      <c r="AH46" s="81"/>
      <c r="AI46" s="82"/>
      <c r="AJ46" s="83"/>
      <c r="AK46" s="81"/>
      <c r="AL46" s="82"/>
      <c r="AM46" s="83"/>
      <c r="AN46" s="81"/>
      <c r="AO46" s="82"/>
      <c r="AP46" s="83"/>
      <c r="AQ46" s="81"/>
      <c r="AR46" s="82"/>
      <c r="AS46" s="83"/>
      <c r="AT46" s="81"/>
      <c r="AU46" s="82"/>
      <c r="AV46" s="83"/>
      <c r="AW46" s="66"/>
      <c r="AX46" s="66"/>
      <c r="AY46" s="76"/>
    </row>
    <row r="47" spans="1:70" x14ac:dyDescent="0.3">
      <c r="A47" s="123">
        <f t="shared" si="1"/>
        <v>39</v>
      </c>
      <c r="B47" s="19"/>
      <c r="C47" s="24"/>
      <c r="D47" s="81"/>
      <c r="E47" s="82"/>
      <c r="F47" s="83"/>
      <c r="G47" s="81"/>
      <c r="H47" s="82"/>
      <c r="I47" s="83"/>
      <c r="J47" s="81"/>
      <c r="K47" s="82"/>
      <c r="L47" s="83"/>
      <c r="M47" s="81"/>
      <c r="N47" s="82"/>
      <c r="O47" s="83"/>
      <c r="P47" s="81"/>
      <c r="Q47" s="82"/>
      <c r="R47" s="83"/>
      <c r="S47" s="81"/>
      <c r="T47" s="82"/>
      <c r="U47" s="83"/>
      <c r="V47" s="81"/>
      <c r="W47" s="82"/>
      <c r="X47" s="83"/>
      <c r="Y47" s="81"/>
      <c r="Z47" s="82"/>
      <c r="AA47" s="83"/>
      <c r="AB47" s="81"/>
      <c r="AC47" s="82"/>
      <c r="AD47" s="83"/>
      <c r="AE47" s="81"/>
      <c r="AF47" s="82"/>
      <c r="AG47" s="83"/>
      <c r="AH47" s="81"/>
      <c r="AI47" s="82"/>
      <c r="AJ47" s="83"/>
      <c r="AK47" s="81"/>
      <c r="AL47" s="82"/>
      <c r="AM47" s="83"/>
      <c r="AN47" s="81"/>
      <c r="AO47" s="82"/>
      <c r="AP47" s="83"/>
      <c r="AQ47" s="81"/>
      <c r="AR47" s="82"/>
      <c r="AS47" s="83"/>
      <c r="AT47" s="81"/>
      <c r="AU47" s="82"/>
      <c r="AV47" s="83"/>
      <c r="AW47" s="66"/>
      <c r="AX47" s="66"/>
      <c r="AY47" s="76"/>
    </row>
    <row r="48" spans="1:70" x14ac:dyDescent="0.3">
      <c r="A48" s="123">
        <f t="shared" si="1"/>
        <v>40</v>
      </c>
      <c r="B48" s="19"/>
      <c r="C48" s="24"/>
      <c r="D48" s="81"/>
      <c r="E48" s="82"/>
      <c r="F48" s="83"/>
      <c r="G48" s="81"/>
      <c r="H48" s="82"/>
      <c r="I48" s="83"/>
      <c r="J48" s="81"/>
      <c r="K48" s="82"/>
      <c r="L48" s="83"/>
      <c r="M48" s="81"/>
      <c r="N48" s="82"/>
      <c r="O48" s="83"/>
      <c r="P48" s="81"/>
      <c r="Q48" s="82"/>
      <c r="R48" s="83"/>
      <c r="S48" s="81"/>
      <c r="T48" s="82"/>
      <c r="U48" s="83"/>
      <c r="V48" s="81"/>
      <c r="W48" s="82"/>
      <c r="X48" s="83"/>
      <c r="Y48" s="81"/>
      <c r="Z48" s="82"/>
      <c r="AA48" s="83"/>
      <c r="AB48" s="81"/>
      <c r="AC48" s="82"/>
      <c r="AD48" s="83"/>
      <c r="AE48" s="81"/>
      <c r="AF48" s="82"/>
      <c r="AG48" s="83"/>
      <c r="AH48" s="81"/>
      <c r="AI48" s="82"/>
      <c r="AJ48" s="83"/>
      <c r="AK48" s="81"/>
      <c r="AL48" s="82"/>
      <c r="AM48" s="83"/>
      <c r="AN48" s="81"/>
      <c r="AO48" s="82"/>
      <c r="AP48" s="83"/>
      <c r="AQ48" s="81"/>
      <c r="AR48" s="82"/>
      <c r="AS48" s="83"/>
      <c r="AT48" s="81"/>
      <c r="AU48" s="82"/>
      <c r="AV48" s="83"/>
      <c r="AW48" s="66"/>
      <c r="AX48" s="66"/>
      <c r="AY48" s="75"/>
    </row>
    <row r="49" spans="1:51" x14ac:dyDescent="0.3">
      <c r="A49" s="123">
        <f t="shared" si="1"/>
        <v>41</v>
      </c>
      <c r="B49" s="19"/>
      <c r="C49" s="24"/>
      <c r="D49" s="81"/>
      <c r="E49" s="82"/>
      <c r="F49" s="83"/>
      <c r="G49" s="81"/>
      <c r="H49" s="82"/>
      <c r="I49" s="83"/>
      <c r="J49" s="81"/>
      <c r="K49" s="82"/>
      <c r="L49" s="83"/>
      <c r="M49" s="81"/>
      <c r="N49" s="82"/>
      <c r="O49" s="83"/>
      <c r="P49" s="81"/>
      <c r="Q49" s="82"/>
      <c r="R49" s="83"/>
      <c r="S49" s="81"/>
      <c r="T49" s="82"/>
      <c r="U49" s="83"/>
      <c r="V49" s="81"/>
      <c r="W49" s="82"/>
      <c r="X49" s="83"/>
      <c r="Y49" s="81"/>
      <c r="Z49" s="82"/>
      <c r="AA49" s="83"/>
      <c r="AB49" s="81"/>
      <c r="AC49" s="82"/>
      <c r="AD49" s="83"/>
      <c r="AE49" s="81"/>
      <c r="AF49" s="82"/>
      <c r="AG49" s="83"/>
      <c r="AH49" s="81"/>
      <c r="AI49" s="82"/>
      <c r="AJ49" s="83"/>
      <c r="AK49" s="81"/>
      <c r="AL49" s="82"/>
      <c r="AM49" s="83"/>
      <c r="AN49" s="81"/>
      <c r="AO49" s="82"/>
      <c r="AP49" s="83"/>
      <c r="AQ49" s="81"/>
      <c r="AR49" s="82"/>
      <c r="AS49" s="83"/>
      <c r="AT49" s="81"/>
      <c r="AU49" s="82"/>
      <c r="AV49" s="83"/>
      <c r="AW49" s="66"/>
      <c r="AX49" s="66"/>
      <c r="AY49" s="76"/>
    </row>
    <row r="50" spans="1:51" x14ac:dyDescent="0.3">
      <c r="A50" s="123">
        <f t="shared" si="1"/>
        <v>42</v>
      </c>
      <c r="B50" s="19"/>
      <c r="C50" s="24"/>
      <c r="D50" s="81"/>
      <c r="E50" s="82"/>
      <c r="F50" s="83"/>
      <c r="G50" s="81"/>
      <c r="H50" s="82"/>
      <c r="I50" s="83"/>
      <c r="J50" s="81"/>
      <c r="K50" s="82"/>
      <c r="L50" s="83"/>
      <c r="M50" s="81"/>
      <c r="N50" s="82"/>
      <c r="O50" s="83"/>
      <c r="P50" s="81"/>
      <c r="Q50" s="82"/>
      <c r="R50" s="83"/>
      <c r="S50" s="81"/>
      <c r="T50" s="82"/>
      <c r="U50" s="83"/>
      <c r="V50" s="81"/>
      <c r="W50" s="82"/>
      <c r="X50" s="83"/>
      <c r="Y50" s="81"/>
      <c r="Z50" s="82"/>
      <c r="AA50" s="83"/>
      <c r="AB50" s="81"/>
      <c r="AC50" s="82"/>
      <c r="AD50" s="83"/>
      <c r="AE50" s="81"/>
      <c r="AF50" s="82"/>
      <c r="AG50" s="83"/>
      <c r="AH50" s="81"/>
      <c r="AI50" s="82"/>
      <c r="AJ50" s="83"/>
      <c r="AK50" s="81"/>
      <c r="AL50" s="82"/>
      <c r="AM50" s="83"/>
      <c r="AN50" s="81"/>
      <c r="AO50" s="82"/>
      <c r="AP50" s="83"/>
      <c r="AQ50" s="81"/>
      <c r="AR50" s="82"/>
      <c r="AS50" s="83"/>
      <c r="AT50" s="81"/>
      <c r="AU50" s="82"/>
      <c r="AV50" s="83"/>
      <c r="AW50" s="66"/>
      <c r="AX50" s="66"/>
      <c r="AY50" s="75"/>
    </row>
    <row r="51" spans="1:51" x14ac:dyDescent="0.3">
      <c r="A51" s="123">
        <f t="shared" si="1"/>
        <v>43</v>
      </c>
      <c r="B51" s="19"/>
      <c r="C51" s="24"/>
      <c r="D51" s="81"/>
      <c r="E51" s="82"/>
      <c r="F51" s="83"/>
      <c r="G51" s="81"/>
      <c r="H51" s="82"/>
      <c r="I51" s="83"/>
      <c r="J51" s="81"/>
      <c r="K51" s="82"/>
      <c r="L51" s="83"/>
      <c r="M51" s="81"/>
      <c r="N51" s="82"/>
      <c r="O51" s="83"/>
      <c r="P51" s="81"/>
      <c r="Q51" s="82"/>
      <c r="R51" s="83"/>
      <c r="S51" s="81"/>
      <c r="T51" s="82"/>
      <c r="U51" s="83"/>
      <c r="V51" s="81"/>
      <c r="W51" s="82"/>
      <c r="X51" s="83"/>
      <c r="Y51" s="81"/>
      <c r="Z51" s="82"/>
      <c r="AA51" s="83"/>
      <c r="AB51" s="81"/>
      <c r="AC51" s="82"/>
      <c r="AD51" s="83"/>
      <c r="AE51" s="81"/>
      <c r="AF51" s="82"/>
      <c r="AG51" s="83"/>
      <c r="AH51" s="81"/>
      <c r="AI51" s="82"/>
      <c r="AJ51" s="83"/>
      <c r="AK51" s="81"/>
      <c r="AL51" s="82"/>
      <c r="AM51" s="83"/>
      <c r="AN51" s="81"/>
      <c r="AO51" s="82"/>
      <c r="AP51" s="83"/>
      <c r="AQ51" s="81"/>
      <c r="AR51" s="82"/>
      <c r="AS51" s="83"/>
      <c r="AT51" s="81"/>
      <c r="AU51" s="82"/>
      <c r="AV51" s="83"/>
      <c r="AW51" s="66"/>
      <c r="AX51" s="66"/>
      <c r="AY51" s="75"/>
    </row>
    <row r="52" spans="1:51" x14ac:dyDescent="0.3">
      <c r="A52" s="123">
        <f t="shared" si="1"/>
        <v>44</v>
      </c>
      <c r="B52" s="19"/>
      <c r="C52" s="24"/>
      <c r="D52" s="81"/>
      <c r="E52" s="82"/>
      <c r="F52" s="83"/>
      <c r="G52" s="81"/>
      <c r="H52" s="82"/>
      <c r="I52" s="83"/>
      <c r="J52" s="81"/>
      <c r="K52" s="82"/>
      <c r="L52" s="83"/>
      <c r="M52" s="81"/>
      <c r="N52" s="82"/>
      <c r="O52" s="83"/>
      <c r="P52" s="81"/>
      <c r="Q52" s="82"/>
      <c r="R52" s="83"/>
      <c r="S52" s="81"/>
      <c r="T52" s="82"/>
      <c r="U52" s="83"/>
      <c r="V52" s="81"/>
      <c r="W52" s="82"/>
      <c r="X52" s="83"/>
      <c r="Y52" s="81"/>
      <c r="Z52" s="82"/>
      <c r="AA52" s="83"/>
      <c r="AB52" s="81"/>
      <c r="AC52" s="82"/>
      <c r="AD52" s="83"/>
      <c r="AE52" s="81"/>
      <c r="AF52" s="82"/>
      <c r="AG52" s="83"/>
      <c r="AH52" s="81"/>
      <c r="AI52" s="82"/>
      <c r="AJ52" s="83"/>
      <c r="AK52" s="81"/>
      <c r="AL52" s="82"/>
      <c r="AM52" s="83"/>
      <c r="AN52" s="81"/>
      <c r="AO52" s="82"/>
      <c r="AP52" s="83"/>
      <c r="AQ52" s="81"/>
      <c r="AR52" s="82"/>
      <c r="AS52" s="83"/>
      <c r="AT52" s="81"/>
      <c r="AU52" s="82"/>
      <c r="AV52" s="83"/>
      <c r="AW52" s="66"/>
      <c r="AX52" s="66"/>
      <c r="AY52" s="75"/>
    </row>
    <row r="53" spans="1:51" x14ac:dyDescent="0.3">
      <c r="A53" s="123">
        <f t="shared" si="1"/>
        <v>45</v>
      </c>
      <c r="B53" s="48"/>
      <c r="C53" s="24"/>
      <c r="D53" s="81"/>
      <c r="E53" s="82"/>
      <c r="F53" s="83"/>
      <c r="G53" s="81"/>
      <c r="H53" s="82"/>
      <c r="I53" s="83"/>
      <c r="J53" s="81"/>
      <c r="K53" s="82"/>
      <c r="L53" s="83"/>
      <c r="M53" s="81"/>
      <c r="N53" s="82"/>
      <c r="O53" s="83"/>
      <c r="P53" s="81"/>
      <c r="Q53" s="82"/>
      <c r="R53" s="83"/>
      <c r="S53" s="81"/>
      <c r="T53" s="82"/>
      <c r="U53" s="83"/>
      <c r="V53" s="81"/>
      <c r="W53" s="82"/>
      <c r="X53" s="83"/>
      <c r="Y53" s="81"/>
      <c r="Z53" s="82"/>
      <c r="AA53" s="83"/>
      <c r="AB53" s="81"/>
      <c r="AC53" s="82"/>
      <c r="AD53" s="83"/>
      <c r="AE53" s="81"/>
      <c r="AF53" s="82"/>
      <c r="AG53" s="83"/>
      <c r="AH53" s="81"/>
      <c r="AI53" s="82"/>
      <c r="AJ53" s="83"/>
      <c r="AK53" s="81"/>
      <c r="AL53" s="82"/>
      <c r="AM53" s="83"/>
      <c r="AN53" s="81"/>
      <c r="AO53" s="82"/>
      <c r="AP53" s="83"/>
      <c r="AQ53" s="81"/>
      <c r="AR53" s="82"/>
      <c r="AS53" s="83"/>
      <c r="AT53" s="81"/>
      <c r="AU53" s="82"/>
      <c r="AV53" s="83"/>
      <c r="AW53" s="66"/>
      <c r="AX53" s="66"/>
      <c r="AY53" s="75"/>
    </row>
    <row r="54" spans="1:51" x14ac:dyDescent="0.3">
      <c r="A54" s="123">
        <f t="shared" si="1"/>
        <v>46</v>
      </c>
      <c r="B54" s="19"/>
      <c r="C54" s="24"/>
      <c r="D54" s="81"/>
      <c r="E54" s="82"/>
      <c r="F54" s="83"/>
      <c r="G54" s="81"/>
      <c r="H54" s="82"/>
      <c r="I54" s="83"/>
      <c r="J54" s="81"/>
      <c r="K54" s="82"/>
      <c r="L54" s="83"/>
      <c r="M54" s="81"/>
      <c r="N54" s="82"/>
      <c r="O54" s="83"/>
      <c r="P54" s="81"/>
      <c r="Q54" s="82"/>
      <c r="R54" s="83"/>
      <c r="S54" s="81"/>
      <c r="T54" s="82"/>
      <c r="U54" s="83"/>
      <c r="V54" s="81"/>
      <c r="W54" s="82"/>
      <c r="X54" s="83"/>
      <c r="Y54" s="81"/>
      <c r="Z54" s="82"/>
      <c r="AA54" s="83"/>
      <c r="AB54" s="81"/>
      <c r="AC54" s="82"/>
      <c r="AD54" s="83"/>
      <c r="AE54" s="81"/>
      <c r="AF54" s="82"/>
      <c r="AG54" s="83"/>
      <c r="AH54" s="81"/>
      <c r="AI54" s="82"/>
      <c r="AJ54" s="83"/>
      <c r="AK54" s="81"/>
      <c r="AL54" s="82"/>
      <c r="AM54" s="83"/>
      <c r="AN54" s="81"/>
      <c r="AO54" s="82"/>
      <c r="AP54" s="83"/>
      <c r="AQ54" s="81"/>
      <c r="AR54" s="82"/>
      <c r="AS54" s="83"/>
      <c r="AT54" s="81"/>
      <c r="AU54" s="82"/>
      <c r="AV54" s="83"/>
      <c r="AW54" s="66"/>
      <c r="AX54" s="66"/>
      <c r="AY54" s="75"/>
    </row>
    <row r="55" spans="1:51" x14ac:dyDescent="0.3">
      <c r="A55" s="123">
        <f t="shared" si="1"/>
        <v>47</v>
      </c>
      <c r="B55" s="19"/>
      <c r="C55" s="24"/>
      <c r="D55" s="81"/>
      <c r="E55" s="82"/>
      <c r="F55" s="83"/>
      <c r="G55" s="81"/>
      <c r="H55" s="82"/>
      <c r="I55" s="83"/>
      <c r="J55" s="81"/>
      <c r="K55" s="82"/>
      <c r="L55" s="83"/>
      <c r="M55" s="81"/>
      <c r="N55" s="82"/>
      <c r="O55" s="83"/>
      <c r="P55" s="81"/>
      <c r="Q55" s="82"/>
      <c r="R55" s="83"/>
      <c r="S55" s="81"/>
      <c r="T55" s="82"/>
      <c r="U55" s="83"/>
      <c r="V55" s="81"/>
      <c r="W55" s="82"/>
      <c r="X55" s="83"/>
      <c r="Y55" s="81"/>
      <c r="Z55" s="82"/>
      <c r="AA55" s="83"/>
      <c r="AB55" s="81"/>
      <c r="AC55" s="82"/>
      <c r="AD55" s="83"/>
      <c r="AE55" s="81"/>
      <c r="AF55" s="82"/>
      <c r="AG55" s="83"/>
      <c r="AH55" s="81"/>
      <c r="AI55" s="82"/>
      <c r="AJ55" s="83"/>
      <c r="AK55" s="81"/>
      <c r="AL55" s="82"/>
      <c r="AM55" s="83"/>
      <c r="AN55" s="81"/>
      <c r="AO55" s="82"/>
      <c r="AP55" s="83"/>
      <c r="AQ55" s="81"/>
      <c r="AR55" s="82"/>
      <c r="AS55" s="83"/>
      <c r="AT55" s="81"/>
      <c r="AU55" s="82"/>
      <c r="AV55" s="83"/>
      <c r="AW55" s="66"/>
      <c r="AX55" s="66"/>
      <c r="AY55" s="75"/>
    </row>
    <row r="56" spans="1:51" x14ac:dyDescent="0.3">
      <c r="A56" s="123">
        <f t="shared" si="1"/>
        <v>48</v>
      </c>
      <c r="B56" s="19"/>
      <c r="C56" s="24"/>
      <c r="D56" s="81"/>
      <c r="E56" s="82"/>
      <c r="F56" s="83"/>
      <c r="G56" s="81"/>
      <c r="H56" s="82"/>
      <c r="I56" s="83"/>
      <c r="J56" s="81"/>
      <c r="K56" s="82"/>
      <c r="L56" s="83"/>
      <c r="M56" s="81"/>
      <c r="N56" s="82"/>
      <c r="O56" s="83"/>
      <c r="P56" s="81"/>
      <c r="Q56" s="82"/>
      <c r="R56" s="83"/>
      <c r="S56" s="81"/>
      <c r="T56" s="82"/>
      <c r="U56" s="83"/>
      <c r="V56" s="81"/>
      <c r="W56" s="82"/>
      <c r="X56" s="83"/>
      <c r="Y56" s="81"/>
      <c r="Z56" s="82"/>
      <c r="AA56" s="83"/>
      <c r="AB56" s="81"/>
      <c r="AC56" s="82"/>
      <c r="AD56" s="83"/>
      <c r="AE56" s="81"/>
      <c r="AF56" s="82"/>
      <c r="AG56" s="83"/>
      <c r="AH56" s="81"/>
      <c r="AI56" s="82"/>
      <c r="AJ56" s="83"/>
      <c r="AK56" s="81"/>
      <c r="AL56" s="82"/>
      <c r="AM56" s="83"/>
      <c r="AN56" s="81"/>
      <c r="AO56" s="82"/>
      <c r="AP56" s="83"/>
      <c r="AQ56" s="81"/>
      <c r="AR56" s="82"/>
      <c r="AS56" s="83"/>
      <c r="AT56" s="81"/>
      <c r="AU56" s="82"/>
      <c r="AV56" s="83"/>
      <c r="AW56" s="66"/>
      <c r="AX56" s="66"/>
      <c r="AY56" s="75"/>
    </row>
    <row r="57" spans="1:51" x14ac:dyDescent="0.3">
      <c r="A57" s="123">
        <f t="shared" si="1"/>
        <v>49</v>
      </c>
      <c r="B57" s="19"/>
      <c r="C57" s="24"/>
      <c r="D57" s="81"/>
      <c r="E57" s="82"/>
      <c r="F57" s="83"/>
      <c r="G57" s="81"/>
      <c r="H57" s="82"/>
      <c r="I57" s="83"/>
      <c r="J57" s="81"/>
      <c r="K57" s="82"/>
      <c r="L57" s="83"/>
      <c r="M57" s="81"/>
      <c r="N57" s="82"/>
      <c r="O57" s="83"/>
      <c r="P57" s="81"/>
      <c r="Q57" s="82"/>
      <c r="R57" s="83"/>
      <c r="S57" s="81"/>
      <c r="T57" s="82"/>
      <c r="U57" s="83"/>
      <c r="V57" s="81"/>
      <c r="W57" s="82"/>
      <c r="X57" s="83"/>
      <c r="Y57" s="81"/>
      <c r="Z57" s="82"/>
      <c r="AA57" s="83"/>
      <c r="AB57" s="81"/>
      <c r="AC57" s="82"/>
      <c r="AD57" s="83"/>
      <c r="AE57" s="81"/>
      <c r="AF57" s="82"/>
      <c r="AG57" s="83"/>
      <c r="AH57" s="81"/>
      <c r="AI57" s="82"/>
      <c r="AJ57" s="83"/>
      <c r="AK57" s="81"/>
      <c r="AL57" s="82"/>
      <c r="AM57" s="83"/>
      <c r="AN57" s="81"/>
      <c r="AO57" s="82"/>
      <c r="AP57" s="83"/>
      <c r="AQ57" s="81"/>
      <c r="AR57" s="82"/>
      <c r="AS57" s="83"/>
      <c r="AT57" s="81"/>
      <c r="AU57" s="82"/>
      <c r="AV57" s="83"/>
      <c r="AW57" s="66"/>
      <c r="AX57" s="66"/>
      <c r="AY57" s="75"/>
    </row>
    <row r="58" spans="1:51" x14ac:dyDescent="0.3">
      <c r="A58" s="123">
        <f t="shared" si="1"/>
        <v>50</v>
      </c>
      <c r="B58" s="19"/>
      <c r="C58" s="24"/>
      <c r="D58" s="81"/>
      <c r="E58" s="82"/>
      <c r="F58" s="83"/>
      <c r="G58" s="81"/>
      <c r="H58" s="82"/>
      <c r="I58" s="83"/>
      <c r="J58" s="81"/>
      <c r="K58" s="82"/>
      <c r="L58" s="83"/>
      <c r="M58" s="81"/>
      <c r="N58" s="82"/>
      <c r="O58" s="83"/>
      <c r="P58" s="81"/>
      <c r="Q58" s="82"/>
      <c r="R58" s="83"/>
      <c r="S58" s="81"/>
      <c r="T58" s="82"/>
      <c r="U58" s="83"/>
      <c r="V58" s="81"/>
      <c r="W58" s="82"/>
      <c r="X58" s="83"/>
      <c r="Y58" s="81"/>
      <c r="Z58" s="82"/>
      <c r="AA58" s="83"/>
      <c r="AB58" s="81"/>
      <c r="AC58" s="82"/>
      <c r="AD58" s="83"/>
      <c r="AE58" s="81"/>
      <c r="AF58" s="82"/>
      <c r="AG58" s="83"/>
      <c r="AH58" s="81"/>
      <c r="AI58" s="82"/>
      <c r="AJ58" s="83"/>
      <c r="AK58" s="81"/>
      <c r="AL58" s="82"/>
      <c r="AM58" s="83"/>
      <c r="AN58" s="81"/>
      <c r="AO58" s="82"/>
      <c r="AP58" s="83"/>
      <c r="AQ58" s="81"/>
      <c r="AR58" s="82"/>
      <c r="AS58" s="83"/>
      <c r="AT58" s="81"/>
      <c r="AU58" s="82"/>
      <c r="AV58" s="83"/>
      <c r="AW58" s="66"/>
      <c r="AX58" s="66"/>
      <c r="AY58" s="75"/>
    </row>
    <row r="59" spans="1:51" x14ac:dyDescent="0.3">
      <c r="A59" s="123">
        <f t="shared" si="1"/>
        <v>51</v>
      </c>
      <c r="B59" s="19"/>
      <c r="C59" s="24"/>
      <c r="D59" s="81"/>
      <c r="E59" s="82"/>
      <c r="F59" s="83"/>
      <c r="G59" s="81"/>
      <c r="H59" s="82"/>
      <c r="I59" s="83"/>
      <c r="J59" s="81"/>
      <c r="K59" s="82"/>
      <c r="L59" s="83"/>
      <c r="M59" s="81"/>
      <c r="N59" s="82"/>
      <c r="O59" s="83"/>
      <c r="P59" s="81"/>
      <c r="Q59" s="82"/>
      <c r="R59" s="83"/>
      <c r="S59" s="81"/>
      <c r="T59" s="82"/>
      <c r="U59" s="83"/>
      <c r="V59" s="81"/>
      <c r="W59" s="82"/>
      <c r="X59" s="83"/>
      <c r="Y59" s="81"/>
      <c r="Z59" s="82"/>
      <c r="AA59" s="83"/>
      <c r="AB59" s="81"/>
      <c r="AC59" s="82"/>
      <c r="AD59" s="83"/>
      <c r="AE59" s="81"/>
      <c r="AF59" s="82"/>
      <c r="AG59" s="83"/>
      <c r="AH59" s="81"/>
      <c r="AI59" s="82"/>
      <c r="AJ59" s="83"/>
      <c r="AK59" s="81"/>
      <c r="AL59" s="82"/>
      <c r="AM59" s="83"/>
      <c r="AN59" s="81"/>
      <c r="AO59" s="82"/>
      <c r="AP59" s="83"/>
      <c r="AQ59" s="81"/>
      <c r="AR59" s="82"/>
      <c r="AS59" s="83"/>
      <c r="AT59" s="81"/>
      <c r="AU59" s="82"/>
      <c r="AV59" s="83"/>
      <c r="AW59" s="66"/>
      <c r="AX59" s="66"/>
      <c r="AY59" s="75"/>
    </row>
    <row r="60" spans="1:51" x14ac:dyDescent="0.3">
      <c r="A60" s="123">
        <f t="shared" si="1"/>
        <v>52</v>
      </c>
      <c r="B60" s="19"/>
      <c r="C60" s="24"/>
      <c r="D60" s="81"/>
      <c r="E60" s="82"/>
      <c r="F60" s="83"/>
      <c r="G60" s="81"/>
      <c r="H60" s="82"/>
      <c r="I60" s="83"/>
      <c r="J60" s="81"/>
      <c r="K60" s="82"/>
      <c r="L60" s="83"/>
      <c r="M60" s="81"/>
      <c r="N60" s="82"/>
      <c r="O60" s="83"/>
      <c r="P60" s="81"/>
      <c r="Q60" s="82"/>
      <c r="R60" s="83"/>
      <c r="S60" s="81"/>
      <c r="T60" s="82"/>
      <c r="U60" s="83"/>
      <c r="V60" s="81"/>
      <c r="W60" s="82"/>
      <c r="X60" s="83"/>
      <c r="Y60" s="81"/>
      <c r="Z60" s="82"/>
      <c r="AA60" s="83"/>
      <c r="AB60" s="81"/>
      <c r="AC60" s="82"/>
      <c r="AD60" s="83"/>
      <c r="AE60" s="81"/>
      <c r="AF60" s="82"/>
      <c r="AG60" s="83"/>
      <c r="AH60" s="81"/>
      <c r="AI60" s="82"/>
      <c r="AJ60" s="83"/>
      <c r="AK60" s="81"/>
      <c r="AL60" s="82"/>
      <c r="AM60" s="83"/>
      <c r="AN60" s="81"/>
      <c r="AO60" s="82"/>
      <c r="AP60" s="83"/>
      <c r="AQ60" s="81"/>
      <c r="AR60" s="82"/>
      <c r="AS60" s="83"/>
      <c r="AT60" s="81"/>
      <c r="AU60" s="82"/>
      <c r="AV60" s="83"/>
      <c r="AW60" s="66"/>
      <c r="AX60" s="66"/>
      <c r="AY60" s="75"/>
    </row>
    <row r="61" spans="1:51" x14ac:dyDescent="0.3">
      <c r="A61" s="123">
        <f t="shared" si="1"/>
        <v>53</v>
      </c>
      <c r="B61" s="19"/>
      <c r="C61" s="24"/>
      <c r="D61" s="81"/>
      <c r="E61" s="82"/>
      <c r="F61" s="83"/>
      <c r="G61" s="81"/>
      <c r="H61" s="82"/>
      <c r="I61" s="83"/>
      <c r="J61" s="81"/>
      <c r="K61" s="82"/>
      <c r="L61" s="83"/>
      <c r="M61" s="81"/>
      <c r="N61" s="82"/>
      <c r="O61" s="83"/>
      <c r="P61" s="81"/>
      <c r="Q61" s="82"/>
      <c r="R61" s="83"/>
      <c r="S61" s="81"/>
      <c r="T61" s="82"/>
      <c r="U61" s="83"/>
      <c r="V61" s="81"/>
      <c r="W61" s="82"/>
      <c r="X61" s="83"/>
      <c r="Y61" s="81"/>
      <c r="Z61" s="82"/>
      <c r="AA61" s="83"/>
      <c r="AB61" s="81"/>
      <c r="AC61" s="82"/>
      <c r="AD61" s="83"/>
      <c r="AE61" s="81"/>
      <c r="AF61" s="82"/>
      <c r="AG61" s="83"/>
      <c r="AH61" s="81"/>
      <c r="AI61" s="82"/>
      <c r="AJ61" s="83"/>
      <c r="AK61" s="81"/>
      <c r="AL61" s="82"/>
      <c r="AM61" s="83"/>
      <c r="AN61" s="81"/>
      <c r="AO61" s="82"/>
      <c r="AP61" s="83"/>
      <c r="AQ61" s="81"/>
      <c r="AR61" s="82"/>
      <c r="AS61" s="83"/>
      <c r="AT61" s="81"/>
      <c r="AU61" s="82"/>
      <c r="AV61" s="83"/>
      <c r="AW61" s="66"/>
      <c r="AX61" s="66"/>
      <c r="AY61" s="75"/>
    </row>
    <row r="62" spans="1:51" x14ac:dyDescent="0.3">
      <c r="A62" s="123">
        <f t="shared" si="1"/>
        <v>54</v>
      </c>
      <c r="B62" s="19"/>
      <c r="C62" s="24"/>
      <c r="D62" s="81"/>
      <c r="E62" s="82"/>
      <c r="F62" s="83"/>
      <c r="G62" s="81"/>
      <c r="H62" s="82"/>
      <c r="I62" s="83"/>
      <c r="J62" s="81"/>
      <c r="K62" s="82"/>
      <c r="L62" s="83"/>
      <c r="M62" s="81"/>
      <c r="N62" s="82"/>
      <c r="O62" s="83"/>
      <c r="P62" s="81"/>
      <c r="Q62" s="82"/>
      <c r="R62" s="83"/>
      <c r="S62" s="81"/>
      <c r="T62" s="82"/>
      <c r="U62" s="83"/>
      <c r="V62" s="81"/>
      <c r="W62" s="82"/>
      <c r="X62" s="83"/>
      <c r="Y62" s="81"/>
      <c r="Z62" s="82"/>
      <c r="AA62" s="83"/>
      <c r="AB62" s="81"/>
      <c r="AC62" s="82"/>
      <c r="AD62" s="83"/>
      <c r="AE62" s="81"/>
      <c r="AF62" s="82"/>
      <c r="AG62" s="83"/>
      <c r="AH62" s="81"/>
      <c r="AI62" s="82"/>
      <c r="AJ62" s="83"/>
      <c r="AK62" s="81"/>
      <c r="AL62" s="82"/>
      <c r="AM62" s="83"/>
      <c r="AN62" s="81"/>
      <c r="AO62" s="82"/>
      <c r="AP62" s="83"/>
      <c r="AQ62" s="81"/>
      <c r="AR62" s="82"/>
      <c r="AS62" s="83"/>
      <c r="AT62" s="81"/>
      <c r="AU62" s="82"/>
      <c r="AV62" s="83"/>
      <c r="AW62" s="66"/>
      <c r="AX62" s="66"/>
      <c r="AY62" s="75"/>
    </row>
    <row r="63" spans="1:51" x14ac:dyDescent="0.3">
      <c r="A63" s="123">
        <f t="shared" si="1"/>
        <v>55</v>
      </c>
      <c r="B63" s="19"/>
      <c r="C63" s="24"/>
      <c r="D63" s="81"/>
      <c r="E63" s="82"/>
      <c r="F63" s="83"/>
      <c r="G63" s="81"/>
      <c r="H63" s="82"/>
      <c r="I63" s="83"/>
      <c r="J63" s="81"/>
      <c r="K63" s="82"/>
      <c r="L63" s="83"/>
      <c r="M63" s="81"/>
      <c r="N63" s="82"/>
      <c r="O63" s="83"/>
      <c r="P63" s="81"/>
      <c r="Q63" s="82"/>
      <c r="R63" s="83"/>
      <c r="S63" s="81"/>
      <c r="T63" s="82"/>
      <c r="U63" s="83"/>
      <c r="V63" s="81"/>
      <c r="W63" s="82"/>
      <c r="X63" s="83"/>
      <c r="Y63" s="81"/>
      <c r="Z63" s="82"/>
      <c r="AA63" s="83"/>
      <c r="AB63" s="81"/>
      <c r="AC63" s="82"/>
      <c r="AD63" s="83"/>
      <c r="AE63" s="81"/>
      <c r="AF63" s="82"/>
      <c r="AG63" s="83"/>
      <c r="AH63" s="81"/>
      <c r="AI63" s="82"/>
      <c r="AJ63" s="83"/>
      <c r="AK63" s="81"/>
      <c r="AL63" s="82"/>
      <c r="AM63" s="83"/>
      <c r="AN63" s="81"/>
      <c r="AO63" s="82"/>
      <c r="AP63" s="83"/>
      <c r="AQ63" s="81"/>
      <c r="AR63" s="82"/>
      <c r="AS63" s="83"/>
      <c r="AT63" s="81"/>
      <c r="AU63" s="82"/>
      <c r="AV63" s="83"/>
      <c r="AW63" s="66"/>
      <c r="AX63" s="66"/>
      <c r="AY63" s="75"/>
    </row>
    <row r="64" spans="1:51" x14ac:dyDescent="0.3">
      <c r="A64" s="123">
        <f t="shared" si="1"/>
        <v>56</v>
      </c>
      <c r="B64" s="19"/>
      <c r="C64" s="24"/>
      <c r="D64" s="81"/>
      <c r="E64" s="82"/>
      <c r="F64" s="83"/>
      <c r="G64" s="81"/>
      <c r="H64" s="82"/>
      <c r="I64" s="83"/>
      <c r="J64" s="81"/>
      <c r="K64" s="82"/>
      <c r="L64" s="83"/>
      <c r="M64" s="81"/>
      <c r="N64" s="82"/>
      <c r="O64" s="83"/>
      <c r="P64" s="81"/>
      <c r="Q64" s="82"/>
      <c r="R64" s="83"/>
      <c r="S64" s="81"/>
      <c r="T64" s="82"/>
      <c r="U64" s="83"/>
      <c r="V64" s="81"/>
      <c r="W64" s="82"/>
      <c r="X64" s="83"/>
      <c r="Y64" s="81"/>
      <c r="Z64" s="82"/>
      <c r="AA64" s="83"/>
      <c r="AB64" s="81"/>
      <c r="AC64" s="82"/>
      <c r="AD64" s="83"/>
      <c r="AE64" s="81"/>
      <c r="AF64" s="82"/>
      <c r="AG64" s="83"/>
      <c r="AH64" s="81"/>
      <c r="AI64" s="82"/>
      <c r="AJ64" s="83"/>
      <c r="AK64" s="81"/>
      <c r="AL64" s="82"/>
      <c r="AM64" s="83"/>
      <c r="AN64" s="81"/>
      <c r="AO64" s="82"/>
      <c r="AP64" s="83"/>
      <c r="AQ64" s="81"/>
      <c r="AR64" s="82"/>
      <c r="AS64" s="83"/>
      <c r="AT64" s="81"/>
      <c r="AU64" s="82"/>
      <c r="AV64" s="83"/>
      <c r="AW64" s="66"/>
      <c r="AX64" s="66"/>
      <c r="AY64" s="75"/>
    </row>
    <row r="65" spans="1:51" x14ac:dyDescent="0.3">
      <c r="A65" s="123">
        <f t="shared" si="1"/>
        <v>57</v>
      </c>
      <c r="B65" s="19"/>
      <c r="C65" s="24"/>
      <c r="D65" s="81"/>
      <c r="E65" s="82"/>
      <c r="F65" s="83"/>
      <c r="G65" s="81"/>
      <c r="H65" s="82"/>
      <c r="I65" s="83"/>
      <c r="J65" s="81"/>
      <c r="K65" s="82"/>
      <c r="L65" s="83"/>
      <c r="M65" s="81"/>
      <c r="N65" s="82"/>
      <c r="O65" s="83"/>
      <c r="P65" s="81"/>
      <c r="Q65" s="82"/>
      <c r="R65" s="83"/>
      <c r="S65" s="81"/>
      <c r="T65" s="82"/>
      <c r="U65" s="83"/>
      <c r="V65" s="81"/>
      <c r="W65" s="82"/>
      <c r="X65" s="83"/>
      <c r="Y65" s="81"/>
      <c r="Z65" s="82"/>
      <c r="AA65" s="83"/>
      <c r="AB65" s="81"/>
      <c r="AC65" s="82"/>
      <c r="AD65" s="83"/>
      <c r="AE65" s="81"/>
      <c r="AF65" s="82"/>
      <c r="AG65" s="83"/>
      <c r="AH65" s="81"/>
      <c r="AI65" s="82"/>
      <c r="AJ65" s="83"/>
      <c r="AK65" s="81"/>
      <c r="AL65" s="82"/>
      <c r="AM65" s="83"/>
      <c r="AN65" s="81"/>
      <c r="AO65" s="82"/>
      <c r="AP65" s="83"/>
      <c r="AQ65" s="81"/>
      <c r="AR65" s="82"/>
      <c r="AS65" s="83"/>
      <c r="AT65" s="81"/>
      <c r="AU65" s="82"/>
      <c r="AV65" s="83"/>
      <c r="AW65" s="66"/>
      <c r="AX65" s="66"/>
      <c r="AY65" s="75"/>
    </row>
    <row r="66" spans="1:51" x14ac:dyDescent="0.3">
      <c r="A66" s="123">
        <f t="shared" si="1"/>
        <v>58</v>
      </c>
      <c r="B66" s="19"/>
      <c r="C66" s="24"/>
      <c r="D66" s="81"/>
      <c r="E66" s="82"/>
      <c r="F66" s="83"/>
      <c r="G66" s="81"/>
      <c r="H66" s="82"/>
      <c r="I66" s="83"/>
      <c r="J66" s="81"/>
      <c r="K66" s="82"/>
      <c r="L66" s="83"/>
      <c r="M66" s="81"/>
      <c r="N66" s="82"/>
      <c r="O66" s="83"/>
      <c r="P66" s="81"/>
      <c r="Q66" s="82"/>
      <c r="R66" s="83"/>
      <c r="S66" s="81"/>
      <c r="T66" s="82"/>
      <c r="U66" s="83"/>
      <c r="V66" s="81"/>
      <c r="W66" s="82"/>
      <c r="X66" s="83"/>
      <c r="Y66" s="81"/>
      <c r="Z66" s="82"/>
      <c r="AA66" s="83"/>
      <c r="AB66" s="81"/>
      <c r="AC66" s="82"/>
      <c r="AD66" s="83"/>
      <c r="AE66" s="81"/>
      <c r="AF66" s="82"/>
      <c r="AG66" s="83"/>
      <c r="AH66" s="81"/>
      <c r="AI66" s="82"/>
      <c r="AJ66" s="83"/>
      <c r="AK66" s="81"/>
      <c r="AL66" s="82"/>
      <c r="AM66" s="83"/>
      <c r="AN66" s="81"/>
      <c r="AO66" s="82"/>
      <c r="AP66" s="83"/>
      <c r="AQ66" s="81"/>
      <c r="AR66" s="82"/>
      <c r="AS66" s="83"/>
      <c r="AT66" s="81"/>
      <c r="AU66" s="82"/>
      <c r="AV66" s="83"/>
      <c r="AW66" s="66"/>
      <c r="AX66" s="66"/>
      <c r="AY66" s="75"/>
    </row>
    <row r="67" spans="1:51" x14ac:dyDescent="0.3">
      <c r="A67" s="123">
        <f t="shared" si="1"/>
        <v>59</v>
      </c>
      <c r="B67" s="19"/>
      <c r="C67" s="24"/>
      <c r="D67" s="81"/>
      <c r="E67" s="82"/>
      <c r="F67" s="83"/>
      <c r="G67" s="81"/>
      <c r="H67" s="82"/>
      <c r="I67" s="83"/>
      <c r="J67" s="81"/>
      <c r="K67" s="82"/>
      <c r="L67" s="83"/>
      <c r="M67" s="81"/>
      <c r="N67" s="82"/>
      <c r="O67" s="83"/>
      <c r="P67" s="81"/>
      <c r="Q67" s="82"/>
      <c r="R67" s="83"/>
      <c r="S67" s="81"/>
      <c r="T67" s="82"/>
      <c r="U67" s="83"/>
      <c r="V67" s="81"/>
      <c r="W67" s="82"/>
      <c r="X67" s="83"/>
      <c r="Y67" s="81"/>
      <c r="Z67" s="82"/>
      <c r="AA67" s="83"/>
      <c r="AB67" s="81"/>
      <c r="AC67" s="82"/>
      <c r="AD67" s="83"/>
      <c r="AE67" s="81"/>
      <c r="AF67" s="82"/>
      <c r="AG67" s="83"/>
      <c r="AH67" s="81"/>
      <c r="AI67" s="82"/>
      <c r="AJ67" s="83"/>
      <c r="AK67" s="81"/>
      <c r="AL67" s="82"/>
      <c r="AM67" s="83"/>
      <c r="AN67" s="81"/>
      <c r="AO67" s="82"/>
      <c r="AP67" s="83"/>
      <c r="AQ67" s="81"/>
      <c r="AR67" s="82"/>
      <c r="AS67" s="83"/>
      <c r="AT67" s="81"/>
      <c r="AU67" s="82"/>
      <c r="AV67" s="83"/>
      <c r="AW67" s="66"/>
      <c r="AX67" s="66"/>
      <c r="AY67" s="75"/>
    </row>
    <row r="68" spans="1:51" x14ac:dyDescent="0.3">
      <c r="A68" s="123">
        <f t="shared" si="1"/>
        <v>60</v>
      </c>
      <c r="B68" s="19"/>
      <c r="C68" s="24"/>
      <c r="D68" s="81"/>
      <c r="E68" s="82"/>
      <c r="F68" s="83"/>
      <c r="G68" s="81"/>
      <c r="H68" s="82"/>
      <c r="I68" s="83"/>
      <c r="J68" s="81"/>
      <c r="K68" s="82"/>
      <c r="L68" s="83"/>
      <c r="M68" s="81"/>
      <c r="N68" s="82"/>
      <c r="O68" s="83"/>
      <c r="P68" s="81"/>
      <c r="Q68" s="82"/>
      <c r="R68" s="83"/>
      <c r="S68" s="81"/>
      <c r="T68" s="82"/>
      <c r="U68" s="83"/>
      <c r="V68" s="81"/>
      <c r="W68" s="82"/>
      <c r="X68" s="83"/>
      <c r="Y68" s="81"/>
      <c r="Z68" s="82"/>
      <c r="AA68" s="83"/>
      <c r="AB68" s="81"/>
      <c r="AC68" s="82"/>
      <c r="AD68" s="83"/>
      <c r="AE68" s="81"/>
      <c r="AF68" s="82"/>
      <c r="AG68" s="83"/>
      <c r="AH68" s="81"/>
      <c r="AI68" s="82"/>
      <c r="AJ68" s="83"/>
      <c r="AK68" s="81"/>
      <c r="AL68" s="82"/>
      <c r="AM68" s="83"/>
      <c r="AN68" s="81"/>
      <c r="AO68" s="82"/>
      <c r="AP68" s="83"/>
      <c r="AQ68" s="81"/>
      <c r="AR68" s="82"/>
      <c r="AS68" s="83"/>
      <c r="AT68" s="81"/>
      <c r="AU68" s="82"/>
      <c r="AV68" s="83"/>
      <c r="AW68" s="66"/>
      <c r="AX68" s="66"/>
      <c r="AY68" s="75"/>
    </row>
    <row r="69" spans="1:51" x14ac:dyDescent="0.3">
      <c r="A69" s="123">
        <f t="shared" si="1"/>
        <v>61</v>
      </c>
      <c r="B69" s="19"/>
      <c r="C69" s="24"/>
      <c r="D69" s="81"/>
      <c r="E69" s="82"/>
      <c r="F69" s="83"/>
      <c r="G69" s="81"/>
      <c r="H69" s="82"/>
      <c r="I69" s="83"/>
      <c r="J69" s="81"/>
      <c r="K69" s="82"/>
      <c r="L69" s="83"/>
      <c r="M69" s="81"/>
      <c r="N69" s="82"/>
      <c r="O69" s="83"/>
      <c r="P69" s="81"/>
      <c r="Q69" s="82"/>
      <c r="R69" s="83"/>
      <c r="S69" s="81"/>
      <c r="T69" s="82"/>
      <c r="U69" s="83"/>
      <c r="V69" s="81"/>
      <c r="W69" s="82"/>
      <c r="X69" s="83"/>
      <c r="Y69" s="81"/>
      <c r="Z69" s="82"/>
      <c r="AA69" s="83"/>
      <c r="AB69" s="81"/>
      <c r="AC69" s="82"/>
      <c r="AD69" s="83"/>
      <c r="AE69" s="81"/>
      <c r="AF69" s="82"/>
      <c r="AG69" s="83"/>
      <c r="AH69" s="81"/>
      <c r="AI69" s="82"/>
      <c r="AJ69" s="83"/>
      <c r="AK69" s="81"/>
      <c r="AL69" s="82"/>
      <c r="AM69" s="83"/>
      <c r="AN69" s="81"/>
      <c r="AO69" s="82"/>
      <c r="AP69" s="83"/>
      <c r="AQ69" s="81"/>
      <c r="AR69" s="82"/>
      <c r="AS69" s="83"/>
      <c r="AT69" s="81"/>
      <c r="AU69" s="82"/>
      <c r="AV69" s="83"/>
      <c r="AW69" s="66"/>
      <c r="AX69" s="66"/>
      <c r="AY69" s="75"/>
    </row>
    <row r="70" spans="1:51" x14ac:dyDescent="0.3">
      <c r="A70" s="123">
        <f t="shared" si="1"/>
        <v>62</v>
      </c>
      <c r="B70" s="19"/>
      <c r="C70" s="24"/>
      <c r="D70" s="81"/>
      <c r="E70" s="82"/>
      <c r="F70" s="83"/>
      <c r="G70" s="81"/>
      <c r="H70" s="82"/>
      <c r="I70" s="83"/>
      <c r="J70" s="81"/>
      <c r="K70" s="82"/>
      <c r="L70" s="83"/>
      <c r="M70" s="81"/>
      <c r="N70" s="82"/>
      <c r="O70" s="83"/>
      <c r="P70" s="81"/>
      <c r="Q70" s="82"/>
      <c r="R70" s="83"/>
      <c r="S70" s="81"/>
      <c r="T70" s="82"/>
      <c r="U70" s="83"/>
      <c r="V70" s="81"/>
      <c r="W70" s="82"/>
      <c r="X70" s="83"/>
      <c r="Y70" s="81"/>
      <c r="Z70" s="82"/>
      <c r="AA70" s="83"/>
      <c r="AB70" s="81"/>
      <c r="AC70" s="82"/>
      <c r="AD70" s="83"/>
      <c r="AE70" s="81"/>
      <c r="AF70" s="82"/>
      <c r="AG70" s="83"/>
      <c r="AH70" s="81"/>
      <c r="AI70" s="82"/>
      <c r="AJ70" s="83"/>
      <c r="AK70" s="81"/>
      <c r="AL70" s="82"/>
      <c r="AM70" s="83"/>
      <c r="AN70" s="81"/>
      <c r="AO70" s="82"/>
      <c r="AP70" s="83"/>
      <c r="AQ70" s="81"/>
      <c r="AR70" s="82"/>
      <c r="AS70" s="83"/>
      <c r="AT70" s="81"/>
      <c r="AU70" s="82"/>
      <c r="AV70" s="83"/>
      <c r="AW70" s="66"/>
      <c r="AX70" s="66"/>
      <c r="AY70" s="75"/>
    </row>
    <row r="71" spans="1:51" x14ac:dyDescent="0.3">
      <c r="A71" s="123">
        <f t="shared" si="1"/>
        <v>63</v>
      </c>
      <c r="B71" s="19"/>
      <c r="C71" s="24"/>
      <c r="D71" s="81"/>
      <c r="E71" s="82"/>
      <c r="F71" s="83"/>
      <c r="G71" s="81"/>
      <c r="H71" s="82"/>
      <c r="I71" s="83"/>
      <c r="J71" s="81"/>
      <c r="K71" s="82"/>
      <c r="L71" s="83"/>
      <c r="M71" s="81"/>
      <c r="N71" s="82"/>
      <c r="O71" s="83"/>
      <c r="P71" s="81"/>
      <c r="Q71" s="82"/>
      <c r="R71" s="83"/>
      <c r="S71" s="81"/>
      <c r="T71" s="82"/>
      <c r="U71" s="83"/>
      <c r="V71" s="81"/>
      <c r="W71" s="82"/>
      <c r="X71" s="83"/>
      <c r="Y71" s="81"/>
      <c r="Z71" s="82"/>
      <c r="AA71" s="83"/>
      <c r="AB71" s="81"/>
      <c r="AC71" s="82"/>
      <c r="AD71" s="83"/>
      <c r="AE71" s="81"/>
      <c r="AF71" s="82"/>
      <c r="AG71" s="83"/>
      <c r="AH71" s="81"/>
      <c r="AI71" s="82"/>
      <c r="AJ71" s="83"/>
      <c r="AK71" s="81"/>
      <c r="AL71" s="82"/>
      <c r="AM71" s="83"/>
      <c r="AN71" s="81"/>
      <c r="AO71" s="82"/>
      <c r="AP71" s="83"/>
      <c r="AQ71" s="81"/>
      <c r="AR71" s="82"/>
      <c r="AS71" s="83"/>
      <c r="AT71" s="81"/>
      <c r="AU71" s="82"/>
      <c r="AV71" s="83"/>
      <c r="AW71" s="66"/>
      <c r="AX71" s="66"/>
      <c r="AY71" s="75"/>
    </row>
    <row r="72" spans="1:51" x14ac:dyDescent="0.3">
      <c r="A72" s="123">
        <f t="shared" si="1"/>
        <v>64</v>
      </c>
      <c r="B72" s="19"/>
      <c r="C72" s="24"/>
      <c r="D72" s="81"/>
      <c r="E72" s="82"/>
      <c r="F72" s="83"/>
      <c r="G72" s="81"/>
      <c r="H72" s="82"/>
      <c r="I72" s="83"/>
      <c r="J72" s="81"/>
      <c r="K72" s="82"/>
      <c r="L72" s="83"/>
      <c r="M72" s="81"/>
      <c r="N72" s="82"/>
      <c r="O72" s="83"/>
      <c r="P72" s="81"/>
      <c r="Q72" s="82"/>
      <c r="R72" s="83"/>
      <c r="S72" s="81"/>
      <c r="T72" s="82"/>
      <c r="U72" s="83"/>
      <c r="V72" s="81"/>
      <c r="W72" s="82"/>
      <c r="X72" s="83"/>
      <c r="Y72" s="81"/>
      <c r="Z72" s="82"/>
      <c r="AA72" s="83"/>
      <c r="AB72" s="81"/>
      <c r="AC72" s="82"/>
      <c r="AD72" s="83"/>
      <c r="AE72" s="81"/>
      <c r="AF72" s="82"/>
      <c r="AG72" s="83"/>
      <c r="AH72" s="81"/>
      <c r="AI72" s="82"/>
      <c r="AJ72" s="83"/>
      <c r="AK72" s="81"/>
      <c r="AL72" s="82"/>
      <c r="AM72" s="83"/>
      <c r="AN72" s="81"/>
      <c r="AO72" s="82"/>
      <c r="AP72" s="83"/>
      <c r="AQ72" s="81"/>
      <c r="AR72" s="82"/>
      <c r="AS72" s="83"/>
      <c r="AT72" s="81"/>
      <c r="AU72" s="82"/>
      <c r="AV72" s="83"/>
      <c r="AW72" s="66"/>
      <c r="AX72" s="66"/>
      <c r="AY72" s="75"/>
    </row>
    <row r="73" spans="1:51" x14ac:dyDescent="0.3">
      <c r="A73" s="123">
        <f t="shared" si="1"/>
        <v>65</v>
      </c>
      <c r="B73" s="19"/>
      <c r="C73" s="24"/>
      <c r="D73" s="81"/>
      <c r="E73" s="82"/>
      <c r="F73" s="83"/>
      <c r="G73" s="81"/>
      <c r="H73" s="82"/>
      <c r="I73" s="83"/>
      <c r="J73" s="81"/>
      <c r="K73" s="82"/>
      <c r="L73" s="83"/>
      <c r="M73" s="81"/>
      <c r="N73" s="82"/>
      <c r="O73" s="83"/>
      <c r="P73" s="81"/>
      <c r="Q73" s="82"/>
      <c r="R73" s="83"/>
      <c r="S73" s="81"/>
      <c r="T73" s="82"/>
      <c r="U73" s="83"/>
      <c r="V73" s="81"/>
      <c r="W73" s="82"/>
      <c r="X73" s="83"/>
      <c r="Y73" s="81"/>
      <c r="Z73" s="82"/>
      <c r="AA73" s="83"/>
      <c r="AB73" s="81"/>
      <c r="AC73" s="82"/>
      <c r="AD73" s="83"/>
      <c r="AE73" s="81"/>
      <c r="AF73" s="82"/>
      <c r="AG73" s="83"/>
      <c r="AH73" s="81"/>
      <c r="AI73" s="82"/>
      <c r="AJ73" s="83"/>
      <c r="AK73" s="81"/>
      <c r="AL73" s="82"/>
      <c r="AM73" s="83"/>
      <c r="AN73" s="81"/>
      <c r="AO73" s="82"/>
      <c r="AP73" s="83"/>
      <c r="AQ73" s="81"/>
      <c r="AR73" s="82"/>
      <c r="AS73" s="83"/>
      <c r="AT73" s="81"/>
      <c r="AU73" s="82"/>
      <c r="AV73" s="83"/>
      <c r="AW73" s="66"/>
      <c r="AX73" s="66"/>
      <c r="AY73" s="75"/>
    </row>
    <row r="74" spans="1:51" x14ac:dyDescent="0.3">
      <c r="A74" s="123">
        <f t="shared" si="1"/>
        <v>66</v>
      </c>
      <c r="B74" s="19"/>
      <c r="C74" s="24"/>
      <c r="D74" s="81"/>
      <c r="E74" s="82"/>
      <c r="F74" s="83"/>
      <c r="G74" s="81"/>
      <c r="H74" s="82"/>
      <c r="I74" s="83"/>
      <c r="J74" s="81"/>
      <c r="K74" s="82"/>
      <c r="L74" s="83"/>
      <c r="M74" s="81"/>
      <c r="N74" s="82"/>
      <c r="O74" s="83"/>
      <c r="P74" s="81"/>
      <c r="Q74" s="82"/>
      <c r="R74" s="83"/>
      <c r="S74" s="81"/>
      <c r="T74" s="82"/>
      <c r="U74" s="83"/>
      <c r="V74" s="81"/>
      <c r="W74" s="82"/>
      <c r="X74" s="83"/>
      <c r="Y74" s="81"/>
      <c r="Z74" s="82"/>
      <c r="AA74" s="83"/>
      <c r="AB74" s="81"/>
      <c r="AC74" s="82"/>
      <c r="AD74" s="83"/>
      <c r="AE74" s="81"/>
      <c r="AF74" s="82"/>
      <c r="AG74" s="83"/>
      <c r="AH74" s="81"/>
      <c r="AI74" s="82"/>
      <c r="AJ74" s="83"/>
      <c r="AK74" s="81"/>
      <c r="AL74" s="82"/>
      <c r="AM74" s="83"/>
      <c r="AN74" s="81"/>
      <c r="AO74" s="82"/>
      <c r="AP74" s="83"/>
      <c r="AQ74" s="81"/>
      <c r="AR74" s="82"/>
      <c r="AS74" s="83"/>
      <c r="AT74" s="81"/>
      <c r="AU74" s="82"/>
      <c r="AV74" s="83"/>
      <c r="AW74" s="66"/>
      <c r="AX74" s="66"/>
      <c r="AY74" s="76"/>
    </row>
    <row r="75" spans="1:51" x14ac:dyDescent="0.3">
      <c r="A75" s="123">
        <f t="shared" si="1"/>
        <v>67</v>
      </c>
      <c r="B75" s="19"/>
      <c r="C75" s="24"/>
      <c r="D75" s="81"/>
      <c r="E75" s="82"/>
      <c r="F75" s="83"/>
      <c r="G75" s="81"/>
      <c r="H75" s="82"/>
      <c r="I75" s="83"/>
      <c r="J75" s="81"/>
      <c r="K75" s="82"/>
      <c r="L75" s="83"/>
      <c r="M75" s="81"/>
      <c r="N75" s="82"/>
      <c r="O75" s="83"/>
      <c r="P75" s="81"/>
      <c r="Q75" s="82"/>
      <c r="R75" s="83"/>
      <c r="S75" s="81"/>
      <c r="T75" s="82"/>
      <c r="U75" s="83"/>
      <c r="V75" s="81"/>
      <c r="W75" s="82"/>
      <c r="X75" s="83"/>
      <c r="Y75" s="81"/>
      <c r="Z75" s="82"/>
      <c r="AA75" s="83"/>
      <c r="AB75" s="81"/>
      <c r="AC75" s="82"/>
      <c r="AD75" s="83"/>
      <c r="AE75" s="81"/>
      <c r="AF75" s="82"/>
      <c r="AG75" s="83"/>
      <c r="AH75" s="81"/>
      <c r="AI75" s="82"/>
      <c r="AJ75" s="83"/>
      <c r="AK75" s="81"/>
      <c r="AL75" s="82"/>
      <c r="AM75" s="83"/>
      <c r="AN75" s="81"/>
      <c r="AO75" s="82"/>
      <c r="AP75" s="83"/>
      <c r="AQ75" s="81"/>
      <c r="AR75" s="82"/>
      <c r="AS75" s="83"/>
      <c r="AT75" s="81"/>
      <c r="AU75" s="82"/>
      <c r="AV75" s="83"/>
      <c r="AW75" s="66"/>
      <c r="AX75" s="66"/>
      <c r="AY75" s="75"/>
    </row>
    <row r="76" spans="1:51" x14ac:dyDescent="0.3">
      <c r="A76" s="123">
        <f t="shared" si="1"/>
        <v>68</v>
      </c>
      <c r="B76" s="48"/>
      <c r="C76" s="24"/>
      <c r="D76" s="81"/>
      <c r="E76" s="82"/>
      <c r="F76" s="83"/>
      <c r="G76" s="81"/>
      <c r="H76" s="82"/>
      <c r="I76" s="83"/>
      <c r="J76" s="81"/>
      <c r="K76" s="82"/>
      <c r="L76" s="83"/>
      <c r="M76" s="81"/>
      <c r="N76" s="82"/>
      <c r="O76" s="83"/>
      <c r="P76" s="81"/>
      <c r="Q76" s="82"/>
      <c r="R76" s="83"/>
      <c r="S76" s="81"/>
      <c r="T76" s="82"/>
      <c r="U76" s="83"/>
      <c r="V76" s="81"/>
      <c r="W76" s="82"/>
      <c r="X76" s="83"/>
      <c r="Y76" s="81"/>
      <c r="Z76" s="82"/>
      <c r="AA76" s="83"/>
      <c r="AB76" s="81"/>
      <c r="AC76" s="82"/>
      <c r="AD76" s="83"/>
      <c r="AE76" s="81"/>
      <c r="AF76" s="82"/>
      <c r="AG76" s="83"/>
      <c r="AH76" s="81"/>
      <c r="AI76" s="82"/>
      <c r="AJ76" s="83"/>
      <c r="AK76" s="81"/>
      <c r="AL76" s="82"/>
      <c r="AM76" s="83"/>
      <c r="AN76" s="81"/>
      <c r="AO76" s="82"/>
      <c r="AP76" s="83"/>
      <c r="AQ76" s="81"/>
      <c r="AR76" s="82"/>
      <c r="AS76" s="83"/>
      <c r="AT76" s="81"/>
      <c r="AU76" s="82"/>
      <c r="AV76" s="83"/>
      <c r="AW76" s="66"/>
      <c r="AX76" s="66"/>
      <c r="AY76" s="75"/>
    </row>
    <row r="77" spans="1:51" x14ac:dyDescent="0.3">
      <c r="A77" s="123">
        <f t="shared" si="1"/>
        <v>69</v>
      </c>
      <c r="B77" s="19"/>
      <c r="C77" s="24"/>
      <c r="D77" s="81"/>
      <c r="E77" s="82"/>
      <c r="F77" s="83"/>
      <c r="G77" s="81"/>
      <c r="H77" s="82"/>
      <c r="I77" s="83"/>
      <c r="J77" s="81"/>
      <c r="K77" s="82"/>
      <c r="L77" s="83"/>
      <c r="M77" s="81"/>
      <c r="N77" s="82"/>
      <c r="O77" s="83"/>
      <c r="P77" s="81"/>
      <c r="Q77" s="82"/>
      <c r="R77" s="83"/>
      <c r="S77" s="81"/>
      <c r="T77" s="82"/>
      <c r="U77" s="83"/>
      <c r="V77" s="81"/>
      <c r="W77" s="82"/>
      <c r="X77" s="83"/>
      <c r="Y77" s="81"/>
      <c r="Z77" s="82"/>
      <c r="AA77" s="83"/>
      <c r="AB77" s="81"/>
      <c r="AC77" s="82"/>
      <c r="AD77" s="83"/>
      <c r="AE77" s="81"/>
      <c r="AF77" s="82"/>
      <c r="AG77" s="83"/>
      <c r="AH77" s="81"/>
      <c r="AI77" s="82"/>
      <c r="AJ77" s="83"/>
      <c r="AK77" s="81"/>
      <c r="AL77" s="82"/>
      <c r="AM77" s="83"/>
      <c r="AN77" s="81"/>
      <c r="AO77" s="82"/>
      <c r="AP77" s="83"/>
      <c r="AQ77" s="81"/>
      <c r="AR77" s="82"/>
      <c r="AS77" s="83"/>
      <c r="AT77" s="81"/>
      <c r="AU77" s="82"/>
      <c r="AV77" s="83"/>
      <c r="AW77" s="66"/>
      <c r="AX77" s="66"/>
      <c r="AY77" s="75"/>
    </row>
    <row r="78" spans="1:51" x14ac:dyDescent="0.3">
      <c r="A78" s="123">
        <f t="shared" si="1"/>
        <v>70</v>
      </c>
      <c r="B78" s="19"/>
      <c r="C78" s="24"/>
      <c r="D78" s="81"/>
      <c r="E78" s="82"/>
      <c r="F78" s="83"/>
      <c r="G78" s="81"/>
      <c r="H78" s="82"/>
      <c r="I78" s="83"/>
      <c r="J78" s="81"/>
      <c r="K78" s="82"/>
      <c r="L78" s="83"/>
      <c r="M78" s="81"/>
      <c r="N78" s="82"/>
      <c r="O78" s="83"/>
      <c r="P78" s="81"/>
      <c r="Q78" s="82"/>
      <c r="R78" s="83"/>
      <c r="S78" s="81"/>
      <c r="T78" s="82"/>
      <c r="U78" s="83"/>
      <c r="V78" s="81"/>
      <c r="W78" s="82"/>
      <c r="X78" s="83"/>
      <c r="Y78" s="81"/>
      <c r="Z78" s="82"/>
      <c r="AA78" s="83"/>
      <c r="AB78" s="81"/>
      <c r="AC78" s="82"/>
      <c r="AD78" s="83"/>
      <c r="AE78" s="81"/>
      <c r="AF78" s="82"/>
      <c r="AG78" s="83"/>
      <c r="AH78" s="81"/>
      <c r="AI78" s="82"/>
      <c r="AJ78" s="83"/>
      <c r="AK78" s="81"/>
      <c r="AL78" s="82"/>
      <c r="AM78" s="83"/>
      <c r="AN78" s="81"/>
      <c r="AO78" s="82"/>
      <c r="AP78" s="83"/>
      <c r="AQ78" s="81"/>
      <c r="AR78" s="82"/>
      <c r="AS78" s="83"/>
      <c r="AT78" s="81"/>
      <c r="AU78" s="82"/>
      <c r="AV78" s="83"/>
      <c r="AW78" s="66"/>
      <c r="AX78" s="66"/>
      <c r="AY78" s="76"/>
    </row>
    <row r="79" spans="1:51" x14ac:dyDescent="0.3">
      <c r="A79" s="123">
        <f t="shared" si="1"/>
        <v>71</v>
      </c>
      <c r="B79" s="19"/>
      <c r="C79" s="24"/>
      <c r="D79" s="81"/>
      <c r="E79" s="82"/>
      <c r="F79" s="83"/>
      <c r="G79" s="81"/>
      <c r="H79" s="82"/>
      <c r="I79" s="83"/>
      <c r="J79" s="81"/>
      <c r="K79" s="82"/>
      <c r="L79" s="83"/>
      <c r="M79" s="81"/>
      <c r="N79" s="82"/>
      <c r="O79" s="83"/>
      <c r="P79" s="81"/>
      <c r="Q79" s="82"/>
      <c r="R79" s="83"/>
      <c r="S79" s="81"/>
      <c r="T79" s="82"/>
      <c r="U79" s="83"/>
      <c r="V79" s="81"/>
      <c r="W79" s="82"/>
      <c r="X79" s="83"/>
      <c r="Y79" s="81"/>
      <c r="Z79" s="82"/>
      <c r="AA79" s="83"/>
      <c r="AB79" s="81"/>
      <c r="AC79" s="82"/>
      <c r="AD79" s="83"/>
      <c r="AE79" s="81"/>
      <c r="AF79" s="82"/>
      <c r="AG79" s="83"/>
      <c r="AH79" s="81"/>
      <c r="AI79" s="82"/>
      <c r="AJ79" s="83"/>
      <c r="AK79" s="81"/>
      <c r="AL79" s="82"/>
      <c r="AM79" s="83"/>
      <c r="AN79" s="81"/>
      <c r="AO79" s="82"/>
      <c r="AP79" s="83"/>
      <c r="AQ79" s="81"/>
      <c r="AR79" s="82"/>
      <c r="AS79" s="83"/>
      <c r="AT79" s="81"/>
      <c r="AU79" s="82"/>
      <c r="AV79" s="83"/>
      <c r="AW79" s="66"/>
      <c r="AX79" s="66"/>
      <c r="AY79" s="75"/>
    </row>
    <row r="80" spans="1:51" x14ac:dyDescent="0.3">
      <c r="A80" s="123">
        <f t="shared" si="1"/>
        <v>72</v>
      </c>
      <c r="B80" s="19"/>
      <c r="C80" s="24"/>
      <c r="D80" s="81"/>
      <c r="E80" s="82"/>
      <c r="F80" s="83"/>
      <c r="G80" s="81"/>
      <c r="H80" s="82"/>
      <c r="I80" s="83"/>
      <c r="J80" s="81"/>
      <c r="K80" s="82"/>
      <c r="L80" s="83"/>
      <c r="M80" s="81"/>
      <c r="N80" s="82"/>
      <c r="O80" s="83"/>
      <c r="P80" s="81"/>
      <c r="Q80" s="82"/>
      <c r="R80" s="83"/>
      <c r="S80" s="81"/>
      <c r="T80" s="82"/>
      <c r="U80" s="83"/>
      <c r="V80" s="81"/>
      <c r="W80" s="82"/>
      <c r="X80" s="83"/>
      <c r="Y80" s="81"/>
      <c r="Z80" s="82"/>
      <c r="AA80" s="83"/>
      <c r="AB80" s="81"/>
      <c r="AC80" s="82"/>
      <c r="AD80" s="83"/>
      <c r="AE80" s="81"/>
      <c r="AF80" s="82"/>
      <c r="AG80" s="83"/>
      <c r="AH80" s="81"/>
      <c r="AI80" s="82"/>
      <c r="AJ80" s="83"/>
      <c r="AK80" s="81"/>
      <c r="AL80" s="82"/>
      <c r="AM80" s="83"/>
      <c r="AN80" s="81"/>
      <c r="AO80" s="82"/>
      <c r="AP80" s="83"/>
      <c r="AQ80" s="81"/>
      <c r="AR80" s="82"/>
      <c r="AS80" s="83"/>
      <c r="AT80" s="81"/>
      <c r="AU80" s="82"/>
      <c r="AV80" s="83"/>
      <c r="AW80" s="66"/>
      <c r="AX80" s="66"/>
      <c r="AY80" s="75"/>
    </row>
    <row r="81" spans="1:51" x14ac:dyDescent="0.3">
      <c r="A81" s="123">
        <f t="shared" si="1"/>
        <v>73</v>
      </c>
      <c r="B81" s="19"/>
      <c r="C81" s="24"/>
      <c r="D81" s="81"/>
      <c r="E81" s="82"/>
      <c r="F81" s="83"/>
      <c r="G81" s="81"/>
      <c r="H81" s="82"/>
      <c r="I81" s="83"/>
      <c r="J81" s="81"/>
      <c r="K81" s="82"/>
      <c r="L81" s="83"/>
      <c r="M81" s="81"/>
      <c r="N81" s="82"/>
      <c r="O81" s="83"/>
      <c r="P81" s="81"/>
      <c r="Q81" s="82"/>
      <c r="R81" s="83"/>
      <c r="S81" s="81"/>
      <c r="T81" s="82"/>
      <c r="U81" s="83"/>
      <c r="V81" s="81"/>
      <c r="W81" s="82"/>
      <c r="X81" s="83"/>
      <c r="Y81" s="81"/>
      <c r="Z81" s="82"/>
      <c r="AA81" s="83"/>
      <c r="AB81" s="81"/>
      <c r="AC81" s="82"/>
      <c r="AD81" s="83"/>
      <c r="AE81" s="81"/>
      <c r="AF81" s="82"/>
      <c r="AG81" s="83"/>
      <c r="AH81" s="81"/>
      <c r="AI81" s="82"/>
      <c r="AJ81" s="83"/>
      <c r="AK81" s="81"/>
      <c r="AL81" s="82"/>
      <c r="AM81" s="83"/>
      <c r="AN81" s="81"/>
      <c r="AO81" s="82"/>
      <c r="AP81" s="83"/>
      <c r="AQ81" s="81"/>
      <c r="AR81" s="82"/>
      <c r="AS81" s="83"/>
      <c r="AT81" s="81"/>
      <c r="AU81" s="82"/>
      <c r="AV81" s="83"/>
      <c r="AW81" s="66"/>
      <c r="AX81" s="66"/>
      <c r="AY81" s="75"/>
    </row>
    <row r="82" spans="1:51" x14ac:dyDescent="0.3">
      <c r="A82" s="123">
        <f t="shared" si="1"/>
        <v>74</v>
      </c>
      <c r="B82" s="19"/>
      <c r="C82" s="20"/>
      <c r="D82" s="81"/>
      <c r="E82" s="82"/>
      <c r="F82" s="83"/>
      <c r="G82" s="81"/>
      <c r="H82" s="82"/>
      <c r="I82" s="83"/>
      <c r="J82" s="81"/>
      <c r="K82" s="82"/>
      <c r="L82" s="83"/>
      <c r="M82" s="81"/>
      <c r="N82" s="82"/>
      <c r="O82" s="83"/>
      <c r="P82" s="81"/>
      <c r="Q82" s="82"/>
      <c r="R82" s="83"/>
      <c r="S82" s="81"/>
      <c r="T82" s="82"/>
      <c r="U82" s="83"/>
      <c r="V82" s="81"/>
      <c r="W82" s="82"/>
      <c r="X82" s="83"/>
      <c r="Y82" s="81"/>
      <c r="Z82" s="82"/>
      <c r="AA82" s="83"/>
      <c r="AB82" s="81"/>
      <c r="AC82" s="82"/>
      <c r="AD82" s="83"/>
      <c r="AE82" s="81"/>
      <c r="AF82" s="82"/>
      <c r="AG82" s="83"/>
      <c r="AH82" s="81"/>
      <c r="AI82" s="82"/>
      <c r="AJ82" s="83"/>
      <c r="AK82" s="81"/>
      <c r="AL82" s="82"/>
      <c r="AM82" s="83"/>
      <c r="AN82" s="81"/>
      <c r="AO82" s="82"/>
      <c r="AP82" s="83"/>
      <c r="AQ82" s="81"/>
      <c r="AR82" s="82"/>
      <c r="AS82" s="83"/>
      <c r="AT82" s="81"/>
      <c r="AU82" s="82"/>
      <c r="AV82" s="83"/>
      <c r="AW82" s="66"/>
      <c r="AX82" s="66"/>
      <c r="AY82" s="75"/>
    </row>
    <row r="83" spans="1:51" x14ac:dyDescent="0.3">
      <c r="A83" s="123">
        <f t="shared" si="1"/>
        <v>75</v>
      </c>
      <c r="B83" s="19"/>
      <c r="C83" s="24"/>
      <c r="D83" s="81"/>
      <c r="E83" s="82"/>
      <c r="F83" s="83"/>
      <c r="G83" s="81"/>
      <c r="H83" s="82"/>
      <c r="I83" s="83"/>
      <c r="J83" s="81"/>
      <c r="K83" s="82"/>
      <c r="L83" s="83"/>
      <c r="M83" s="81"/>
      <c r="N83" s="82"/>
      <c r="O83" s="83"/>
      <c r="P83" s="81"/>
      <c r="Q83" s="82"/>
      <c r="R83" s="83"/>
      <c r="S83" s="81"/>
      <c r="T83" s="82"/>
      <c r="U83" s="83"/>
      <c r="V83" s="81"/>
      <c r="W83" s="82"/>
      <c r="X83" s="83"/>
      <c r="Y83" s="81"/>
      <c r="Z83" s="82"/>
      <c r="AA83" s="83"/>
      <c r="AB83" s="81"/>
      <c r="AC83" s="82"/>
      <c r="AD83" s="83"/>
      <c r="AE83" s="81"/>
      <c r="AF83" s="82"/>
      <c r="AG83" s="83"/>
      <c r="AH83" s="81"/>
      <c r="AI83" s="82"/>
      <c r="AJ83" s="83"/>
      <c r="AK83" s="81"/>
      <c r="AL83" s="82"/>
      <c r="AM83" s="83"/>
      <c r="AN83" s="81"/>
      <c r="AO83" s="82"/>
      <c r="AP83" s="83"/>
      <c r="AQ83" s="81"/>
      <c r="AR83" s="82"/>
      <c r="AS83" s="83"/>
      <c r="AT83" s="81"/>
      <c r="AU83" s="82"/>
      <c r="AV83" s="83"/>
      <c r="AW83" s="66"/>
      <c r="AX83" s="66"/>
      <c r="AY83" s="75"/>
    </row>
    <row r="84" spans="1:51" x14ac:dyDescent="0.3">
      <c r="A84" s="123">
        <f t="shared" si="1"/>
        <v>76</v>
      </c>
      <c r="B84" s="19"/>
      <c r="C84" s="24"/>
      <c r="D84" s="81"/>
      <c r="E84" s="82"/>
      <c r="F84" s="83"/>
      <c r="G84" s="81"/>
      <c r="H84" s="82"/>
      <c r="I84" s="83"/>
      <c r="J84" s="81"/>
      <c r="K84" s="82"/>
      <c r="L84" s="83"/>
      <c r="M84" s="81"/>
      <c r="N84" s="82"/>
      <c r="O84" s="83"/>
      <c r="P84" s="81"/>
      <c r="Q84" s="82"/>
      <c r="R84" s="83"/>
      <c r="S84" s="81"/>
      <c r="T84" s="82"/>
      <c r="U84" s="83"/>
      <c r="V84" s="81"/>
      <c r="W84" s="82"/>
      <c r="X84" s="83"/>
      <c r="Y84" s="81"/>
      <c r="Z84" s="82"/>
      <c r="AA84" s="83"/>
      <c r="AB84" s="81"/>
      <c r="AC84" s="82"/>
      <c r="AD84" s="83"/>
      <c r="AE84" s="81"/>
      <c r="AF84" s="82"/>
      <c r="AG84" s="83"/>
      <c r="AH84" s="81"/>
      <c r="AI84" s="82"/>
      <c r="AJ84" s="83"/>
      <c r="AK84" s="81"/>
      <c r="AL84" s="82"/>
      <c r="AM84" s="83"/>
      <c r="AN84" s="81"/>
      <c r="AO84" s="82"/>
      <c r="AP84" s="83"/>
      <c r="AQ84" s="81"/>
      <c r="AR84" s="82"/>
      <c r="AS84" s="83"/>
      <c r="AT84" s="81"/>
      <c r="AU84" s="82"/>
      <c r="AV84" s="83"/>
      <c r="AW84" s="66"/>
      <c r="AX84" s="66"/>
      <c r="AY84" s="75"/>
    </row>
    <row r="85" spans="1:51" x14ac:dyDescent="0.3">
      <c r="A85" s="123">
        <f t="shared" si="1"/>
        <v>77</v>
      </c>
      <c r="B85" s="19"/>
      <c r="C85" s="24"/>
      <c r="D85" s="81"/>
      <c r="E85" s="82"/>
      <c r="F85" s="83"/>
      <c r="G85" s="81"/>
      <c r="H85" s="82"/>
      <c r="I85" s="83"/>
      <c r="J85" s="81"/>
      <c r="K85" s="82"/>
      <c r="L85" s="83"/>
      <c r="M85" s="81"/>
      <c r="N85" s="82"/>
      <c r="O85" s="83"/>
      <c r="P85" s="81"/>
      <c r="Q85" s="82"/>
      <c r="R85" s="83"/>
      <c r="S85" s="81"/>
      <c r="T85" s="82"/>
      <c r="U85" s="83"/>
      <c r="V85" s="81"/>
      <c r="W85" s="82"/>
      <c r="X85" s="83"/>
      <c r="Y85" s="81"/>
      <c r="Z85" s="82"/>
      <c r="AA85" s="83"/>
      <c r="AB85" s="81"/>
      <c r="AC85" s="82"/>
      <c r="AD85" s="83"/>
      <c r="AE85" s="81"/>
      <c r="AF85" s="82"/>
      <c r="AG85" s="83"/>
      <c r="AH85" s="81"/>
      <c r="AI85" s="82"/>
      <c r="AJ85" s="83"/>
      <c r="AK85" s="81"/>
      <c r="AL85" s="82"/>
      <c r="AM85" s="83"/>
      <c r="AN85" s="81"/>
      <c r="AO85" s="82"/>
      <c r="AP85" s="83"/>
      <c r="AQ85" s="81"/>
      <c r="AR85" s="82"/>
      <c r="AS85" s="83"/>
      <c r="AT85" s="81"/>
      <c r="AU85" s="82"/>
      <c r="AV85" s="83"/>
      <c r="AW85" s="66"/>
      <c r="AX85" s="66"/>
      <c r="AY85" s="75"/>
    </row>
    <row r="86" spans="1:51" x14ac:dyDescent="0.3">
      <c r="A86" s="123">
        <f t="shared" si="1"/>
        <v>78</v>
      </c>
      <c r="B86" s="19"/>
      <c r="C86" s="24"/>
      <c r="D86" s="81"/>
      <c r="E86" s="82"/>
      <c r="F86" s="83"/>
      <c r="G86" s="81"/>
      <c r="H86" s="82"/>
      <c r="I86" s="83"/>
      <c r="J86" s="81"/>
      <c r="K86" s="82"/>
      <c r="L86" s="83"/>
      <c r="M86" s="81"/>
      <c r="N86" s="82"/>
      <c r="O86" s="83"/>
      <c r="P86" s="81"/>
      <c r="Q86" s="82"/>
      <c r="R86" s="83"/>
      <c r="S86" s="81"/>
      <c r="T86" s="82"/>
      <c r="U86" s="83"/>
      <c r="V86" s="81"/>
      <c r="W86" s="82"/>
      <c r="X86" s="83"/>
      <c r="Y86" s="81"/>
      <c r="Z86" s="82"/>
      <c r="AA86" s="83"/>
      <c r="AB86" s="81"/>
      <c r="AC86" s="82"/>
      <c r="AD86" s="83"/>
      <c r="AE86" s="81"/>
      <c r="AF86" s="82"/>
      <c r="AG86" s="83"/>
      <c r="AH86" s="81"/>
      <c r="AI86" s="82"/>
      <c r="AJ86" s="83"/>
      <c r="AK86" s="81"/>
      <c r="AL86" s="82"/>
      <c r="AM86" s="83"/>
      <c r="AN86" s="81"/>
      <c r="AO86" s="82"/>
      <c r="AP86" s="83"/>
      <c r="AQ86" s="81"/>
      <c r="AR86" s="82"/>
      <c r="AS86" s="83"/>
      <c r="AT86" s="81"/>
      <c r="AU86" s="82"/>
      <c r="AV86" s="83"/>
      <c r="AW86" s="66"/>
      <c r="AX86" s="66"/>
      <c r="AY86" s="75"/>
    </row>
    <row r="87" spans="1:51" x14ac:dyDescent="0.3">
      <c r="A87" s="123">
        <f t="shared" si="1"/>
        <v>79</v>
      </c>
      <c r="B87" s="19"/>
      <c r="C87" s="24"/>
      <c r="D87" s="81"/>
      <c r="E87" s="82"/>
      <c r="F87" s="83"/>
      <c r="G87" s="81"/>
      <c r="H87" s="82"/>
      <c r="I87" s="83"/>
      <c r="J87" s="81"/>
      <c r="K87" s="82"/>
      <c r="L87" s="83"/>
      <c r="M87" s="81"/>
      <c r="N87" s="82"/>
      <c r="O87" s="83"/>
      <c r="P87" s="81"/>
      <c r="Q87" s="82"/>
      <c r="R87" s="83"/>
      <c r="S87" s="81"/>
      <c r="T87" s="82"/>
      <c r="U87" s="83"/>
      <c r="V87" s="81"/>
      <c r="W87" s="82"/>
      <c r="X87" s="83"/>
      <c r="Y87" s="81"/>
      <c r="Z87" s="82"/>
      <c r="AA87" s="83"/>
      <c r="AB87" s="81"/>
      <c r="AC87" s="82"/>
      <c r="AD87" s="83"/>
      <c r="AE87" s="81"/>
      <c r="AF87" s="82"/>
      <c r="AG87" s="83"/>
      <c r="AH87" s="81"/>
      <c r="AI87" s="82"/>
      <c r="AJ87" s="83"/>
      <c r="AK87" s="81"/>
      <c r="AL87" s="82"/>
      <c r="AM87" s="83"/>
      <c r="AN87" s="81"/>
      <c r="AO87" s="82"/>
      <c r="AP87" s="83"/>
      <c r="AQ87" s="81"/>
      <c r="AR87" s="82"/>
      <c r="AS87" s="83"/>
      <c r="AT87" s="81"/>
      <c r="AU87" s="82"/>
      <c r="AV87" s="83"/>
      <c r="AW87" s="66"/>
      <c r="AX87" s="66"/>
      <c r="AY87" s="75"/>
    </row>
    <row r="88" spans="1:51" x14ac:dyDescent="0.3">
      <c r="A88" s="123">
        <f t="shared" si="1"/>
        <v>80</v>
      </c>
      <c r="B88" s="19"/>
      <c r="C88" s="24"/>
      <c r="D88" s="81"/>
      <c r="E88" s="82"/>
      <c r="F88" s="83"/>
      <c r="G88" s="81"/>
      <c r="H88" s="82"/>
      <c r="I88" s="83"/>
      <c r="J88" s="81"/>
      <c r="K88" s="82"/>
      <c r="L88" s="83"/>
      <c r="M88" s="81"/>
      <c r="N88" s="82"/>
      <c r="O88" s="83"/>
      <c r="P88" s="81"/>
      <c r="Q88" s="82"/>
      <c r="R88" s="83"/>
      <c r="S88" s="81"/>
      <c r="T88" s="82"/>
      <c r="U88" s="83"/>
      <c r="V88" s="81"/>
      <c r="W88" s="82"/>
      <c r="X88" s="83"/>
      <c r="Y88" s="81"/>
      <c r="Z88" s="82"/>
      <c r="AA88" s="83"/>
      <c r="AB88" s="81"/>
      <c r="AC88" s="82"/>
      <c r="AD88" s="83"/>
      <c r="AE88" s="81"/>
      <c r="AF88" s="82"/>
      <c r="AG88" s="83"/>
      <c r="AH88" s="81"/>
      <c r="AI88" s="82"/>
      <c r="AJ88" s="83"/>
      <c r="AK88" s="81"/>
      <c r="AL88" s="82"/>
      <c r="AM88" s="83"/>
      <c r="AN88" s="81"/>
      <c r="AO88" s="82"/>
      <c r="AP88" s="83"/>
      <c r="AQ88" s="81"/>
      <c r="AR88" s="82"/>
      <c r="AS88" s="83"/>
      <c r="AT88" s="81"/>
      <c r="AU88" s="82"/>
      <c r="AV88" s="83"/>
      <c r="AW88" s="66"/>
      <c r="AX88" s="66"/>
      <c r="AY88" s="75"/>
    </row>
    <row r="89" spans="1:51" x14ac:dyDescent="0.3">
      <c r="A89" s="123">
        <f t="shared" si="1"/>
        <v>81</v>
      </c>
      <c r="B89" s="19"/>
      <c r="C89" s="24"/>
      <c r="D89" s="81"/>
      <c r="E89" s="82"/>
      <c r="F89" s="83"/>
      <c r="G89" s="81"/>
      <c r="H89" s="82"/>
      <c r="I89" s="83"/>
      <c r="J89" s="81"/>
      <c r="K89" s="82"/>
      <c r="L89" s="83"/>
      <c r="M89" s="81"/>
      <c r="N89" s="82"/>
      <c r="O89" s="83"/>
      <c r="P89" s="81"/>
      <c r="Q89" s="82"/>
      <c r="R89" s="83"/>
      <c r="S89" s="81"/>
      <c r="T89" s="82"/>
      <c r="U89" s="83"/>
      <c r="V89" s="81"/>
      <c r="W89" s="82"/>
      <c r="X89" s="83"/>
      <c r="Y89" s="81"/>
      <c r="Z89" s="82"/>
      <c r="AA89" s="83"/>
      <c r="AB89" s="81"/>
      <c r="AC89" s="82"/>
      <c r="AD89" s="83"/>
      <c r="AE89" s="81"/>
      <c r="AF89" s="82"/>
      <c r="AG89" s="83"/>
      <c r="AH89" s="81"/>
      <c r="AI89" s="82"/>
      <c r="AJ89" s="83"/>
      <c r="AK89" s="81"/>
      <c r="AL89" s="82"/>
      <c r="AM89" s="83"/>
      <c r="AN89" s="81"/>
      <c r="AO89" s="82"/>
      <c r="AP89" s="83"/>
      <c r="AQ89" s="81"/>
      <c r="AR89" s="82"/>
      <c r="AS89" s="83"/>
      <c r="AT89" s="81"/>
      <c r="AU89" s="82"/>
      <c r="AV89" s="83"/>
      <c r="AW89" s="66"/>
      <c r="AX89" s="66"/>
      <c r="AY89" s="75"/>
    </row>
    <row r="90" spans="1:51" x14ac:dyDescent="0.3">
      <c r="A90" s="123">
        <f t="shared" si="1"/>
        <v>82</v>
      </c>
      <c r="B90" s="19"/>
      <c r="C90" s="24"/>
      <c r="D90" s="81"/>
      <c r="E90" s="82"/>
      <c r="F90" s="83"/>
      <c r="G90" s="81"/>
      <c r="H90" s="82"/>
      <c r="I90" s="83"/>
      <c r="J90" s="81"/>
      <c r="K90" s="82"/>
      <c r="L90" s="83"/>
      <c r="M90" s="81"/>
      <c r="N90" s="82"/>
      <c r="O90" s="83"/>
      <c r="P90" s="81"/>
      <c r="Q90" s="82"/>
      <c r="R90" s="83"/>
      <c r="S90" s="81"/>
      <c r="T90" s="82"/>
      <c r="U90" s="83"/>
      <c r="V90" s="81"/>
      <c r="W90" s="82"/>
      <c r="X90" s="83"/>
      <c r="Y90" s="81"/>
      <c r="Z90" s="82"/>
      <c r="AA90" s="83"/>
      <c r="AB90" s="81"/>
      <c r="AC90" s="82"/>
      <c r="AD90" s="83"/>
      <c r="AE90" s="81"/>
      <c r="AF90" s="82"/>
      <c r="AG90" s="83"/>
      <c r="AH90" s="81"/>
      <c r="AI90" s="82"/>
      <c r="AJ90" s="83"/>
      <c r="AK90" s="81"/>
      <c r="AL90" s="82"/>
      <c r="AM90" s="83"/>
      <c r="AN90" s="81"/>
      <c r="AO90" s="82"/>
      <c r="AP90" s="83"/>
      <c r="AQ90" s="81"/>
      <c r="AR90" s="82"/>
      <c r="AS90" s="83"/>
      <c r="AT90" s="81"/>
      <c r="AU90" s="82"/>
      <c r="AV90" s="83"/>
      <c r="AW90" s="66"/>
      <c r="AX90" s="66"/>
      <c r="AY90" s="75"/>
    </row>
    <row r="91" spans="1:51" x14ac:dyDescent="0.3">
      <c r="A91" s="123">
        <f t="shared" si="1"/>
        <v>83</v>
      </c>
      <c r="B91" s="19"/>
      <c r="C91" s="24"/>
      <c r="D91" s="81"/>
      <c r="E91" s="82"/>
      <c r="F91" s="83"/>
      <c r="G91" s="81"/>
      <c r="H91" s="82"/>
      <c r="I91" s="83"/>
      <c r="J91" s="81"/>
      <c r="K91" s="82"/>
      <c r="L91" s="83"/>
      <c r="M91" s="81"/>
      <c r="N91" s="82"/>
      <c r="O91" s="83"/>
      <c r="P91" s="81"/>
      <c r="Q91" s="82"/>
      <c r="R91" s="83"/>
      <c r="S91" s="81"/>
      <c r="T91" s="82"/>
      <c r="U91" s="83"/>
      <c r="V91" s="81"/>
      <c r="W91" s="82"/>
      <c r="X91" s="83"/>
      <c r="Y91" s="81"/>
      <c r="Z91" s="82"/>
      <c r="AA91" s="83"/>
      <c r="AB91" s="81"/>
      <c r="AC91" s="82"/>
      <c r="AD91" s="83"/>
      <c r="AE91" s="81"/>
      <c r="AF91" s="82"/>
      <c r="AG91" s="83"/>
      <c r="AH91" s="81"/>
      <c r="AI91" s="82"/>
      <c r="AJ91" s="83"/>
      <c r="AK91" s="81"/>
      <c r="AL91" s="82"/>
      <c r="AM91" s="83"/>
      <c r="AN91" s="81"/>
      <c r="AO91" s="82"/>
      <c r="AP91" s="83"/>
      <c r="AQ91" s="81"/>
      <c r="AR91" s="82"/>
      <c r="AS91" s="83"/>
      <c r="AT91" s="81"/>
      <c r="AU91" s="82"/>
      <c r="AV91" s="83"/>
      <c r="AW91" s="66"/>
      <c r="AX91" s="66"/>
      <c r="AY91" s="75"/>
    </row>
    <row r="92" spans="1:51" x14ac:dyDescent="0.3">
      <c r="A92" s="123">
        <f t="shared" si="1"/>
        <v>84</v>
      </c>
      <c r="B92" s="19"/>
      <c r="C92" s="24"/>
      <c r="D92" s="81"/>
      <c r="E92" s="82"/>
      <c r="F92" s="83"/>
      <c r="G92" s="81"/>
      <c r="H92" s="82"/>
      <c r="I92" s="83"/>
      <c r="J92" s="81"/>
      <c r="K92" s="82"/>
      <c r="L92" s="83"/>
      <c r="M92" s="81"/>
      <c r="N92" s="82"/>
      <c r="O92" s="83"/>
      <c r="P92" s="81"/>
      <c r="Q92" s="82"/>
      <c r="R92" s="83"/>
      <c r="S92" s="81"/>
      <c r="T92" s="82"/>
      <c r="U92" s="83"/>
      <c r="V92" s="81"/>
      <c r="W92" s="82"/>
      <c r="X92" s="83"/>
      <c r="Y92" s="81"/>
      <c r="Z92" s="82"/>
      <c r="AA92" s="83"/>
      <c r="AB92" s="81"/>
      <c r="AC92" s="82"/>
      <c r="AD92" s="83"/>
      <c r="AE92" s="81"/>
      <c r="AF92" s="82"/>
      <c r="AG92" s="83"/>
      <c r="AH92" s="81"/>
      <c r="AI92" s="82"/>
      <c r="AJ92" s="83"/>
      <c r="AK92" s="81"/>
      <c r="AL92" s="82"/>
      <c r="AM92" s="83"/>
      <c r="AN92" s="81"/>
      <c r="AO92" s="82"/>
      <c r="AP92" s="83"/>
      <c r="AQ92" s="81"/>
      <c r="AR92" s="82"/>
      <c r="AS92" s="83"/>
      <c r="AT92" s="81"/>
      <c r="AU92" s="82"/>
      <c r="AV92" s="83"/>
      <c r="AW92" s="66"/>
      <c r="AX92" s="66"/>
      <c r="AY92" s="75"/>
    </row>
    <row r="93" spans="1:51" x14ac:dyDescent="0.3">
      <c r="A93" s="123">
        <f t="shared" si="1"/>
        <v>85</v>
      </c>
      <c r="B93" s="19"/>
      <c r="C93" s="24"/>
      <c r="D93" s="81"/>
      <c r="E93" s="82"/>
      <c r="F93" s="83"/>
      <c r="G93" s="81"/>
      <c r="H93" s="82"/>
      <c r="I93" s="83"/>
      <c r="J93" s="81"/>
      <c r="K93" s="82"/>
      <c r="L93" s="83"/>
      <c r="M93" s="81"/>
      <c r="N93" s="82"/>
      <c r="O93" s="83"/>
      <c r="P93" s="81"/>
      <c r="Q93" s="82"/>
      <c r="R93" s="83"/>
      <c r="S93" s="81"/>
      <c r="T93" s="82"/>
      <c r="U93" s="83"/>
      <c r="V93" s="81"/>
      <c r="W93" s="82"/>
      <c r="X93" s="83"/>
      <c r="Y93" s="81"/>
      <c r="Z93" s="82"/>
      <c r="AA93" s="83"/>
      <c r="AB93" s="81"/>
      <c r="AC93" s="82"/>
      <c r="AD93" s="83"/>
      <c r="AE93" s="81"/>
      <c r="AF93" s="82"/>
      <c r="AG93" s="83"/>
      <c r="AH93" s="81"/>
      <c r="AI93" s="82"/>
      <c r="AJ93" s="83"/>
      <c r="AK93" s="81"/>
      <c r="AL93" s="82"/>
      <c r="AM93" s="83"/>
      <c r="AN93" s="81"/>
      <c r="AO93" s="82"/>
      <c r="AP93" s="83"/>
      <c r="AQ93" s="81"/>
      <c r="AR93" s="82"/>
      <c r="AS93" s="83"/>
      <c r="AT93" s="81"/>
      <c r="AU93" s="82"/>
      <c r="AV93" s="83"/>
      <c r="AW93" s="66"/>
      <c r="AX93" s="66"/>
      <c r="AY93" s="75"/>
    </row>
    <row r="94" spans="1:51" x14ac:dyDescent="0.3">
      <c r="A94" s="123">
        <f t="shared" si="1"/>
        <v>86</v>
      </c>
      <c r="B94" s="19"/>
      <c r="C94" s="24"/>
      <c r="D94" s="81"/>
      <c r="E94" s="82"/>
      <c r="F94" s="83"/>
      <c r="G94" s="81"/>
      <c r="H94" s="82"/>
      <c r="I94" s="83"/>
      <c r="J94" s="81"/>
      <c r="K94" s="82"/>
      <c r="L94" s="83"/>
      <c r="M94" s="81"/>
      <c r="N94" s="82"/>
      <c r="O94" s="83"/>
      <c r="P94" s="81"/>
      <c r="Q94" s="82"/>
      <c r="R94" s="83"/>
      <c r="S94" s="81"/>
      <c r="T94" s="82"/>
      <c r="U94" s="83"/>
      <c r="V94" s="81"/>
      <c r="W94" s="82"/>
      <c r="X94" s="83"/>
      <c r="Y94" s="81"/>
      <c r="Z94" s="82"/>
      <c r="AA94" s="83"/>
      <c r="AB94" s="81"/>
      <c r="AC94" s="82"/>
      <c r="AD94" s="83"/>
      <c r="AE94" s="81"/>
      <c r="AF94" s="82"/>
      <c r="AG94" s="83"/>
      <c r="AH94" s="81"/>
      <c r="AI94" s="82"/>
      <c r="AJ94" s="83"/>
      <c r="AK94" s="81"/>
      <c r="AL94" s="82"/>
      <c r="AM94" s="83"/>
      <c r="AN94" s="81"/>
      <c r="AO94" s="82"/>
      <c r="AP94" s="83"/>
      <c r="AQ94" s="81"/>
      <c r="AR94" s="82"/>
      <c r="AS94" s="83"/>
      <c r="AT94" s="81"/>
      <c r="AU94" s="82"/>
      <c r="AV94" s="83"/>
      <c r="AW94" s="66"/>
      <c r="AX94" s="66"/>
      <c r="AY94" s="75"/>
    </row>
    <row r="95" spans="1:51" x14ac:dyDescent="0.3">
      <c r="A95" s="123">
        <f t="shared" si="1"/>
        <v>87</v>
      </c>
      <c r="B95" s="19"/>
      <c r="C95" s="24"/>
      <c r="D95" s="81"/>
      <c r="E95" s="82"/>
      <c r="F95" s="83"/>
      <c r="G95" s="81"/>
      <c r="H95" s="82"/>
      <c r="I95" s="83"/>
      <c r="J95" s="81"/>
      <c r="K95" s="82"/>
      <c r="L95" s="83"/>
      <c r="M95" s="81"/>
      <c r="N95" s="82"/>
      <c r="O95" s="83"/>
      <c r="P95" s="81"/>
      <c r="Q95" s="82"/>
      <c r="R95" s="83"/>
      <c r="S95" s="81"/>
      <c r="T95" s="82"/>
      <c r="U95" s="83"/>
      <c r="V95" s="81"/>
      <c r="W95" s="82"/>
      <c r="X95" s="83"/>
      <c r="Y95" s="81"/>
      <c r="Z95" s="82"/>
      <c r="AA95" s="83"/>
      <c r="AB95" s="81"/>
      <c r="AC95" s="82"/>
      <c r="AD95" s="83"/>
      <c r="AE95" s="81"/>
      <c r="AF95" s="82"/>
      <c r="AG95" s="83"/>
      <c r="AH95" s="81"/>
      <c r="AI95" s="82"/>
      <c r="AJ95" s="83"/>
      <c r="AK95" s="81"/>
      <c r="AL95" s="82"/>
      <c r="AM95" s="83"/>
      <c r="AN95" s="81"/>
      <c r="AO95" s="82"/>
      <c r="AP95" s="83"/>
      <c r="AQ95" s="81"/>
      <c r="AR95" s="82"/>
      <c r="AS95" s="83"/>
      <c r="AT95" s="81"/>
      <c r="AU95" s="82"/>
      <c r="AV95" s="83"/>
      <c r="AW95" s="66"/>
      <c r="AX95" s="66"/>
      <c r="AY95" s="75"/>
    </row>
    <row r="96" spans="1:51" x14ac:dyDescent="0.3">
      <c r="A96" s="123">
        <f t="shared" si="1"/>
        <v>88</v>
      </c>
      <c r="B96" s="19"/>
      <c r="C96" s="24"/>
      <c r="D96" s="81"/>
      <c r="E96" s="82"/>
      <c r="F96" s="83"/>
      <c r="G96" s="81"/>
      <c r="H96" s="82"/>
      <c r="I96" s="83"/>
      <c r="J96" s="81"/>
      <c r="K96" s="82"/>
      <c r="L96" s="83"/>
      <c r="M96" s="81"/>
      <c r="N96" s="82"/>
      <c r="O96" s="83"/>
      <c r="P96" s="81"/>
      <c r="Q96" s="82"/>
      <c r="R96" s="83"/>
      <c r="S96" s="81"/>
      <c r="T96" s="82"/>
      <c r="U96" s="83"/>
      <c r="V96" s="81"/>
      <c r="W96" s="82"/>
      <c r="X96" s="83"/>
      <c r="Y96" s="81"/>
      <c r="Z96" s="82"/>
      <c r="AA96" s="83"/>
      <c r="AB96" s="81"/>
      <c r="AC96" s="82"/>
      <c r="AD96" s="83"/>
      <c r="AE96" s="81"/>
      <c r="AF96" s="82"/>
      <c r="AG96" s="83"/>
      <c r="AH96" s="81"/>
      <c r="AI96" s="82"/>
      <c r="AJ96" s="83"/>
      <c r="AK96" s="81"/>
      <c r="AL96" s="82"/>
      <c r="AM96" s="83"/>
      <c r="AN96" s="81"/>
      <c r="AO96" s="82"/>
      <c r="AP96" s="83"/>
      <c r="AQ96" s="81"/>
      <c r="AR96" s="82"/>
      <c r="AS96" s="83"/>
      <c r="AT96" s="81"/>
      <c r="AU96" s="82"/>
      <c r="AV96" s="83"/>
      <c r="AW96" s="66"/>
      <c r="AX96" s="66"/>
      <c r="AY96" s="75"/>
    </row>
    <row r="97" spans="1:51" x14ac:dyDescent="0.3">
      <c r="A97" s="123">
        <f t="shared" si="1"/>
        <v>89</v>
      </c>
      <c r="B97" s="19"/>
      <c r="C97" s="24"/>
      <c r="D97" s="81"/>
      <c r="E97" s="82"/>
      <c r="F97" s="83"/>
      <c r="G97" s="81"/>
      <c r="H97" s="82"/>
      <c r="I97" s="83"/>
      <c r="J97" s="81"/>
      <c r="K97" s="82"/>
      <c r="L97" s="83"/>
      <c r="M97" s="81"/>
      <c r="N97" s="82"/>
      <c r="O97" s="83"/>
      <c r="P97" s="81"/>
      <c r="Q97" s="82"/>
      <c r="R97" s="83"/>
      <c r="S97" s="81"/>
      <c r="T97" s="82"/>
      <c r="U97" s="83"/>
      <c r="V97" s="81"/>
      <c r="W97" s="82"/>
      <c r="X97" s="83"/>
      <c r="Y97" s="81"/>
      <c r="Z97" s="82"/>
      <c r="AA97" s="83"/>
      <c r="AB97" s="81"/>
      <c r="AC97" s="82"/>
      <c r="AD97" s="83"/>
      <c r="AE97" s="81"/>
      <c r="AF97" s="82"/>
      <c r="AG97" s="83"/>
      <c r="AH97" s="81"/>
      <c r="AI97" s="82"/>
      <c r="AJ97" s="83"/>
      <c r="AK97" s="81"/>
      <c r="AL97" s="82"/>
      <c r="AM97" s="83"/>
      <c r="AN97" s="81"/>
      <c r="AO97" s="82"/>
      <c r="AP97" s="83"/>
      <c r="AQ97" s="81"/>
      <c r="AR97" s="82"/>
      <c r="AS97" s="83"/>
      <c r="AT97" s="81"/>
      <c r="AU97" s="82"/>
      <c r="AV97" s="83"/>
      <c r="AW97" s="66"/>
      <c r="AX97" s="66"/>
      <c r="AY97" s="75"/>
    </row>
    <row r="98" spans="1:51" x14ac:dyDescent="0.3">
      <c r="A98" s="123">
        <f t="shared" si="1"/>
        <v>90</v>
      </c>
      <c r="B98" s="19"/>
      <c r="C98" s="20"/>
      <c r="D98" s="81"/>
      <c r="E98" s="82"/>
      <c r="F98" s="83"/>
      <c r="G98" s="81"/>
      <c r="H98" s="82"/>
      <c r="I98" s="83"/>
      <c r="J98" s="81"/>
      <c r="K98" s="82"/>
      <c r="L98" s="83"/>
      <c r="M98" s="81"/>
      <c r="N98" s="82"/>
      <c r="O98" s="83"/>
      <c r="P98" s="81"/>
      <c r="Q98" s="82"/>
      <c r="R98" s="83"/>
      <c r="S98" s="81"/>
      <c r="T98" s="82"/>
      <c r="U98" s="83"/>
      <c r="V98" s="81"/>
      <c r="W98" s="82"/>
      <c r="X98" s="83"/>
      <c r="Y98" s="81"/>
      <c r="Z98" s="82"/>
      <c r="AA98" s="83"/>
      <c r="AB98" s="81"/>
      <c r="AC98" s="82"/>
      <c r="AD98" s="83"/>
      <c r="AE98" s="81"/>
      <c r="AF98" s="82"/>
      <c r="AG98" s="83"/>
      <c r="AH98" s="81"/>
      <c r="AI98" s="82"/>
      <c r="AJ98" s="83"/>
      <c r="AK98" s="81"/>
      <c r="AL98" s="82"/>
      <c r="AM98" s="83"/>
      <c r="AN98" s="81"/>
      <c r="AO98" s="82"/>
      <c r="AP98" s="83"/>
      <c r="AQ98" s="81"/>
      <c r="AR98" s="82"/>
      <c r="AS98" s="83"/>
      <c r="AT98" s="81"/>
      <c r="AU98" s="82"/>
      <c r="AV98" s="83"/>
      <c r="AW98" s="66"/>
      <c r="AX98" s="66"/>
      <c r="AY98" s="75"/>
    </row>
    <row r="99" spans="1:51" x14ac:dyDescent="0.3">
      <c r="A99" s="123">
        <f t="shared" si="1"/>
        <v>91</v>
      </c>
      <c r="B99" s="19"/>
      <c r="C99" s="20"/>
      <c r="D99" s="81"/>
      <c r="E99" s="82"/>
      <c r="F99" s="83"/>
      <c r="G99" s="81"/>
      <c r="H99" s="82"/>
      <c r="I99" s="83"/>
      <c r="J99" s="81"/>
      <c r="K99" s="82"/>
      <c r="L99" s="83"/>
      <c r="M99" s="81"/>
      <c r="N99" s="82"/>
      <c r="O99" s="83"/>
      <c r="P99" s="81"/>
      <c r="Q99" s="82"/>
      <c r="R99" s="83"/>
      <c r="S99" s="81"/>
      <c r="T99" s="82"/>
      <c r="U99" s="83"/>
      <c r="V99" s="81"/>
      <c r="W99" s="82"/>
      <c r="X99" s="83"/>
      <c r="Y99" s="81"/>
      <c r="Z99" s="82"/>
      <c r="AA99" s="83"/>
      <c r="AB99" s="81"/>
      <c r="AC99" s="82"/>
      <c r="AD99" s="83"/>
      <c r="AE99" s="81"/>
      <c r="AF99" s="82"/>
      <c r="AG99" s="83"/>
      <c r="AH99" s="81"/>
      <c r="AI99" s="82"/>
      <c r="AJ99" s="83"/>
      <c r="AK99" s="81"/>
      <c r="AL99" s="82"/>
      <c r="AM99" s="83"/>
      <c r="AN99" s="81"/>
      <c r="AO99" s="82"/>
      <c r="AP99" s="83"/>
      <c r="AQ99" s="81"/>
      <c r="AR99" s="82"/>
      <c r="AS99" s="83"/>
      <c r="AT99" s="81"/>
      <c r="AU99" s="82"/>
      <c r="AV99" s="83"/>
      <c r="AW99" s="66"/>
      <c r="AX99" s="66"/>
      <c r="AY99" s="75"/>
    </row>
    <row r="100" spans="1:51" x14ac:dyDescent="0.3">
      <c r="A100" s="123">
        <f t="shared" si="1"/>
        <v>92</v>
      </c>
      <c r="B100" s="19"/>
      <c r="C100" s="20"/>
      <c r="D100" s="81"/>
      <c r="E100" s="82"/>
      <c r="F100" s="83"/>
      <c r="G100" s="81"/>
      <c r="H100" s="82"/>
      <c r="I100" s="83"/>
      <c r="J100" s="81"/>
      <c r="K100" s="82"/>
      <c r="L100" s="83"/>
      <c r="M100" s="81"/>
      <c r="N100" s="82"/>
      <c r="O100" s="83"/>
      <c r="P100" s="81"/>
      <c r="Q100" s="82"/>
      <c r="R100" s="83"/>
      <c r="S100" s="81"/>
      <c r="T100" s="82"/>
      <c r="U100" s="83"/>
      <c r="V100" s="81"/>
      <c r="W100" s="82"/>
      <c r="X100" s="83"/>
      <c r="Y100" s="81"/>
      <c r="Z100" s="82"/>
      <c r="AA100" s="83"/>
      <c r="AB100" s="81"/>
      <c r="AC100" s="82"/>
      <c r="AD100" s="83"/>
      <c r="AE100" s="81"/>
      <c r="AF100" s="82"/>
      <c r="AG100" s="83"/>
      <c r="AH100" s="81"/>
      <c r="AI100" s="82"/>
      <c r="AJ100" s="83"/>
      <c r="AK100" s="81"/>
      <c r="AL100" s="82"/>
      <c r="AM100" s="83"/>
      <c r="AN100" s="81"/>
      <c r="AO100" s="82"/>
      <c r="AP100" s="83"/>
      <c r="AQ100" s="81"/>
      <c r="AR100" s="82"/>
      <c r="AS100" s="83"/>
      <c r="AT100" s="81"/>
      <c r="AU100" s="82"/>
      <c r="AV100" s="83"/>
      <c r="AW100" s="66"/>
      <c r="AX100" s="66"/>
      <c r="AY100" s="75"/>
    </row>
    <row r="101" spans="1:51" x14ac:dyDescent="0.3">
      <c r="A101" s="123">
        <f t="shared" si="1"/>
        <v>93</v>
      </c>
      <c r="B101" s="19"/>
      <c r="C101" s="20"/>
      <c r="D101" s="81"/>
      <c r="E101" s="82"/>
      <c r="F101" s="83"/>
      <c r="G101" s="81"/>
      <c r="H101" s="82"/>
      <c r="I101" s="83"/>
      <c r="J101" s="81"/>
      <c r="K101" s="82"/>
      <c r="L101" s="83"/>
      <c r="M101" s="81"/>
      <c r="N101" s="82"/>
      <c r="O101" s="83"/>
      <c r="P101" s="81"/>
      <c r="Q101" s="82"/>
      <c r="R101" s="83"/>
      <c r="S101" s="81"/>
      <c r="T101" s="82"/>
      <c r="U101" s="83"/>
      <c r="V101" s="81"/>
      <c r="W101" s="82"/>
      <c r="X101" s="83"/>
      <c r="Y101" s="81"/>
      <c r="Z101" s="82"/>
      <c r="AA101" s="83"/>
      <c r="AB101" s="81"/>
      <c r="AC101" s="82"/>
      <c r="AD101" s="83"/>
      <c r="AE101" s="81"/>
      <c r="AF101" s="82"/>
      <c r="AG101" s="83"/>
      <c r="AH101" s="81"/>
      <c r="AI101" s="82"/>
      <c r="AJ101" s="83"/>
      <c r="AK101" s="81"/>
      <c r="AL101" s="82"/>
      <c r="AM101" s="83"/>
      <c r="AN101" s="81"/>
      <c r="AO101" s="82"/>
      <c r="AP101" s="83"/>
      <c r="AQ101" s="81"/>
      <c r="AR101" s="82"/>
      <c r="AS101" s="83"/>
      <c r="AT101" s="81"/>
      <c r="AU101" s="82"/>
      <c r="AV101" s="83"/>
      <c r="AW101" s="66"/>
      <c r="AX101" s="66"/>
      <c r="AY101" s="75"/>
    </row>
    <row r="102" spans="1:51" x14ac:dyDescent="0.3">
      <c r="A102" s="123">
        <f t="shared" si="1"/>
        <v>94</v>
      </c>
      <c r="B102" s="19"/>
      <c r="C102" s="20"/>
      <c r="D102" s="81"/>
      <c r="E102" s="82"/>
      <c r="F102" s="83"/>
      <c r="G102" s="81"/>
      <c r="H102" s="82"/>
      <c r="I102" s="83"/>
      <c r="J102" s="81"/>
      <c r="K102" s="82"/>
      <c r="L102" s="83"/>
      <c r="M102" s="81"/>
      <c r="N102" s="82"/>
      <c r="O102" s="83"/>
      <c r="P102" s="81"/>
      <c r="Q102" s="82"/>
      <c r="R102" s="83"/>
      <c r="S102" s="81"/>
      <c r="T102" s="82"/>
      <c r="U102" s="83"/>
      <c r="V102" s="81"/>
      <c r="W102" s="82"/>
      <c r="X102" s="83"/>
      <c r="Y102" s="81"/>
      <c r="Z102" s="82"/>
      <c r="AA102" s="83"/>
      <c r="AB102" s="81"/>
      <c r="AC102" s="82"/>
      <c r="AD102" s="83"/>
      <c r="AE102" s="81"/>
      <c r="AF102" s="82"/>
      <c r="AG102" s="83"/>
      <c r="AH102" s="81"/>
      <c r="AI102" s="82"/>
      <c r="AJ102" s="83"/>
      <c r="AK102" s="81"/>
      <c r="AL102" s="82"/>
      <c r="AM102" s="83"/>
      <c r="AN102" s="81"/>
      <c r="AO102" s="82"/>
      <c r="AP102" s="83"/>
      <c r="AQ102" s="81"/>
      <c r="AR102" s="82"/>
      <c r="AS102" s="83"/>
      <c r="AT102" s="81"/>
      <c r="AU102" s="82"/>
      <c r="AV102" s="83"/>
      <c r="AW102" s="66"/>
      <c r="AX102" s="66"/>
      <c r="AY102" s="75"/>
    </row>
    <row r="103" spans="1:51" x14ac:dyDescent="0.3">
      <c r="A103" s="123">
        <f t="shared" si="1"/>
        <v>95</v>
      </c>
      <c r="B103" s="19"/>
      <c r="C103" s="20"/>
      <c r="D103" s="81"/>
      <c r="E103" s="82"/>
      <c r="F103" s="83"/>
      <c r="G103" s="81"/>
      <c r="H103" s="82"/>
      <c r="I103" s="83"/>
      <c r="J103" s="81"/>
      <c r="K103" s="82"/>
      <c r="L103" s="83"/>
      <c r="M103" s="81"/>
      <c r="N103" s="82"/>
      <c r="O103" s="83"/>
      <c r="P103" s="81"/>
      <c r="Q103" s="82"/>
      <c r="R103" s="83"/>
      <c r="S103" s="81"/>
      <c r="T103" s="82"/>
      <c r="U103" s="83"/>
      <c r="V103" s="81"/>
      <c r="W103" s="82"/>
      <c r="X103" s="83"/>
      <c r="Y103" s="81"/>
      <c r="Z103" s="82"/>
      <c r="AA103" s="83"/>
      <c r="AB103" s="81"/>
      <c r="AC103" s="82"/>
      <c r="AD103" s="83"/>
      <c r="AE103" s="81"/>
      <c r="AF103" s="82"/>
      <c r="AG103" s="83"/>
      <c r="AH103" s="81"/>
      <c r="AI103" s="82"/>
      <c r="AJ103" s="83"/>
      <c r="AK103" s="81"/>
      <c r="AL103" s="82"/>
      <c r="AM103" s="83"/>
      <c r="AN103" s="81"/>
      <c r="AO103" s="82"/>
      <c r="AP103" s="83"/>
      <c r="AQ103" s="81"/>
      <c r="AR103" s="82"/>
      <c r="AS103" s="83"/>
      <c r="AT103" s="81"/>
      <c r="AU103" s="82"/>
      <c r="AV103" s="83"/>
      <c r="AW103" s="66"/>
      <c r="AX103" s="66"/>
      <c r="AY103" s="75"/>
    </row>
    <row r="104" spans="1:51" x14ac:dyDescent="0.3">
      <c r="A104" s="123">
        <f t="shared" si="1"/>
        <v>96</v>
      </c>
      <c r="B104" s="19"/>
      <c r="C104" s="20"/>
      <c r="D104" s="81"/>
      <c r="E104" s="82"/>
      <c r="F104" s="83"/>
      <c r="G104" s="81"/>
      <c r="H104" s="82"/>
      <c r="I104" s="83"/>
      <c r="J104" s="81"/>
      <c r="K104" s="82"/>
      <c r="L104" s="83"/>
      <c r="M104" s="81"/>
      <c r="N104" s="82"/>
      <c r="O104" s="83"/>
      <c r="P104" s="81"/>
      <c r="Q104" s="82"/>
      <c r="R104" s="83"/>
      <c r="S104" s="81"/>
      <c r="T104" s="82"/>
      <c r="U104" s="83"/>
      <c r="V104" s="81"/>
      <c r="W104" s="82"/>
      <c r="X104" s="83"/>
      <c r="Y104" s="81"/>
      <c r="Z104" s="82"/>
      <c r="AA104" s="83"/>
      <c r="AB104" s="81"/>
      <c r="AC104" s="82"/>
      <c r="AD104" s="83"/>
      <c r="AE104" s="81"/>
      <c r="AF104" s="82"/>
      <c r="AG104" s="83"/>
      <c r="AH104" s="81"/>
      <c r="AI104" s="82"/>
      <c r="AJ104" s="83"/>
      <c r="AK104" s="81"/>
      <c r="AL104" s="82"/>
      <c r="AM104" s="83"/>
      <c r="AN104" s="81"/>
      <c r="AO104" s="82"/>
      <c r="AP104" s="83"/>
      <c r="AQ104" s="81"/>
      <c r="AR104" s="82"/>
      <c r="AS104" s="83"/>
      <c r="AT104" s="81"/>
      <c r="AU104" s="82"/>
      <c r="AV104" s="83"/>
      <c r="AW104" s="66"/>
      <c r="AX104" s="66"/>
      <c r="AY104" s="75"/>
    </row>
    <row r="105" spans="1:51" x14ac:dyDescent="0.3">
      <c r="A105" s="123">
        <f t="shared" si="1"/>
        <v>97</v>
      </c>
      <c r="B105" s="19"/>
      <c r="C105" s="20"/>
      <c r="D105" s="81"/>
      <c r="E105" s="82"/>
      <c r="F105" s="83"/>
      <c r="G105" s="81"/>
      <c r="H105" s="82"/>
      <c r="I105" s="83"/>
      <c r="J105" s="81"/>
      <c r="K105" s="82"/>
      <c r="L105" s="83"/>
      <c r="M105" s="81"/>
      <c r="N105" s="82"/>
      <c r="O105" s="83"/>
      <c r="P105" s="81"/>
      <c r="Q105" s="82"/>
      <c r="R105" s="83"/>
      <c r="S105" s="81"/>
      <c r="T105" s="82"/>
      <c r="U105" s="83"/>
      <c r="V105" s="81"/>
      <c r="W105" s="82"/>
      <c r="X105" s="83"/>
      <c r="Y105" s="81"/>
      <c r="Z105" s="82"/>
      <c r="AA105" s="83"/>
      <c r="AB105" s="81"/>
      <c r="AC105" s="82"/>
      <c r="AD105" s="83"/>
      <c r="AE105" s="81"/>
      <c r="AF105" s="82"/>
      <c r="AG105" s="83"/>
      <c r="AH105" s="81"/>
      <c r="AI105" s="82"/>
      <c r="AJ105" s="83"/>
      <c r="AK105" s="81"/>
      <c r="AL105" s="82"/>
      <c r="AM105" s="83"/>
      <c r="AN105" s="81"/>
      <c r="AO105" s="82"/>
      <c r="AP105" s="83"/>
      <c r="AQ105" s="81"/>
      <c r="AR105" s="82"/>
      <c r="AS105" s="83"/>
      <c r="AT105" s="81"/>
      <c r="AU105" s="82"/>
      <c r="AV105" s="83"/>
      <c r="AW105" s="66"/>
      <c r="AX105" s="66"/>
      <c r="AY105" s="75"/>
    </row>
    <row r="106" spans="1:51" x14ac:dyDescent="0.3">
      <c r="A106" s="123">
        <f t="shared" si="1"/>
        <v>98</v>
      </c>
      <c r="B106" s="19"/>
      <c r="C106" s="20"/>
      <c r="D106" s="81"/>
      <c r="E106" s="82"/>
      <c r="F106" s="83"/>
      <c r="G106" s="81"/>
      <c r="H106" s="82"/>
      <c r="I106" s="83"/>
      <c r="J106" s="81"/>
      <c r="K106" s="82"/>
      <c r="L106" s="83"/>
      <c r="M106" s="81"/>
      <c r="N106" s="82"/>
      <c r="O106" s="83"/>
      <c r="P106" s="81"/>
      <c r="Q106" s="82"/>
      <c r="R106" s="83"/>
      <c r="S106" s="81"/>
      <c r="T106" s="82"/>
      <c r="U106" s="83"/>
      <c r="V106" s="81"/>
      <c r="W106" s="82"/>
      <c r="X106" s="83"/>
      <c r="Y106" s="81"/>
      <c r="Z106" s="82"/>
      <c r="AA106" s="83"/>
      <c r="AB106" s="81"/>
      <c r="AC106" s="82"/>
      <c r="AD106" s="83"/>
      <c r="AE106" s="81"/>
      <c r="AF106" s="82"/>
      <c r="AG106" s="83"/>
      <c r="AH106" s="81"/>
      <c r="AI106" s="82"/>
      <c r="AJ106" s="83"/>
      <c r="AK106" s="81"/>
      <c r="AL106" s="82"/>
      <c r="AM106" s="83"/>
      <c r="AN106" s="81"/>
      <c r="AO106" s="82"/>
      <c r="AP106" s="83"/>
      <c r="AQ106" s="81"/>
      <c r="AR106" s="82"/>
      <c r="AS106" s="83"/>
      <c r="AT106" s="81"/>
      <c r="AU106" s="82"/>
      <c r="AV106" s="83"/>
      <c r="AW106" s="66"/>
      <c r="AX106" s="66"/>
      <c r="AY106" s="75"/>
    </row>
    <row r="107" spans="1:51" x14ac:dyDescent="0.3">
      <c r="A107" s="123">
        <f t="shared" ref="A107:A158" si="2">+A106+1</f>
        <v>99</v>
      </c>
      <c r="B107" s="19"/>
      <c r="C107" s="20"/>
      <c r="D107" s="81"/>
      <c r="E107" s="82"/>
      <c r="F107" s="83"/>
      <c r="G107" s="81"/>
      <c r="H107" s="82"/>
      <c r="I107" s="83"/>
      <c r="J107" s="81"/>
      <c r="K107" s="82"/>
      <c r="L107" s="83"/>
      <c r="M107" s="81"/>
      <c r="N107" s="82"/>
      <c r="O107" s="83"/>
      <c r="P107" s="81"/>
      <c r="Q107" s="82"/>
      <c r="R107" s="83"/>
      <c r="S107" s="81"/>
      <c r="T107" s="82"/>
      <c r="U107" s="83"/>
      <c r="V107" s="81"/>
      <c r="W107" s="82"/>
      <c r="X107" s="83"/>
      <c r="Y107" s="81"/>
      <c r="Z107" s="82"/>
      <c r="AA107" s="83"/>
      <c r="AB107" s="81"/>
      <c r="AC107" s="82"/>
      <c r="AD107" s="83"/>
      <c r="AE107" s="81"/>
      <c r="AF107" s="82"/>
      <c r="AG107" s="83"/>
      <c r="AH107" s="81"/>
      <c r="AI107" s="82"/>
      <c r="AJ107" s="83"/>
      <c r="AK107" s="81"/>
      <c r="AL107" s="82"/>
      <c r="AM107" s="83"/>
      <c r="AN107" s="81"/>
      <c r="AO107" s="82"/>
      <c r="AP107" s="83"/>
      <c r="AQ107" s="81"/>
      <c r="AR107" s="82"/>
      <c r="AS107" s="83"/>
      <c r="AT107" s="81"/>
      <c r="AU107" s="82"/>
      <c r="AV107" s="83"/>
      <c r="AW107" s="66"/>
      <c r="AX107" s="66"/>
      <c r="AY107" s="75"/>
    </row>
    <row r="108" spans="1:51" x14ac:dyDescent="0.3">
      <c r="A108" s="123">
        <f t="shared" si="2"/>
        <v>100</v>
      </c>
      <c r="B108" s="19"/>
      <c r="C108" s="20"/>
      <c r="D108" s="81"/>
      <c r="E108" s="82"/>
      <c r="F108" s="83"/>
      <c r="G108" s="81"/>
      <c r="H108" s="82"/>
      <c r="I108" s="83"/>
      <c r="J108" s="81"/>
      <c r="K108" s="82"/>
      <c r="L108" s="83"/>
      <c r="M108" s="81"/>
      <c r="N108" s="82"/>
      <c r="O108" s="83"/>
      <c r="P108" s="81"/>
      <c r="Q108" s="82"/>
      <c r="R108" s="83"/>
      <c r="S108" s="81"/>
      <c r="T108" s="82"/>
      <c r="U108" s="83"/>
      <c r="V108" s="81"/>
      <c r="W108" s="82"/>
      <c r="X108" s="83"/>
      <c r="Y108" s="81"/>
      <c r="Z108" s="82"/>
      <c r="AA108" s="83"/>
      <c r="AB108" s="81"/>
      <c r="AC108" s="82"/>
      <c r="AD108" s="83"/>
      <c r="AE108" s="81"/>
      <c r="AF108" s="82"/>
      <c r="AG108" s="83"/>
      <c r="AH108" s="81"/>
      <c r="AI108" s="82"/>
      <c r="AJ108" s="83"/>
      <c r="AK108" s="81"/>
      <c r="AL108" s="82"/>
      <c r="AM108" s="83"/>
      <c r="AN108" s="81"/>
      <c r="AO108" s="82"/>
      <c r="AP108" s="83"/>
      <c r="AQ108" s="81"/>
      <c r="AR108" s="82"/>
      <c r="AS108" s="83"/>
      <c r="AT108" s="81"/>
      <c r="AU108" s="82"/>
      <c r="AV108" s="83"/>
      <c r="AW108" s="66"/>
      <c r="AX108" s="66"/>
      <c r="AY108" s="75"/>
    </row>
    <row r="109" spans="1:51" x14ac:dyDescent="0.3">
      <c r="A109" s="123">
        <f t="shared" si="2"/>
        <v>101</v>
      </c>
      <c r="B109" s="19"/>
      <c r="C109" s="20"/>
      <c r="D109" s="81"/>
      <c r="E109" s="82"/>
      <c r="F109" s="83"/>
      <c r="G109" s="81"/>
      <c r="H109" s="82"/>
      <c r="I109" s="83"/>
      <c r="J109" s="81"/>
      <c r="K109" s="82"/>
      <c r="L109" s="83"/>
      <c r="M109" s="81"/>
      <c r="N109" s="82"/>
      <c r="O109" s="83"/>
      <c r="P109" s="81"/>
      <c r="Q109" s="82"/>
      <c r="R109" s="83"/>
      <c r="S109" s="81"/>
      <c r="T109" s="82"/>
      <c r="U109" s="83"/>
      <c r="V109" s="81"/>
      <c r="W109" s="82"/>
      <c r="X109" s="83"/>
      <c r="Y109" s="81"/>
      <c r="Z109" s="82"/>
      <c r="AA109" s="83"/>
      <c r="AB109" s="81"/>
      <c r="AC109" s="82"/>
      <c r="AD109" s="83"/>
      <c r="AE109" s="81"/>
      <c r="AF109" s="82"/>
      <c r="AG109" s="83"/>
      <c r="AH109" s="81"/>
      <c r="AI109" s="82"/>
      <c r="AJ109" s="83"/>
      <c r="AK109" s="81"/>
      <c r="AL109" s="82"/>
      <c r="AM109" s="83"/>
      <c r="AN109" s="81"/>
      <c r="AO109" s="82"/>
      <c r="AP109" s="83"/>
      <c r="AQ109" s="81"/>
      <c r="AR109" s="82"/>
      <c r="AS109" s="83"/>
      <c r="AT109" s="81"/>
      <c r="AU109" s="82"/>
      <c r="AV109" s="83"/>
      <c r="AW109" s="66"/>
      <c r="AX109" s="66"/>
      <c r="AY109" s="75"/>
    </row>
    <row r="110" spans="1:51" x14ac:dyDescent="0.3">
      <c r="A110" s="123">
        <f t="shared" si="2"/>
        <v>102</v>
      </c>
      <c r="B110" s="19"/>
      <c r="C110" s="20"/>
      <c r="D110" s="81"/>
      <c r="E110" s="82"/>
      <c r="F110" s="83"/>
      <c r="G110" s="81"/>
      <c r="H110" s="82"/>
      <c r="I110" s="83"/>
      <c r="J110" s="81"/>
      <c r="K110" s="82"/>
      <c r="L110" s="83"/>
      <c r="M110" s="81"/>
      <c r="N110" s="82"/>
      <c r="O110" s="83"/>
      <c r="P110" s="81"/>
      <c r="Q110" s="82"/>
      <c r="R110" s="83"/>
      <c r="S110" s="81"/>
      <c r="T110" s="82"/>
      <c r="U110" s="83"/>
      <c r="V110" s="81"/>
      <c r="W110" s="82"/>
      <c r="X110" s="83"/>
      <c r="Y110" s="81"/>
      <c r="Z110" s="82"/>
      <c r="AA110" s="83"/>
      <c r="AB110" s="81"/>
      <c r="AC110" s="82"/>
      <c r="AD110" s="83"/>
      <c r="AE110" s="81"/>
      <c r="AF110" s="82"/>
      <c r="AG110" s="83"/>
      <c r="AH110" s="81"/>
      <c r="AI110" s="82"/>
      <c r="AJ110" s="83"/>
      <c r="AK110" s="81"/>
      <c r="AL110" s="82"/>
      <c r="AM110" s="83"/>
      <c r="AN110" s="81"/>
      <c r="AO110" s="82"/>
      <c r="AP110" s="83"/>
      <c r="AQ110" s="81"/>
      <c r="AR110" s="82"/>
      <c r="AS110" s="83"/>
      <c r="AT110" s="81"/>
      <c r="AU110" s="82"/>
      <c r="AV110" s="83"/>
      <c r="AW110" s="66"/>
      <c r="AX110" s="66"/>
      <c r="AY110" s="75"/>
    </row>
    <row r="111" spans="1:51" x14ac:dyDescent="0.3">
      <c r="A111" s="123">
        <f t="shared" si="2"/>
        <v>103</v>
      </c>
      <c r="B111" s="19"/>
      <c r="C111" s="20"/>
      <c r="D111" s="81"/>
      <c r="E111" s="82"/>
      <c r="F111" s="83"/>
      <c r="G111" s="81"/>
      <c r="H111" s="82"/>
      <c r="I111" s="83"/>
      <c r="J111" s="81"/>
      <c r="K111" s="82"/>
      <c r="L111" s="83"/>
      <c r="M111" s="81"/>
      <c r="N111" s="82"/>
      <c r="O111" s="83"/>
      <c r="P111" s="81"/>
      <c r="Q111" s="82"/>
      <c r="R111" s="83"/>
      <c r="S111" s="81"/>
      <c r="T111" s="82"/>
      <c r="U111" s="83"/>
      <c r="V111" s="81"/>
      <c r="W111" s="82"/>
      <c r="X111" s="83"/>
      <c r="Y111" s="81"/>
      <c r="Z111" s="82"/>
      <c r="AA111" s="83"/>
      <c r="AB111" s="81"/>
      <c r="AC111" s="82"/>
      <c r="AD111" s="83"/>
      <c r="AE111" s="81"/>
      <c r="AF111" s="82"/>
      <c r="AG111" s="83"/>
      <c r="AH111" s="81"/>
      <c r="AI111" s="82"/>
      <c r="AJ111" s="83"/>
      <c r="AK111" s="81"/>
      <c r="AL111" s="82"/>
      <c r="AM111" s="83"/>
      <c r="AN111" s="81"/>
      <c r="AO111" s="82"/>
      <c r="AP111" s="83"/>
      <c r="AQ111" s="81"/>
      <c r="AR111" s="82"/>
      <c r="AS111" s="83"/>
      <c r="AT111" s="81"/>
      <c r="AU111" s="82"/>
      <c r="AV111" s="83"/>
      <c r="AW111" s="66"/>
      <c r="AX111" s="66"/>
      <c r="AY111" s="75"/>
    </row>
    <row r="112" spans="1:51" x14ac:dyDescent="0.3">
      <c r="A112" s="123">
        <f t="shared" si="2"/>
        <v>104</v>
      </c>
      <c r="B112" s="19"/>
      <c r="C112" s="20"/>
      <c r="D112" s="81"/>
      <c r="E112" s="82"/>
      <c r="F112" s="83"/>
      <c r="G112" s="81"/>
      <c r="H112" s="82"/>
      <c r="I112" s="83"/>
      <c r="J112" s="81"/>
      <c r="K112" s="82"/>
      <c r="L112" s="83"/>
      <c r="M112" s="81"/>
      <c r="N112" s="82"/>
      <c r="O112" s="83"/>
      <c r="P112" s="81"/>
      <c r="Q112" s="82"/>
      <c r="R112" s="83"/>
      <c r="S112" s="81"/>
      <c r="T112" s="82"/>
      <c r="U112" s="83"/>
      <c r="V112" s="81"/>
      <c r="W112" s="82"/>
      <c r="X112" s="83"/>
      <c r="Y112" s="81"/>
      <c r="Z112" s="82"/>
      <c r="AA112" s="83"/>
      <c r="AB112" s="81"/>
      <c r="AC112" s="82"/>
      <c r="AD112" s="83"/>
      <c r="AE112" s="81"/>
      <c r="AF112" s="82"/>
      <c r="AG112" s="83"/>
      <c r="AH112" s="81"/>
      <c r="AI112" s="82"/>
      <c r="AJ112" s="83"/>
      <c r="AK112" s="81"/>
      <c r="AL112" s="82"/>
      <c r="AM112" s="83"/>
      <c r="AN112" s="81"/>
      <c r="AO112" s="82"/>
      <c r="AP112" s="83"/>
      <c r="AQ112" s="81"/>
      <c r="AR112" s="82"/>
      <c r="AS112" s="83"/>
      <c r="AT112" s="81"/>
      <c r="AU112" s="82"/>
      <c r="AV112" s="83"/>
      <c r="AW112" s="66"/>
      <c r="AX112" s="66"/>
      <c r="AY112" s="75"/>
    </row>
    <row r="113" spans="1:51" x14ac:dyDescent="0.3">
      <c r="A113" s="123">
        <f t="shared" si="2"/>
        <v>105</v>
      </c>
      <c r="B113" s="19"/>
      <c r="C113" s="20"/>
      <c r="D113" s="81"/>
      <c r="E113" s="82"/>
      <c r="F113" s="83"/>
      <c r="G113" s="81"/>
      <c r="H113" s="82"/>
      <c r="I113" s="83"/>
      <c r="J113" s="81"/>
      <c r="K113" s="82"/>
      <c r="L113" s="83"/>
      <c r="M113" s="81"/>
      <c r="N113" s="82"/>
      <c r="O113" s="83"/>
      <c r="P113" s="81"/>
      <c r="Q113" s="82"/>
      <c r="R113" s="83"/>
      <c r="S113" s="81"/>
      <c r="T113" s="82"/>
      <c r="U113" s="83"/>
      <c r="V113" s="81"/>
      <c r="W113" s="82"/>
      <c r="X113" s="83"/>
      <c r="Y113" s="81"/>
      <c r="Z113" s="82"/>
      <c r="AA113" s="83"/>
      <c r="AB113" s="81"/>
      <c r="AC113" s="82"/>
      <c r="AD113" s="83"/>
      <c r="AE113" s="81"/>
      <c r="AF113" s="82"/>
      <c r="AG113" s="83"/>
      <c r="AH113" s="81"/>
      <c r="AI113" s="82"/>
      <c r="AJ113" s="83"/>
      <c r="AK113" s="81"/>
      <c r="AL113" s="82"/>
      <c r="AM113" s="83"/>
      <c r="AN113" s="81"/>
      <c r="AO113" s="82"/>
      <c r="AP113" s="83"/>
      <c r="AQ113" s="81"/>
      <c r="AR113" s="82"/>
      <c r="AS113" s="83"/>
      <c r="AT113" s="81"/>
      <c r="AU113" s="82"/>
      <c r="AV113" s="83"/>
      <c r="AW113" s="66"/>
      <c r="AX113" s="66"/>
      <c r="AY113" s="75"/>
    </row>
    <row r="114" spans="1:51" x14ac:dyDescent="0.3">
      <c r="A114" s="123">
        <f t="shared" si="2"/>
        <v>106</v>
      </c>
      <c r="B114" s="19"/>
      <c r="C114" s="20"/>
      <c r="D114" s="81"/>
      <c r="E114" s="82"/>
      <c r="F114" s="83"/>
      <c r="G114" s="81"/>
      <c r="H114" s="82"/>
      <c r="I114" s="83"/>
      <c r="J114" s="81"/>
      <c r="K114" s="82"/>
      <c r="L114" s="83"/>
      <c r="M114" s="81"/>
      <c r="N114" s="82"/>
      <c r="O114" s="83"/>
      <c r="P114" s="81"/>
      <c r="Q114" s="82"/>
      <c r="R114" s="83"/>
      <c r="S114" s="81"/>
      <c r="T114" s="82"/>
      <c r="U114" s="83"/>
      <c r="V114" s="81"/>
      <c r="W114" s="82"/>
      <c r="X114" s="83"/>
      <c r="Y114" s="81"/>
      <c r="Z114" s="82"/>
      <c r="AA114" s="83"/>
      <c r="AB114" s="81"/>
      <c r="AC114" s="82"/>
      <c r="AD114" s="83"/>
      <c r="AE114" s="81"/>
      <c r="AF114" s="82"/>
      <c r="AG114" s="83"/>
      <c r="AH114" s="81"/>
      <c r="AI114" s="82"/>
      <c r="AJ114" s="83"/>
      <c r="AK114" s="81"/>
      <c r="AL114" s="82"/>
      <c r="AM114" s="83"/>
      <c r="AN114" s="81"/>
      <c r="AO114" s="82"/>
      <c r="AP114" s="83"/>
      <c r="AQ114" s="81"/>
      <c r="AR114" s="82"/>
      <c r="AS114" s="83"/>
      <c r="AT114" s="81"/>
      <c r="AU114" s="82"/>
      <c r="AV114" s="83"/>
      <c r="AW114" s="66"/>
      <c r="AX114" s="66"/>
      <c r="AY114" s="75"/>
    </row>
    <row r="115" spans="1:51" x14ac:dyDescent="0.3">
      <c r="A115" s="123">
        <f t="shared" si="2"/>
        <v>107</v>
      </c>
      <c r="B115" s="19"/>
      <c r="C115" s="20"/>
      <c r="D115" s="81"/>
      <c r="E115" s="82"/>
      <c r="F115" s="83"/>
      <c r="G115" s="81"/>
      <c r="H115" s="82"/>
      <c r="I115" s="83"/>
      <c r="J115" s="81"/>
      <c r="K115" s="82"/>
      <c r="L115" s="83"/>
      <c r="M115" s="81"/>
      <c r="N115" s="82"/>
      <c r="O115" s="83"/>
      <c r="P115" s="81"/>
      <c r="Q115" s="82"/>
      <c r="R115" s="83"/>
      <c r="S115" s="81"/>
      <c r="T115" s="82"/>
      <c r="U115" s="83"/>
      <c r="V115" s="81"/>
      <c r="W115" s="82"/>
      <c r="X115" s="83"/>
      <c r="Y115" s="81"/>
      <c r="Z115" s="82"/>
      <c r="AA115" s="83"/>
      <c r="AB115" s="81"/>
      <c r="AC115" s="82"/>
      <c r="AD115" s="83"/>
      <c r="AE115" s="81"/>
      <c r="AF115" s="82"/>
      <c r="AG115" s="83"/>
      <c r="AH115" s="81"/>
      <c r="AI115" s="82"/>
      <c r="AJ115" s="83"/>
      <c r="AK115" s="81"/>
      <c r="AL115" s="82"/>
      <c r="AM115" s="83"/>
      <c r="AN115" s="81"/>
      <c r="AO115" s="82"/>
      <c r="AP115" s="83"/>
      <c r="AQ115" s="81"/>
      <c r="AR115" s="82"/>
      <c r="AS115" s="83"/>
      <c r="AT115" s="81"/>
      <c r="AU115" s="82"/>
      <c r="AV115" s="83"/>
      <c r="AW115" s="66"/>
      <c r="AX115" s="66"/>
      <c r="AY115" s="75"/>
    </row>
    <row r="116" spans="1:51" x14ac:dyDescent="0.3">
      <c r="A116" s="123">
        <f t="shared" si="2"/>
        <v>108</v>
      </c>
      <c r="B116" s="19"/>
      <c r="C116" s="20"/>
      <c r="D116" s="81"/>
      <c r="E116" s="82"/>
      <c r="F116" s="83"/>
      <c r="G116" s="81"/>
      <c r="H116" s="82"/>
      <c r="I116" s="83"/>
      <c r="J116" s="81"/>
      <c r="K116" s="82"/>
      <c r="L116" s="83"/>
      <c r="M116" s="81"/>
      <c r="N116" s="82"/>
      <c r="O116" s="83"/>
      <c r="P116" s="81"/>
      <c r="Q116" s="82"/>
      <c r="R116" s="83"/>
      <c r="S116" s="81"/>
      <c r="T116" s="82"/>
      <c r="U116" s="83"/>
      <c r="V116" s="81"/>
      <c r="W116" s="82"/>
      <c r="X116" s="83"/>
      <c r="Y116" s="81"/>
      <c r="Z116" s="82"/>
      <c r="AA116" s="83"/>
      <c r="AB116" s="81"/>
      <c r="AC116" s="82"/>
      <c r="AD116" s="83"/>
      <c r="AE116" s="81"/>
      <c r="AF116" s="82"/>
      <c r="AG116" s="83"/>
      <c r="AH116" s="81"/>
      <c r="AI116" s="82"/>
      <c r="AJ116" s="83"/>
      <c r="AK116" s="81"/>
      <c r="AL116" s="82"/>
      <c r="AM116" s="83"/>
      <c r="AN116" s="81"/>
      <c r="AO116" s="82"/>
      <c r="AP116" s="83"/>
      <c r="AQ116" s="81"/>
      <c r="AR116" s="82"/>
      <c r="AS116" s="83"/>
      <c r="AT116" s="81"/>
      <c r="AU116" s="82"/>
      <c r="AV116" s="83"/>
      <c r="AW116" s="66"/>
      <c r="AX116" s="66"/>
      <c r="AY116" s="75"/>
    </row>
    <row r="117" spans="1:51" x14ac:dyDescent="0.3">
      <c r="A117" s="123">
        <f t="shared" si="2"/>
        <v>109</v>
      </c>
      <c r="B117" s="19"/>
      <c r="C117" s="20"/>
      <c r="D117" s="81"/>
      <c r="E117" s="82"/>
      <c r="F117" s="83"/>
      <c r="G117" s="81"/>
      <c r="H117" s="82"/>
      <c r="I117" s="83"/>
      <c r="J117" s="81"/>
      <c r="K117" s="82"/>
      <c r="L117" s="83"/>
      <c r="M117" s="81"/>
      <c r="N117" s="82"/>
      <c r="O117" s="83"/>
      <c r="P117" s="81"/>
      <c r="Q117" s="82"/>
      <c r="R117" s="83"/>
      <c r="S117" s="81"/>
      <c r="T117" s="82"/>
      <c r="U117" s="83"/>
      <c r="V117" s="81"/>
      <c r="W117" s="82"/>
      <c r="X117" s="83"/>
      <c r="Y117" s="81"/>
      <c r="Z117" s="82"/>
      <c r="AA117" s="83"/>
      <c r="AB117" s="81"/>
      <c r="AC117" s="82"/>
      <c r="AD117" s="83"/>
      <c r="AE117" s="81"/>
      <c r="AF117" s="82"/>
      <c r="AG117" s="83"/>
      <c r="AH117" s="81"/>
      <c r="AI117" s="82"/>
      <c r="AJ117" s="83"/>
      <c r="AK117" s="81"/>
      <c r="AL117" s="82"/>
      <c r="AM117" s="83"/>
      <c r="AN117" s="81"/>
      <c r="AO117" s="82"/>
      <c r="AP117" s="83"/>
      <c r="AQ117" s="81"/>
      <c r="AR117" s="82"/>
      <c r="AS117" s="83"/>
      <c r="AT117" s="81"/>
      <c r="AU117" s="82"/>
      <c r="AV117" s="83"/>
      <c r="AW117" s="66"/>
      <c r="AX117" s="66"/>
      <c r="AY117" s="75"/>
    </row>
    <row r="118" spans="1:51" x14ac:dyDescent="0.3">
      <c r="A118" s="123">
        <f t="shared" si="2"/>
        <v>110</v>
      </c>
      <c r="B118" s="19"/>
      <c r="C118" s="20"/>
      <c r="D118" s="81"/>
      <c r="E118" s="82"/>
      <c r="F118" s="83"/>
      <c r="G118" s="81"/>
      <c r="H118" s="82"/>
      <c r="I118" s="83"/>
      <c r="J118" s="81"/>
      <c r="K118" s="82"/>
      <c r="L118" s="83"/>
      <c r="M118" s="81"/>
      <c r="N118" s="82"/>
      <c r="O118" s="83"/>
      <c r="P118" s="81"/>
      <c r="Q118" s="82"/>
      <c r="R118" s="83"/>
      <c r="S118" s="81"/>
      <c r="T118" s="82"/>
      <c r="U118" s="83"/>
      <c r="V118" s="81"/>
      <c r="W118" s="82"/>
      <c r="X118" s="83"/>
      <c r="Y118" s="81"/>
      <c r="Z118" s="82"/>
      <c r="AA118" s="83"/>
      <c r="AB118" s="81"/>
      <c r="AC118" s="82"/>
      <c r="AD118" s="83"/>
      <c r="AE118" s="81"/>
      <c r="AF118" s="82"/>
      <c r="AG118" s="83"/>
      <c r="AH118" s="81"/>
      <c r="AI118" s="82"/>
      <c r="AJ118" s="83"/>
      <c r="AK118" s="81"/>
      <c r="AL118" s="82"/>
      <c r="AM118" s="83"/>
      <c r="AN118" s="81"/>
      <c r="AO118" s="82"/>
      <c r="AP118" s="83"/>
      <c r="AQ118" s="81"/>
      <c r="AR118" s="82"/>
      <c r="AS118" s="83"/>
      <c r="AT118" s="81"/>
      <c r="AU118" s="82"/>
      <c r="AV118" s="83"/>
      <c r="AW118" s="66"/>
      <c r="AX118" s="66"/>
      <c r="AY118" s="75"/>
    </row>
    <row r="119" spans="1:51" x14ac:dyDescent="0.3">
      <c r="A119" s="123">
        <f t="shared" si="2"/>
        <v>111</v>
      </c>
      <c r="B119" s="19"/>
      <c r="C119" s="20"/>
      <c r="D119" s="81"/>
      <c r="E119" s="82"/>
      <c r="F119" s="83"/>
      <c r="G119" s="81"/>
      <c r="H119" s="82"/>
      <c r="I119" s="83"/>
      <c r="J119" s="81"/>
      <c r="K119" s="82"/>
      <c r="L119" s="83"/>
      <c r="M119" s="81"/>
      <c r="N119" s="82"/>
      <c r="O119" s="83"/>
      <c r="P119" s="81"/>
      <c r="Q119" s="82"/>
      <c r="R119" s="83"/>
      <c r="S119" s="81"/>
      <c r="T119" s="82"/>
      <c r="U119" s="83"/>
      <c r="V119" s="81"/>
      <c r="W119" s="82"/>
      <c r="X119" s="83"/>
      <c r="Y119" s="81"/>
      <c r="Z119" s="82"/>
      <c r="AA119" s="83"/>
      <c r="AB119" s="81"/>
      <c r="AC119" s="82"/>
      <c r="AD119" s="83"/>
      <c r="AE119" s="81"/>
      <c r="AF119" s="82"/>
      <c r="AG119" s="83"/>
      <c r="AH119" s="81"/>
      <c r="AI119" s="82"/>
      <c r="AJ119" s="83"/>
      <c r="AK119" s="81"/>
      <c r="AL119" s="82"/>
      <c r="AM119" s="83"/>
      <c r="AN119" s="81"/>
      <c r="AO119" s="82"/>
      <c r="AP119" s="83"/>
      <c r="AQ119" s="81"/>
      <c r="AR119" s="82"/>
      <c r="AS119" s="83"/>
      <c r="AT119" s="81"/>
      <c r="AU119" s="82"/>
      <c r="AV119" s="83"/>
      <c r="AW119" s="66"/>
      <c r="AX119" s="66"/>
      <c r="AY119" s="75"/>
    </row>
    <row r="120" spans="1:51" x14ac:dyDescent="0.3">
      <c r="A120" s="123">
        <f t="shared" si="2"/>
        <v>112</v>
      </c>
      <c r="B120" s="19"/>
      <c r="C120" s="20"/>
      <c r="D120" s="81"/>
      <c r="E120" s="82"/>
      <c r="F120" s="83"/>
      <c r="G120" s="81"/>
      <c r="H120" s="82"/>
      <c r="I120" s="83"/>
      <c r="J120" s="81"/>
      <c r="K120" s="82"/>
      <c r="L120" s="83"/>
      <c r="M120" s="81"/>
      <c r="N120" s="82"/>
      <c r="O120" s="83"/>
      <c r="P120" s="81"/>
      <c r="Q120" s="82"/>
      <c r="R120" s="83"/>
      <c r="S120" s="81"/>
      <c r="T120" s="82"/>
      <c r="U120" s="83"/>
      <c r="V120" s="81"/>
      <c r="W120" s="82"/>
      <c r="X120" s="83"/>
      <c r="Y120" s="81"/>
      <c r="Z120" s="82"/>
      <c r="AA120" s="83"/>
      <c r="AB120" s="81"/>
      <c r="AC120" s="82"/>
      <c r="AD120" s="83"/>
      <c r="AE120" s="81"/>
      <c r="AF120" s="82"/>
      <c r="AG120" s="83"/>
      <c r="AH120" s="81"/>
      <c r="AI120" s="82"/>
      <c r="AJ120" s="83"/>
      <c r="AK120" s="81"/>
      <c r="AL120" s="82"/>
      <c r="AM120" s="83"/>
      <c r="AN120" s="81"/>
      <c r="AO120" s="82"/>
      <c r="AP120" s="83"/>
      <c r="AQ120" s="81"/>
      <c r="AR120" s="82"/>
      <c r="AS120" s="83"/>
      <c r="AT120" s="81"/>
      <c r="AU120" s="82"/>
      <c r="AV120" s="83"/>
      <c r="AW120" s="66"/>
      <c r="AX120" s="66"/>
      <c r="AY120" s="75"/>
    </row>
    <row r="121" spans="1:51" x14ac:dyDescent="0.3">
      <c r="A121" s="123">
        <f t="shared" si="2"/>
        <v>113</v>
      </c>
      <c r="B121" s="19"/>
      <c r="C121" s="20"/>
      <c r="D121" s="81"/>
      <c r="E121" s="82"/>
      <c r="F121" s="83"/>
      <c r="G121" s="81"/>
      <c r="H121" s="82"/>
      <c r="I121" s="83"/>
      <c r="J121" s="81"/>
      <c r="K121" s="82"/>
      <c r="L121" s="83"/>
      <c r="M121" s="81"/>
      <c r="N121" s="82"/>
      <c r="O121" s="83"/>
      <c r="P121" s="81"/>
      <c r="Q121" s="82"/>
      <c r="R121" s="83"/>
      <c r="S121" s="81"/>
      <c r="T121" s="82"/>
      <c r="U121" s="83"/>
      <c r="V121" s="81"/>
      <c r="W121" s="82"/>
      <c r="X121" s="83"/>
      <c r="Y121" s="81"/>
      <c r="Z121" s="82"/>
      <c r="AA121" s="83"/>
      <c r="AB121" s="81"/>
      <c r="AC121" s="82"/>
      <c r="AD121" s="83"/>
      <c r="AE121" s="81"/>
      <c r="AF121" s="82"/>
      <c r="AG121" s="83"/>
      <c r="AH121" s="81"/>
      <c r="AI121" s="82"/>
      <c r="AJ121" s="83"/>
      <c r="AK121" s="81"/>
      <c r="AL121" s="82"/>
      <c r="AM121" s="83"/>
      <c r="AN121" s="81"/>
      <c r="AO121" s="82"/>
      <c r="AP121" s="83"/>
      <c r="AQ121" s="81"/>
      <c r="AR121" s="82"/>
      <c r="AS121" s="83"/>
      <c r="AT121" s="81"/>
      <c r="AU121" s="82"/>
      <c r="AV121" s="83"/>
      <c r="AW121" s="66"/>
      <c r="AX121" s="66"/>
      <c r="AY121" s="75"/>
    </row>
    <row r="122" spans="1:51" x14ac:dyDescent="0.3">
      <c r="A122" s="123">
        <f t="shared" si="2"/>
        <v>114</v>
      </c>
      <c r="B122" s="19"/>
      <c r="C122" s="20"/>
      <c r="D122" s="81"/>
      <c r="E122" s="82"/>
      <c r="F122" s="83"/>
      <c r="G122" s="81"/>
      <c r="H122" s="82"/>
      <c r="I122" s="83"/>
      <c r="J122" s="81"/>
      <c r="K122" s="82"/>
      <c r="L122" s="83"/>
      <c r="M122" s="81"/>
      <c r="N122" s="82"/>
      <c r="O122" s="83"/>
      <c r="P122" s="81"/>
      <c r="Q122" s="82"/>
      <c r="R122" s="83"/>
      <c r="S122" s="81"/>
      <c r="T122" s="82"/>
      <c r="U122" s="83"/>
      <c r="V122" s="81"/>
      <c r="W122" s="82"/>
      <c r="X122" s="83"/>
      <c r="Y122" s="81"/>
      <c r="Z122" s="82"/>
      <c r="AA122" s="83"/>
      <c r="AB122" s="81"/>
      <c r="AC122" s="82"/>
      <c r="AD122" s="83"/>
      <c r="AE122" s="81"/>
      <c r="AF122" s="82"/>
      <c r="AG122" s="83"/>
      <c r="AH122" s="81"/>
      <c r="AI122" s="82"/>
      <c r="AJ122" s="83"/>
      <c r="AK122" s="81"/>
      <c r="AL122" s="82"/>
      <c r="AM122" s="83"/>
      <c r="AN122" s="81"/>
      <c r="AO122" s="82"/>
      <c r="AP122" s="83"/>
      <c r="AQ122" s="81"/>
      <c r="AR122" s="82"/>
      <c r="AS122" s="83"/>
      <c r="AT122" s="81"/>
      <c r="AU122" s="82"/>
      <c r="AV122" s="83"/>
      <c r="AW122" s="66"/>
      <c r="AX122" s="66"/>
      <c r="AY122" s="75"/>
    </row>
    <row r="123" spans="1:51" x14ac:dyDescent="0.3">
      <c r="A123" s="123">
        <f t="shared" si="2"/>
        <v>115</v>
      </c>
      <c r="B123" s="19"/>
      <c r="C123" s="20"/>
      <c r="D123" s="81"/>
      <c r="E123" s="82"/>
      <c r="F123" s="83"/>
      <c r="G123" s="81"/>
      <c r="H123" s="82"/>
      <c r="I123" s="83"/>
      <c r="J123" s="81"/>
      <c r="K123" s="82"/>
      <c r="L123" s="83"/>
      <c r="M123" s="81"/>
      <c r="N123" s="82"/>
      <c r="O123" s="83"/>
      <c r="P123" s="81"/>
      <c r="Q123" s="82"/>
      <c r="R123" s="83"/>
      <c r="S123" s="81"/>
      <c r="T123" s="82"/>
      <c r="U123" s="83"/>
      <c r="V123" s="81"/>
      <c r="W123" s="82"/>
      <c r="X123" s="83"/>
      <c r="Y123" s="81"/>
      <c r="Z123" s="82"/>
      <c r="AA123" s="83"/>
      <c r="AB123" s="81"/>
      <c r="AC123" s="82"/>
      <c r="AD123" s="83"/>
      <c r="AE123" s="81"/>
      <c r="AF123" s="82"/>
      <c r="AG123" s="83"/>
      <c r="AH123" s="81"/>
      <c r="AI123" s="82"/>
      <c r="AJ123" s="83"/>
      <c r="AK123" s="81"/>
      <c r="AL123" s="82"/>
      <c r="AM123" s="83"/>
      <c r="AN123" s="81"/>
      <c r="AO123" s="82"/>
      <c r="AP123" s="83"/>
      <c r="AQ123" s="81"/>
      <c r="AR123" s="82"/>
      <c r="AS123" s="83"/>
      <c r="AT123" s="81"/>
      <c r="AU123" s="82"/>
      <c r="AV123" s="83"/>
      <c r="AW123" s="66"/>
      <c r="AX123" s="66"/>
      <c r="AY123" s="75"/>
    </row>
    <row r="124" spans="1:51" x14ac:dyDescent="0.3">
      <c r="A124" s="123">
        <f t="shared" si="2"/>
        <v>116</v>
      </c>
      <c r="B124" s="19"/>
      <c r="C124" s="20"/>
      <c r="D124" s="81"/>
      <c r="E124" s="82"/>
      <c r="F124" s="83"/>
      <c r="G124" s="81"/>
      <c r="H124" s="82"/>
      <c r="I124" s="83"/>
      <c r="J124" s="81"/>
      <c r="K124" s="82"/>
      <c r="L124" s="83"/>
      <c r="M124" s="81"/>
      <c r="N124" s="82"/>
      <c r="O124" s="83"/>
      <c r="P124" s="81"/>
      <c r="Q124" s="82"/>
      <c r="R124" s="83"/>
      <c r="S124" s="81"/>
      <c r="T124" s="82"/>
      <c r="U124" s="83"/>
      <c r="V124" s="81"/>
      <c r="W124" s="82"/>
      <c r="X124" s="83"/>
      <c r="Y124" s="81"/>
      <c r="Z124" s="82"/>
      <c r="AA124" s="83"/>
      <c r="AB124" s="81"/>
      <c r="AC124" s="82"/>
      <c r="AD124" s="83"/>
      <c r="AE124" s="81"/>
      <c r="AF124" s="82"/>
      <c r="AG124" s="83"/>
      <c r="AH124" s="81"/>
      <c r="AI124" s="82"/>
      <c r="AJ124" s="83"/>
      <c r="AK124" s="81"/>
      <c r="AL124" s="82"/>
      <c r="AM124" s="83"/>
      <c r="AN124" s="81"/>
      <c r="AO124" s="82"/>
      <c r="AP124" s="83"/>
      <c r="AQ124" s="81"/>
      <c r="AR124" s="82"/>
      <c r="AS124" s="83"/>
      <c r="AT124" s="81"/>
      <c r="AU124" s="82"/>
      <c r="AV124" s="83"/>
      <c r="AW124" s="66"/>
      <c r="AX124" s="66"/>
      <c r="AY124" s="75"/>
    </row>
    <row r="125" spans="1:51" x14ac:dyDescent="0.3">
      <c r="A125" s="123">
        <f t="shared" si="2"/>
        <v>117</v>
      </c>
      <c r="B125" s="19"/>
      <c r="C125" s="20"/>
      <c r="D125" s="81"/>
      <c r="E125" s="82"/>
      <c r="F125" s="83"/>
      <c r="G125" s="81"/>
      <c r="H125" s="82"/>
      <c r="I125" s="83"/>
      <c r="J125" s="81"/>
      <c r="K125" s="82"/>
      <c r="L125" s="83"/>
      <c r="M125" s="81"/>
      <c r="N125" s="82"/>
      <c r="O125" s="83"/>
      <c r="P125" s="81"/>
      <c r="Q125" s="82"/>
      <c r="R125" s="83"/>
      <c r="S125" s="81"/>
      <c r="T125" s="82"/>
      <c r="U125" s="83"/>
      <c r="V125" s="81"/>
      <c r="W125" s="82"/>
      <c r="X125" s="83"/>
      <c r="Y125" s="81"/>
      <c r="Z125" s="82"/>
      <c r="AA125" s="83"/>
      <c r="AB125" s="81"/>
      <c r="AC125" s="82"/>
      <c r="AD125" s="83"/>
      <c r="AE125" s="81"/>
      <c r="AF125" s="82"/>
      <c r="AG125" s="83"/>
      <c r="AH125" s="81"/>
      <c r="AI125" s="82"/>
      <c r="AJ125" s="83"/>
      <c r="AK125" s="81"/>
      <c r="AL125" s="82"/>
      <c r="AM125" s="83"/>
      <c r="AN125" s="81"/>
      <c r="AO125" s="82"/>
      <c r="AP125" s="83"/>
      <c r="AQ125" s="81"/>
      <c r="AR125" s="82"/>
      <c r="AS125" s="83"/>
      <c r="AT125" s="81"/>
      <c r="AU125" s="82"/>
      <c r="AV125" s="83"/>
      <c r="AW125" s="66"/>
      <c r="AX125" s="66"/>
      <c r="AY125" s="75"/>
    </row>
    <row r="126" spans="1:51" x14ac:dyDescent="0.3">
      <c r="A126" s="123">
        <f t="shared" si="2"/>
        <v>118</v>
      </c>
      <c r="B126" s="19"/>
      <c r="C126" s="20"/>
      <c r="D126" s="81"/>
      <c r="E126" s="82"/>
      <c r="F126" s="83"/>
      <c r="G126" s="81"/>
      <c r="H126" s="82"/>
      <c r="I126" s="83"/>
      <c r="J126" s="81"/>
      <c r="K126" s="82"/>
      <c r="L126" s="83"/>
      <c r="M126" s="81"/>
      <c r="N126" s="82"/>
      <c r="O126" s="83"/>
      <c r="P126" s="81"/>
      <c r="Q126" s="82"/>
      <c r="R126" s="83"/>
      <c r="S126" s="81"/>
      <c r="T126" s="82"/>
      <c r="U126" s="83"/>
      <c r="V126" s="81"/>
      <c r="W126" s="82"/>
      <c r="X126" s="83"/>
      <c r="Y126" s="81"/>
      <c r="Z126" s="82"/>
      <c r="AA126" s="83"/>
      <c r="AB126" s="81"/>
      <c r="AC126" s="82"/>
      <c r="AD126" s="83"/>
      <c r="AE126" s="81"/>
      <c r="AF126" s="82"/>
      <c r="AG126" s="83"/>
      <c r="AH126" s="81"/>
      <c r="AI126" s="82"/>
      <c r="AJ126" s="83"/>
      <c r="AK126" s="81"/>
      <c r="AL126" s="82"/>
      <c r="AM126" s="83"/>
      <c r="AN126" s="81"/>
      <c r="AO126" s="82"/>
      <c r="AP126" s="83"/>
      <c r="AQ126" s="81"/>
      <c r="AR126" s="82"/>
      <c r="AS126" s="83"/>
      <c r="AT126" s="81"/>
      <c r="AU126" s="82"/>
      <c r="AV126" s="83"/>
      <c r="AW126" s="66"/>
      <c r="AX126" s="66"/>
      <c r="AY126" s="75"/>
    </row>
    <row r="127" spans="1:51" x14ac:dyDescent="0.3">
      <c r="A127" s="123">
        <f t="shared" si="2"/>
        <v>119</v>
      </c>
      <c r="B127" s="19"/>
      <c r="C127" s="20"/>
      <c r="D127" s="81"/>
      <c r="E127" s="82"/>
      <c r="F127" s="83"/>
      <c r="G127" s="81"/>
      <c r="H127" s="82"/>
      <c r="I127" s="83"/>
      <c r="J127" s="81"/>
      <c r="K127" s="82"/>
      <c r="L127" s="83"/>
      <c r="M127" s="81"/>
      <c r="N127" s="82"/>
      <c r="O127" s="83"/>
      <c r="P127" s="81"/>
      <c r="Q127" s="82"/>
      <c r="R127" s="83"/>
      <c r="S127" s="81"/>
      <c r="T127" s="82"/>
      <c r="U127" s="83"/>
      <c r="V127" s="81"/>
      <c r="W127" s="82"/>
      <c r="X127" s="83"/>
      <c r="Y127" s="81"/>
      <c r="Z127" s="82"/>
      <c r="AA127" s="83"/>
      <c r="AB127" s="81"/>
      <c r="AC127" s="82"/>
      <c r="AD127" s="83"/>
      <c r="AE127" s="81"/>
      <c r="AF127" s="82"/>
      <c r="AG127" s="83"/>
      <c r="AH127" s="81"/>
      <c r="AI127" s="82"/>
      <c r="AJ127" s="83"/>
      <c r="AK127" s="81"/>
      <c r="AL127" s="82"/>
      <c r="AM127" s="83"/>
      <c r="AN127" s="81"/>
      <c r="AO127" s="82"/>
      <c r="AP127" s="83"/>
      <c r="AQ127" s="81"/>
      <c r="AR127" s="82"/>
      <c r="AS127" s="83"/>
      <c r="AT127" s="81"/>
      <c r="AU127" s="82"/>
      <c r="AV127" s="83"/>
      <c r="AW127" s="66"/>
      <c r="AX127" s="66"/>
      <c r="AY127" s="75"/>
    </row>
    <row r="128" spans="1:51" x14ac:dyDescent="0.3">
      <c r="A128" s="123">
        <f t="shared" si="2"/>
        <v>120</v>
      </c>
      <c r="B128" s="19"/>
      <c r="C128" s="20"/>
      <c r="D128" s="81"/>
      <c r="E128" s="82"/>
      <c r="F128" s="83"/>
      <c r="G128" s="81"/>
      <c r="H128" s="82"/>
      <c r="I128" s="83"/>
      <c r="J128" s="81"/>
      <c r="K128" s="82"/>
      <c r="L128" s="83"/>
      <c r="M128" s="81"/>
      <c r="N128" s="82"/>
      <c r="O128" s="83"/>
      <c r="P128" s="81"/>
      <c r="Q128" s="82"/>
      <c r="R128" s="83"/>
      <c r="S128" s="81"/>
      <c r="T128" s="82"/>
      <c r="U128" s="83"/>
      <c r="V128" s="81"/>
      <c r="W128" s="82"/>
      <c r="X128" s="83"/>
      <c r="Y128" s="81"/>
      <c r="Z128" s="82"/>
      <c r="AA128" s="83"/>
      <c r="AB128" s="81"/>
      <c r="AC128" s="82"/>
      <c r="AD128" s="83"/>
      <c r="AE128" s="81"/>
      <c r="AF128" s="82"/>
      <c r="AG128" s="83"/>
      <c r="AH128" s="81"/>
      <c r="AI128" s="82"/>
      <c r="AJ128" s="83"/>
      <c r="AK128" s="81"/>
      <c r="AL128" s="82"/>
      <c r="AM128" s="83"/>
      <c r="AN128" s="81"/>
      <c r="AO128" s="82"/>
      <c r="AP128" s="83"/>
      <c r="AQ128" s="81"/>
      <c r="AR128" s="82"/>
      <c r="AS128" s="83"/>
      <c r="AT128" s="81"/>
      <c r="AU128" s="82"/>
      <c r="AV128" s="83"/>
      <c r="AW128" s="66"/>
      <c r="AX128" s="66"/>
      <c r="AY128" s="75"/>
    </row>
    <row r="129" spans="1:51" x14ac:dyDescent="0.3">
      <c r="A129" s="123">
        <f t="shared" si="2"/>
        <v>121</v>
      </c>
      <c r="B129" s="19"/>
      <c r="C129" s="20"/>
      <c r="D129" s="81"/>
      <c r="E129" s="82"/>
      <c r="F129" s="83"/>
      <c r="G129" s="81"/>
      <c r="H129" s="82"/>
      <c r="I129" s="83"/>
      <c r="J129" s="81"/>
      <c r="K129" s="82"/>
      <c r="L129" s="83"/>
      <c r="M129" s="81"/>
      <c r="N129" s="82"/>
      <c r="O129" s="83"/>
      <c r="P129" s="81"/>
      <c r="Q129" s="82"/>
      <c r="R129" s="83"/>
      <c r="S129" s="81"/>
      <c r="T129" s="82"/>
      <c r="U129" s="83"/>
      <c r="V129" s="81"/>
      <c r="W129" s="82"/>
      <c r="X129" s="83"/>
      <c r="Y129" s="81"/>
      <c r="Z129" s="82"/>
      <c r="AA129" s="83"/>
      <c r="AB129" s="81"/>
      <c r="AC129" s="82"/>
      <c r="AD129" s="83"/>
      <c r="AE129" s="81"/>
      <c r="AF129" s="82"/>
      <c r="AG129" s="83"/>
      <c r="AH129" s="81"/>
      <c r="AI129" s="82"/>
      <c r="AJ129" s="83"/>
      <c r="AK129" s="81"/>
      <c r="AL129" s="82"/>
      <c r="AM129" s="83"/>
      <c r="AN129" s="81"/>
      <c r="AO129" s="82"/>
      <c r="AP129" s="83"/>
      <c r="AQ129" s="81"/>
      <c r="AR129" s="82"/>
      <c r="AS129" s="83"/>
      <c r="AT129" s="81"/>
      <c r="AU129" s="82"/>
      <c r="AV129" s="83"/>
      <c r="AW129" s="66"/>
      <c r="AX129" s="66"/>
      <c r="AY129" s="75"/>
    </row>
    <row r="130" spans="1:51" x14ac:dyDescent="0.3">
      <c r="A130" s="123">
        <f t="shared" si="2"/>
        <v>122</v>
      </c>
      <c r="B130" s="19"/>
      <c r="C130" s="20"/>
      <c r="D130" s="81"/>
      <c r="E130" s="82"/>
      <c r="F130" s="83"/>
      <c r="G130" s="81"/>
      <c r="H130" s="82"/>
      <c r="I130" s="83"/>
      <c r="J130" s="81"/>
      <c r="K130" s="82"/>
      <c r="L130" s="83"/>
      <c r="M130" s="81"/>
      <c r="N130" s="82"/>
      <c r="O130" s="83"/>
      <c r="P130" s="81"/>
      <c r="Q130" s="82"/>
      <c r="R130" s="83"/>
      <c r="S130" s="81"/>
      <c r="T130" s="82"/>
      <c r="U130" s="83"/>
      <c r="V130" s="81"/>
      <c r="W130" s="82"/>
      <c r="X130" s="83"/>
      <c r="Y130" s="81"/>
      <c r="Z130" s="82"/>
      <c r="AA130" s="83"/>
      <c r="AB130" s="81"/>
      <c r="AC130" s="82"/>
      <c r="AD130" s="83"/>
      <c r="AE130" s="81"/>
      <c r="AF130" s="82"/>
      <c r="AG130" s="83"/>
      <c r="AH130" s="81"/>
      <c r="AI130" s="82"/>
      <c r="AJ130" s="83"/>
      <c r="AK130" s="81"/>
      <c r="AL130" s="82"/>
      <c r="AM130" s="83"/>
      <c r="AN130" s="81"/>
      <c r="AO130" s="82"/>
      <c r="AP130" s="83"/>
      <c r="AQ130" s="81"/>
      <c r="AR130" s="82"/>
      <c r="AS130" s="83"/>
      <c r="AT130" s="81"/>
      <c r="AU130" s="82"/>
      <c r="AV130" s="83"/>
      <c r="AW130" s="66"/>
      <c r="AX130" s="66"/>
      <c r="AY130" s="75"/>
    </row>
    <row r="131" spans="1:51" x14ac:dyDescent="0.3">
      <c r="A131" s="123">
        <f t="shared" si="2"/>
        <v>123</v>
      </c>
      <c r="B131" s="19"/>
      <c r="C131" s="20"/>
      <c r="D131" s="81"/>
      <c r="E131" s="82"/>
      <c r="F131" s="83"/>
      <c r="G131" s="81"/>
      <c r="H131" s="82"/>
      <c r="I131" s="83"/>
      <c r="J131" s="81"/>
      <c r="K131" s="82"/>
      <c r="L131" s="83"/>
      <c r="M131" s="81"/>
      <c r="N131" s="82"/>
      <c r="O131" s="83"/>
      <c r="P131" s="81"/>
      <c r="Q131" s="82"/>
      <c r="R131" s="83"/>
      <c r="S131" s="81"/>
      <c r="T131" s="82"/>
      <c r="U131" s="83"/>
      <c r="V131" s="81"/>
      <c r="W131" s="82"/>
      <c r="X131" s="83"/>
      <c r="Y131" s="81"/>
      <c r="Z131" s="82"/>
      <c r="AA131" s="83"/>
      <c r="AB131" s="81"/>
      <c r="AC131" s="82"/>
      <c r="AD131" s="83"/>
      <c r="AE131" s="81"/>
      <c r="AF131" s="82"/>
      <c r="AG131" s="83"/>
      <c r="AH131" s="81"/>
      <c r="AI131" s="82"/>
      <c r="AJ131" s="83"/>
      <c r="AK131" s="81"/>
      <c r="AL131" s="82"/>
      <c r="AM131" s="83"/>
      <c r="AN131" s="81"/>
      <c r="AO131" s="82"/>
      <c r="AP131" s="83"/>
      <c r="AQ131" s="81"/>
      <c r="AR131" s="82"/>
      <c r="AS131" s="83"/>
      <c r="AT131" s="81"/>
      <c r="AU131" s="82"/>
      <c r="AV131" s="83"/>
      <c r="AW131" s="66"/>
      <c r="AX131" s="66"/>
      <c r="AY131" s="75"/>
    </row>
    <row r="132" spans="1:51" x14ac:dyDescent="0.3">
      <c r="A132" s="123">
        <f t="shared" si="2"/>
        <v>124</v>
      </c>
      <c r="B132" s="19"/>
      <c r="C132" s="20"/>
      <c r="D132" s="81"/>
      <c r="E132" s="82"/>
      <c r="F132" s="83"/>
      <c r="G132" s="81"/>
      <c r="H132" s="82"/>
      <c r="I132" s="83"/>
      <c r="J132" s="81"/>
      <c r="K132" s="82"/>
      <c r="L132" s="83"/>
      <c r="M132" s="81"/>
      <c r="N132" s="82"/>
      <c r="O132" s="83"/>
      <c r="P132" s="81"/>
      <c r="Q132" s="82"/>
      <c r="R132" s="83"/>
      <c r="S132" s="81"/>
      <c r="T132" s="82"/>
      <c r="U132" s="83"/>
      <c r="V132" s="81"/>
      <c r="W132" s="82"/>
      <c r="X132" s="83"/>
      <c r="Y132" s="81"/>
      <c r="Z132" s="82"/>
      <c r="AA132" s="83"/>
      <c r="AB132" s="81"/>
      <c r="AC132" s="82"/>
      <c r="AD132" s="83"/>
      <c r="AE132" s="81"/>
      <c r="AF132" s="82"/>
      <c r="AG132" s="83"/>
      <c r="AH132" s="81"/>
      <c r="AI132" s="82"/>
      <c r="AJ132" s="83"/>
      <c r="AK132" s="81"/>
      <c r="AL132" s="82"/>
      <c r="AM132" s="83"/>
      <c r="AN132" s="81"/>
      <c r="AO132" s="82"/>
      <c r="AP132" s="83"/>
      <c r="AQ132" s="81"/>
      <c r="AR132" s="82"/>
      <c r="AS132" s="83"/>
      <c r="AT132" s="81"/>
      <c r="AU132" s="82"/>
      <c r="AV132" s="83"/>
      <c r="AW132" s="66"/>
      <c r="AX132" s="66"/>
      <c r="AY132" s="75"/>
    </row>
    <row r="133" spans="1:51" x14ac:dyDescent="0.3">
      <c r="A133" s="123">
        <f t="shared" si="2"/>
        <v>125</v>
      </c>
      <c r="B133" s="19"/>
      <c r="C133" s="20"/>
      <c r="D133" s="81"/>
      <c r="E133" s="82"/>
      <c r="F133" s="83"/>
      <c r="G133" s="81"/>
      <c r="H133" s="82"/>
      <c r="I133" s="83"/>
      <c r="J133" s="81"/>
      <c r="K133" s="82"/>
      <c r="L133" s="83"/>
      <c r="M133" s="81"/>
      <c r="N133" s="82"/>
      <c r="O133" s="83"/>
      <c r="P133" s="81"/>
      <c r="Q133" s="82"/>
      <c r="R133" s="83"/>
      <c r="S133" s="81"/>
      <c r="T133" s="82"/>
      <c r="U133" s="83"/>
      <c r="V133" s="81"/>
      <c r="W133" s="82"/>
      <c r="X133" s="83"/>
      <c r="Y133" s="81"/>
      <c r="Z133" s="82"/>
      <c r="AA133" s="83"/>
      <c r="AB133" s="81"/>
      <c r="AC133" s="82"/>
      <c r="AD133" s="83"/>
      <c r="AE133" s="81"/>
      <c r="AF133" s="82"/>
      <c r="AG133" s="83"/>
      <c r="AH133" s="81"/>
      <c r="AI133" s="82"/>
      <c r="AJ133" s="83"/>
      <c r="AK133" s="81"/>
      <c r="AL133" s="82"/>
      <c r="AM133" s="83"/>
      <c r="AN133" s="81"/>
      <c r="AO133" s="82"/>
      <c r="AP133" s="83"/>
      <c r="AQ133" s="81"/>
      <c r="AR133" s="82"/>
      <c r="AS133" s="83"/>
      <c r="AT133" s="81"/>
      <c r="AU133" s="82"/>
      <c r="AV133" s="83"/>
      <c r="AW133" s="66"/>
      <c r="AX133" s="66"/>
      <c r="AY133" s="75"/>
    </row>
    <row r="134" spans="1:51" x14ac:dyDescent="0.3">
      <c r="A134" s="123">
        <f t="shared" si="2"/>
        <v>126</v>
      </c>
      <c r="B134" s="19"/>
      <c r="C134" s="20"/>
      <c r="D134" s="81"/>
      <c r="E134" s="82"/>
      <c r="F134" s="83"/>
      <c r="G134" s="81"/>
      <c r="H134" s="82"/>
      <c r="I134" s="83"/>
      <c r="J134" s="81"/>
      <c r="K134" s="82"/>
      <c r="L134" s="83"/>
      <c r="M134" s="81"/>
      <c r="N134" s="82"/>
      <c r="O134" s="83"/>
      <c r="P134" s="81"/>
      <c r="Q134" s="82"/>
      <c r="R134" s="83"/>
      <c r="S134" s="81"/>
      <c r="T134" s="82"/>
      <c r="U134" s="83"/>
      <c r="V134" s="81"/>
      <c r="W134" s="82"/>
      <c r="X134" s="83"/>
      <c r="Y134" s="81"/>
      <c r="Z134" s="82"/>
      <c r="AA134" s="83"/>
      <c r="AB134" s="81"/>
      <c r="AC134" s="82"/>
      <c r="AD134" s="83"/>
      <c r="AE134" s="81"/>
      <c r="AF134" s="82"/>
      <c r="AG134" s="83"/>
      <c r="AH134" s="81"/>
      <c r="AI134" s="82"/>
      <c r="AJ134" s="83"/>
      <c r="AK134" s="81"/>
      <c r="AL134" s="82"/>
      <c r="AM134" s="83"/>
      <c r="AN134" s="81"/>
      <c r="AO134" s="82"/>
      <c r="AP134" s="83"/>
      <c r="AQ134" s="81"/>
      <c r="AR134" s="82"/>
      <c r="AS134" s="83"/>
      <c r="AT134" s="81"/>
      <c r="AU134" s="82"/>
      <c r="AV134" s="83"/>
      <c r="AW134" s="66"/>
      <c r="AX134" s="66"/>
      <c r="AY134" s="75"/>
    </row>
    <row r="135" spans="1:51" x14ac:dyDescent="0.3">
      <c r="A135" s="123">
        <f t="shared" si="2"/>
        <v>127</v>
      </c>
      <c r="B135" s="19"/>
      <c r="C135" s="20"/>
      <c r="D135" s="81"/>
      <c r="E135" s="82"/>
      <c r="F135" s="83"/>
      <c r="G135" s="81"/>
      <c r="H135" s="82"/>
      <c r="I135" s="83"/>
      <c r="J135" s="81"/>
      <c r="K135" s="82"/>
      <c r="L135" s="83"/>
      <c r="M135" s="81"/>
      <c r="N135" s="82"/>
      <c r="O135" s="83"/>
      <c r="P135" s="81"/>
      <c r="Q135" s="82"/>
      <c r="R135" s="83"/>
      <c r="S135" s="81"/>
      <c r="T135" s="82"/>
      <c r="U135" s="83"/>
      <c r="V135" s="81"/>
      <c r="W135" s="82"/>
      <c r="X135" s="83"/>
      <c r="Y135" s="81"/>
      <c r="Z135" s="82"/>
      <c r="AA135" s="83"/>
      <c r="AB135" s="81"/>
      <c r="AC135" s="82"/>
      <c r="AD135" s="83"/>
      <c r="AE135" s="81"/>
      <c r="AF135" s="82"/>
      <c r="AG135" s="83"/>
      <c r="AH135" s="81"/>
      <c r="AI135" s="82"/>
      <c r="AJ135" s="83"/>
      <c r="AK135" s="81"/>
      <c r="AL135" s="82"/>
      <c r="AM135" s="83"/>
      <c r="AN135" s="81"/>
      <c r="AO135" s="82"/>
      <c r="AP135" s="83"/>
      <c r="AQ135" s="81"/>
      <c r="AR135" s="82"/>
      <c r="AS135" s="83"/>
      <c r="AT135" s="81"/>
      <c r="AU135" s="82"/>
      <c r="AV135" s="83"/>
      <c r="AW135" s="66"/>
      <c r="AX135" s="66"/>
      <c r="AY135" s="75"/>
    </row>
    <row r="136" spans="1:51" x14ac:dyDescent="0.3">
      <c r="A136" s="123">
        <f t="shared" si="2"/>
        <v>128</v>
      </c>
      <c r="B136" s="19"/>
      <c r="C136" s="20"/>
      <c r="D136" s="81"/>
      <c r="E136" s="82"/>
      <c r="F136" s="83"/>
      <c r="G136" s="81"/>
      <c r="H136" s="82"/>
      <c r="I136" s="83"/>
      <c r="J136" s="81"/>
      <c r="K136" s="82"/>
      <c r="L136" s="83"/>
      <c r="M136" s="81"/>
      <c r="N136" s="82"/>
      <c r="O136" s="83"/>
      <c r="P136" s="81"/>
      <c r="Q136" s="82"/>
      <c r="R136" s="83"/>
      <c r="S136" s="81"/>
      <c r="T136" s="82"/>
      <c r="U136" s="83"/>
      <c r="V136" s="81"/>
      <c r="W136" s="82"/>
      <c r="X136" s="83"/>
      <c r="Y136" s="81"/>
      <c r="Z136" s="82"/>
      <c r="AA136" s="83"/>
      <c r="AB136" s="81"/>
      <c r="AC136" s="82"/>
      <c r="AD136" s="83"/>
      <c r="AE136" s="81"/>
      <c r="AF136" s="82"/>
      <c r="AG136" s="83"/>
      <c r="AH136" s="81"/>
      <c r="AI136" s="82"/>
      <c r="AJ136" s="83"/>
      <c r="AK136" s="81"/>
      <c r="AL136" s="82"/>
      <c r="AM136" s="83"/>
      <c r="AN136" s="81"/>
      <c r="AO136" s="82"/>
      <c r="AP136" s="83"/>
      <c r="AQ136" s="81"/>
      <c r="AR136" s="82"/>
      <c r="AS136" s="83"/>
      <c r="AT136" s="81"/>
      <c r="AU136" s="82"/>
      <c r="AV136" s="83"/>
      <c r="AW136" s="66"/>
      <c r="AX136" s="66"/>
      <c r="AY136" s="75"/>
    </row>
    <row r="137" spans="1:51" x14ac:dyDescent="0.3">
      <c r="A137" s="123">
        <f t="shared" si="2"/>
        <v>129</v>
      </c>
      <c r="B137" s="19"/>
      <c r="C137" s="20"/>
      <c r="D137" s="81"/>
      <c r="E137" s="82"/>
      <c r="F137" s="83"/>
      <c r="G137" s="81"/>
      <c r="H137" s="82"/>
      <c r="I137" s="83"/>
      <c r="J137" s="81"/>
      <c r="K137" s="82"/>
      <c r="L137" s="83"/>
      <c r="M137" s="81"/>
      <c r="N137" s="82"/>
      <c r="O137" s="83"/>
      <c r="P137" s="81"/>
      <c r="Q137" s="82"/>
      <c r="R137" s="83"/>
      <c r="S137" s="81"/>
      <c r="T137" s="82"/>
      <c r="U137" s="83"/>
      <c r="V137" s="81"/>
      <c r="W137" s="82"/>
      <c r="X137" s="83"/>
      <c r="Y137" s="81"/>
      <c r="Z137" s="82"/>
      <c r="AA137" s="83"/>
      <c r="AB137" s="81"/>
      <c r="AC137" s="82"/>
      <c r="AD137" s="83"/>
      <c r="AE137" s="81"/>
      <c r="AF137" s="82"/>
      <c r="AG137" s="83"/>
      <c r="AH137" s="81"/>
      <c r="AI137" s="82"/>
      <c r="AJ137" s="83"/>
      <c r="AK137" s="81"/>
      <c r="AL137" s="82"/>
      <c r="AM137" s="83"/>
      <c r="AN137" s="81"/>
      <c r="AO137" s="82"/>
      <c r="AP137" s="83"/>
      <c r="AQ137" s="81"/>
      <c r="AR137" s="82"/>
      <c r="AS137" s="83"/>
      <c r="AT137" s="81"/>
      <c r="AU137" s="82"/>
      <c r="AV137" s="83"/>
      <c r="AW137" s="66"/>
      <c r="AX137" s="66"/>
      <c r="AY137" s="75"/>
    </row>
    <row r="138" spans="1:51" x14ac:dyDescent="0.3">
      <c r="A138" s="123">
        <f t="shared" si="2"/>
        <v>130</v>
      </c>
      <c r="B138" s="19"/>
      <c r="C138" s="20"/>
      <c r="D138" s="81"/>
      <c r="E138" s="82"/>
      <c r="F138" s="83"/>
      <c r="G138" s="81"/>
      <c r="H138" s="82"/>
      <c r="I138" s="83"/>
      <c r="J138" s="81"/>
      <c r="K138" s="82"/>
      <c r="L138" s="83"/>
      <c r="M138" s="81"/>
      <c r="N138" s="82"/>
      <c r="O138" s="83"/>
      <c r="P138" s="81"/>
      <c r="Q138" s="82"/>
      <c r="R138" s="83"/>
      <c r="S138" s="81"/>
      <c r="T138" s="82"/>
      <c r="U138" s="83"/>
      <c r="V138" s="81"/>
      <c r="W138" s="82"/>
      <c r="X138" s="83"/>
      <c r="Y138" s="81"/>
      <c r="Z138" s="82"/>
      <c r="AA138" s="83"/>
      <c r="AB138" s="81"/>
      <c r="AC138" s="82"/>
      <c r="AD138" s="83"/>
      <c r="AE138" s="81"/>
      <c r="AF138" s="82"/>
      <c r="AG138" s="83"/>
      <c r="AH138" s="81"/>
      <c r="AI138" s="82"/>
      <c r="AJ138" s="83"/>
      <c r="AK138" s="81"/>
      <c r="AL138" s="82"/>
      <c r="AM138" s="83"/>
      <c r="AN138" s="81"/>
      <c r="AO138" s="82"/>
      <c r="AP138" s="83"/>
      <c r="AQ138" s="81"/>
      <c r="AR138" s="82"/>
      <c r="AS138" s="83"/>
      <c r="AT138" s="81"/>
      <c r="AU138" s="82"/>
      <c r="AV138" s="83"/>
      <c r="AW138" s="66"/>
      <c r="AX138" s="66"/>
      <c r="AY138" s="75"/>
    </row>
    <row r="139" spans="1:51" x14ac:dyDescent="0.3">
      <c r="A139" s="123">
        <f t="shared" si="2"/>
        <v>131</v>
      </c>
      <c r="B139" s="19"/>
      <c r="C139" s="20"/>
      <c r="D139" s="81"/>
      <c r="E139" s="82"/>
      <c r="F139" s="83"/>
      <c r="G139" s="81"/>
      <c r="H139" s="82"/>
      <c r="I139" s="83"/>
      <c r="J139" s="81"/>
      <c r="K139" s="82"/>
      <c r="L139" s="83"/>
      <c r="M139" s="81"/>
      <c r="N139" s="82"/>
      <c r="O139" s="83"/>
      <c r="P139" s="81"/>
      <c r="Q139" s="82"/>
      <c r="R139" s="83"/>
      <c r="S139" s="81"/>
      <c r="T139" s="82"/>
      <c r="U139" s="83"/>
      <c r="V139" s="81"/>
      <c r="W139" s="82"/>
      <c r="X139" s="83"/>
      <c r="Y139" s="81"/>
      <c r="Z139" s="82"/>
      <c r="AA139" s="83"/>
      <c r="AB139" s="81"/>
      <c r="AC139" s="82"/>
      <c r="AD139" s="83"/>
      <c r="AE139" s="81"/>
      <c r="AF139" s="82"/>
      <c r="AG139" s="83"/>
      <c r="AH139" s="81"/>
      <c r="AI139" s="82"/>
      <c r="AJ139" s="83"/>
      <c r="AK139" s="81"/>
      <c r="AL139" s="82"/>
      <c r="AM139" s="83"/>
      <c r="AN139" s="81"/>
      <c r="AO139" s="82"/>
      <c r="AP139" s="83"/>
      <c r="AQ139" s="81"/>
      <c r="AR139" s="82"/>
      <c r="AS139" s="83"/>
      <c r="AT139" s="81"/>
      <c r="AU139" s="82"/>
      <c r="AV139" s="83"/>
      <c r="AW139" s="66"/>
      <c r="AX139" s="66"/>
      <c r="AY139" s="75"/>
    </row>
    <row r="140" spans="1:51" x14ac:dyDescent="0.3">
      <c r="A140" s="123">
        <f t="shared" si="2"/>
        <v>132</v>
      </c>
      <c r="B140" s="19"/>
      <c r="C140" s="20"/>
      <c r="D140" s="81"/>
      <c r="E140" s="82"/>
      <c r="F140" s="83"/>
      <c r="G140" s="81"/>
      <c r="H140" s="82"/>
      <c r="I140" s="83"/>
      <c r="J140" s="81"/>
      <c r="K140" s="82"/>
      <c r="L140" s="83"/>
      <c r="M140" s="81"/>
      <c r="N140" s="82"/>
      <c r="O140" s="83"/>
      <c r="P140" s="81"/>
      <c r="Q140" s="82"/>
      <c r="R140" s="83"/>
      <c r="S140" s="81"/>
      <c r="T140" s="82"/>
      <c r="U140" s="83"/>
      <c r="V140" s="81"/>
      <c r="W140" s="82"/>
      <c r="X140" s="83"/>
      <c r="Y140" s="81"/>
      <c r="Z140" s="82"/>
      <c r="AA140" s="83"/>
      <c r="AB140" s="81"/>
      <c r="AC140" s="82"/>
      <c r="AD140" s="83"/>
      <c r="AE140" s="81"/>
      <c r="AF140" s="82"/>
      <c r="AG140" s="83"/>
      <c r="AH140" s="81"/>
      <c r="AI140" s="82"/>
      <c r="AJ140" s="83"/>
      <c r="AK140" s="81"/>
      <c r="AL140" s="82"/>
      <c r="AM140" s="83"/>
      <c r="AN140" s="81"/>
      <c r="AO140" s="82"/>
      <c r="AP140" s="83"/>
      <c r="AQ140" s="81"/>
      <c r="AR140" s="82"/>
      <c r="AS140" s="83"/>
      <c r="AT140" s="81"/>
      <c r="AU140" s="82"/>
      <c r="AV140" s="83"/>
      <c r="AW140" s="66"/>
      <c r="AX140" s="66"/>
      <c r="AY140" s="75"/>
    </row>
    <row r="141" spans="1:51" x14ac:dyDescent="0.3">
      <c r="A141" s="123">
        <f t="shared" si="2"/>
        <v>133</v>
      </c>
      <c r="B141" s="19"/>
      <c r="C141" s="20"/>
      <c r="D141" s="81"/>
      <c r="E141" s="82"/>
      <c r="F141" s="83"/>
      <c r="G141" s="81"/>
      <c r="H141" s="82"/>
      <c r="I141" s="83"/>
      <c r="J141" s="81"/>
      <c r="K141" s="82"/>
      <c r="L141" s="83"/>
      <c r="M141" s="81"/>
      <c r="N141" s="82"/>
      <c r="O141" s="83"/>
      <c r="P141" s="81"/>
      <c r="Q141" s="82"/>
      <c r="R141" s="83"/>
      <c r="S141" s="81"/>
      <c r="T141" s="82"/>
      <c r="U141" s="83"/>
      <c r="V141" s="81"/>
      <c r="W141" s="82"/>
      <c r="X141" s="83"/>
      <c r="Y141" s="81"/>
      <c r="Z141" s="82"/>
      <c r="AA141" s="83"/>
      <c r="AB141" s="81"/>
      <c r="AC141" s="82"/>
      <c r="AD141" s="83"/>
      <c r="AE141" s="81"/>
      <c r="AF141" s="82"/>
      <c r="AG141" s="83"/>
      <c r="AH141" s="81"/>
      <c r="AI141" s="82"/>
      <c r="AJ141" s="83"/>
      <c r="AK141" s="81"/>
      <c r="AL141" s="82"/>
      <c r="AM141" s="83"/>
      <c r="AN141" s="81"/>
      <c r="AO141" s="82"/>
      <c r="AP141" s="83"/>
      <c r="AQ141" s="81"/>
      <c r="AR141" s="82"/>
      <c r="AS141" s="83"/>
      <c r="AT141" s="81"/>
      <c r="AU141" s="82"/>
      <c r="AV141" s="83"/>
      <c r="AW141" s="66"/>
      <c r="AX141" s="66"/>
      <c r="AY141" s="75"/>
    </row>
    <row r="142" spans="1:51" x14ac:dyDescent="0.3">
      <c r="A142" s="123">
        <f t="shared" si="2"/>
        <v>134</v>
      </c>
      <c r="B142" s="19"/>
      <c r="C142" s="20"/>
      <c r="D142" s="81"/>
      <c r="E142" s="82"/>
      <c r="F142" s="83"/>
      <c r="G142" s="81"/>
      <c r="H142" s="82"/>
      <c r="I142" s="83"/>
      <c r="J142" s="81"/>
      <c r="K142" s="82"/>
      <c r="L142" s="83"/>
      <c r="M142" s="81"/>
      <c r="N142" s="82"/>
      <c r="O142" s="83"/>
      <c r="P142" s="81"/>
      <c r="Q142" s="82"/>
      <c r="R142" s="83"/>
      <c r="S142" s="81"/>
      <c r="T142" s="82"/>
      <c r="U142" s="83"/>
      <c r="V142" s="81"/>
      <c r="W142" s="82"/>
      <c r="X142" s="83"/>
      <c r="Y142" s="81"/>
      <c r="Z142" s="82"/>
      <c r="AA142" s="83"/>
      <c r="AB142" s="81"/>
      <c r="AC142" s="82"/>
      <c r="AD142" s="83"/>
      <c r="AE142" s="81"/>
      <c r="AF142" s="82"/>
      <c r="AG142" s="83"/>
      <c r="AH142" s="81"/>
      <c r="AI142" s="82"/>
      <c r="AJ142" s="83"/>
      <c r="AK142" s="81"/>
      <c r="AL142" s="82"/>
      <c r="AM142" s="83"/>
      <c r="AN142" s="81"/>
      <c r="AO142" s="82"/>
      <c r="AP142" s="83"/>
      <c r="AQ142" s="81"/>
      <c r="AR142" s="82"/>
      <c r="AS142" s="83"/>
      <c r="AT142" s="81"/>
      <c r="AU142" s="82"/>
      <c r="AV142" s="83"/>
      <c r="AW142" s="66"/>
      <c r="AX142" s="66"/>
      <c r="AY142" s="75"/>
    </row>
    <row r="143" spans="1:51" x14ac:dyDescent="0.3">
      <c r="A143" s="123">
        <f t="shared" si="2"/>
        <v>135</v>
      </c>
      <c r="B143" s="19"/>
      <c r="C143" s="20"/>
      <c r="D143" s="81"/>
      <c r="E143" s="82"/>
      <c r="F143" s="83"/>
      <c r="G143" s="81"/>
      <c r="H143" s="82"/>
      <c r="I143" s="83"/>
      <c r="J143" s="81"/>
      <c r="K143" s="82"/>
      <c r="L143" s="83"/>
      <c r="M143" s="81"/>
      <c r="N143" s="82"/>
      <c r="O143" s="83"/>
      <c r="P143" s="81"/>
      <c r="Q143" s="82"/>
      <c r="R143" s="83"/>
      <c r="S143" s="81"/>
      <c r="T143" s="82"/>
      <c r="U143" s="83"/>
      <c r="V143" s="81"/>
      <c r="W143" s="82"/>
      <c r="X143" s="83"/>
      <c r="Y143" s="81"/>
      <c r="Z143" s="82"/>
      <c r="AA143" s="83"/>
      <c r="AB143" s="81"/>
      <c r="AC143" s="82"/>
      <c r="AD143" s="83"/>
      <c r="AE143" s="81"/>
      <c r="AF143" s="82"/>
      <c r="AG143" s="83"/>
      <c r="AH143" s="81"/>
      <c r="AI143" s="82"/>
      <c r="AJ143" s="83"/>
      <c r="AK143" s="81"/>
      <c r="AL143" s="82"/>
      <c r="AM143" s="83"/>
      <c r="AN143" s="81"/>
      <c r="AO143" s="82"/>
      <c r="AP143" s="83"/>
      <c r="AQ143" s="81"/>
      <c r="AR143" s="82"/>
      <c r="AS143" s="83"/>
      <c r="AT143" s="81"/>
      <c r="AU143" s="82"/>
      <c r="AV143" s="83"/>
      <c r="AW143" s="66"/>
      <c r="AX143" s="66"/>
      <c r="AY143" s="75"/>
    </row>
    <row r="144" spans="1:51" x14ac:dyDescent="0.3">
      <c r="A144" s="123">
        <f t="shared" si="2"/>
        <v>136</v>
      </c>
      <c r="B144" s="19"/>
      <c r="C144" s="20"/>
      <c r="D144" s="81"/>
      <c r="E144" s="82"/>
      <c r="F144" s="83"/>
      <c r="G144" s="81"/>
      <c r="H144" s="82"/>
      <c r="I144" s="83"/>
      <c r="J144" s="81"/>
      <c r="K144" s="82"/>
      <c r="L144" s="83"/>
      <c r="M144" s="81"/>
      <c r="N144" s="82"/>
      <c r="O144" s="83"/>
      <c r="P144" s="81"/>
      <c r="Q144" s="82"/>
      <c r="R144" s="83"/>
      <c r="S144" s="81"/>
      <c r="T144" s="82"/>
      <c r="U144" s="83"/>
      <c r="V144" s="81"/>
      <c r="W144" s="82"/>
      <c r="X144" s="83"/>
      <c r="Y144" s="81"/>
      <c r="Z144" s="82"/>
      <c r="AA144" s="83"/>
      <c r="AB144" s="81"/>
      <c r="AC144" s="82"/>
      <c r="AD144" s="83"/>
      <c r="AE144" s="81"/>
      <c r="AF144" s="82"/>
      <c r="AG144" s="83"/>
      <c r="AH144" s="81"/>
      <c r="AI144" s="82"/>
      <c r="AJ144" s="83"/>
      <c r="AK144" s="81"/>
      <c r="AL144" s="82"/>
      <c r="AM144" s="83"/>
      <c r="AN144" s="81"/>
      <c r="AO144" s="82"/>
      <c r="AP144" s="83"/>
      <c r="AQ144" s="81"/>
      <c r="AR144" s="82"/>
      <c r="AS144" s="83"/>
      <c r="AT144" s="81"/>
      <c r="AU144" s="82"/>
      <c r="AV144" s="83"/>
      <c r="AW144" s="66"/>
      <c r="AX144" s="66"/>
      <c r="AY144" s="75"/>
    </row>
    <row r="145" spans="1:51" x14ac:dyDescent="0.3">
      <c r="A145" s="123">
        <f t="shared" si="2"/>
        <v>137</v>
      </c>
      <c r="B145" s="19"/>
      <c r="C145" s="20"/>
      <c r="D145" s="81"/>
      <c r="E145" s="82"/>
      <c r="F145" s="83"/>
      <c r="G145" s="81"/>
      <c r="H145" s="82"/>
      <c r="I145" s="83"/>
      <c r="J145" s="81"/>
      <c r="K145" s="82"/>
      <c r="L145" s="83"/>
      <c r="M145" s="81"/>
      <c r="N145" s="82"/>
      <c r="O145" s="83"/>
      <c r="P145" s="81"/>
      <c r="Q145" s="82"/>
      <c r="R145" s="83"/>
      <c r="S145" s="81"/>
      <c r="T145" s="82"/>
      <c r="U145" s="83"/>
      <c r="V145" s="81"/>
      <c r="W145" s="82"/>
      <c r="X145" s="83"/>
      <c r="Y145" s="81"/>
      <c r="Z145" s="82"/>
      <c r="AA145" s="83"/>
      <c r="AB145" s="81"/>
      <c r="AC145" s="82"/>
      <c r="AD145" s="83"/>
      <c r="AE145" s="81"/>
      <c r="AF145" s="82"/>
      <c r="AG145" s="83"/>
      <c r="AH145" s="81"/>
      <c r="AI145" s="82"/>
      <c r="AJ145" s="83"/>
      <c r="AK145" s="81"/>
      <c r="AL145" s="82"/>
      <c r="AM145" s="83"/>
      <c r="AN145" s="81"/>
      <c r="AO145" s="82"/>
      <c r="AP145" s="83"/>
      <c r="AQ145" s="81"/>
      <c r="AR145" s="82"/>
      <c r="AS145" s="83"/>
      <c r="AT145" s="81"/>
      <c r="AU145" s="82"/>
      <c r="AV145" s="83"/>
      <c r="AW145" s="66"/>
      <c r="AX145" s="66"/>
      <c r="AY145" s="75"/>
    </row>
    <row r="146" spans="1:51" x14ac:dyDescent="0.3">
      <c r="A146" s="123">
        <f t="shared" si="2"/>
        <v>138</v>
      </c>
      <c r="B146" s="19"/>
      <c r="C146" s="20"/>
      <c r="D146" s="81"/>
      <c r="E146" s="82"/>
      <c r="F146" s="83"/>
      <c r="G146" s="81"/>
      <c r="H146" s="82"/>
      <c r="I146" s="83"/>
      <c r="J146" s="81"/>
      <c r="K146" s="82"/>
      <c r="L146" s="83"/>
      <c r="M146" s="81"/>
      <c r="N146" s="82"/>
      <c r="O146" s="83"/>
      <c r="P146" s="81"/>
      <c r="Q146" s="82"/>
      <c r="R146" s="83"/>
      <c r="S146" s="81"/>
      <c r="T146" s="82"/>
      <c r="U146" s="83"/>
      <c r="V146" s="81"/>
      <c r="W146" s="82"/>
      <c r="X146" s="83"/>
      <c r="Y146" s="81"/>
      <c r="Z146" s="82"/>
      <c r="AA146" s="83"/>
      <c r="AB146" s="81"/>
      <c r="AC146" s="82"/>
      <c r="AD146" s="83"/>
      <c r="AE146" s="81"/>
      <c r="AF146" s="82"/>
      <c r="AG146" s="83"/>
      <c r="AH146" s="81"/>
      <c r="AI146" s="82"/>
      <c r="AJ146" s="83"/>
      <c r="AK146" s="81"/>
      <c r="AL146" s="82"/>
      <c r="AM146" s="83"/>
      <c r="AN146" s="81"/>
      <c r="AO146" s="82"/>
      <c r="AP146" s="83"/>
      <c r="AQ146" s="81"/>
      <c r="AR146" s="82"/>
      <c r="AS146" s="83"/>
      <c r="AT146" s="81"/>
      <c r="AU146" s="82"/>
      <c r="AV146" s="83"/>
      <c r="AW146" s="66"/>
      <c r="AX146" s="66"/>
      <c r="AY146" s="75"/>
    </row>
    <row r="147" spans="1:51" x14ac:dyDescent="0.3">
      <c r="A147" s="123">
        <f t="shared" si="2"/>
        <v>139</v>
      </c>
      <c r="B147" s="19"/>
      <c r="C147" s="20"/>
      <c r="D147" s="81"/>
      <c r="E147" s="82"/>
      <c r="F147" s="83"/>
      <c r="G147" s="81"/>
      <c r="H147" s="82"/>
      <c r="I147" s="83"/>
      <c r="J147" s="81"/>
      <c r="K147" s="82"/>
      <c r="L147" s="83"/>
      <c r="M147" s="81"/>
      <c r="N147" s="82"/>
      <c r="O147" s="83"/>
      <c r="P147" s="81"/>
      <c r="Q147" s="82"/>
      <c r="R147" s="83"/>
      <c r="S147" s="81"/>
      <c r="T147" s="82"/>
      <c r="U147" s="83"/>
      <c r="V147" s="81"/>
      <c r="W147" s="82"/>
      <c r="X147" s="83"/>
      <c r="Y147" s="81"/>
      <c r="Z147" s="82"/>
      <c r="AA147" s="83"/>
      <c r="AB147" s="81"/>
      <c r="AC147" s="82"/>
      <c r="AD147" s="83"/>
      <c r="AE147" s="81"/>
      <c r="AF147" s="82"/>
      <c r="AG147" s="83"/>
      <c r="AH147" s="81"/>
      <c r="AI147" s="82"/>
      <c r="AJ147" s="83"/>
      <c r="AK147" s="81"/>
      <c r="AL147" s="82"/>
      <c r="AM147" s="83"/>
      <c r="AN147" s="81"/>
      <c r="AO147" s="82"/>
      <c r="AP147" s="83"/>
      <c r="AQ147" s="81"/>
      <c r="AR147" s="82"/>
      <c r="AS147" s="83"/>
      <c r="AT147" s="81"/>
      <c r="AU147" s="82"/>
      <c r="AV147" s="83"/>
      <c r="AW147" s="66"/>
      <c r="AX147" s="66"/>
      <c r="AY147" s="75"/>
    </row>
    <row r="148" spans="1:51" x14ac:dyDescent="0.3">
      <c r="A148" s="123">
        <f t="shared" si="2"/>
        <v>140</v>
      </c>
      <c r="B148" s="19"/>
      <c r="C148" s="20"/>
      <c r="D148" s="81"/>
      <c r="E148" s="82"/>
      <c r="F148" s="83"/>
      <c r="G148" s="81"/>
      <c r="H148" s="82"/>
      <c r="I148" s="83"/>
      <c r="J148" s="81"/>
      <c r="K148" s="82"/>
      <c r="L148" s="83"/>
      <c r="M148" s="81"/>
      <c r="N148" s="82"/>
      <c r="O148" s="83"/>
      <c r="P148" s="81"/>
      <c r="Q148" s="82"/>
      <c r="R148" s="83"/>
      <c r="S148" s="81"/>
      <c r="T148" s="82"/>
      <c r="U148" s="83"/>
      <c r="V148" s="81"/>
      <c r="W148" s="82"/>
      <c r="X148" s="83"/>
      <c r="Y148" s="81"/>
      <c r="Z148" s="82"/>
      <c r="AA148" s="83"/>
      <c r="AB148" s="81"/>
      <c r="AC148" s="82"/>
      <c r="AD148" s="83"/>
      <c r="AE148" s="81"/>
      <c r="AF148" s="82"/>
      <c r="AG148" s="83"/>
      <c r="AH148" s="81"/>
      <c r="AI148" s="82"/>
      <c r="AJ148" s="83"/>
      <c r="AK148" s="81"/>
      <c r="AL148" s="82"/>
      <c r="AM148" s="83"/>
      <c r="AN148" s="81"/>
      <c r="AO148" s="82"/>
      <c r="AP148" s="83"/>
      <c r="AQ148" s="81"/>
      <c r="AR148" s="82"/>
      <c r="AS148" s="83"/>
      <c r="AT148" s="81"/>
      <c r="AU148" s="82"/>
      <c r="AV148" s="83"/>
      <c r="AW148" s="66"/>
      <c r="AX148" s="66"/>
      <c r="AY148" s="75"/>
    </row>
    <row r="149" spans="1:51" x14ac:dyDescent="0.3">
      <c r="A149" s="123">
        <f t="shared" si="2"/>
        <v>141</v>
      </c>
      <c r="B149" s="19"/>
      <c r="C149" s="20"/>
      <c r="D149" s="81"/>
      <c r="E149" s="82"/>
      <c r="F149" s="83"/>
      <c r="G149" s="81"/>
      <c r="H149" s="82"/>
      <c r="I149" s="83"/>
      <c r="J149" s="81"/>
      <c r="K149" s="82"/>
      <c r="L149" s="83"/>
      <c r="M149" s="81"/>
      <c r="N149" s="82"/>
      <c r="O149" s="83"/>
      <c r="P149" s="81"/>
      <c r="Q149" s="82"/>
      <c r="R149" s="83"/>
      <c r="S149" s="81"/>
      <c r="T149" s="82"/>
      <c r="U149" s="83"/>
      <c r="V149" s="81"/>
      <c r="W149" s="82"/>
      <c r="X149" s="83"/>
      <c r="Y149" s="81"/>
      <c r="Z149" s="82"/>
      <c r="AA149" s="83"/>
      <c r="AB149" s="81"/>
      <c r="AC149" s="82"/>
      <c r="AD149" s="83"/>
      <c r="AE149" s="81"/>
      <c r="AF149" s="82"/>
      <c r="AG149" s="83"/>
      <c r="AH149" s="81"/>
      <c r="AI149" s="82"/>
      <c r="AJ149" s="83"/>
      <c r="AK149" s="81"/>
      <c r="AL149" s="82"/>
      <c r="AM149" s="83"/>
      <c r="AN149" s="81"/>
      <c r="AO149" s="82"/>
      <c r="AP149" s="83"/>
      <c r="AQ149" s="81"/>
      <c r="AR149" s="82"/>
      <c r="AS149" s="83"/>
      <c r="AT149" s="81"/>
      <c r="AU149" s="82"/>
      <c r="AV149" s="83"/>
      <c r="AW149" s="66"/>
      <c r="AX149" s="66"/>
      <c r="AY149" s="75"/>
    </row>
    <row r="150" spans="1:51" x14ac:dyDescent="0.3">
      <c r="A150" s="123">
        <f t="shared" si="2"/>
        <v>142</v>
      </c>
      <c r="B150" s="19"/>
      <c r="C150" s="20"/>
      <c r="D150" s="81"/>
      <c r="E150" s="82"/>
      <c r="F150" s="83"/>
      <c r="G150" s="81"/>
      <c r="H150" s="82"/>
      <c r="I150" s="83"/>
      <c r="J150" s="81"/>
      <c r="K150" s="82"/>
      <c r="L150" s="83"/>
      <c r="M150" s="81"/>
      <c r="N150" s="82"/>
      <c r="O150" s="83"/>
      <c r="P150" s="81"/>
      <c r="Q150" s="82"/>
      <c r="R150" s="83"/>
      <c r="S150" s="81"/>
      <c r="T150" s="82"/>
      <c r="U150" s="83"/>
      <c r="V150" s="81"/>
      <c r="W150" s="82"/>
      <c r="X150" s="83"/>
      <c r="Y150" s="81"/>
      <c r="Z150" s="82"/>
      <c r="AA150" s="83"/>
      <c r="AB150" s="81"/>
      <c r="AC150" s="82"/>
      <c r="AD150" s="83"/>
      <c r="AE150" s="81"/>
      <c r="AF150" s="82"/>
      <c r="AG150" s="83"/>
      <c r="AH150" s="81"/>
      <c r="AI150" s="82"/>
      <c r="AJ150" s="83"/>
      <c r="AK150" s="81"/>
      <c r="AL150" s="82"/>
      <c r="AM150" s="83"/>
      <c r="AN150" s="81"/>
      <c r="AO150" s="82"/>
      <c r="AP150" s="83"/>
      <c r="AQ150" s="81"/>
      <c r="AR150" s="82"/>
      <c r="AS150" s="83"/>
      <c r="AT150" s="81"/>
      <c r="AU150" s="82"/>
      <c r="AV150" s="83"/>
      <c r="AW150" s="66"/>
      <c r="AX150" s="66"/>
      <c r="AY150" s="75"/>
    </row>
    <row r="151" spans="1:51" x14ac:dyDescent="0.3">
      <c r="A151" s="123">
        <f t="shared" si="2"/>
        <v>143</v>
      </c>
      <c r="B151" s="19"/>
      <c r="C151" s="20"/>
      <c r="D151" s="81"/>
      <c r="E151" s="82"/>
      <c r="F151" s="83"/>
      <c r="G151" s="81"/>
      <c r="H151" s="82"/>
      <c r="I151" s="83"/>
      <c r="J151" s="81"/>
      <c r="K151" s="82"/>
      <c r="L151" s="83"/>
      <c r="M151" s="81"/>
      <c r="N151" s="82"/>
      <c r="O151" s="83"/>
      <c r="P151" s="81"/>
      <c r="Q151" s="82"/>
      <c r="R151" s="83"/>
      <c r="S151" s="81"/>
      <c r="T151" s="82"/>
      <c r="U151" s="83"/>
      <c r="V151" s="81"/>
      <c r="W151" s="82"/>
      <c r="X151" s="83"/>
      <c r="Y151" s="81"/>
      <c r="Z151" s="82"/>
      <c r="AA151" s="83"/>
      <c r="AB151" s="81"/>
      <c r="AC151" s="82"/>
      <c r="AD151" s="83"/>
      <c r="AE151" s="81"/>
      <c r="AF151" s="82"/>
      <c r="AG151" s="83"/>
      <c r="AH151" s="81"/>
      <c r="AI151" s="82"/>
      <c r="AJ151" s="83"/>
      <c r="AK151" s="81"/>
      <c r="AL151" s="82"/>
      <c r="AM151" s="83"/>
      <c r="AN151" s="81"/>
      <c r="AO151" s="82"/>
      <c r="AP151" s="83"/>
      <c r="AQ151" s="81"/>
      <c r="AR151" s="82"/>
      <c r="AS151" s="83"/>
      <c r="AT151" s="81"/>
      <c r="AU151" s="82"/>
      <c r="AV151" s="83"/>
      <c r="AW151" s="66"/>
      <c r="AX151" s="66"/>
      <c r="AY151" s="75"/>
    </row>
    <row r="152" spans="1:51" x14ac:dyDescent="0.3">
      <c r="A152" s="123">
        <f t="shared" si="2"/>
        <v>144</v>
      </c>
      <c r="B152" s="19"/>
      <c r="C152" s="20"/>
      <c r="D152" s="81"/>
      <c r="E152" s="82"/>
      <c r="F152" s="83"/>
      <c r="G152" s="81"/>
      <c r="H152" s="82"/>
      <c r="I152" s="83"/>
      <c r="J152" s="81"/>
      <c r="K152" s="82"/>
      <c r="L152" s="83"/>
      <c r="M152" s="81"/>
      <c r="N152" s="82"/>
      <c r="O152" s="83"/>
      <c r="P152" s="81"/>
      <c r="Q152" s="82"/>
      <c r="R152" s="83"/>
      <c r="S152" s="81"/>
      <c r="T152" s="82"/>
      <c r="U152" s="83"/>
      <c r="V152" s="81"/>
      <c r="W152" s="82"/>
      <c r="X152" s="83"/>
      <c r="Y152" s="81"/>
      <c r="Z152" s="82"/>
      <c r="AA152" s="83"/>
      <c r="AB152" s="81"/>
      <c r="AC152" s="82"/>
      <c r="AD152" s="83"/>
      <c r="AE152" s="81"/>
      <c r="AF152" s="82"/>
      <c r="AG152" s="83"/>
      <c r="AH152" s="81"/>
      <c r="AI152" s="82"/>
      <c r="AJ152" s="83"/>
      <c r="AK152" s="81"/>
      <c r="AL152" s="82"/>
      <c r="AM152" s="83"/>
      <c r="AN152" s="81"/>
      <c r="AO152" s="82"/>
      <c r="AP152" s="83"/>
      <c r="AQ152" s="81"/>
      <c r="AR152" s="82"/>
      <c r="AS152" s="83"/>
      <c r="AT152" s="81"/>
      <c r="AU152" s="82"/>
      <c r="AV152" s="83"/>
      <c r="AW152" s="66"/>
      <c r="AX152" s="66"/>
      <c r="AY152" s="75"/>
    </row>
    <row r="153" spans="1:51" x14ac:dyDescent="0.3">
      <c r="A153" s="123">
        <f t="shared" si="2"/>
        <v>145</v>
      </c>
      <c r="B153" s="19"/>
      <c r="C153" s="20"/>
      <c r="D153" s="81"/>
      <c r="E153" s="82"/>
      <c r="F153" s="83"/>
      <c r="G153" s="81"/>
      <c r="H153" s="82"/>
      <c r="I153" s="83"/>
      <c r="J153" s="81"/>
      <c r="K153" s="82"/>
      <c r="L153" s="83"/>
      <c r="M153" s="81"/>
      <c r="N153" s="82"/>
      <c r="O153" s="83"/>
      <c r="P153" s="81"/>
      <c r="Q153" s="82"/>
      <c r="R153" s="83"/>
      <c r="S153" s="81"/>
      <c r="T153" s="82"/>
      <c r="U153" s="83"/>
      <c r="V153" s="81"/>
      <c r="W153" s="82"/>
      <c r="X153" s="83"/>
      <c r="Y153" s="81"/>
      <c r="Z153" s="82"/>
      <c r="AA153" s="83"/>
      <c r="AB153" s="81"/>
      <c r="AC153" s="82"/>
      <c r="AD153" s="83"/>
      <c r="AE153" s="81"/>
      <c r="AF153" s="82"/>
      <c r="AG153" s="83"/>
      <c r="AH153" s="81"/>
      <c r="AI153" s="82"/>
      <c r="AJ153" s="83"/>
      <c r="AK153" s="81"/>
      <c r="AL153" s="82"/>
      <c r="AM153" s="83"/>
      <c r="AN153" s="81"/>
      <c r="AO153" s="82"/>
      <c r="AP153" s="83"/>
      <c r="AQ153" s="81"/>
      <c r="AR153" s="82"/>
      <c r="AS153" s="83"/>
      <c r="AT153" s="81"/>
      <c r="AU153" s="82"/>
      <c r="AV153" s="83"/>
      <c r="AW153" s="66"/>
      <c r="AX153" s="66"/>
      <c r="AY153" s="75"/>
    </row>
    <row r="154" spans="1:51" x14ac:dyDescent="0.3">
      <c r="A154" s="123">
        <f t="shared" si="2"/>
        <v>146</v>
      </c>
      <c r="B154" s="19"/>
      <c r="C154" s="20"/>
      <c r="D154" s="81"/>
      <c r="E154" s="82"/>
      <c r="F154" s="83"/>
      <c r="G154" s="81"/>
      <c r="H154" s="82"/>
      <c r="I154" s="83"/>
      <c r="J154" s="81"/>
      <c r="K154" s="82"/>
      <c r="L154" s="83"/>
      <c r="M154" s="81"/>
      <c r="N154" s="82"/>
      <c r="O154" s="83"/>
      <c r="P154" s="81"/>
      <c r="Q154" s="82"/>
      <c r="R154" s="83"/>
      <c r="S154" s="81"/>
      <c r="T154" s="82"/>
      <c r="U154" s="83"/>
      <c r="V154" s="81"/>
      <c r="W154" s="82"/>
      <c r="X154" s="83"/>
      <c r="Y154" s="81"/>
      <c r="Z154" s="82"/>
      <c r="AA154" s="83"/>
      <c r="AB154" s="81"/>
      <c r="AC154" s="82"/>
      <c r="AD154" s="83"/>
      <c r="AE154" s="81"/>
      <c r="AF154" s="82"/>
      <c r="AG154" s="83"/>
      <c r="AH154" s="81"/>
      <c r="AI154" s="82"/>
      <c r="AJ154" s="83"/>
      <c r="AK154" s="81"/>
      <c r="AL154" s="82"/>
      <c r="AM154" s="83"/>
      <c r="AN154" s="81"/>
      <c r="AO154" s="82"/>
      <c r="AP154" s="83"/>
      <c r="AQ154" s="81"/>
      <c r="AR154" s="82"/>
      <c r="AS154" s="83"/>
      <c r="AT154" s="81"/>
      <c r="AU154" s="82"/>
      <c r="AV154" s="83"/>
      <c r="AW154" s="66"/>
      <c r="AX154" s="66"/>
      <c r="AY154" s="75"/>
    </row>
    <row r="155" spans="1:51" x14ac:dyDescent="0.3">
      <c r="A155" s="123">
        <f t="shared" si="2"/>
        <v>147</v>
      </c>
      <c r="B155" s="19"/>
      <c r="C155" s="20"/>
      <c r="D155" s="81"/>
      <c r="E155" s="82"/>
      <c r="F155" s="83"/>
      <c r="G155" s="81"/>
      <c r="H155" s="82"/>
      <c r="I155" s="83"/>
      <c r="J155" s="81"/>
      <c r="K155" s="82"/>
      <c r="L155" s="83"/>
      <c r="M155" s="81"/>
      <c r="N155" s="82"/>
      <c r="O155" s="83"/>
      <c r="P155" s="81"/>
      <c r="Q155" s="82"/>
      <c r="R155" s="83"/>
      <c r="S155" s="81"/>
      <c r="T155" s="82"/>
      <c r="U155" s="83"/>
      <c r="V155" s="81"/>
      <c r="W155" s="82"/>
      <c r="X155" s="83"/>
      <c r="Y155" s="81"/>
      <c r="Z155" s="82"/>
      <c r="AA155" s="83"/>
      <c r="AB155" s="81"/>
      <c r="AC155" s="82"/>
      <c r="AD155" s="83"/>
      <c r="AE155" s="81"/>
      <c r="AF155" s="82"/>
      <c r="AG155" s="83"/>
      <c r="AH155" s="81"/>
      <c r="AI155" s="82"/>
      <c r="AJ155" s="83"/>
      <c r="AK155" s="81"/>
      <c r="AL155" s="82"/>
      <c r="AM155" s="83"/>
      <c r="AN155" s="81"/>
      <c r="AO155" s="82"/>
      <c r="AP155" s="83"/>
      <c r="AQ155" s="81"/>
      <c r="AR155" s="82"/>
      <c r="AS155" s="83"/>
      <c r="AT155" s="81"/>
      <c r="AU155" s="82"/>
      <c r="AV155" s="83"/>
      <c r="AW155" s="66"/>
      <c r="AX155" s="66"/>
      <c r="AY155" s="75"/>
    </row>
    <row r="156" spans="1:51" x14ac:dyDescent="0.3">
      <c r="A156" s="123">
        <f t="shared" si="2"/>
        <v>148</v>
      </c>
      <c r="B156" s="19"/>
      <c r="C156" s="20"/>
      <c r="D156" s="81"/>
      <c r="E156" s="82"/>
      <c r="F156" s="83"/>
      <c r="G156" s="81"/>
      <c r="H156" s="82"/>
      <c r="I156" s="83"/>
      <c r="J156" s="81"/>
      <c r="K156" s="82"/>
      <c r="L156" s="83"/>
      <c r="M156" s="81"/>
      <c r="N156" s="82"/>
      <c r="O156" s="83"/>
      <c r="P156" s="81"/>
      <c r="Q156" s="82"/>
      <c r="R156" s="83"/>
      <c r="S156" s="81"/>
      <c r="T156" s="82"/>
      <c r="U156" s="83"/>
      <c r="V156" s="81"/>
      <c r="W156" s="82"/>
      <c r="X156" s="83"/>
      <c r="Y156" s="81"/>
      <c r="Z156" s="82"/>
      <c r="AA156" s="83"/>
      <c r="AB156" s="81"/>
      <c r="AC156" s="82"/>
      <c r="AD156" s="83"/>
      <c r="AE156" s="81"/>
      <c r="AF156" s="82"/>
      <c r="AG156" s="83"/>
      <c r="AH156" s="81"/>
      <c r="AI156" s="82"/>
      <c r="AJ156" s="83"/>
      <c r="AK156" s="81"/>
      <c r="AL156" s="82"/>
      <c r="AM156" s="83"/>
      <c r="AN156" s="81"/>
      <c r="AO156" s="82"/>
      <c r="AP156" s="83"/>
      <c r="AQ156" s="81"/>
      <c r="AR156" s="82"/>
      <c r="AS156" s="83"/>
      <c r="AT156" s="81"/>
      <c r="AU156" s="82"/>
      <c r="AV156" s="83"/>
      <c r="AW156" s="66"/>
      <c r="AX156" s="66"/>
      <c r="AY156" s="75"/>
    </row>
    <row r="157" spans="1:51" x14ac:dyDescent="0.3">
      <c r="A157" s="123">
        <f t="shared" si="2"/>
        <v>149</v>
      </c>
      <c r="B157" s="19"/>
      <c r="C157" s="20"/>
      <c r="D157" s="81"/>
      <c r="E157" s="82"/>
      <c r="F157" s="83"/>
      <c r="G157" s="81"/>
      <c r="H157" s="82"/>
      <c r="I157" s="83"/>
      <c r="J157" s="81"/>
      <c r="K157" s="82"/>
      <c r="L157" s="83"/>
      <c r="M157" s="81"/>
      <c r="N157" s="82"/>
      <c r="O157" s="83"/>
      <c r="P157" s="81"/>
      <c r="Q157" s="82"/>
      <c r="R157" s="83"/>
      <c r="S157" s="81"/>
      <c r="T157" s="82"/>
      <c r="U157" s="83"/>
      <c r="V157" s="81"/>
      <c r="W157" s="82"/>
      <c r="X157" s="83"/>
      <c r="Y157" s="81"/>
      <c r="Z157" s="82"/>
      <c r="AA157" s="83"/>
      <c r="AB157" s="81"/>
      <c r="AC157" s="82"/>
      <c r="AD157" s="83"/>
      <c r="AE157" s="81"/>
      <c r="AF157" s="82"/>
      <c r="AG157" s="83"/>
      <c r="AH157" s="81"/>
      <c r="AI157" s="82"/>
      <c r="AJ157" s="83"/>
      <c r="AK157" s="81"/>
      <c r="AL157" s="82"/>
      <c r="AM157" s="83"/>
      <c r="AN157" s="81"/>
      <c r="AO157" s="82"/>
      <c r="AP157" s="83"/>
      <c r="AQ157" s="81"/>
      <c r="AR157" s="82"/>
      <c r="AS157" s="83"/>
      <c r="AT157" s="81"/>
      <c r="AU157" s="82"/>
      <c r="AV157" s="83"/>
      <c r="AW157" s="66"/>
      <c r="AX157" s="66"/>
      <c r="AY157" s="75"/>
    </row>
    <row r="158" spans="1:51" ht="15" thickBot="1" x14ac:dyDescent="0.35">
      <c r="A158" s="124">
        <f t="shared" si="2"/>
        <v>150</v>
      </c>
      <c r="B158" s="120"/>
      <c r="C158" s="23"/>
      <c r="D158" s="84"/>
      <c r="E158" s="85"/>
      <c r="F158" s="86"/>
      <c r="G158" s="84"/>
      <c r="H158" s="85"/>
      <c r="I158" s="86"/>
      <c r="J158" s="84"/>
      <c r="K158" s="85"/>
      <c r="L158" s="86"/>
      <c r="M158" s="84"/>
      <c r="N158" s="85"/>
      <c r="O158" s="86"/>
      <c r="P158" s="84"/>
      <c r="Q158" s="85"/>
      <c r="R158" s="86"/>
      <c r="S158" s="84"/>
      <c r="T158" s="85"/>
      <c r="U158" s="86"/>
      <c r="V158" s="84"/>
      <c r="W158" s="85"/>
      <c r="X158" s="86"/>
      <c r="Y158" s="84"/>
      <c r="Z158" s="85"/>
      <c r="AA158" s="86"/>
      <c r="AB158" s="84"/>
      <c r="AC158" s="85"/>
      <c r="AD158" s="86"/>
      <c r="AE158" s="84"/>
      <c r="AF158" s="85"/>
      <c r="AG158" s="86"/>
      <c r="AH158" s="84"/>
      <c r="AI158" s="85"/>
      <c r="AJ158" s="86"/>
      <c r="AK158" s="84"/>
      <c r="AL158" s="85"/>
      <c r="AM158" s="86"/>
      <c r="AN158" s="84"/>
      <c r="AO158" s="85"/>
      <c r="AP158" s="86"/>
      <c r="AQ158" s="84"/>
      <c r="AR158" s="85"/>
      <c r="AS158" s="86"/>
      <c r="AT158" s="84"/>
      <c r="AU158" s="85"/>
      <c r="AV158" s="86"/>
      <c r="AW158" s="67"/>
      <c r="AX158" s="67"/>
      <c r="AY158" s="77"/>
    </row>
  </sheetData>
  <autoFilter ref="A7:BR158" xr:uid="{EC70D67C-B6B4-4075-B49D-88B24EEE2957}">
    <filterColumn colId="3" showButton="0"/>
    <filterColumn colId="4" showButton="0"/>
    <filterColumn colId="6" showButton="0"/>
    <filterColumn colId="7" showButton="0"/>
    <filterColumn colId="9" showButton="0"/>
    <filterColumn colId="10" showButton="0"/>
    <filterColumn colId="12" showButton="0"/>
    <filterColumn colId="13" showButton="0"/>
    <filterColumn colId="15" showButton="0"/>
    <filterColumn colId="16" showButton="0"/>
    <filterColumn colId="18" showButton="0"/>
    <filterColumn colId="19" showButton="0"/>
    <filterColumn colId="21" showButton="0"/>
    <filterColumn colId="22" showButton="0"/>
    <filterColumn colId="24" showButton="0"/>
    <filterColumn colId="25" showButton="0"/>
    <filterColumn colId="27" showButton="0"/>
    <filterColumn colId="28" showButton="0"/>
    <filterColumn colId="30" showButton="0"/>
    <filterColumn colId="31" showButton="0"/>
    <filterColumn colId="33" showButton="0"/>
    <filterColumn colId="34" showButton="0"/>
    <filterColumn colId="36" showButton="0"/>
    <filterColumn colId="37" showButton="0"/>
    <filterColumn colId="39" showButton="0"/>
    <filterColumn colId="40" showButton="0"/>
    <filterColumn colId="42" showButton="0"/>
    <filterColumn colId="43" showButton="0"/>
    <filterColumn colId="45" showButton="0"/>
    <filterColumn colId="46" showButton="0"/>
  </autoFilter>
  <mergeCells count="46">
    <mergeCell ref="S3:U3"/>
    <mergeCell ref="A1:B1"/>
    <mergeCell ref="G3:I3"/>
    <mergeCell ref="J3:L3"/>
    <mergeCell ref="M3:O3"/>
    <mergeCell ref="P3:R3"/>
    <mergeCell ref="AN3:AP3"/>
    <mergeCell ref="AQ3:AS3"/>
    <mergeCell ref="AT3:AV3"/>
    <mergeCell ref="D4:F4"/>
    <mergeCell ref="G4:I4"/>
    <mergeCell ref="J4:L4"/>
    <mergeCell ref="M4:O4"/>
    <mergeCell ref="P4:R4"/>
    <mergeCell ref="S4:U4"/>
    <mergeCell ref="V4:X4"/>
    <mergeCell ref="V3:X3"/>
    <mergeCell ref="Y3:AA3"/>
    <mergeCell ref="AB3:AD3"/>
    <mergeCell ref="AE3:AG3"/>
    <mergeCell ref="AH3:AJ3"/>
    <mergeCell ref="AK3:AM3"/>
    <mergeCell ref="AQ4:AS4"/>
    <mergeCell ref="AT4:AV4"/>
    <mergeCell ref="A5:AY6"/>
    <mergeCell ref="D7:F7"/>
    <mergeCell ref="G7:I7"/>
    <mergeCell ref="J7:L7"/>
    <mergeCell ref="M7:O7"/>
    <mergeCell ref="P7:R7"/>
    <mergeCell ref="S7:U7"/>
    <mergeCell ref="V7:X7"/>
    <mergeCell ref="Y4:AA4"/>
    <mergeCell ref="AB4:AD4"/>
    <mergeCell ref="AE4:AG4"/>
    <mergeCell ref="AH4:AJ4"/>
    <mergeCell ref="AK4:AM4"/>
    <mergeCell ref="AN4:AP4"/>
    <mergeCell ref="AQ7:AS7"/>
    <mergeCell ref="AT7:AV7"/>
    <mergeCell ref="Y7:AA7"/>
    <mergeCell ref="AB7:AD7"/>
    <mergeCell ref="AE7:AG7"/>
    <mergeCell ref="AH7:AJ7"/>
    <mergeCell ref="AK7:AM7"/>
    <mergeCell ref="AN7:AP7"/>
  </mergeCells>
  <pageMargins left="0.7" right="0.7" top="0.75" bottom="0.75" header="0.3" footer="0.3"/>
  <pageSetup scale="52" fitToHeight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Please see Legend" error="Please use one of the proper codes." xr:uid="{4AA8D58D-F7D1-493A-AE13-A6F0BC8628A7}">
          <x14:formula1>
            <xm:f>'RC Lookup'!$J$4:$J$11</xm:f>
          </x14:formula1>
          <xm:sqref>D8:AV158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EF8D84-5919-4588-A1FB-0AA0C6B366C7}">
  <sheetPr codeName="Sheet5"/>
  <dimension ref="A1:D24"/>
  <sheetViews>
    <sheetView workbookViewId="0">
      <selection activeCell="C21" sqref="C21"/>
    </sheetView>
  </sheetViews>
  <sheetFormatPr defaultRowHeight="14.4" x14ac:dyDescent="0.3"/>
  <cols>
    <col min="1" max="1" width="22.21875" bestFit="1" customWidth="1"/>
    <col min="2" max="2" width="10.109375" style="6" bestFit="1" customWidth="1"/>
    <col min="3" max="4" width="9.5546875" bestFit="1" customWidth="1"/>
  </cols>
  <sheetData>
    <row r="1" spans="1:4" x14ac:dyDescent="0.3">
      <c r="A1" t="s">
        <v>107</v>
      </c>
    </row>
    <row r="3" spans="1:4" x14ac:dyDescent="0.3">
      <c r="A3" t="s">
        <v>69</v>
      </c>
      <c r="B3" s="6" t="s">
        <v>117</v>
      </c>
      <c r="C3" s="1">
        <v>43123</v>
      </c>
      <c r="D3" s="1">
        <v>43128</v>
      </c>
    </row>
    <row r="4" spans="1:4" x14ac:dyDescent="0.3">
      <c r="A4" t="s">
        <v>108</v>
      </c>
      <c r="B4" s="6">
        <f>B5+B10+B12+B13</f>
        <v>100</v>
      </c>
      <c r="C4" s="52">
        <f>B4</f>
        <v>100</v>
      </c>
    </row>
    <row r="5" spans="1:4" x14ac:dyDescent="0.3">
      <c r="A5" t="s">
        <v>113</v>
      </c>
      <c r="B5" s="6">
        <f>SUM(B6:B9)</f>
        <v>130</v>
      </c>
    </row>
    <row r="6" spans="1:4" x14ac:dyDescent="0.3">
      <c r="A6" s="89" t="s">
        <v>109</v>
      </c>
      <c r="B6" s="6">
        <f>10*6+20</f>
        <v>80</v>
      </c>
      <c r="C6">
        <f>5</f>
        <v>5</v>
      </c>
    </row>
    <row r="7" spans="1:4" x14ac:dyDescent="0.3">
      <c r="A7" s="89" t="s">
        <v>122</v>
      </c>
      <c r="B7" s="6">
        <v>15</v>
      </c>
      <c r="C7">
        <f>5</f>
        <v>5</v>
      </c>
    </row>
    <row r="8" spans="1:4" x14ac:dyDescent="0.3">
      <c r="A8" s="89" t="s">
        <v>123</v>
      </c>
      <c r="B8" s="6">
        <f>150/30*7</f>
        <v>35</v>
      </c>
      <c r="C8">
        <v>0</v>
      </c>
    </row>
    <row r="9" spans="1:4" x14ac:dyDescent="0.3">
      <c r="A9" s="89" t="s">
        <v>112</v>
      </c>
    </row>
    <row r="10" spans="1:4" x14ac:dyDescent="0.3">
      <c r="A10" t="s">
        <v>114</v>
      </c>
      <c r="B10" s="6">
        <f>SUM(B11)</f>
        <v>-60</v>
      </c>
    </row>
    <row r="11" spans="1:4" x14ac:dyDescent="0.3">
      <c r="A11" s="89" t="s">
        <v>115</v>
      </c>
      <c r="B11" s="6">
        <f>-20*3</f>
        <v>-60</v>
      </c>
    </row>
    <row r="12" spans="1:4" x14ac:dyDescent="0.3">
      <c r="A12" s="45" t="s">
        <v>110</v>
      </c>
      <c r="B12" s="6">
        <f>30</f>
        <v>30</v>
      </c>
    </row>
    <row r="13" spans="1:4" x14ac:dyDescent="0.3">
      <c r="A13" s="45" t="s">
        <v>111</v>
      </c>
    </row>
    <row r="14" spans="1:4" x14ac:dyDescent="0.3">
      <c r="A14" s="45" t="s">
        <v>121</v>
      </c>
    </row>
    <row r="16" spans="1:4" x14ac:dyDescent="0.3">
      <c r="A16" t="s">
        <v>116</v>
      </c>
    </row>
    <row r="17" spans="1:3" x14ac:dyDescent="0.3">
      <c r="A17" s="89" t="s">
        <v>120</v>
      </c>
      <c r="B17" s="6">
        <v>200</v>
      </c>
      <c r="C17" s="6">
        <v>200</v>
      </c>
    </row>
    <row r="18" spans="1:3" x14ac:dyDescent="0.3">
      <c r="A18" s="89" t="s">
        <v>118</v>
      </c>
      <c r="B18" s="6">
        <f>6000</f>
        <v>6000</v>
      </c>
      <c r="C18" s="6">
        <f>6000</f>
        <v>6000</v>
      </c>
    </row>
    <row r="19" spans="1:3" x14ac:dyDescent="0.3">
      <c r="A19" s="89" t="s">
        <v>119</v>
      </c>
      <c r="B19" s="6">
        <f>1664.79+1098.55+1295.59+1195.05+4000+1400-B18</f>
        <v>4653.9799999999996</v>
      </c>
      <c r="C19" s="6">
        <f>1664.79+1098.55+1295.59+1195.05+4000+1400-C18</f>
        <v>4653.9799999999996</v>
      </c>
    </row>
    <row r="21" spans="1:3" x14ac:dyDescent="0.3">
      <c r="A21" t="s">
        <v>116</v>
      </c>
    </row>
    <row r="22" spans="1:3" x14ac:dyDescent="0.3">
      <c r="A22" s="89" t="s">
        <v>120</v>
      </c>
      <c r="B22" s="6">
        <v>200</v>
      </c>
      <c r="C22" s="6">
        <v>200</v>
      </c>
    </row>
    <row r="23" spans="1:3" x14ac:dyDescent="0.3">
      <c r="A23" s="89" t="s">
        <v>118</v>
      </c>
      <c r="B23" s="6">
        <f>6000</f>
        <v>6000</v>
      </c>
      <c r="C23" s="6">
        <f>6000</f>
        <v>6000</v>
      </c>
    </row>
    <row r="24" spans="1:3" x14ac:dyDescent="0.3">
      <c r="A24" s="89" t="s">
        <v>119</v>
      </c>
      <c r="B24" s="6">
        <f>1664.79+1098.55+1295.59+1195.05+4000+1400-B23</f>
        <v>4653.9799999999996</v>
      </c>
      <c r="C24" s="6">
        <f>1664.79+1098.55+1295.59+1195.05+4000+1400-C23</f>
        <v>4653.9799999999996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F03755F-E40B-4830-9375-F11AD20C822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Charts</vt:lpstr>
      </vt:variant>
      <vt:variant>
        <vt:i4>2</vt:i4>
      </vt:variant>
    </vt:vector>
  </HeadingPairs>
  <TitlesOfParts>
    <vt:vector size="10" baseType="lpstr">
      <vt:lpstr>Rock Climbing Reports</vt:lpstr>
      <vt:lpstr>Rock Climbing Log</vt:lpstr>
      <vt:lpstr>Sheet1</vt:lpstr>
      <vt:lpstr>RC Template</vt:lpstr>
      <vt:lpstr>RC Chart Data</vt:lpstr>
      <vt:lpstr>RC Lookup</vt:lpstr>
      <vt:lpstr>Rock Climbing JE</vt:lpstr>
      <vt:lpstr>Finance</vt:lpstr>
      <vt:lpstr>RC Progress Chart</vt:lpstr>
      <vt:lpstr>RC Team Chart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roger</dc:creator>
  <cp:lastModifiedBy>roger</cp:lastModifiedBy>
  <cp:lastPrinted>2018-01-13T00:32:54Z</cp:lastPrinted>
  <dcterms:created xsi:type="dcterms:W3CDTF">2018-01-12T23:38:28Z</dcterms:created>
  <dcterms:modified xsi:type="dcterms:W3CDTF">2018-12-06T15:16:49Z</dcterms:modified>
</cp:coreProperties>
</file>